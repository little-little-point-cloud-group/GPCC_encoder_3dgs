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0" activeTab="0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bartender_track" sheetId="5" state="visible" r:id="rId5"/>
    <sheet name="breakfast_track" sheetId="6" state="visible" r:id="rId6"/>
    <sheet name="cinema_track" sheetId="7" state="visible" r:id="rId7"/>
    <sheet name="ManWithFruit" sheetId="8" state="visible" r:id="rId8"/>
    <sheet name="LEGO_Ferrari" sheetId="9" state="visible" r:id="rId9"/>
    <sheet name="LEGO_Bugatti" sheetId="10" state="visible" r:id="rId10"/>
    <sheet name="Plant" sheetId="11" state="visible" r:id="rId11"/>
    <sheet name="Tennis_Player" sheetId="12" state="visible" r:id="rId12"/>
    <sheet name="Cricket_Player" sheetId="13" state="visible" r:id="rId13"/>
    <sheet name="Tango_Duo" sheetId="14" state="visible" r:id="rId14"/>
    <sheet name="Solo_Tango_Female" sheetId="15" state="visible" r:id="rId15"/>
    <sheet name="Solo_Tango_Male" sheetId="16" state="visible" r:id="rId16"/>
    <sheet name="BlueBackpack_UVGgs_0100" sheetId="17" state="visible" r:id="rId17"/>
    <sheet name="BlueBackpack_UVGgs_0200" sheetId="18" state="visible" r:id="rId18"/>
    <sheet name="FlowerDance_UVGgs_0000" sheetId="19" state="visible" r:id="rId19"/>
    <sheet name="FlowerDance_UVGgs_0200" sheetId="20" state="visible" r:id="rId20"/>
    <sheet name="Gymnast_UVGgs_0100" sheetId="21" state="visible" r:id="rId21"/>
    <sheet name="Gymnast_UVGgs_0200" sheetId="22" state="visible" r:id="rId22"/>
    <sheet name="artwork" sheetId="23" state="visible" r:id="rId23"/>
    <sheet name="panda" sheetId="24" state="visible" r:id="rId24"/>
    <sheet name="wukong" sheetId="25" state="visible" r:id="rId25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0.0E+00"/>
    <numFmt numFmtId="170" formatCode="#,##0.0"/>
    <numFmt numFmtId="171" formatCode="_-* #,##0.00_-;\-* #,##0.00_-;_-* &quot;-&quot;??_-;_-@_-"/>
  </numFmts>
  <fonts count="27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charset val="129"/>
      <family val="3"/>
      <sz val="8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28"/>
      <family val="3"/>
      <b val="1"/>
      <color theme="1"/>
      <sz val="10"/>
      <scheme val="minor"/>
    </font>
  </fonts>
  <fills count="8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4" fillId="0" borderId="0"/>
    <xf numFmtId="9" fontId="14" fillId="0" borderId="0"/>
    <xf numFmtId="43" fontId="14" fillId="0" borderId="0"/>
    <xf numFmtId="9" fontId="14" fillId="0" borderId="0"/>
    <xf numFmtId="0" fontId="15" fillId="0" borderId="0"/>
    <xf numFmtId="43" fontId="14" fillId="0" borderId="0"/>
    <xf numFmtId="9" fontId="14" fillId="0" borderId="0"/>
    <xf numFmtId="9" fontId="20" fillId="0" borderId="0"/>
    <xf numFmtId="9" fontId="20" fillId="0" borderId="0"/>
    <xf numFmtId="171" fontId="20" fillId="0" borderId="0"/>
  </cellStyleXfs>
  <cellXfs count="330">
    <xf numFmtId="0" fontId="0" fillId="0" borderId="0" pivotButton="0" quotePrefix="0" xfId="0"/>
    <xf numFmtId="0" fontId="4" fillId="3" borderId="0" pivotButton="0" quotePrefix="1" xfId="0"/>
    <xf numFmtId="0" fontId="17" fillId="0" borderId="0" pivotButton="0" quotePrefix="0" xfId="0"/>
    <xf numFmtId="0" fontId="0" fillId="0" borderId="5" applyAlignment="1" pivotButton="0" quotePrefix="0" xfId="0">
      <alignment horizontal="center"/>
    </xf>
    <xf numFmtId="0" fontId="10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4" fillId="3" borderId="0" applyAlignment="1" pivotButton="0" quotePrefix="0" xfId="0">
      <alignment horizontal="center"/>
    </xf>
    <xf numFmtId="10" fontId="6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4" fillId="3" borderId="0" pivotButton="0" quotePrefix="0" xfId="0"/>
    <xf numFmtId="1" fontId="4" fillId="3" borderId="0" pivotButton="0" quotePrefix="0" xfId="0"/>
    <xf numFmtId="0" fontId="3" fillId="3" borderId="0" pivotButton="0" quotePrefix="0" xfId="0"/>
    <xf numFmtId="0" fontId="11" fillId="3" borderId="0" pivotButton="0" quotePrefix="0" xfId="0"/>
    <xf numFmtId="0" fontId="4" fillId="3" borderId="0" pivotButton="0" quotePrefix="0" xfId="0"/>
    <xf numFmtId="164" fontId="13" fillId="3" borderId="15" applyAlignment="1" pivotButton="0" quotePrefix="0" xfId="0">
      <alignment horizontal="center" vertical="center"/>
    </xf>
    <xf numFmtId="164" fontId="13" fillId="3" borderId="0" applyAlignment="1" pivotButton="0" quotePrefix="0" xfId="0">
      <alignment horizontal="center" vertical="center"/>
    </xf>
    <xf numFmtId="164" fontId="19" fillId="3" borderId="8" applyAlignment="1" pivotButton="0" quotePrefix="0" xfId="0">
      <alignment horizontal="center" vertical="center"/>
    </xf>
    <xf numFmtId="164" fontId="19" fillId="3" borderId="0" applyAlignment="1" pivotButton="0" quotePrefix="0" xfId="0">
      <alignment horizontal="center" vertical="center"/>
    </xf>
    <xf numFmtId="165" fontId="13" fillId="3" borderId="0" applyAlignment="1" pivotButton="0" quotePrefix="0" xfId="0">
      <alignment horizontal="center"/>
    </xf>
    <xf numFmtId="166" fontId="0" fillId="0" borderId="0" pivotButton="0" quotePrefix="0" xfId="0"/>
    <xf numFmtId="165" fontId="18" fillId="0" borderId="5" applyAlignment="1" pivotButton="0" quotePrefix="0" xfId="0">
      <alignment horizontal="center" vertical="center"/>
    </xf>
    <xf numFmtId="167" fontId="4" fillId="3" borderId="0" pivotButton="0" quotePrefix="0" xfId="0"/>
    <xf numFmtId="168" fontId="4" fillId="3" borderId="0" pivotButton="0" quotePrefix="0" xfId="0"/>
    <xf numFmtId="0" fontId="10" fillId="3" borderId="4" applyAlignment="1" pivotButton="0" quotePrefix="0" xfId="0">
      <alignment horizontal="center" vertical="center"/>
    </xf>
    <xf numFmtId="165" fontId="18" fillId="0" borderId="6" applyAlignment="1" pivotButton="0" quotePrefix="0" xfId="0">
      <alignment horizontal="center" vertical="center"/>
    </xf>
    <xf numFmtId="0" fontId="16" fillId="3" borderId="8" applyAlignment="1" pivotButton="0" quotePrefix="0" xfId="0">
      <alignment horizontal="center" vertical="center" wrapText="1"/>
    </xf>
    <xf numFmtId="2" fontId="4" fillId="3" borderId="0" applyAlignment="1" pivotButton="0" quotePrefix="0" xfId="0">
      <alignment horizontal="center"/>
    </xf>
    <xf numFmtId="165" fontId="6" fillId="3" borderId="0" applyAlignment="1" pivotButton="0" quotePrefix="0" xfId="0">
      <alignment horizontal="center"/>
    </xf>
    <xf numFmtId="0" fontId="23" fillId="3" borderId="0" pivotButton="0" quotePrefix="1" xfId="0"/>
    <xf numFmtId="0" fontId="8" fillId="3" borderId="4" applyAlignment="1" pivotButton="0" quotePrefix="0" xfId="0">
      <alignment horizontal="center" vertical="center"/>
    </xf>
    <xf numFmtId="0" fontId="4" fillId="5" borderId="7" applyAlignment="1" pivotButton="0" quotePrefix="0" xfId="0">
      <alignment horizontal="center" vertical="center"/>
    </xf>
    <xf numFmtId="1" fontId="4" fillId="5" borderId="1" applyAlignment="1" pivotButton="0" quotePrefix="0" xfId="0">
      <alignment horizontal="center" vertical="center"/>
    </xf>
    <xf numFmtId="0" fontId="4" fillId="5" borderId="11" applyAlignment="1" pivotButton="0" quotePrefix="0" xfId="0">
      <alignment horizontal="center" vertical="center"/>
    </xf>
    <xf numFmtId="1" fontId="4" fillId="5" borderId="0" applyAlignment="1" pivotButton="0" quotePrefix="0" xfId="0">
      <alignment horizontal="center" vertical="center"/>
    </xf>
    <xf numFmtId="0" fontId="4" fillId="5" borderId="12" applyAlignment="1" pivotButton="0" quotePrefix="0" xfId="0">
      <alignment horizontal="center" vertical="center"/>
    </xf>
    <xf numFmtId="167" fontId="4" fillId="3" borderId="1" applyAlignment="1" pivotButton="0" quotePrefix="0" xfId="0">
      <alignment horizontal="center" vertical="center"/>
    </xf>
    <xf numFmtId="2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" fontId="4" fillId="3" borderId="1" applyAlignment="1" pivotButton="0" quotePrefix="0" xfId="0">
      <alignment horizontal="center" vertical="center"/>
    </xf>
    <xf numFmtId="1" fontId="4" fillId="3" borderId="2" applyAlignment="1" pivotButton="0" quotePrefix="0" xfId="0">
      <alignment horizontal="center" vertical="center"/>
    </xf>
    <xf numFmtId="0" fontId="4" fillId="3" borderId="13" applyAlignment="1" pivotButton="0" quotePrefix="0" xfId="0">
      <alignment horizontal="center" vertical="center"/>
    </xf>
    <xf numFmtId="167" fontId="4" fillId="3" borderId="13" applyAlignment="1" pivotButton="0" quotePrefix="0" xfId="0">
      <alignment horizontal="center" vertical="center"/>
    </xf>
    <xf numFmtId="2" fontId="4" fillId="3" borderId="13" applyAlignment="1" pivotButton="0" quotePrefix="0" xfId="0">
      <alignment horizontal="center" vertical="center"/>
    </xf>
    <xf numFmtId="168" fontId="4" fillId="3" borderId="13" applyAlignment="1" pivotButton="0" quotePrefix="0" xfId="0">
      <alignment horizontal="center" vertical="center"/>
    </xf>
    <xf numFmtId="1" fontId="4" fillId="3" borderId="13" applyAlignment="1" pivotButton="0" quotePrefix="0" xfId="0">
      <alignment horizontal="center" vertical="center"/>
    </xf>
    <xf numFmtId="1" fontId="4" fillId="3" borderId="14" applyAlignment="1" pivotButton="0" quotePrefix="0" xfId="0">
      <alignment horizontal="center" vertical="center"/>
    </xf>
    <xf numFmtId="1" fontId="4" fillId="5" borderId="13" applyAlignment="1" pivotButton="0" quotePrefix="0" xfId="0">
      <alignment horizontal="center" vertical="center"/>
    </xf>
    <xf numFmtId="10" fontId="6" fillId="3" borderId="0" applyAlignment="1" pivotButton="0" quotePrefix="0" xfId="0">
      <alignment horizontal="center" vertical="center"/>
    </xf>
    <xf numFmtId="2" fontId="4" fillId="3" borderId="0" applyAlignment="1" pivotButton="0" quotePrefix="0" xfId="0">
      <alignment vertical="center"/>
    </xf>
    <xf numFmtId="168" fontId="4" fillId="3" borderId="0" applyAlignment="1" pivotButton="0" quotePrefix="0" xfId="0">
      <alignment vertical="center"/>
    </xf>
    <xf numFmtId="2" fontId="6" fillId="3" borderId="0" applyAlignment="1" pivotButton="0" quotePrefix="0" xfId="0">
      <alignment horizontal="right" vertical="center"/>
    </xf>
    <xf numFmtId="0" fontId="4" fillId="5" borderId="13" applyAlignment="1" pivotButton="0" quotePrefix="0" xfId="0">
      <alignment horizontal="center" vertical="center"/>
    </xf>
    <xf numFmtId="0" fontId="9" fillId="3" borderId="0" applyAlignment="1" pivotButton="0" quotePrefix="0" xfId="0">
      <alignment vertical="center"/>
    </xf>
    <xf numFmtId="165" fontId="6" fillId="3" borderId="7" applyAlignment="1" pivotButton="0" quotePrefix="0" xfId="0">
      <alignment horizontal="center" vertical="center"/>
    </xf>
    <xf numFmtId="165" fontId="6" fillId="3" borderId="0" applyAlignment="1" pivotButton="0" quotePrefix="0" xfId="0">
      <alignment horizontal="center" vertical="center"/>
    </xf>
    <xf numFmtId="165" fontId="6" fillId="5" borderId="11" applyAlignment="1" pivotButton="0" quotePrefix="0" xfId="0">
      <alignment horizontal="center" vertical="center"/>
    </xf>
    <xf numFmtId="10" fontId="6" fillId="5" borderId="10" applyAlignment="1" pivotButton="0" quotePrefix="0" xfId="0">
      <alignment horizontal="center" vertical="center"/>
    </xf>
    <xf numFmtId="10" fontId="6" fillId="5" borderId="11" applyAlignment="1" pivotButton="0" quotePrefix="0" xfId="0">
      <alignment horizontal="center" vertical="center"/>
    </xf>
    <xf numFmtId="0" fontId="4" fillId="5" borderId="11" applyAlignment="1" pivotButton="0" quotePrefix="0" xfId="0">
      <alignment vertical="center"/>
    </xf>
    <xf numFmtId="0" fontId="4" fillId="5" borderId="10" applyAlignment="1" pivotButton="0" quotePrefix="0" xfId="0">
      <alignment vertical="center"/>
    </xf>
    <xf numFmtId="0" fontId="4" fillId="5" borderId="12" applyAlignment="1" pivotButton="0" quotePrefix="0" xfId="0">
      <alignment vertical="center"/>
    </xf>
    <xf numFmtId="0" fontId="4" fillId="5" borderId="13" applyAlignment="1" pivotButton="0" quotePrefix="0" xfId="0">
      <alignment vertical="center"/>
    </xf>
    <xf numFmtId="0" fontId="4" fillId="5" borderId="14" applyAlignment="1" pivotButton="0" quotePrefix="0" xfId="0">
      <alignment vertical="center"/>
    </xf>
    <xf numFmtId="0" fontId="23" fillId="3" borderId="17" pivotButton="0" quotePrefix="0" xfId="0"/>
    <xf numFmtId="0" fontId="23" fillId="2" borderId="17" pivotButton="0" quotePrefix="0" xfId="0"/>
    <xf numFmtId="0" fontId="23" fillId="5" borderId="17" pivotButton="0" quotePrefix="0" xfId="0"/>
    <xf numFmtId="0" fontId="0" fillId="3" borderId="0" pivotButton="0" quotePrefix="1" xfId="0"/>
    <xf numFmtId="0" fontId="2" fillId="3" borderId="0" pivotButton="0" quotePrefix="1" xfId="0"/>
    <xf numFmtId="2" fontId="4" fillId="5" borderId="1" applyAlignment="1" pivotButton="0" quotePrefix="0" xfId="0">
      <alignment horizontal="center" vertical="center"/>
    </xf>
    <xf numFmtId="168" fontId="4" fillId="5" borderId="1" applyAlignment="1" pivotButton="0" quotePrefix="0" xfId="0">
      <alignment horizontal="center" vertical="center"/>
    </xf>
    <xf numFmtId="2" fontId="4" fillId="5" borderId="0" applyAlignment="1" pivotButton="0" quotePrefix="0" xfId="0">
      <alignment horizontal="center" vertical="center"/>
    </xf>
    <xf numFmtId="168" fontId="4" fillId="5" borderId="0" applyAlignment="1" pivotButton="0" quotePrefix="0" xfId="0">
      <alignment horizontal="center" vertical="center"/>
    </xf>
    <xf numFmtId="1" fontId="4" fillId="5" borderId="10" applyAlignment="1" pivotButton="0" quotePrefix="0" xfId="0">
      <alignment horizontal="center" vertical="center"/>
    </xf>
    <xf numFmtId="2" fontId="4" fillId="5" borderId="13" applyAlignment="1" pivotButton="0" quotePrefix="0" xfId="0">
      <alignment horizontal="center" vertical="center"/>
    </xf>
    <xf numFmtId="168" fontId="4" fillId="5" borderId="13" applyAlignment="1" pivotButton="0" quotePrefix="0" xfId="0">
      <alignment horizontal="center" vertical="center"/>
    </xf>
    <xf numFmtId="1" fontId="4" fillId="5" borderId="14" applyAlignment="1" pivotButton="0" quotePrefix="0" xfId="0">
      <alignment horizontal="center" vertical="center"/>
    </xf>
    <xf numFmtId="2" fontId="4" fillId="2" borderId="1" applyAlignment="1" pivotButton="0" quotePrefix="0" xfId="0">
      <alignment horizontal="center" vertical="center"/>
    </xf>
    <xf numFmtId="2" fontId="4" fillId="2" borderId="0" applyAlignment="1" pivotButton="0" quotePrefix="0" xfId="0">
      <alignment horizontal="center" vertical="center"/>
    </xf>
    <xf numFmtId="165" fontId="18" fillId="0" borderId="0" applyAlignment="1" pivotButton="0" quotePrefix="0" xfId="0">
      <alignment vertical="center"/>
    </xf>
    <xf numFmtId="2" fontId="18" fillId="0" borderId="0" pivotButton="0" quotePrefix="0" xfId="0"/>
    <xf numFmtId="165" fontId="18" fillId="0" borderId="0" applyAlignment="1" pivotButton="0" quotePrefix="0" xfId="0">
      <alignment horizontal="center" vertical="center"/>
    </xf>
    <xf numFmtId="2" fontId="21" fillId="0" borderId="0" applyAlignment="1" pivotButton="0" quotePrefix="0" xfId="0">
      <alignment vertical="center"/>
    </xf>
    <xf numFmtId="2" fontId="21" fillId="0" borderId="0" pivotButton="0" quotePrefix="0" xfId="0"/>
    <xf numFmtId="0" fontId="12" fillId="0" borderId="0" pivotButton="0" quotePrefix="0" xfId="0"/>
    <xf numFmtId="0" fontId="15" fillId="0" borderId="10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166" fontId="0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166" fontId="0" fillId="0" borderId="14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7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8" fillId="0" borderId="10" applyAlignment="1" pivotButton="0" quotePrefix="0" xfId="0">
      <alignment horizontal="center"/>
    </xf>
    <xf numFmtId="2" fontId="18" fillId="0" borderId="14" applyAlignment="1" pivotButton="0" quotePrefix="0" xfId="0">
      <alignment horizontal="center"/>
    </xf>
    <xf numFmtId="2" fontId="21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8" fillId="0" borderId="2" applyAlignment="1" pivotButton="0" quotePrefix="0" xfId="0">
      <alignment horizontal="center"/>
    </xf>
    <xf numFmtId="2" fontId="21" fillId="0" borderId="6" applyAlignment="1" pivotButton="0" quotePrefix="0" xfId="0">
      <alignment horizontal="center" vertical="center"/>
    </xf>
    <xf numFmtId="2" fontId="21" fillId="0" borderId="12" applyAlignment="1" pivotButton="0" quotePrefix="0" xfId="0">
      <alignment horizontal="center"/>
    </xf>
    <xf numFmtId="2" fontId="21" fillId="0" borderId="13" applyAlignment="1" pivotButton="0" quotePrefix="0" xfId="0">
      <alignment horizontal="center"/>
    </xf>
    <xf numFmtId="2" fontId="2" fillId="2" borderId="0" applyAlignment="1" pivotButton="0" quotePrefix="0" xfId="0">
      <alignment horizontal="center"/>
    </xf>
    <xf numFmtId="0" fontId="10" fillId="3" borderId="0" applyAlignment="1" pivotButton="0" quotePrefix="0" xfId="0">
      <alignment vertical="center"/>
    </xf>
    <xf numFmtId="2" fontId="6" fillId="3" borderId="11" applyAlignment="1" pivotButton="0" quotePrefix="0" xfId="0">
      <alignment horizontal="center" vertical="center"/>
    </xf>
    <xf numFmtId="2" fontId="6" fillId="3" borderId="10" applyAlignment="1" pivotButton="0" quotePrefix="0" xfId="0">
      <alignment horizontal="center" vertical="center"/>
    </xf>
    <xf numFmtId="0" fontId="15" fillId="0" borderId="7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horizontal="center"/>
    </xf>
    <xf numFmtId="0" fontId="12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2" fillId="0" borderId="5" applyAlignment="1" pivotButton="0" quotePrefix="0" xfId="0">
      <alignment horizontal="center"/>
    </xf>
    <xf numFmtId="0" fontId="4" fillId="3" borderId="0" applyAlignment="1" pivotButton="0" quotePrefix="0" xfId="0">
      <alignment horizontal="center" vertical="center"/>
    </xf>
    <xf numFmtId="167" fontId="4" fillId="3" borderId="0" applyAlignment="1" pivotButton="0" quotePrefix="0" xfId="0">
      <alignment horizontal="center" vertical="center"/>
    </xf>
    <xf numFmtId="2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" fontId="4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4" fillId="3" borderId="0" applyAlignment="1" pivotButton="0" quotePrefix="0" xfId="0">
      <alignment vertical="center"/>
    </xf>
    <xf numFmtId="2" fontId="6" fillId="3" borderId="1" applyAlignment="1" pivotButton="0" quotePrefix="0" xfId="0">
      <alignment horizontal="center" vertical="center"/>
    </xf>
    <xf numFmtId="2" fontId="4" fillId="3" borderId="2" applyAlignment="1" pivotButton="0" quotePrefix="0" xfId="0">
      <alignment horizontal="center" vertical="center"/>
    </xf>
    <xf numFmtId="2" fontId="4" fillId="3" borderId="7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/>
    </xf>
    <xf numFmtId="2" fontId="4" fillId="3" borderId="1" pivotButton="0" quotePrefix="0" xfId="0"/>
    <xf numFmtId="168" fontId="4" fillId="3" borderId="1" pivotButton="0" quotePrefix="0" xfId="0"/>
    <xf numFmtId="1" fontId="4" fillId="3" borderId="2" pivotButton="0" quotePrefix="0" xfId="0"/>
    <xf numFmtId="0" fontId="25" fillId="3" borderId="0" applyAlignment="1" pivotButton="0" quotePrefix="0" xfId="0">
      <alignment horizontal="center" vertical="center"/>
    </xf>
    <xf numFmtId="169" fontId="24" fillId="5" borderId="13" applyAlignment="1" pivotButton="0" quotePrefix="0" xfId="0">
      <alignment horizontal="center" vertical="center"/>
    </xf>
    <xf numFmtId="170" fontId="4" fillId="3" borderId="13" applyAlignment="1" pivotButton="0" quotePrefix="0" xfId="0">
      <alignment horizontal="center" vertical="center"/>
    </xf>
    <xf numFmtId="170" fontId="4" fillId="3" borderId="1" applyAlignment="1" pivotButton="0" quotePrefix="0" xfId="0">
      <alignment horizontal="center" vertical="center"/>
    </xf>
    <xf numFmtId="2" fontId="6" fillId="3" borderId="7" applyAlignment="1" pivotButton="0" quotePrefix="0" xfId="0">
      <alignment horizontal="center" vertical="center"/>
    </xf>
    <xf numFmtId="2" fontId="6" fillId="3" borderId="2" applyAlignment="1" pivotButton="0" quotePrefix="0" xfId="0">
      <alignment horizontal="center" vertical="center"/>
    </xf>
    <xf numFmtId="2" fontId="6" fillId="3" borderId="0" applyAlignment="1" pivotButton="0" quotePrefix="0" xfId="0">
      <alignment horizontal="center" vertical="center"/>
    </xf>
    <xf numFmtId="2" fontId="6" fillId="3" borderId="12" applyAlignment="1" pivotButton="0" quotePrefix="0" xfId="0">
      <alignment horizontal="center" vertical="center"/>
    </xf>
    <xf numFmtId="2" fontId="6" fillId="3" borderId="13" applyAlignment="1" pivotButton="0" quotePrefix="0" xfId="0">
      <alignment horizontal="center" vertical="center"/>
    </xf>
    <xf numFmtId="2" fontId="6" fillId="3" borderId="14" applyAlignment="1" pivotButton="0" quotePrefix="0" xfId="0">
      <alignment horizontal="center" vertical="center"/>
    </xf>
    <xf numFmtId="3" fontId="4" fillId="3" borderId="1" applyAlignment="1" pivotButton="0" quotePrefix="0" xfId="0">
      <alignment horizontal="right" vertical="center" wrapText="1"/>
    </xf>
    <xf numFmtId="3" fontId="4" fillId="3" borderId="0" applyAlignment="1" pivotButton="0" quotePrefix="0" xfId="0">
      <alignment horizontal="right" vertical="center"/>
    </xf>
    <xf numFmtId="3" fontId="4" fillId="2" borderId="1" applyAlignment="1" pivotButton="0" quotePrefix="0" xfId="5">
      <alignment horizontal="right" vertical="center"/>
    </xf>
    <xf numFmtId="3" fontId="4" fillId="3" borderId="0" applyAlignment="1" pivotButton="0" quotePrefix="0" xfId="0">
      <alignment horizontal="center" vertical="center"/>
    </xf>
    <xf numFmtId="3" fontId="4" fillId="2" borderId="10" applyAlignment="1" pivotButton="0" quotePrefix="0" xfId="0">
      <alignment horizontal="center" vertical="center"/>
    </xf>
    <xf numFmtId="3" fontId="4" fillId="3" borderId="10" applyAlignment="1" pivotButton="0" quotePrefix="0" xfId="0">
      <alignment horizontal="center" vertical="center"/>
    </xf>
    <xf numFmtId="2" fontId="4" fillId="3" borderId="1" applyAlignment="1" pivotButton="0" quotePrefix="0" xfId="0">
      <alignment horizontal="center"/>
    </xf>
    <xf numFmtId="0" fontId="4" fillId="5" borderId="8" applyAlignment="1" pivotButton="0" quotePrefix="0" xfId="0">
      <alignment horizontal="center" vertical="center"/>
    </xf>
    <xf numFmtId="167" fontId="4" fillId="5" borderId="8" applyAlignment="1" pivotButton="0" quotePrefix="0" xfId="0">
      <alignment horizontal="center" vertical="center"/>
    </xf>
    <xf numFmtId="2" fontId="4" fillId="5" borderId="8" applyAlignment="1" pivotButton="0" quotePrefix="0" xfId="0">
      <alignment horizontal="center" vertical="center"/>
    </xf>
    <xf numFmtId="1" fontId="4" fillId="5" borderId="8" applyAlignment="1" pivotButton="0" quotePrefix="0" xfId="0">
      <alignment horizontal="center" vertical="center"/>
    </xf>
    <xf numFmtId="168" fontId="4" fillId="5" borderId="8" applyAlignment="1" pivotButton="0" quotePrefix="0" xfId="0">
      <alignment horizontal="center" vertical="center"/>
    </xf>
    <xf numFmtId="0" fontId="4" fillId="3" borderId="7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8" fillId="4" borderId="7" applyAlignment="1" pivotButton="0" quotePrefix="0" xfId="0">
      <alignment vertical="center"/>
    </xf>
    <xf numFmtId="2" fontId="4" fillId="5" borderId="2" applyAlignment="1" pivotButton="0" quotePrefix="0" xfId="0">
      <alignment horizontal="center" vertical="center"/>
    </xf>
    <xf numFmtId="3" fontId="4" fillId="2" borderId="0" applyAlignment="1" pivotButton="0" quotePrefix="0" xfId="5">
      <alignment horizontal="right" vertical="center"/>
    </xf>
    <xf numFmtId="2" fontId="4" fillId="5" borderId="10" applyAlignment="1" pivotButton="0" quotePrefix="0" xfId="0">
      <alignment horizontal="center" vertical="center"/>
    </xf>
    <xf numFmtId="2" fontId="4" fillId="5" borderId="14" applyAlignment="1" pivotButton="0" quotePrefix="0" xfId="0">
      <alignment horizontal="center" vertical="center"/>
    </xf>
    <xf numFmtId="0" fontId="5" fillId="3" borderId="12" applyAlignment="1" pivotButton="0" quotePrefix="0" xfId="0">
      <alignment horizontal="center" vertical="center"/>
    </xf>
    <xf numFmtId="0" fontId="24" fillId="3" borderId="4" applyAlignment="1" pivotButton="0" quotePrefix="0" xfId="0">
      <alignment horizontal="center" vertical="center"/>
    </xf>
    <xf numFmtId="0" fontId="4" fillId="5" borderId="0" applyAlignment="1" pivotButton="0" quotePrefix="0" xfId="0">
      <alignment vertical="center"/>
    </xf>
    <xf numFmtId="3" fontId="4" fillId="3" borderId="1" applyAlignment="1" pivotButton="0" quotePrefix="0" xfId="0">
      <alignment horizontal="center" vertical="center"/>
    </xf>
    <xf numFmtId="0" fontId="9" fillId="3" borderId="2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0" fontId="4" fillId="3" borderId="7" pivotButton="0" quotePrefix="0" xfId="0"/>
    <xf numFmtId="3" fontId="4" fillId="3" borderId="0" applyAlignment="1" pivotButton="0" quotePrefix="0" xfId="0">
      <alignment horizontal="right" vertical="center" wrapText="1"/>
    </xf>
    <xf numFmtId="2" fontId="4" fillId="3" borderId="0" applyAlignment="1" pivotButton="0" quotePrefix="0" xfId="5">
      <alignment horizontal="center" vertical="center"/>
    </xf>
    <xf numFmtId="0" fontId="4" fillId="3" borderId="11" applyAlignment="1" pivotButton="0" quotePrefix="0" xfId="0">
      <alignment vertical="center"/>
    </xf>
    <xf numFmtId="165" fontId="6" fillId="5" borderId="0" applyAlignment="1" pivotButton="0" quotePrefix="0" xfId="0">
      <alignment horizontal="center" vertical="center"/>
    </xf>
    <xf numFmtId="10" fontId="6" fillId="5" borderId="0" applyAlignment="1" pivotButton="0" quotePrefix="0" xfId="0">
      <alignment horizontal="center" vertical="center"/>
    </xf>
    <xf numFmtId="0" fontId="4" fillId="3" borderId="12" applyAlignment="1" pivotButton="0" quotePrefix="0" xfId="0">
      <alignment vertical="center"/>
    </xf>
    <xf numFmtId="0" fontId="8" fillId="4" borderId="4" applyAlignment="1" pivotButton="0" quotePrefix="0" xfId="0">
      <alignment vertical="center"/>
    </xf>
    <xf numFmtId="0" fontId="4" fillId="3" borderId="1" pivotButton="0" quotePrefix="0" xfId="0"/>
    <xf numFmtId="0" fontId="4" fillId="3" borderId="2" pivotButton="0" quotePrefix="0" xfId="0"/>
    <xf numFmtId="2" fontId="4" fillId="3" borderId="1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3" fontId="4" fillId="2" borderId="1" applyAlignment="1" pivotButton="0" quotePrefix="0" xfId="0">
      <alignment horizontal="right" vertical="center"/>
    </xf>
    <xf numFmtId="3" fontId="4" fillId="2" borderId="0" applyAlignment="1" pivotButton="0" quotePrefix="0" xfId="0">
      <alignment horizontal="right" vertical="center"/>
    </xf>
    <xf numFmtId="3" fontId="4" fillId="5" borderId="0" applyAlignment="1" pivotButton="0" quotePrefix="0" xfId="0">
      <alignment horizontal="center" vertical="center"/>
    </xf>
    <xf numFmtId="3" fontId="4" fillId="5" borderId="13" applyAlignment="1" pivotButton="0" quotePrefix="0" xfId="0">
      <alignment horizontal="center" vertical="center"/>
    </xf>
    <xf numFmtId="167" fontId="4" fillId="3" borderId="1" applyAlignment="1" pivotButton="0" quotePrefix="0" xfId="0">
      <alignment horizontal="center"/>
    </xf>
    <xf numFmtId="0" fontId="2" fillId="3" borderId="0" pivotButton="0" quotePrefix="0" xfId="0"/>
    <xf numFmtId="0" fontId="2" fillId="0" borderId="0" pivotButton="0" quotePrefix="1" xfId="0"/>
    <xf numFmtId="0" fontId="2" fillId="0" borderId="0" applyAlignment="1" pivotButton="0" quotePrefix="1" xfId="0">
      <alignment horizontal="center"/>
    </xf>
    <xf numFmtId="0" fontId="2" fillId="0" borderId="11" applyAlignment="1" pivotButton="0" quotePrefix="0" xfId="0">
      <alignment horizontal="center" vertical="center"/>
    </xf>
    <xf numFmtId="0" fontId="2" fillId="0" borderId="11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10" applyAlignment="1" pivotButton="0" quotePrefix="0" xfId="0">
      <alignment horizontal="center"/>
    </xf>
    <xf numFmtId="0" fontId="2" fillId="0" borderId="0" pivotButton="0" quotePrefix="0" xfId="0"/>
    <xf numFmtId="0" fontId="4" fillId="5" borderId="0" applyAlignment="1" pivotButton="0" quotePrefix="0" xfId="0">
      <alignment horizontal="center" vertical="center"/>
    </xf>
    <xf numFmtId="2" fontId="4" fillId="2" borderId="0" applyAlignment="1" pivotButton="0" quotePrefix="0" xfId="5">
      <alignment horizontal="center" vertical="center"/>
    </xf>
    <xf numFmtId="169" fontId="24" fillId="5" borderId="0" applyAlignment="1" pivotButton="0" quotePrefix="0" xfId="0">
      <alignment horizontal="center" vertical="center"/>
    </xf>
    <xf numFmtId="0" fontId="4" fillId="2" borderId="1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9" fontId="20" fillId="3" borderId="18" applyAlignment="1" pivotButton="0" quotePrefix="0" xfId="8">
      <alignment horizontal="center"/>
    </xf>
    <xf numFmtId="9" fontId="20" fillId="3" borderId="19" applyAlignment="1" pivotButton="0" quotePrefix="0" xfId="8">
      <alignment horizontal="center"/>
    </xf>
    <xf numFmtId="9" fontId="20" fillId="3" borderId="20" applyAlignment="1" pivotButton="0" quotePrefix="0" xfId="8">
      <alignment horizontal="center"/>
    </xf>
    <xf numFmtId="9" fontId="20" fillId="3" borderId="21" applyAlignment="1" pivotButton="0" quotePrefix="0" xfId="8">
      <alignment horizontal="center"/>
    </xf>
    <xf numFmtId="9" fontId="20" fillId="3" borderId="22" applyAlignment="1" pivotButton="0" quotePrefix="0" xfId="8">
      <alignment horizontal="center"/>
    </xf>
    <xf numFmtId="9" fontId="12" fillId="3" borderId="23" applyAlignment="1" pivotButton="0" quotePrefix="0" xfId="8">
      <alignment horizontal="center"/>
    </xf>
    <xf numFmtId="9" fontId="12" fillId="3" borderId="24" applyAlignment="1" pivotButton="0" quotePrefix="0" xfId="8">
      <alignment horizontal="center"/>
    </xf>
    <xf numFmtId="0" fontId="16" fillId="3" borderId="25" applyAlignment="1" pivotButton="0" quotePrefix="0" xfId="0">
      <alignment horizontal="center" vertical="center" wrapText="1"/>
    </xf>
    <xf numFmtId="164" fontId="19" fillId="3" borderId="25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2" fontId="21" fillId="0" borderId="0" applyAlignment="1" pivotButton="0" quotePrefix="0" xfId="0">
      <alignment horizontal="center" vertical="center"/>
    </xf>
    <xf numFmtId="2" fontId="21" fillId="0" borderId="0" applyAlignment="1" pivotButton="0" quotePrefix="0" xfId="0">
      <alignment horizontal="center"/>
    </xf>
    <xf numFmtId="2" fontId="18" fillId="0" borderId="0" applyAlignment="1" pivotButton="0" quotePrefix="0" xfId="0">
      <alignment horizontal="center"/>
    </xf>
    <xf numFmtId="0" fontId="26" fillId="3" borderId="0" applyAlignment="1" pivotButton="0" quotePrefix="0" xfId="0">
      <alignment horizontal="center" vertical="center"/>
    </xf>
    <xf numFmtId="1" fontId="4" fillId="3" borderId="1" applyAlignment="1" pivotButton="0" quotePrefix="0" xfId="0">
      <alignment horizontal="center"/>
    </xf>
    <xf numFmtId="0" fontId="15" fillId="0" borderId="5" applyAlignment="1" pivotButton="0" quotePrefix="0" xfId="0">
      <alignment horizontal="center"/>
    </xf>
    <xf numFmtId="0" fontId="1" fillId="3" borderId="0" pivotButton="0" quotePrefix="1" xfId="0"/>
    <xf numFmtId="2" fontId="4" fillId="2" borderId="13" applyAlignment="1" pivotButton="0" quotePrefix="0" xfId="0">
      <alignment horizontal="center" vertical="center"/>
    </xf>
    <xf numFmtId="3" fontId="4" fillId="2" borderId="13" applyAlignment="1" pivotButton="0" quotePrefix="0" xfId="5">
      <alignment horizontal="right" vertical="center"/>
    </xf>
    <xf numFmtId="3" fontId="4" fillId="3" borderId="13" applyAlignment="1" pivotButton="0" quotePrefix="0" xfId="0">
      <alignment horizontal="right" vertical="center"/>
    </xf>
    <xf numFmtId="0" fontId="16" fillId="3" borderId="19" applyAlignment="1" pivotButton="0" quotePrefix="0" xfId="0">
      <alignment horizontal="center" vertical="center" wrapText="1"/>
    </xf>
    <xf numFmtId="0" fontId="2" fillId="2" borderId="7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2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12" fillId="0" borderId="11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/>
    </xf>
    <xf numFmtId="0" fontId="1" fillId="6" borderId="16" applyAlignment="1" pivotButton="0" quotePrefix="0" xfId="0">
      <alignment horizontal="left" vertical="center"/>
    </xf>
    <xf numFmtId="0" fontId="1" fillId="7" borderId="16" applyAlignment="1" pivotButton="0" quotePrefix="0" xfId="0">
      <alignment horizontal="left" vertical="center"/>
    </xf>
    <xf numFmtId="0" fontId="10" fillId="6" borderId="0" pivotButton="0" quotePrefix="0" xfId="0"/>
    <xf numFmtId="0" fontId="10" fillId="7" borderId="0" pivotButton="0" quotePrefix="0" xfId="0"/>
    <xf numFmtId="0" fontId="10" fillId="0" borderId="0" pivotButton="0" quotePrefix="0" xfId="0"/>
    <xf numFmtId="0" fontId="5" fillId="3" borderId="7" applyAlignment="1" pivotButton="0" quotePrefix="0" xfId="0">
      <alignment horizontal="center" vertical="center"/>
    </xf>
    <xf numFmtId="0" fontId="4" fillId="5" borderId="16" applyAlignment="1" pivotButton="0" quotePrefix="0" xfId="0">
      <alignment horizontal="center" vertical="center"/>
    </xf>
    <xf numFmtId="0" fontId="4" fillId="5" borderId="15" applyAlignment="1" pivotButton="0" quotePrefix="0" xfId="0">
      <alignment horizontal="center" vertical="center"/>
    </xf>
    <xf numFmtId="2" fontId="4" fillId="5" borderId="15" applyAlignment="1" pivotButton="0" quotePrefix="0" xfId="0">
      <alignment horizontal="center" vertical="center"/>
    </xf>
    <xf numFmtId="2" fontId="4" fillId="2" borderId="15" applyAlignment="1" pivotButton="0" quotePrefix="0" xfId="5">
      <alignment horizontal="center" vertical="center"/>
    </xf>
    <xf numFmtId="2" fontId="4" fillId="2" borderId="15" applyAlignment="1" pivotButton="0" quotePrefix="0" xfId="0">
      <alignment horizontal="center" vertical="center"/>
    </xf>
    <xf numFmtId="169" fontId="24" fillId="5" borderId="15" applyAlignment="1" pivotButton="0" quotePrefix="0" xfId="0">
      <alignment horizontal="center" vertical="center"/>
    </xf>
    <xf numFmtId="1" fontId="4" fillId="5" borderId="15" applyAlignment="1" pivotButton="0" quotePrefix="0" xfId="0">
      <alignment horizontal="center" vertical="center"/>
    </xf>
    <xf numFmtId="3" fontId="4" fillId="2" borderId="26" applyAlignment="1" pivotButton="0" quotePrefix="0" xfId="0">
      <alignment horizontal="center" vertical="center"/>
    </xf>
    <xf numFmtId="2" fontId="4" fillId="2" borderId="13" applyAlignment="1" pivotButton="0" quotePrefix="0" xfId="5">
      <alignment horizontal="center" vertical="center"/>
    </xf>
    <xf numFmtId="9" fontId="20" fillId="3" borderId="27" applyAlignment="1" pivotButton="0" quotePrefix="0" xfId="8">
      <alignment horizontal="center"/>
    </xf>
    <xf numFmtId="3" fontId="4" fillId="2" borderId="14" applyAlignment="1" pivotButton="0" quotePrefix="0" xfId="0">
      <alignment horizontal="center" vertical="center"/>
    </xf>
    <xf numFmtId="0" fontId="1" fillId="3" borderId="0" pivotButton="0" quotePrefix="0" xfId="0"/>
    <xf numFmtId="14" fontId="1" fillId="3" borderId="0" applyAlignment="1" pivotButton="0" quotePrefix="1" xfId="0">
      <alignment horizontal="left"/>
    </xf>
    <xf numFmtId="0" fontId="1" fillId="3" borderId="0" applyAlignment="1" pivotButton="0" quotePrefix="0" xfId="0">
      <alignment horizontal="left" vertical="center"/>
    </xf>
    <xf numFmtId="0" fontId="1" fillId="3" borderId="0" applyAlignment="1" pivotButton="0" quotePrefix="0" xfId="0">
      <alignment horizontal="center" vertical="center"/>
    </xf>
    <xf numFmtId="0" fontId="12" fillId="3" borderId="13" applyAlignment="1" pivotButton="0" quotePrefix="0" xfId="0">
      <alignment horizontal="center"/>
    </xf>
    <xf numFmtId="0" fontId="0" fillId="0" borderId="13" pivotButton="0" quotePrefix="0" xfId="0"/>
    <xf numFmtId="14" fontId="10" fillId="2" borderId="0" applyAlignment="1" pivotButton="0" quotePrefix="1" xfId="0">
      <alignment horizontal="left"/>
    </xf>
    <xf numFmtId="0" fontId="3" fillId="3" borderId="0" pivotButton="0" quotePrefix="0" xfId="0"/>
    <xf numFmtId="0" fontId="12" fillId="0" borderId="0" applyAlignment="1" pivotButton="0" quotePrefix="0" xfId="0">
      <alignment horizontal="center"/>
    </xf>
    <xf numFmtId="0" fontId="0" fillId="0" borderId="0" pivotButton="0" quotePrefix="0" xfId="0"/>
    <xf numFmtId="0" fontId="12" fillId="0" borderId="5" applyAlignment="1" pivotButton="0" quotePrefix="0" xfId="0">
      <alignment horizontal="center"/>
    </xf>
    <xf numFmtId="0" fontId="0" fillId="0" borderId="10" pivotButton="0" quotePrefix="0" xfId="0"/>
    <xf numFmtId="0" fontId="12" fillId="0" borderId="11" applyAlignment="1" pivotButton="0" quotePrefix="0" xfId="0">
      <alignment horizontal="center" vertical="center"/>
    </xf>
    <xf numFmtId="14" fontId="12" fillId="2" borderId="0" applyAlignment="1" pivotButton="0" quotePrefix="0" xfId="0">
      <alignment horizontal="center" vertical="center"/>
    </xf>
    <xf numFmtId="0" fontId="2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0" fillId="0" borderId="3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7" fillId="3" borderId="0" applyAlignment="1" pivotButton="0" quotePrefix="0" xfId="0">
      <alignment horizontal="center"/>
    </xf>
    <xf numFmtId="0" fontId="4" fillId="3" borderId="0" pivotButton="0" quotePrefix="0" xfId="0"/>
    <xf numFmtId="0" fontId="4" fillId="3" borderId="5" applyAlignment="1" pivotButton="0" quotePrefix="0" xfId="0">
      <alignment horizontal="center" vertical="center"/>
    </xf>
    <xf numFmtId="0" fontId="0" fillId="0" borderId="5" pivotButton="0" quotePrefix="0" xfId="0"/>
    <xf numFmtId="0" fontId="7" fillId="3" borderId="9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0" fontId="9" fillId="3" borderId="28" applyAlignment="1" pivotButton="0" quotePrefix="0" xfId="0">
      <alignment horizontal="center" vertical="center"/>
    </xf>
    <xf numFmtId="0" fontId="4" fillId="3" borderId="29" applyAlignment="1" pivotButton="0" quotePrefix="0" xfId="0">
      <alignment horizontal="center" vertical="center" wrapText="1"/>
    </xf>
    <xf numFmtId="0" fontId="0" fillId="0" borderId="6" pivotButton="0" quotePrefix="0" xfId="0"/>
    <xf numFmtId="0" fontId="7" fillId="3" borderId="0" applyAlignment="1" pivotButton="0" quotePrefix="0" xfId="0">
      <alignment horizontal="center" vertical="center"/>
    </xf>
    <xf numFmtId="0" fontId="9" fillId="3" borderId="0" applyAlignment="1" pivotButton="0" quotePrefix="0" xfId="0">
      <alignment horizontal="center"/>
    </xf>
    <xf numFmtId="0" fontId="9" fillId="3" borderId="7" applyAlignment="1" pivotButton="0" quotePrefix="0" xfId="0">
      <alignment horizontal="center" vertical="center"/>
    </xf>
    <xf numFmtId="1" fontId="4" fillId="3" borderId="8" applyAlignment="1" pivotButton="0" quotePrefix="0" xfId="0">
      <alignment horizontal="center" vertical="center" wrapText="1"/>
    </xf>
    <xf numFmtId="0" fontId="4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4" fillId="3" borderId="3" applyAlignment="1" pivotButton="0" quotePrefix="1" xfId="0">
      <alignment horizontal="center" vertical="center"/>
    </xf>
    <xf numFmtId="1" fontId="4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0" fontId="7" fillId="3" borderId="2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4" fillId="3" borderId="6" applyAlignment="1" pivotButton="0" quotePrefix="0" xfId="0">
      <alignment horizontal="center" vertical="center"/>
    </xf>
    <xf numFmtId="164" fontId="13" fillId="3" borderId="15" applyAlignment="1" pivotButton="0" quotePrefix="0" xfId="0">
      <alignment horizontal="center" vertical="center"/>
    </xf>
    <xf numFmtId="164" fontId="13" fillId="3" borderId="0" applyAlignment="1" pivotButton="0" quotePrefix="0" xfId="0">
      <alignment horizontal="center" vertical="center"/>
    </xf>
    <xf numFmtId="164" fontId="19" fillId="3" borderId="8" applyAlignment="1" pivotButton="0" quotePrefix="0" xfId="0">
      <alignment horizontal="center" vertical="center"/>
    </xf>
    <xf numFmtId="164" fontId="19" fillId="3" borderId="25" applyAlignment="1" pivotButton="0" quotePrefix="0" xfId="0">
      <alignment horizontal="center" vertical="center"/>
    </xf>
    <xf numFmtId="164" fontId="19" fillId="3" borderId="0" applyAlignment="1" pivotButton="0" quotePrefix="0" xfId="0">
      <alignment horizontal="center" vertical="center"/>
    </xf>
    <xf numFmtId="165" fontId="13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8" fillId="0" borderId="5" applyAlignment="1" pivotButton="0" quotePrefix="0" xfId="0">
      <alignment horizontal="center" vertical="center"/>
    </xf>
    <xf numFmtId="165" fontId="18" fillId="0" borderId="0" applyAlignment="1" pivotButton="0" quotePrefix="0" xfId="0">
      <alignment vertical="center"/>
    </xf>
    <xf numFmtId="165" fontId="18" fillId="0" borderId="0" applyAlignment="1" pivotButton="0" quotePrefix="0" xfId="0">
      <alignment horizontal="center" vertical="center"/>
    </xf>
    <xf numFmtId="165" fontId="18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14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7" fontId="4" fillId="3" borderId="0" pivotButton="0" quotePrefix="0" xfId="0"/>
    <xf numFmtId="168" fontId="4" fillId="3" borderId="0" pivotButton="0" quotePrefix="0" xfId="0"/>
    <xf numFmtId="168" fontId="4" fillId="3" borderId="0" applyAlignment="1" pivotButton="0" quotePrefix="0" xfId="0">
      <alignment vertical="center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7" fontId="4" fillId="3" borderId="13" applyAlignment="1" pivotButton="0" quotePrefix="0" xfId="0">
      <alignment horizontal="center" vertical="center"/>
    </xf>
    <xf numFmtId="168" fontId="4" fillId="3" borderId="13" applyAlignment="1" pivotButton="0" quotePrefix="0" xfId="0">
      <alignment horizontal="center" vertical="center"/>
    </xf>
    <xf numFmtId="168" fontId="4" fillId="5" borderId="0" applyAlignment="1" pivotButton="0" quotePrefix="0" xfId="0">
      <alignment horizontal="center" vertical="center"/>
    </xf>
    <xf numFmtId="165" fontId="6" fillId="3" borderId="7" applyAlignment="1" pivotButton="0" quotePrefix="0" xfId="0">
      <alignment horizontal="center" vertical="center"/>
    </xf>
    <xf numFmtId="165" fontId="6" fillId="3" borderId="0" applyAlignment="1" pivotButton="0" quotePrefix="0" xfId="0">
      <alignment horizontal="center" vertical="center"/>
    </xf>
    <xf numFmtId="165" fontId="6" fillId="3" borderId="0" applyAlignment="1" pivotButton="0" quotePrefix="0" xfId="0">
      <alignment horizontal="center"/>
    </xf>
    <xf numFmtId="165" fontId="6" fillId="5" borderId="11" applyAlignment="1" pivotButton="0" quotePrefix="0" xfId="0">
      <alignment horizontal="center" vertical="center"/>
    </xf>
    <xf numFmtId="165" fontId="6" fillId="5" borderId="0" applyAlignment="1" pivotButton="0" quotePrefix="0" xfId="0">
      <alignment horizontal="center" vertical="center"/>
    </xf>
    <xf numFmtId="167" fontId="4" fillId="5" borderId="8" applyAlignment="1" pivotButton="0" quotePrefix="0" xfId="0">
      <alignment horizontal="center" vertical="center"/>
    </xf>
    <xf numFmtId="168" fontId="4" fillId="5" borderId="8" applyAlignment="1" pivotButton="0" quotePrefix="0" xfId="0">
      <alignment horizontal="center"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67" fontId="4" fillId="3" borderId="1" applyAlignment="1" pivotButton="0" quotePrefix="0" xfId="0">
      <alignment horizontal="center"/>
    </xf>
    <xf numFmtId="168" fontId="4" fillId="3" borderId="1" pivotButton="0" quotePrefix="0" xfId="0"/>
    <xf numFmtId="168" fontId="4" fillId="5" borderId="1" applyAlignment="1" pivotButton="0" quotePrefix="0" xfId="0">
      <alignment horizontal="center" vertical="center"/>
    </xf>
    <xf numFmtId="170" fontId="4" fillId="3" borderId="1" applyAlignment="1" pivotButton="0" quotePrefix="0" xfId="0">
      <alignment horizontal="center" vertical="center"/>
    </xf>
    <xf numFmtId="170" fontId="4" fillId="3" borderId="13" applyAlignment="1" pivotButton="0" quotePrefix="0" xfId="0">
      <alignment horizontal="center" vertical="center"/>
    </xf>
    <xf numFmtId="168" fontId="4" fillId="5" borderId="13" applyAlignment="1" pivotButton="0" quotePrefix="0" xfId="0">
      <alignment horizontal="center" vertical="center"/>
    </xf>
    <xf numFmtId="169" fontId="24" fillId="5" borderId="15" applyAlignment="1" pivotButton="0" quotePrefix="0" xfId="0">
      <alignment horizontal="center" vertical="center"/>
    </xf>
    <xf numFmtId="169" fontId="24" fillId="5" borderId="0" applyAlignment="1" pivotButton="0" quotePrefix="0" xfId="0">
      <alignment horizontal="center" vertical="center"/>
    </xf>
    <xf numFmtId="169" fontId="24" fillId="5" borderId="13" applyAlignment="1" pivotButton="0" quotePrefix="0" xfId="0">
      <alignment horizontal="center" vertical="center"/>
    </xf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78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styles" Target="styles.xml" Id="rId26" /><Relationship Type="http://schemas.openxmlformats.org/officeDocument/2006/relationships/theme" Target="theme/theme1.xml" Id="rId27" /><Relationship Type="http://schemas.microsoft.com/office/2006/relationships/vbaProject" Target="vbaProject.bin" Id="rId28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G-PCC v1 Anchor breakfast_track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4.612147</v>
                </pt>
                <pt idx="1">
                  <v>6.638389</v>
                </pt>
                <pt idx="2">
                  <v>9.57963</v>
                </pt>
                <pt idx="3">
                  <v>13.510924</v>
                </pt>
                <pt idx="4">
                  <v>17.32447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27.19622</v>
                </pt>
                <pt idx="1">
                  <v>30.45301333333334</v>
                </pt>
                <pt idx="2">
                  <v>34.50045333333333</v>
                </pt>
                <pt idx="3">
                  <v>36.63425333333333</v>
                </pt>
                <pt idx="4">
                  <v>37.30777333333333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G-PCC v1 Proposal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G-PCC v1 Anchor ManWithFruit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0.356817</v>
                </pt>
                <pt idx="1">
                  <v>0.450233</v>
                </pt>
                <pt idx="2">
                  <v>0.573882</v>
                </pt>
                <pt idx="3">
                  <v>0.790033</v>
                </pt>
                <pt idx="4">
                  <v>1.063257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41.19690416666666</v>
                </pt>
                <pt idx="1">
                  <v>43.71571666666666</v>
                </pt>
                <pt idx="2">
                  <v>44.55829583333334</v>
                </pt>
                <pt idx="3">
                  <v>45.872975</v>
                </pt>
                <pt idx="4">
                  <v>46.50705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G-PCC v1 Proposal ManWithFruit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G-PCC v1 Anchor LEGO_Ferrari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G-PCC v1 Proposal LEGO_Ferrari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G-PCC v1 Anchor LEGO_Bugatti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G-PCC v1 Proposal LEGO_Bugatti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G-PCC v1 Anchor Plant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G-PCC v1 Proposal Plant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G-PCC v1 Anchor bartender_track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4.727994</v>
                </pt>
                <pt idx="1">
                  <v>6.994606999999999</v>
                </pt>
                <pt idx="2">
                  <v>10.471855</v>
                </pt>
                <pt idx="3">
                  <v>15.070107</v>
                </pt>
                <pt idx="4">
                  <v>19.405922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30.73850000000001</v>
                </pt>
                <pt idx="1">
                  <v>33.32674761904762</v>
                </pt>
                <pt idx="2">
                  <v>35.89164761904762</v>
                </pt>
                <pt idx="3">
                  <v>37.7372380952381</v>
                </pt>
                <pt idx="4">
                  <v>38.75284285714285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G-PCC v1 Proposal bartender_track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'RGB-PSNR'!$L$83</f>
              <strCache>
                <ptCount val="1"/>
                <pt idx="0">
                  <v>G-PCC v1 Anchor Tennis_Player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'RGB-PSNR'!$M$83</f>
              <strCache>
                <ptCount val="1"/>
                <pt idx="0">
                  <v>G-PCC v1 Proposal Tennis_Player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'RGB-PSNR'!$L$94</f>
              <strCache>
                <ptCount val="1"/>
                <pt idx="0">
                  <v>G-PCC v1 Anchor Cricket_Player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'RGB-PSNR'!$M$94</f>
              <strCache>
                <ptCount val="1"/>
                <pt idx="0">
                  <v>G-PCC v1 Proposal Cricket_Player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'RGB-PSNR'!$L$105</f>
              <strCache>
                <ptCount val="1"/>
                <pt idx="0">
                  <v>G-PCC v1 Anchor Tango_Duo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'RGB-PSNR'!$D$106:$D$110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'RGB-PSNR'!$L$106:$L$110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'RGB-PSNR'!$M$105</f>
              <strCache>
                <ptCount val="1"/>
                <pt idx="0">
                  <v>G-PCC v1 Proposal Tango_Duo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'RGB-PSNR'!$L$116</f>
              <strCache>
                <ptCount val="1"/>
                <pt idx="0">
                  <v>G-PCC v1 Anchor Solo_Tango_Female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'RGB-PSNR'!$D$117:$D$121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'RGB-PSNR'!$L$117:$L$121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'RGB-PSNR'!$M$116</f>
              <strCache>
                <ptCount val="1"/>
                <pt idx="0">
                  <v>G-PCC v1 Proposal Solo_Tango_Female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'RGB-PSNR'!$H$117:$H$121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'RGB-PSNR'!$M$117:$M$121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'RGB-PSNR'!$L$127</f>
              <strCache>
                <ptCount val="1"/>
                <pt idx="0">
                  <v>G-PCC v1 Anchor Solo_Tango_Male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'RGB-PSNR'!$D$128:$D$132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'RGB-PSNR'!$L$128:$L$132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'RGB-PSNR'!$M$127</f>
              <strCache>
                <ptCount val="1"/>
                <pt idx="0">
                  <v>G-PCC v1 Proposal Solo_Tango_Male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'RGB-PSNR'!$H$128:$H$132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'RGB-PSNR'!$M$128:$M$132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'RGB-PSNR'!$L$138</f>
              <strCache>
                <ptCount val="1"/>
                <pt idx="0">
                  <v>G-PCC v1 Anchor BlueBackpack_UVGgs_0100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'RGB-PSNR'!$D$139:$D$143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'RGB-PSNR'!$L$139:$L$143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'RGB-PSNR'!$M$138</f>
              <strCache>
                <ptCount val="1"/>
                <pt idx="0">
                  <v>G-PCC v1 Proposal BlueBackpack_UVGgs_0100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'RGB-PSNR'!$H$139:$H$143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'RGB-PSNR'!$M$139:$M$143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'RGB-PSNR'!$L$149</f>
              <strCache>
                <ptCount val="1"/>
                <pt idx="0">
                  <v>G-PCC v1 Anchor BlueBackpack_UVGgs_0200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'RGB-PSNR'!$D$150:$D$154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'RGB-PSNR'!$L$150:$L$154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'RGB-PSNR'!$M$149</f>
              <strCache>
                <ptCount val="1"/>
                <pt idx="0">
                  <v>G-PCC v1 Proposal BlueBackpack_UVGgs_0200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'RGB-PSNR'!$H$150:$H$154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'RGB-PSNR'!$M$150:$M$154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'RGB-PSNR'!$L$160</f>
              <strCache>
                <ptCount val="1"/>
                <pt idx="0">
                  <v>G-PCC v1 Anchor FlowerDance_UVGgs_0000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'RGB-PSNR'!$D$161:$D$165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'RGB-PSNR'!$L$161:$L$165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'RGB-PSNR'!$M$160</f>
              <strCache>
                <ptCount val="1"/>
                <pt idx="0">
                  <v>G-PCC v1 Proposal FlowerDance_UVGgs_0000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'RGB-PSNR'!$H$161:$H$165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'RGB-PSNR'!$M$161:$M$165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'RGB-PSNR'!$L$171</f>
              <strCache>
                <ptCount val="1"/>
                <pt idx="0">
                  <v>G-PCC v1 Anchor FlowerDance_UVGgs_0200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'RGB-PSNR'!$D$172:$D$176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'RGB-PSNR'!$L$172:$L$176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'RGB-PSNR'!$M$171</f>
              <strCache>
                <ptCount val="1"/>
                <pt idx="0">
                  <v>G-PCC v1 Proposal FlowerDance_UVGgs_0200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'RGB-PSNR'!$H$172:$H$176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'RGB-PSNR'!$M$172:$M$176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'RGB-PSNR'!$L$182</f>
              <strCache>
                <ptCount val="1"/>
                <pt idx="0">
                  <v>G-PCC v1 Anchor Gymnast_UVGgs_0100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'RGB-PSNR'!$D$183:$D$187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'RGB-PSNR'!$L$183:$L$187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'RGB-PSNR'!$M$182</f>
              <strCache>
                <ptCount val="1"/>
                <pt idx="0">
                  <v>G-PCC v1 Proposal Gymnast_UVGgs_0100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'RGB-PSNR'!$H$183:$H$187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'RGB-PSNR'!$M$183:$M$187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'RGB-PSNR'!$L$193</f>
              <strCache>
                <ptCount val="1"/>
                <pt idx="0">
                  <v>G-PCC v1 Anchor Gymnast_UVGgs_0200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'RGB-PSNR'!$D$194:$D$198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'RGB-PSNR'!$L$194:$L$198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'RGB-PSNR'!$M$193</f>
              <strCache>
                <ptCount val="1"/>
                <pt idx="0">
                  <v>G-PCC v1 Proposal Gymnast_UVGgs_0200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'RGB-PSNR'!$H$194:$H$198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'RGB-PSNR'!$M$194:$M$198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'RGB-PSNR'!$L$204</f>
              <strCache>
                <ptCount val="1"/>
                <pt idx="0">
                  <v>G-PCC v1 Anchor artwork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'RGB-PSNR'!$D$205:$D$209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'RGB-PSNR'!$L$205:$L$209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'RGB-PSNR'!$M$204</f>
              <strCache>
                <ptCount val="1"/>
                <pt idx="0">
                  <v>G-PCC v1 Proposal artwork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'RGB-PSNR'!$H$205:$H$209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'RGB-PSNR'!$M$205:$M$209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'RGB-PSNR'!$L$215</f>
              <strCache>
                <ptCount val="1"/>
                <pt idx="0">
                  <v>G-PCC v1 Anchor panda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'RGB-PSNR'!$D$216:$D$220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'RGB-PSNR'!$L$216:$L$220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'RGB-PSNR'!$M$215</f>
              <strCache>
                <ptCount val="1"/>
                <pt idx="0">
                  <v>G-PCC v1 Proposal panda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'RGB-PSNR'!$H$216:$H$220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'RGB-PSNR'!$M$216:$M$220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'RGB-PSNR'!$L$226</f>
              <strCache>
                <ptCount val="1"/>
                <pt idx="0">
                  <v>G-PCC v1 Anchor wukong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'RGB-PSNR'!$D$227:$D$231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'RGB-PSNR'!$L$227:$L$231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'RGB-PSNR'!$M$226</f>
              <strCache>
                <ptCount val="1"/>
                <pt idx="0">
                  <v>G-PCC v1 Proposal wukong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'RGB-PSNR'!$H$227:$H$231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'RGB-PSNR'!$M$227:$M$231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G-PCC v1 Anchor cinema_track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3.419358</v>
                </pt>
                <pt idx="1">
                  <v>4.95367</v>
                </pt>
                <pt idx="2">
                  <v>7.431194</v>
                </pt>
                <pt idx="3">
                  <v>10.795602</v>
                </pt>
                <pt idx="4">
                  <v>13.983369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29.84201904761905</v>
                </pt>
                <pt idx="1">
                  <v>32.65920952380952</v>
                </pt>
                <pt idx="2">
                  <v>35.40410000000001</v>
                </pt>
                <pt idx="3">
                  <v>37.6464380952381</v>
                </pt>
                <pt idx="4">
                  <v>38.51990952380953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G-PCC v1 Proposal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G-PCC v1 Anchor breakfast_track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4.612147</v>
                </pt>
                <pt idx="1">
                  <v>6.638389</v>
                </pt>
                <pt idx="2">
                  <v>9.57963</v>
                </pt>
                <pt idx="3">
                  <v>13.510924</v>
                </pt>
                <pt idx="4">
                  <v>17.32447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28.95416666666667</v>
                </pt>
                <pt idx="1">
                  <v>32.82456</v>
                </pt>
                <pt idx="2">
                  <v>38.28221333333333</v>
                </pt>
                <pt idx="3">
                  <v>41.44167333333333</v>
                </pt>
                <pt idx="4">
                  <v>42.22185333333334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G-PCC v1 Proposal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G-PCC v1 Anchor ManWithFruit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0.356817</v>
                </pt>
                <pt idx="1">
                  <v>0.450233</v>
                </pt>
                <pt idx="2">
                  <v>0.573882</v>
                </pt>
                <pt idx="3">
                  <v>0.790033</v>
                </pt>
                <pt idx="4">
                  <v>1.063257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44.74145833333333</v>
                </pt>
                <pt idx="1">
                  <v>47.56031666666667</v>
                </pt>
                <pt idx="2">
                  <v>48.92199583333333</v>
                </pt>
                <pt idx="3">
                  <v>50.60210416666666</v>
                </pt>
                <pt idx="4">
                  <v>51.44496666666669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G-PCC v1 Proposal ManWithFruit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G-PCC v1 Anchor LEGO_Bugatti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G-PCC v1 Proposal LEGO_Bugatti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G-PCC v1 Anchor Cricket_Player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G-PCC v1 Proposal Cricket_Player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G-PCC v1 Anchor bartender_track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4.727994</v>
                </pt>
                <pt idx="1">
                  <v>6.994606999999999</v>
                </pt>
                <pt idx="2">
                  <v>10.471855</v>
                </pt>
                <pt idx="3">
                  <v>15.070107</v>
                </pt>
                <pt idx="4">
                  <v>19.405922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32.44619999999999</v>
                </pt>
                <pt idx="1">
                  <v>36.29313333333334</v>
                </pt>
                <pt idx="2">
                  <v>40.74299523809524</v>
                </pt>
                <pt idx="3">
                  <v>43.84570476190476</v>
                </pt>
                <pt idx="4">
                  <v>45.01597142857143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G-PCC v1 Proposal bartender_track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'YUV-PSNR'!$L$105</f>
              <strCache>
                <ptCount val="1"/>
                <pt idx="0">
                  <v>G-PCC v1 Anchor Tango_Duo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'YUV-PSNR'!$D$106:$D$110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'YUV-PSNR'!$L$106:$L$110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'YUV-PSNR'!$M$105</f>
              <strCache>
                <ptCount val="1"/>
                <pt idx="0">
                  <v>G-PCC v1 Proposal Tango_Duo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'YUV-PSNR'!$L$116</f>
              <strCache>
                <ptCount val="1"/>
                <pt idx="0">
                  <v>G-PCC v1 Anchor Solo_Tango_Female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'YUV-PSNR'!$D$117:$D$121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'YUV-PSNR'!$L$117:$L$121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'YUV-PSNR'!$M$116</f>
              <strCache>
                <ptCount val="1"/>
                <pt idx="0">
                  <v>G-PCC v1 Proposal Solo_Tango_Female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'YUV-PSNR'!$H$117:$H$121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'YUV-PSNR'!$M$117:$M$121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'YUV-PSNR'!$L$127</f>
              <strCache>
                <ptCount val="1"/>
                <pt idx="0">
                  <v>G-PCC v1 Anchor Solo_Tango_Male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'YUV-PSNR'!$D$128:$D$132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'YUV-PSNR'!$L$128:$L$132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'YUV-PSNR'!$M$127</f>
              <strCache>
                <ptCount val="1"/>
                <pt idx="0">
                  <v>G-PCC v1 Proposal Solo_Tango_Male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'YUV-PSNR'!$H$128:$H$132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'YUV-PSNR'!$M$128:$M$132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'YUV-PSNR'!$L$138</f>
              <strCache>
                <ptCount val="1"/>
                <pt idx="0">
                  <v>G-PCC v1 Anchor BlueBackpack_UVGgs_0100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'YUV-PSNR'!$D$139:$D$143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'YUV-PSNR'!$L$139:$L$143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'YUV-PSNR'!$M$138</f>
              <strCache>
                <ptCount val="1"/>
                <pt idx="0">
                  <v>G-PCC v1 Proposal BlueBackpack_UVGgs_0100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'YUV-PSNR'!$H$139:$H$143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'YUV-PSNR'!$M$139:$M$143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'YUV-PSNR'!$L$149</f>
              <strCache>
                <ptCount val="1"/>
                <pt idx="0">
                  <v>G-PCC v1 Anchor BlueBackpack_UVGgs_0200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'YUV-PSNR'!$D$150:$D$154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'YUV-PSNR'!$L$150:$L$154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'YUV-PSNR'!$M$149</f>
              <strCache>
                <ptCount val="1"/>
                <pt idx="0">
                  <v>G-PCC v1 Proposal BlueBackpack_UVGgs_0200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'YUV-PSNR'!$H$150:$H$154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'YUV-PSNR'!$M$150:$M$154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'YUV-PSNR'!$L$160</f>
              <strCache>
                <ptCount val="1"/>
                <pt idx="0">
                  <v>G-PCC v1 Anchor FlowerDance_UVGgs_0000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'YUV-PSNR'!$D$161:$D$165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'YUV-PSNR'!$L$161:$L$165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'YUV-PSNR'!$M$160</f>
              <strCache>
                <ptCount val="1"/>
                <pt idx="0">
                  <v>G-PCC v1 Proposal FlowerDance_UVGgs_0000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'YUV-PSNR'!$H$161:$H$165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'YUV-PSNR'!$M$161:$M$165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'YUV-PSNR'!$L$171</f>
              <strCache>
                <ptCount val="1"/>
                <pt idx="0">
                  <v>G-PCC v1 Anchor FlowerDance_UVGgs_0200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'YUV-PSNR'!$D$172:$D$176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'YUV-PSNR'!$L$172:$L$176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'YUV-PSNR'!$M$171</f>
              <strCache>
                <ptCount val="1"/>
                <pt idx="0">
                  <v>G-PCC v1 Proposal FlowerDance_UVGgs_0200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'YUV-PSNR'!$H$172:$H$176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'YUV-PSNR'!$M$172:$M$176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'YUV-PSNR'!$L$182</f>
              <strCache>
                <ptCount val="1"/>
                <pt idx="0">
                  <v>G-PCC v1 Anchor Gymnast_UVGgs_0100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'YUV-PSNR'!$D$183:$D$187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'YUV-PSNR'!$L$183:$L$187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'YUV-PSNR'!$M$182</f>
              <strCache>
                <ptCount val="1"/>
                <pt idx="0">
                  <v>G-PCC v1 Proposal Gymnast_UVGgs_0100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'YUV-PSNR'!$H$183:$H$187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'YUV-PSNR'!$M$183:$M$187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'YUV-PSNR'!$L$193</f>
              <strCache>
                <ptCount val="1"/>
                <pt idx="0">
                  <v>G-PCC v1 Anchor Gymnast_UVGgs_0200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'YUV-PSNR'!$D$194:$D$198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'YUV-PSNR'!$L$194:$L$198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'YUV-PSNR'!$M$193</f>
              <strCache>
                <ptCount val="1"/>
                <pt idx="0">
                  <v>G-PCC v1 Proposal Gymnast_UVGgs_0200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'YUV-PSNR'!$H$194:$H$198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'YUV-PSNR'!$M$194:$M$198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'YUV-PSNR'!$L$204</f>
              <strCache>
                <ptCount val="1"/>
                <pt idx="0">
                  <v>G-PCC v1 Anchor artwork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'YUV-PSNR'!$D$205:$D$209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'YUV-PSNR'!$L$205:$L$209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'YUV-PSNR'!$M$204</f>
              <strCache>
                <ptCount val="1"/>
                <pt idx="0">
                  <v>G-PCC v1 Proposal artwork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'YUV-PSNR'!$H$205:$H$209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'YUV-PSNR'!$M$205:$M$209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'YUV-PSNR'!$L$215</f>
              <strCache>
                <ptCount val="1"/>
                <pt idx="0">
                  <v>G-PCC v1 Anchor panda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'YUV-PSNR'!$D$216:$D$220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'YUV-PSNR'!$L$216:$L$220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'YUV-PSNR'!$M$215</f>
              <strCache>
                <ptCount val="1"/>
                <pt idx="0">
                  <v>G-PCC v1 Proposal panda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'YUV-PSNR'!$H$216:$H$220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'YUV-PSNR'!$M$216:$M$220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'YUV-PSNR'!$L$226</f>
              <strCache>
                <ptCount val="1"/>
                <pt idx="0">
                  <v>G-PCC v1 Anchor wukong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'YUV-PSNR'!$D$227:$D$231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'YUV-PSNR'!$L$227:$L$231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'YUV-PSNR'!$M$226</f>
              <strCache>
                <ptCount val="1"/>
                <pt idx="0">
                  <v>G-PCC v1 Proposal wukong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'YUV-PSNR'!$H$227:$H$231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'YUV-PSNR'!$M$227:$M$231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G-PCC v1 Anchor cinema_track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3.419358</v>
                </pt>
                <pt idx="1">
                  <v>4.95367</v>
                </pt>
                <pt idx="2">
                  <v>7.431194</v>
                </pt>
                <pt idx="3">
                  <v>10.795602</v>
                </pt>
                <pt idx="4">
                  <v>13.983369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31.65254761904762</v>
                </pt>
                <pt idx="1">
                  <v>35.30590952380952</v>
                </pt>
                <pt idx="2">
                  <v>39.79620476190476</v>
                </pt>
                <pt idx="3">
                  <v>43.26887619047619</v>
                </pt>
                <pt idx="4">
                  <v>44.31092380952381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G-PCC v1 Proposal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G-PCC v1 Anchor LEGO_Ferrari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G-PCC v1 Proposal LEGO_Ferrari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G-PCC v1 Anchor Plant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G-PCC v1 Proposal Plant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G-PCC v1 Anchor Tennis_Player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G-PCC v1 Proposal Tennis_Player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G-PCC v1 Anchor breakfast_track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4.612147</v>
                </pt>
                <pt idx="1">
                  <v>6.638389</v>
                </pt>
                <pt idx="2">
                  <v>9.57963</v>
                </pt>
                <pt idx="3">
                  <v>13.510924</v>
                </pt>
                <pt idx="4">
                  <v>17.32447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0.94578</v>
                </pt>
                <pt idx="1">
                  <v>0.9703266666666667</v>
                </pt>
                <pt idx="2">
                  <v>0.9865933333333334</v>
                </pt>
                <pt idx="3">
                  <v>0.9927333333333334</v>
                </pt>
                <pt idx="4">
                  <v>0.99438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G-PCC v1 Proposal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G-PCC v1 Anchor cinema_track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3.419358</v>
                </pt>
                <pt idx="1">
                  <v>4.95367</v>
                </pt>
                <pt idx="2">
                  <v>7.431194</v>
                </pt>
                <pt idx="3">
                  <v>10.795602</v>
                </pt>
                <pt idx="4">
                  <v>13.983369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0.964790476190476</v>
                </pt>
                <pt idx="1">
                  <v>0.980804761904762</v>
                </pt>
                <pt idx="2">
                  <v>0.990947619047619</v>
                </pt>
                <pt idx="3">
                  <v>0.9953428571428573</v>
                </pt>
                <pt idx="4">
                  <v>0.9963761904761906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G-PCC v1 Proposal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G-PCC v1 Anchor ManWithFruit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0.356817</v>
                </pt>
                <pt idx="1">
                  <v>0.450233</v>
                </pt>
                <pt idx="2">
                  <v>0.573882</v>
                </pt>
                <pt idx="3">
                  <v>0.790033</v>
                </pt>
                <pt idx="4">
                  <v>1.063257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0.9969708333333333</v>
                </pt>
                <pt idx="1">
                  <v>0.9982625000000005</v>
                </pt>
                <pt idx="2">
                  <v>0.9985999999999998</v>
                </pt>
                <pt idx="3">
                  <v>0.9988833333333328</v>
                </pt>
                <pt idx="4">
                  <v>0.9990208333333331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G-PCC v1 Proposal ManWithFruit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G-PCC v1 Anchor LEGO_Ferrari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G-PCC v1 Proposal LEGO_Ferrari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G-PCC v1 Anchor LEGO_Bugatti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G-PCC v1 Proposal LEGO_Bugatti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G-PCC v1 Anchor Plant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G-PCC v1 Proposal Plant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G-PCC v1 Anchor bartender_track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4.727994</v>
                </pt>
                <pt idx="1">
                  <v>6.994606999999999</v>
                </pt>
                <pt idx="2">
                  <v>10.471855</v>
                </pt>
                <pt idx="3">
                  <v>15.070107</v>
                </pt>
                <pt idx="4">
                  <v>19.405922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0.9584476190476193</v>
                </pt>
                <pt idx="1">
                  <v>0.9773666666666665</v>
                </pt>
                <pt idx="2">
                  <v>0.9900190476190476</v>
                </pt>
                <pt idx="3">
                  <v>0.9949000000000002</v>
                </pt>
                <pt idx="4">
                  <v>0.9961190476190476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G-PCC v1 Proposal bartender_track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'YUV-SSIM'!$L$83</f>
              <strCache>
                <ptCount val="1"/>
                <pt idx="0">
                  <v>G-PCC v1 Anchor Tennis_Player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'YUV-SSIM'!$M$83</f>
              <strCache>
                <ptCount val="1"/>
                <pt idx="0">
                  <v>G-PCC v1 Proposal Tennis_Player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'YUV-SSIM'!$L$94</f>
              <strCache>
                <ptCount val="1"/>
                <pt idx="0">
                  <v>G-PCC v1 Anchor Cricket_Player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'YUV-SSIM'!$M$94</f>
              <strCache>
                <ptCount val="1"/>
                <pt idx="0">
                  <v>G-PCC v1 Proposal Cricket_Player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'YUV-SSIM'!$L$105</f>
              <strCache>
                <ptCount val="1"/>
                <pt idx="0">
                  <v>G-PCC v1 Anchor Tango_Duo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'YUV-SSIM'!$D$106:$D$110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'YUV-SSIM'!$L$106:$L$110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'YUV-SSIM'!$M$105</f>
              <strCache>
                <ptCount val="1"/>
                <pt idx="0">
                  <v>G-PCC v1 Proposal Tango_Duo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'YUV-SSIM'!$L$116</f>
              <strCache>
                <ptCount val="1"/>
                <pt idx="0">
                  <v>G-PCC v1 Anchor Solo_Tango_Female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'YUV-SSIM'!$D$117:$D$121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'YUV-SSIM'!$L$117:$L$121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'YUV-SSIM'!$M$116</f>
              <strCache>
                <ptCount val="1"/>
                <pt idx="0">
                  <v>G-PCC v1 Proposal Solo_Tango_Female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'YUV-SSIM'!$H$117:$H$121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'YUV-SSIM'!$M$117:$M$121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'YUV-SSIM'!$L$127</f>
              <strCache>
                <ptCount val="1"/>
                <pt idx="0">
                  <v>G-PCC v1 Anchor Solo_Tango_Male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'YUV-SSIM'!$D$128:$D$132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'YUV-SSIM'!$L$128:$L$132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'YUV-SSIM'!$M$127</f>
              <strCache>
                <ptCount val="1"/>
                <pt idx="0">
                  <v>G-PCC v1 Proposal Solo_Tango_Male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'YUV-SSIM'!$H$128:$H$132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'YUV-SSIM'!$M$128:$M$132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'YUV-SSIM'!$L$138</f>
              <strCache>
                <ptCount val="1"/>
                <pt idx="0">
                  <v>G-PCC v1 Anchor BlueBackpack_UVGgs_0100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'YUV-SSIM'!$D$139:$D$143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'YUV-SSIM'!$L$139:$L$143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'YUV-SSIM'!$M$138</f>
              <strCache>
                <ptCount val="1"/>
                <pt idx="0">
                  <v>G-PCC v1 Proposal BlueBackpack_UVGgs_0100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'YUV-SSIM'!$H$139:$H$143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'YUV-SSIM'!$M$139:$M$143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'YUV-SSIM'!$L$149</f>
              <strCache>
                <ptCount val="1"/>
                <pt idx="0">
                  <v>G-PCC v1 Anchor BlueBackpack_UVGgs_0200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'YUV-SSIM'!$D$150:$D$154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'YUV-SSIM'!$L$150:$L$154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'YUV-SSIM'!$M$149</f>
              <strCache>
                <ptCount val="1"/>
                <pt idx="0">
                  <v>G-PCC v1 Proposal BlueBackpack_UVGgs_0200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'YUV-SSIM'!$H$150:$H$154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'YUV-SSIM'!$M$150:$M$154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'YUV-SSIM'!$L$160</f>
              <strCache>
                <ptCount val="1"/>
                <pt idx="0">
                  <v>G-PCC v1 Anchor FlowerDance_UVGgs_0000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'YUV-SSIM'!$D$161:$D$165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'YUV-SSIM'!$L$161:$L$165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'YUV-SSIM'!$M$160</f>
              <strCache>
                <ptCount val="1"/>
                <pt idx="0">
                  <v>G-PCC v1 Proposal FlowerDance_UVGgs_0000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'YUV-SSIM'!$H$161:$H$165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'YUV-SSIM'!$M$161:$M$165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'YUV-SSIM'!$L$171</f>
              <strCache>
                <ptCount val="1"/>
                <pt idx="0">
                  <v>G-PCC v1 Anchor FlowerDance_UVGgs_0200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'YUV-SSIM'!$D$172:$D$176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'YUV-SSIM'!$L$172:$L$176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'YUV-SSIM'!$M$171</f>
              <strCache>
                <ptCount val="1"/>
                <pt idx="0">
                  <v>G-PCC v1 Proposal FlowerDance_UVGgs_0200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'YUV-SSIM'!$H$172:$H$176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'YUV-SSIM'!$M$172:$M$176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'YUV-SSIM'!$L$182</f>
              <strCache>
                <ptCount val="1"/>
                <pt idx="0">
                  <v>G-PCC v1 Anchor Gymnast_UVGgs_0100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'YUV-SSIM'!$D$183:$D$187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'YUV-SSIM'!$L$183:$L$187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'YUV-SSIM'!$M$182</f>
              <strCache>
                <ptCount val="1"/>
                <pt idx="0">
                  <v>G-PCC v1 Proposal Gymnast_UVGgs_0100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'YUV-SSIM'!$H$183:$H$187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'YUV-SSIM'!$M$183:$M$187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'YUV-SSIM'!$L$193</f>
              <strCache>
                <ptCount val="1"/>
                <pt idx="0">
                  <v>G-PCC v1 Anchor Gymnast_UVGgs_0200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'YUV-SSIM'!$D$194:$D$198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'YUV-SSIM'!$L$194:$L$198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'YUV-SSIM'!$M$193</f>
              <strCache>
                <ptCount val="1"/>
                <pt idx="0">
                  <v>G-PCC v1 Proposal Gymnast_UVGgs_0200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'YUV-SSIM'!$H$194:$H$198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'YUV-SSIM'!$M$194:$M$198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'YUV-SSIM'!$L$204</f>
              <strCache>
                <ptCount val="1"/>
                <pt idx="0">
                  <v>G-PCC v1 Anchor artwork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'YUV-SSIM'!$D$205:$D$209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'YUV-SSIM'!$L$205:$L$209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'YUV-SSIM'!$M$204</f>
              <strCache>
                <ptCount val="1"/>
                <pt idx="0">
                  <v>G-PCC v1 Proposal artwork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'YUV-SSIM'!$H$205:$H$209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'YUV-SSIM'!$M$205:$M$209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'YUV-SSIM'!$L$215</f>
              <strCache>
                <ptCount val="1"/>
                <pt idx="0">
                  <v>G-PCC v1 Anchor panda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'YUV-SSIM'!$D$216:$D$220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'YUV-SSIM'!$L$216:$L$220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'YUV-SSIM'!$M$215</f>
              <strCache>
                <ptCount val="1"/>
                <pt idx="0">
                  <v>G-PCC v1 Proposal panda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'YUV-SSIM'!$H$216:$H$220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'YUV-SSIM'!$M$216:$M$220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'YUV-SSIM'!$L$226</f>
              <strCache>
                <ptCount val="1"/>
                <pt idx="0">
                  <v>G-PCC v1 Anchor wukong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'YUV-SSIM'!$D$227:$D$231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'YUV-SSIM'!$L$227:$L$231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'YUV-SSIM'!$M$226</f>
              <strCache>
                <ptCount val="1"/>
                <pt idx="0">
                  <v>G-PCC v1 Proposal wukong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'YUV-SSIM'!$H$227:$H$231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'YUV-SSIM'!$M$227:$M$231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Relationship Type="http://schemas.openxmlformats.org/officeDocument/2006/relationships/chart" Target="/xl/charts/chart12.xml" Id="rId12" /><Relationship Type="http://schemas.openxmlformats.org/officeDocument/2006/relationships/chart" Target="/xl/charts/chart13.xml" Id="rId13" /><Relationship Type="http://schemas.openxmlformats.org/officeDocument/2006/relationships/chart" Target="/xl/charts/chart14.xml" Id="rId14" /><Relationship Type="http://schemas.openxmlformats.org/officeDocument/2006/relationships/chart" Target="/xl/charts/chart15.xml" Id="rId15" /><Relationship Type="http://schemas.openxmlformats.org/officeDocument/2006/relationships/chart" Target="/xl/charts/chart16.xml" Id="rId16" /><Relationship Type="http://schemas.openxmlformats.org/officeDocument/2006/relationships/chart" Target="/xl/charts/chart17.xml" Id="rId17" /><Relationship Type="http://schemas.openxmlformats.org/officeDocument/2006/relationships/chart" Target="/xl/charts/chart18.xml" Id="rId18" /><Relationship Type="http://schemas.openxmlformats.org/officeDocument/2006/relationships/chart" Target="/xl/charts/chart19.xml" Id="rId19" /><Relationship Type="http://schemas.openxmlformats.org/officeDocument/2006/relationships/chart" Target="/xl/charts/chart20.xml" Id="rId20" /><Relationship Type="http://schemas.openxmlformats.org/officeDocument/2006/relationships/chart" Target="/xl/charts/chart21.xml" Id="rId2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2.xml" Id="rId1" /><Relationship Type="http://schemas.openxmlformats.org/officeDocument/2006/relationships/chart" Target="/xl/charts/chart23.xml" Id="rId2" /><Relationship Type="http://schemas.openxmlformats.org/officeDocument/2006/relationships/chart" Target="/xl/charts/chart24.xml" Id="rId3" /><Relationship Type="http://schemas.openxmlformats.org/officeDocument/2006/relationships/chart" Target="/xl/charts/chart25.xml" Id="rId4" /><Relationship Type="http://schemas.openxmlformats.org/officeDocument/2006/relationships/chart" Target="/xl/charts/chart26.xml" Id="rId5" /><Relationship Type="http://schemas.openxmlformats.org/officeDocument/2006/relationships/chart" Target="/xl/charts/chart27.xml" Id="rId6" /><Relationship Type="http://schemas.openxmlformats.org/officeDocument/2006/relationships/chart" Target="/xl/charts/chart28.xml" Id="rId7" /><Relationship Type="http://schemas.openxmlformats.org/officeDocument/2006/relationships/chart" Target="/xl/charts/chart29.xml" Id="rId8" /><Relationship Type="http://schemas.openxmlformats.org/officeDocument/2006/relationships/chart" Target="/xl/charts/chart30.xml" Id="rId9" /><Relationship Type="http://schemas.openxmlformats.org/officeDocument/2006/relationships/chart" Target="/xl/charts/chart31.xml" Id="rId10" /><Relationship Type="http://schemas.openxmlformats.org/officeDocument/2006/relationships/chart" Target="/xl/charts/chart32.xml" Id="rId11" /><Relationship Type="http://schemas.openxmlformats.org/officeDocument/2006/relationships/chart" Target="/xl/charts/chart33.xml" Id="rId12" /><Relationship Type="http://schemas.openxmlformats.org/officeDocument/2006/relationships/chart" Target="/xl/charts/chart34.xml" Id="rId13" /><Relationship Type="http://schemas.openxmlformats.org/officeDocument/2006/relationships/chart" Target="/xl/charts/chart35.xml" Id="rId14" /><Relationship Type="http://schemas.openxmlformats.org/officeDocument/2006/relationships/chart" Target="/xl/charts/chart36.xml" Id="rId15" /><Relationship Type="http://schemas.openxmlformats.org/officeDocument/2006/relationships/chart" Target="/xl/charts/chart37.xml" Id="rId16" /><Relationship Type="http://schemas.openxmlformats.org/officeDocument/2006/relationships/chart" Target="/xl/charts/chart38.xml" Id="rId17" /><Relationship Type="http://schemas.openxmlformats.org/officeDocument/2006/relationships/chart" Target="/xl/charts/chart39.xml" Id="rId18" /><Relationship Type="http://schemas.openxmlformats.org/officeDocument/2006/relationships/chart" Target="/xl/charts/chart40.xml" Id="rId19" /><Relationship Type="http://schemas.openxmlformats.org/officeDocument/2006/relationships/chart" Target="/xl/charts/chart41.xml" Id="rId20" /><Relationship Type="http://schemas.openxmlformats.org/officeDocument/2006/relationships/chart" Target="/xl/charts/chart42.xml" Id="rId2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43.xml" Id="rId1" /><Relationship Type="http://schemas.openxmlformats.org/officeDocument/2006/relationships/chart" Target="/xl/charts/chart44.xml" Id="rId2" /><Relationship Type="http://schemas.openxmlformats.org/officeDocument/2006/relationships/chart" Target="/xl/charts/chart45.xml" Id="rId3" /><Relationship Type="http://schemas.openxmlformats.org/officeDocument/2006/relationships/chart" Target="/xl/charts/chart46.xml" Id="rId4" /><Relationship Type="http://schemas.openxmlformats.org/officeDocument/2006/relationships/chart" Target="/xl/charts/chart47.xml" Id="rId5" /><Relationship Type="http://schemas.openxmlformats.org/officeDocument/2006/relationships/chart" Target="/xl/charts/chart48.xml" Id="rId6" /><Relationship Type="http://schemas.openxmlformats.org/officeDocument/2006/relationships/chart" Target="/xl/charts/chart49.xml" Id="rId7" /><Relationship Type="http://schemas.openxmlformats.org/officeDocument/2006/relationships/chart" Target="/xl/charts/chart50.xml" Id="rId8" /><Relationship Type="http://schemas.openxmlformats.org/officeDocument/2006/relationships/chart" Target="/xl/charts/chart51.xml" Id="rId9" /><Relationship Type="http://schemas.openxmlformats.org/officeDocument/2006/relationships/chart" Target="/xl/charts/chart52.xml" Id="rId10" /><Relationship Type="http://schemas.openxmlformats.org/officeDocument/2006/relationships/chart" Target="/xl/charts/chart53.xml" Id="rId11" /><Relationship Type="http://schemas.openxmlformats.org/officeDocument/2006/relationships/chart" Target="/xl/charts/chart54.xml" Id="rId12" /><Relationship Type="http://schemas.openxmlformats.org/officeDocument/2006/relationships/chart" Target="/xl/charts/chart55.xml" Id="rId13" /><Relationship Type="http://schemas.openxmlformats.org/officeDocument/2006/relationships/chart" Target="/xl/charts/chart56.xml" Id="rId14" /><Relationship Type="http://schemas.openxmlformats.org/officeDocument/2006/relationships/chart" Target="/xl/charts/chart57.xml" Id="rId15" /><Relationship Type="http://schemas.openxmlformats.org/officeDocument/2006/relationships/chart" Target="/xl/charts/chart58.xml" Id="rId16" /><Relationship Type="http://schemas.openxmlformats.org/officeDocument/2006/relationships/chart" Target="/xl/charts/chart59.xml" Id="rId17" /><Relationship Type="http://schemas.openxmlformats.org/officeDocument/2006/relationships/chart" Target="/xl/charts/chart60.xml" Id="rId18" /><Relationship Type="http://schemas.openxmlformats.org/officeDocument/2006/relationships/chart" Target="/xl/charts/chart61.xml" Id="rId19" /><Relationship Type="http://schemas.openxmlformats.org/officeDocument/2006/relationships/chart" Target="/xl/charts/chart62.xml" Id="rId20" /><Relationship Type="http://schemas.openxmlformats.org/officeDocument/2006/relationships/chart" Target="/xl/charts/chart63.xml" Id="rId2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16782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16782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16782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113</row>
      <rowOff>0</rowOff>
    </from>
    <to>
      <col>18</col>
      <colOff>16782</colOff>
      <row>122</row>
      <rowOff>196849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124</row>
      <rowOff>0</rowOff>
    </from>
    <to>
      <col>18</col>
      <colOff>16782</colOff>
      <row>133</row>
      <rowOff>196849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  <twoCellAnchor>
    <from>
      <col>17</col>
      <colOff>0</colOff>
      <row>135</row>
      <rowOff>0</rowOff>
    </from>
    <to>
      <col>18</col>
      <colOff>16782</colOff>
      <row>144</row>
      <rowOff>200024</rowOff>
    </to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twoCellAnchor>
  <twoCellAnchor>
    <from>
      <col>17</col>
      <colOff>0</colOff>
      <row>146</row>
      <rowOff>0</rowOff>
    </from>
    <to>
      <col>18</col>
      <colOff>16782</colOff>
      <row>155</row>
      <rowOff>187324</rowOff>
    </to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twoCellAnchor>
  <twoCellAnchor>
    <from>
      <col>17</col>
      <colOff>0</colOff>
      <row>157</row>
      <rowOff>0</rowOff>
    </from>
    <to>
      <col>18</col>
      <colOff>16782</colOff>
      <row>166</row>
      <rowOff>200024</rowOff>
    </to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twoCellAnchor>
  <twoCellAnchor>
    <from>
      <col>17</col>
      <colOff>0</colOff>
      <row>168</row>
      <rowOff>0</rowOff>
    </from>
    <to>
      <col>18</col>
      <colOff>16782</colOff>
      <row>177</row>
      <rowOff>196849</rowOff>
    </to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twoCellAnchor>
  <twoCellAnchor>
    <from>
      <col>17</col>
      <colOff>0</colOff>
      <row>179</row>
      <rowOff>0</rowOff>
    </from>
    <to>
      <col>18</col>
      <colOff>16782</colOff>
      <row>188</row>
      <rowOff>190499</rowOff>
    </to>
    <graphicFrame>
      <nvGraphicFramePr>
        <cNvPr id="16" name="Chart 16"/>
        <cNvGraphicFramePr/>
      </nvGraphicFramePr>
      <xfrm/>
      <a:graphic>
        <a:graphicData uri="http://schemas.openxmlformats.org/drawingml/2006/chart">
          <c:chart r:id="rId16"/>
        </a:graphicData>
      </a:graphic>
    </graphicFrame>
    <clientData/>
  </twoCellAnchor>
  <twoCellAnchor>
    <from>
      <col>17</col>
      <colOff>0</colOff>
      <row>190</row>
      <rowOff>0</rowOff>
    </from>
    <to>
      <col>18</col>
      <colOff>16782</colOff>
      <row>199</row>
      <rowOff>165099</rowOff>
    </to>
    <graphicFrame>
      <nvGraphicFramePr>
        <cNvPr id="17" name="Chart 17"/>
        <cNvGraphicFramePr/>
      </nvGraphicFramePr>
      <xfrm/>
      <a:graphic>
        <a:graphicData uri="http://schemas.openxmlformats.org/drawingml/2006/chart">
          <c:chart r:id="rId17"/>
        </a:graphicData>
      </a:graphic>
    </graphicFrame>
    <clientData/>
  </twoCellAnchor>
  <twoCellAnchor>
    <from>
      <col>17</col>
      <colOff>0</colOff>
      <row>201</row>
      <rowOff>0</rowOff>
    </from>
    <to>
      <col>18</col>
      <colOff>16782</colOff>
      <row>210</row>
      <rowOff>165099</rowOff>
    </to>
    <graphicFrame>
      <nvGraphicFramePr>
        <cNvPr id="18" name="Chart 18"/>
        <cNvGraphicFramePr/>
      </nvGraphicFramePr>
      <xfrm/>
      <a:graphic>
        <a:graphicData uri="http://schemas.openxmlformats.org/drawingml/2006/chart">
          <c:chart r:id="rId18"/>
        </a:graphicData>
      </a:graphic>
    </graphicFrame>
    <clientData/>
  </twoCellAnchor>
  <twoCellAnchor>
    <from>
      <col>17</col>
      <colOff>0</colOff>
      <row>212</row>
      <rowOff>0</rowOff>
    </from>
    <to>
      <col>18</col>
      <colOff>16782</colOff>
      <row>221</row>
      <rowOff>165099</rowOff>
    </to>
    <graphicFrame>
      <nvGraphicFramePr>
        <cNvPr id="19" name="Chart 19"/>
        <cNvGraphicFramePr/>
      </nvGraphicFramePr>
      <xfrm/>
      <a:graphic>
        <a:graphicData uri="http://schemas.openxmlformats.org/drawingml/2006/chart">
          <c:chart r:id="rId19"/>
        </a:graphicData>
      </a:graphic>
    </graphicFrame>
    <clientData/>
  </twoCellAnchor>
  <twoCellAnchor>
    <from>
      <col>17</col>
      <colOff>0</colOff>
      <row>223</row>
      <rowOff>0</rowOff>
    </from>
    <to>
      <col>18</col>
      <colOff>16782</colOff>
      <row>232</row>
      <rowOff>165099</rowOff>
    </to>
    <graphicFrame>
      <nvGraphicFramePr>
        <cNvPr id="20" name="Chart 20"/>
        <cNvGraphicFramePr/>
      </nvGraphicFramePr>
      <xfrm/>
      <a:graphic>
        <a:graphicData uri="http://schemas.openxmlformats.org/drawingml/2006/chart">
          <c:chart r:id="rId20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16782</colOff>
      <row>34</row>
      <rowOff>190499</rowOff>
    </to>
    <graphicFrame>
      <nvGraphicFramePr>
        <cNvPr id="21" name="Chart 21"/>
        <cNvGraphicFramePr/>
      </nvGraphicFramePr>
      <xfrm/>
      <a:graphic>
        <a:graphicData uri="http://schemas.openxmlformats.org/drawingml/2006/chart">
          <c:chart r:id="rId2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16782</colOff>
      <row>111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113</row>
      <rowOff>0</rowOff>
    </from>
    <to>
      <col>18</col>
      <colOff>16782</colOff>
      <row>122</row>
      <rowOff>203199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124</row>
      <rowOff>0</rowOff>
    </from>
    <to>
      <col>18</col>
      <colOff>16782</colOff>
      <row>133</row>
      <rowOff>200024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135</row>
      <rowOff>0</rowOff>
    </from>
    <to>
      <col>18</col>
      <colOff>16782</colOff>
      <row>144</row>
      <rowOff>196849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146</row>
      <rowOff>0</rowOff>
    </from>
    <to>
      <col>18</col>
      <colOff>16782</colOff>
      <row>155</row>
      <rowOff>200024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157</row>
      <rowOff>0</rowOff>
    </from>
    <to>
      <col>18</col>
      <colOff>16782</colOff>
      <row>166</row>
      <rowOff>203199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  <twoCellAnchor>
    <from>
      <col>17</col>
      <colOff>0</colOff>
      <row>168</row>
      <rowOff>0</rowOff>
    </from>
    <to>
      <col>18</col>
      <colOff>16782</colOff>
      <row>177</row>
      <rowOff>206374</rowOff>
    </to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twoCellAnchor>
  <twoCellAnchor>
    <from>
      <col>17</col>
      <colOff>0</colOff>
      <row>179</row>
      <rowOff>0</rowOff>
    </from>
    <to>
      <col>18</col>
      <colOff>16782</colOff>
      <row>188</row>
      <rowOff>193674</rowOff>
    </to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twoCellAnchor>
  <twoCellAnchor>
    <from>
      <col>17</col>
      <colOff>0</colOff>
      <row>190</row>
      <rowOff>0</rowOff>
    </from>
    <to>
      <col>18</col>
      <colOff>16782</colOff>
      <row>199</row>
      <rowOff>206374</rowOff>
    </to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twoCellAnchor>
  <twoCellAnchor>
    <from>
      <col>17</col>
      <colOff>0</colOff>
      <row>201</row>
      <rowOff>0</rowOff>
    </from>
    <to>
      <col>18</col>
      <colOff>16782</colOff>
      <row>210</row>
      <rowOff>200024</rowOff>
    </to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twoCellAnchor>
  <twoCellAnchor>
    <from>
      <col>17</col>
      <colOff>0</colOff>
      <row>212</row>
      <rowOff>0</rowOff>
    </from>
    <to>
      <col>18</col>
      <colOff>16782</colOff>
      <row>221</row>
      <rowOff>196849</rowOff>
    </to>
    <graphicFrame>
      <nvGraphicFramePr>
        <cNvPr id="16" name="Chart 16"/>
        <cNvGraphicFramePr/>
      </nvGraphicFramePr>
      <xfrm/>
      <a:graphic>
        <a:graphicData uri="http://schemas.openxmlformats.org/drawingml/2006/chart">
          <c:chart r:id="rId16"/>
        </a:graphicData>
      </a:graphic>
    </graphicFrame>
    <clientData/>
  </twoCellAnchor>
  <twoCellAnchor>
    <from>
      <col>17</col>
      <colOff>0</colOff>
      <row>223</row>
      <rowOff>0</rowOff>
    </from>
    <to>
      <col>18</col>
      <colOff>16782</colOff>
      <row>232</row>
      <rowOff>174624</rowOff>
    </to>
    <graphicFrame>
      <nvGraphicFramePr>
        <cNvPr id="17" name="Chart 17"/>
        <cNvGraphicFramePr/>
      </nvGraphicFramePr>
      <xfrm/>
      <a:graphic>
        <a:graphicData uri="http://schemas.openxmlformats.org/drawingml/2006/chart">
          <c:chart r:id="rId17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16782</colOff>
      <row>34</row>
      <rowOff>190499</rowOff>
    </to>
    <graphicFrame>
      <nvGraphicFramePr>
        <cNvPr id="18" name="Chart 18"/>
        <cNvGraphicFramePr/>
      </nvGraphicFramePr>
      <xfrm/>
      <a:graphic>
        <a:graphicData uri="http://schemas.openxmlformats.org/drawingml/2006/chart">
          <c:chart r:id="rId18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16782</colOff>
      <row>56</row>
      <rowOff>190499</rowOff>
    </to>
    <graphicFrame>
      <nvGraphicFramePr>
        <cNvPr id="19" name="Chart 19"/>
        <cNvGraphicFramePr/>
      </nvGraphicFramePr>
      <xfrm/>
      <a:graphic>
        <a:graphicData uri="http://schemas.openxmlformats.org/drawingml/2006/chart">
          <c:chart r:id="rId19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16782</colOff>
      <row>78</row>
      <rowOff>190499</rowOff>
    </to>
    <graphicFrame>
      <nvGraphicFramePr>
        <cNvPr id="20" name="Chart 20"/>
        <cNvGraphicFramePr/>
      </nvGraphicFramePr>
      <xfrm/>
      <a:graphic>
        <a:graphicData uri="http://schemas.openxmlformats.org/drawingml/2006/chart">
          <c:chart r:id="rId20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16782</colOff>
      <row>89</row>
      <rowOff>190499</rowOff>
    </to>
    <graphicFrame>
      <nvGraphicFramePr>
        <cNvPr id="21" name="Chart 21"/>
        <cNvGraphicFramePr/>
      </nvGraphicFramePr>
      <xfrm/>
      <a:graphic>
        <a:graphicData uri="http://schemas.openxmlformats.org/drawingml/2006/chart">
          <c:chart r:id="rId2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16782</colOff>
      <row>89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16782</colOff>
      <row>100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16782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113</row>
      <rowOff>0</rowOff>
    </from>
    <to>
      <col>18</col>
      <colOff>16782</colOff>
      <row>122</row>
      <rowOff>203199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  <twoCellAnchor>
    <from>
      <col>17</col>
      <colOff>0</colOff>
      <row>124</row>
      <rowOff>0</rowOff>
    </from>
    <to>
      <col>18</col>
      <colOff>16782</colOff>
      <row>133</row>
      <rowOff>206374</rowOff>
    </to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twoCellAnchor>
  <twoCellAnchor>
    <from>
      <col>17</col>
      <colOff>0</colOff>
      <row>135</row>
      <rowOff>0</rowOff>
    </from>
    <to>
      <col>18</col>
      <colOff>16782</colOff>
      <row>144</row>
      <rowOff>200024</rowOff>
    </to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twoCellAnchor>
  <twoCellAnchor>
    <from>
      <col>17</col>
      <colOff>0</colOff>
      <row>146</row>
      <rowOff>0</rowOff>
    </from>
    <to>
      <col>18</col>
      <colOff>16782</colOff>
      <row>155</row>
      <rowOff>203199</rowOff>
    </to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twoCellAnchor>
  <twoCellAnchor>
    <from>
      <col>17</col>
      <colOff>0</colOff>
      <row>157</row>
      <rowOff>0</rowOff>
    </from>
    <to>
      <col>18</col>
      <colOff>16782</colOff>
      <row>166</row>
      <rowOff>206374</rowOff>
    </to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twoCellAnchor>
  <twoCellAnchor>
    <from>
      <col>17</col>
      <colOff>0</colOff>
      <row>168</row>
      <rowOff>0</rowOff>
    </from>
    <to>
      <col>18</col>
      <colOff>16782</colOff>
      <row>177</row>
      <rowOff>206374</rowOff>
    </to>
    <graphicFrame>
      <nvGraphicFramePr>
        <cNvPr id="16" name="Chart 16"/>
        <cNvGraphicFramePr/>
      </nvGraphicFramePr>
      <xfrm/>
      <a:graphic>
        <a:graphicData uri="http://schemas.openxmlformats.org/drawingml/2006/chart">
          <c:chart r:id="rId16"/>
        </a:graphicData>
      </a:graphic>
    </graphicFrame>
    <clientData/>
  </twoCellAnchor>
  <twoCellAnchor>
    <from>
      <col>17</col>
      <colOff>0</colOff>
      <row>179</row>
      <rowOff>0</rowOff>
    </from>
    <to>
      <col>18</col>
      <colOff>16782</colOff>
      <row>188</row>
      <rowOff>193674</rowOff>
    </to>
    <graphicFrame>
      <nvGraphicFramePr>
        <cNvPr id="17" name="Chart 17"/>
        <cNvGraphicFramePr/>
      </nvGraphicFramePr>
      <xfrm/>
      <a:graphic>
        <a:graphicData uri="http://schemas.openxmlformats.org/drawingml/2006/chart">
          <c:chart r:id="rId17"/>
        </a:graphicData>
      </a:graphic>
    </graphicFrame>
    <clientData/>
  </twoCellAnchor>
  <twoCellAnchor>
    <from>
      <col>17</col>
      <colOff>0</colOff>
      <row>190</row>
      <rowOff>0</rowOff>
    </from>
    <to>
      <col>18</col>
      <colOff>16782</colOff>
      <row>199</row>
      <rowOff>206374</rowOff>
    </to>
    <graphicFrame>
      <nvGraphicFramePr>
        <cNvPr id="18" name="Chart 18"/>
        <cNvGraphicFramePr/>
      </nvGraphicFramePr>
      <xfrm/>
      <a:graphic>
        <a:graphicData uri="http://schemas.openxmlformats.org/drawingml/2006/chart">
          <c:chart r:id="rId18"/>
        </a:graphicData>
      </a:graphic>
    </graphicFrame>
    <clientData/>
  </twoCellAnchor>
  <twoCellAnchor>
    <from>
      <col>17</col>
      <colOff>0</colOff>
      <row>201</row>
      <rowOff>0</rowOff>
    </from>
    <to>
      <col>18</col>
      <colOff>16782</colOff>
      <row>210</row>
      <rowOff>200024</rowOff>
    </to>
    <graphicFrame>
      <nvGraphicFramePr>
        <cNvPr id="19" name="Chart 19"/>
        <cNvGraphicFramePr/>
      </nvGraphicFramePr>
      <xfrm/>
      <a:graphic>
        <a:graphicData uri="http://schemas.openxmlformats.org/drawingml/2006/chart">
          <c:chart r:id="rId19"/>
        </a:graphicData>
      </a:graphic>
    </graphicFrame>
    <clientData/>
  </twoCellAnchor>
  <twoCellAnchor>
    <from>
      <col>17</col>
      <colOff>0</colOff>
      <row>212</row>
      <rowOff>0</rowOff>
    </from>
    <to>
      <col>18</col>
      <colOff>16782</colOff>
      <row>221</row>
      <rowOff>196849</rowOff>
    </to>
    <graphicFrame>
      <nvGraphicFramePr>
        <cNvPr id="20" name="Chart 20"/>
        <cNvGraphicFramePr/>
      </nvGraphicFramePr>
      <xfrm/>
      <a:graphic>
        <a:graphicData uri="http://schemas.openxmlformats.org/drawingml/2006/chart">
          <c:chart r:id="rId20"/>
        </a:graphicData>
      </a:graphic>
    </graphicFrame>
    <clientData/>
  </twoCellAnchor>
  <twoCellAnchor>
    <from>
      <col>17</col>
      <colOff>0</colOff>
      <row>223</row>
      <rowOff>0</rowOff>
    </from>
    <to>
      <col>18</col>
      <colOff>16782</colOff>
      <row>232</row>
      <rowOff>174624</rowOff>
    </to>
    <graphicFrame>
      <nvGraphicFramePr>
        <cNvPr id="21" name="Chart 21"/>
        <cNvGraphicFramePr/>
      </nvGraphicFramePr>
      <xfrm/>
      <a:graphic>
        <a:graphicData uri="http://schemas.openxmlformats.org/drawingml/2006/chart">
          <c:chart r:id="rId2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P36"/>
  <sheetViews>
    <sheetView tabSelected="1" workbookViewId="0">
      <selection activeCell="C9" sqref="B9:O19"/>
    </sheetView>
  </sheetViews>
  <sheetFormatPr baseColWidth="8" defaultColWidth="8.69921875" defaultRowHeight="14.4" outlineLevelCol="0"/>
  <cols>
    <col width="1.69921875" bestFit="1" customWidth="1" style="254" min="1" max="1"/>
    <col width="22.09765625" customWidth="1" style="254" min="2" max="2"/>
    <col width="12.3984375" customWidth="1" style="254" min="3" max="3"/>
    <col width="9.69921875" bestFit="1" customWidth="1" style="254" min="4" max="5"/>
    <col width="9.796875" customWidth="1" style="254" min="6" max="14"/>
    <col width="7.09765625" customWidth="1" style="254" min="15" max="15"/>
    <col width="7.19921875" customWidth="1" style="254" min="16" max="16"/>
    <col width="8.69921875" customWidth="1" style="254" min="17" max="17"/>
    <col width="8.69921875" customWidth="1" style="254" min="18" max="16384"/>
  </cols>
  <sheetData>
    <row r="1">
      <c r="A1" s="218" t="inlineStr"/>
      <c r="B1" s="247" t="n"/>
      <c r="C1" s="247" t="n"/>
      <c r="D1" s="218" t="inlineStr"/>
      <c r="E1" s="218" t="inlineStr"/>
      <c r="F1" s="218" t="n"/>
      <c r="G1" s="218" t="n"/>
      <c r="H1" s="218" t="n"/>
      <c r="I1" s="218" t="n"/>
      <c r="J1" s="218" t="n"/>
      <c r="K1" s="218" t="n"/>
      <c r="L1" s="218" t="n"/>
      <c r="M1" s="218" t="n"/>
      <c r="N1" s="218" t="n"/>
      <c r="O1" s="218" t="n"/>
      <c r="P1" s="218" t="inlineStr"/>
    </row>
    <row r="2">
      <c r="A2" s="247" t="n"/>
      <c r="B2" s="4" t="n"/>
      <c r="C2" s="248" t="n"/>
      <c r="D2" s="247" t="n"/>
      <c r="E2" s="247" t="n"/>
      <c r="F2" s="247" t="n"/>
      <c r="G2" s="247" t="n"/>
      <c r="H2" s="247" t="n"/>
      <c r="I2" s="247" t="n"/>
      <c r="J2" s="247" t="n"/>
      <c r="K2" s="247" t="n"/>
      <c r="L2" s="247" t="n"/>
      <c r="M2" s="247" t="n"/>
      <c r="N2" s="247" t="n"/>
      <c r="O2" s="247" t="n"/>
      <c r="P2" s="247" t="n"/>
    </row>
    <row r="3">
      <c r="A3" s="247" t="n"/>
      <c r="B3" s="4" t="inlineStr">
        <is>
          <t>Anchor</t>
        </is>
      </c>
      <c r="C3" s="253" t="inlineStr">
        <is>
          <t>MPEG151-octree</t>
        </is>
      </c>
      <c r="P3" s="247" t="n"/>
    </row>
    <row r="4">
      <c r="A4" s="247" t="n"/>
      <c r="B4" s="4" t="inlineStr">
        <is>
          <t>Proposal</t>
        </is>
      </c>
      <c r="C4" s="253" t="inlineStr">
        <is>
          <t>MPEG151-octree</t>
        </is>
      </c>
      <c r="P4" s="247" t="n"/>
    </row>
    <row r="5">
      <c r="A5" s="247" t="n"/>
      <c r="B5" s="232" t="inlineStr">
        <is>
          <t>Mandatory</t>
        </is>
      </c>
      <c r="C5" s="248" t="n"/>
      <c r="D5" s="247" t="n"/>
      <c r="E5" s="247" t="n"/>
      <c r="F5" s="247" t="n"/>
      <c r="G5" s="247" t="n"/>
      <c r="H5" s="247" t="n"/>
      <c r="I5" s="247" t="n"/>
      <c r="J5" s="247" t="n"/>
      <c r="K5" s="247" t="n"/>
      <c r="L5" s="247" t="n"/>
      <c r="M5" s="247" t="n"/>
      <c r="N5" s="247" t="n"/>
      <c r="O5" s="247" t="n"/>
      <c r="P5" s="247" t="n"/>
    </row>
    <row r="6">
      <c r="A6" s="247" t="n"/>
      <c r="B6" s="233" t="inlineStr">
        <is>
          <t>Optional</t>
        </is>
      </c>
      <c r="C6" s="234" t="n"/>
      <c r="D6" s="247" t="n"/>
      <c r="E6" s="247" t="n"/>
      <c r="F6" s="247" t="n"/>
      <c r="G6" s="247" t="n"/>
      <c r="H6" s="247" t="n"/>
      <c r="I6" s="247" t="n"/>
      <c r="J6" s="247" t="n"/>
      <c r="K6" s="247" t="n"/>
      <c r="L6" s="247" t="n"/>
      <c r="M6" s="247" t="n"/>
      <c r="N6" s="247" t="n"/>
      <c r="O6" s="247" t="n"/>
      <c r="P6" s="247" t="n"/>
    </row>
    <row r="7" ht="16.5" customFormat="1" customHeight="1" s="14" thickBot="1">
      <c r="A7" s="188" t="n"/>
      <c r="B7" s="251" t="inlineStr">
        <is>
          <t>Forward facing content - Proposal vs. Anchor</t>
        </is>
      </c>
      <c r="C7" s="252" t="n"/>
      <c r="D7" s="252" t="n"/>
      <c r="E7" s="252" t="n"/>
      <c r="F7" s="252" t="n"/>
      <c r="G7" s="252" t="n"/>
      <c r="H7" s="252" t="n"/>
      <c r="I7" s="252" t="n"/>
      <c r="J7" s="252" t="n"/>
      <c r="K7" s="252" t="n"/>
      <c r="L7" s="252" t="n"/>
      <c r="M7" s="252" t="n"/>
      <c r="N7" s="252" t="n"/>
      <c r="O7" s="252" t="n"/>
      <c r="P7" s="188" t="n"/>
    </row>
    <row r="8" ht="30" customHeight="1" s="256" thickBot="1">
      <c r="A8" s="247" t="n"/>
      <c r="B8" s="25" t="inlineStr">
        <is>
          <t>Sequence</t>
        </is>
      </c>
      <c r="C8" s="27" t="inlineStr">
        <is>
          <t>BD-rate
RGB-PSNR</t>
        </is>
      </c>
      <c r="D8" s="27" t="inlineStr">
        <is>
          <t>BD-rate
YUV-PSNR</t>
        </is>
      </c>
      <c r="E8" s="27" t="inlineStr">
        <is>
          <t>BD-rate
YUV-SSIM</t>
        </is>
      </c>
      <c r="F8" s="27" t="inlineStr">
        <is>
          <t>EncT Total</t>
        </is>
      </c>
      <c r="G8" s="27" t="inlineStr">
        <is>
          <t>DecT Total</t>
        </is>
      </c>
      <c r="H8" s="27" t="inlineStr">
        <is>
          <t>EncT Geometry</t>
        </is>
      </c>
      <c r="I8" s="27" t="inlineStr">
        <is>
          <t>DecT Geometry</t>
        </is>
      </c>
      <c r="J8" s="27" t="inlineStr">
        <is>
          <t>EncT Attributes</t>
        </is>
      </c>
      <c r="K8" s="27" t="inlineStr">
        <is>
          <t>DecT Attributes</t>
        </is>
      </c>
      <c r="L8" s="27" t="inlineStr">
        <is>
          <t>MaxRSS Encoder</t>
        </is>
      </c>
      <c r="M8" s="27" t="inlineStr">
        <is>
          <t>MaxRSS Decoder</t>
        </is>
      </c>
      <c r="N8" s="27" t="inlineStr">
        <is>
          <t>vs GT (optional)</t>
        </is>
      </c>
      <c r="O8" s="222" t="n"/>
      <c r="P8" s="247" t="n"/>
    </row>
    <row r="9" ht="15.75" customHeight="1" s="256">
      <c r="A9" s="247" t="n"/>
      <c r="B9" s="230" t="inlineStr">
        <is>
          <t>bartender_track</t>
        </is>
      </c>
      <c r="C9" s="288">
        <f>INDIRECT($B9&amp;"!AY$5")</f>
        <v/>
      </c>
      <c r="D9" s="288">
        <f>INDIRECT($B9&amp;"!AZ$5")</f>
        <v/>
      </c>
      <c r="E9" s="288">
        <f>INDIRECT($B9&amp;"!BA$5")</f>
        <v/>
      </c>
      <c r="F9" s="288">
        <f>INDIRECT($B9&amp;"!AX$21")</f>
        <v/>
      </c>
      <c r="G9" s="288">
        <f>INDIRECT($B9&amp;"!AY$21")</f>
        <v/>
      </c>
      <c r="H9" s="288">
        <f>INDIRECT($B9&amp;"!AZ$21")</f>
        <v/>
      </c>
      <c r="I9" s="288">
        <f>INDIRECT($B9&amp;"!BA$21")</f>
        <v/>
      </c>
      <c r="J9" s="288">
        <f>INDIRECT($B9&amp;"!BB$21")</f>
        <v/>
      </c>
      <c r="K9" s="288">
        <f>INDIRECT($B9&amp;"!BC$21")</f>
        <v/>
      </c>
      <c r="L9" s="288">
        <f>INDIRECT($B9&amp;"!BD$21")</f>
        <v/>
      </c>
      <c r="M9" s="288">
        <f>INDIRECT($B9&amp;"!BE$21")</f>
        <v/>
      </c>
      <c r="N9" s="288">
        <f>INDIRECT($B9&amp;"!BC$5")</f>
        <v/>
      </c>
      <c r="O9" s="289" t="n"/>
      <c r="P9" s="247" t="n"/>
    </row>
    <row r="10" ht="15.75" customHeight="1" s="256">
      <c r="A10" s="247" t="n"/>
      <c r="B10" s="230" t="inlineStr">
        <is>
          <t>breakfast_track</t>
        </is>
      </c>
      <c r="C10" s="288">
        <f>INDIRECT($B10&amp;"!AY$5")</f>
        <v/>
      </c>
      <c r="D10" s="288">
        <f>INDIRECT($B10&amp;"!AZ$5")</f>
        <v/>
      </c>
      <c r="E10" s="288">
        <f>INDIRECT($B10&amp;"!BA$5")</f>
        <v/>
      </c>
      <c r="F10" s="288">
        <f>INDIRECT($B10&amp;"!AX$21")</f>
        <v/>
      </c>
      <c r="G10" s="288">
        <f>INDIRECT($B10&amp;"!AY$21")</f>
        <v/>
      </c>
      <c r="H10" s="288">
        <f>INDIRECT($B10&amp;"!AZ$21")</f>
        <v/>
      </c>
      <c r="I10" s="288">
        <f>INDIRECT($B10&amp;"!BA$21")</f>
        <v/>
      </c>
      <c r="J10" s="288">
        <f>INDIRECT($B10&amp;"!BB$21")</f>
        <v/>
      </c>
      <c r="K10" s="288">
        <f>INDIRECT($B10&amp;"!BC$21")</f>
        <v/>
      </c>
      <c r="L10" s="288">
        <f>INDIRECT($B10&amp;"!BD$21")</f>
        <v/>
      </c>
      <c r="M10" s="288">
        <f>INDIRECT($B10&amp;"!BE$21")</f>
        <v/>
      </c>
      <c r="N10" s="288">
        <f>INDIRECT($B10&amp;"!BC$5")</f>
        <v/>
      </c>
      <c r="O10" s="289" t="n"/>
      <c r="P10" s="247" t="n"/>
    </row>
    <row r="11" ht="15.75" customHeight="1" s="256" thickBot="1">
      <c r="A11" s="247" t="n"/>
      <c r="B11" s="230" t="inlineStr">
        <is>
          <t>cinema_track</t>
        </is>
      </c>
      <c r="C11" s="288">
        <f>INDIRECT($B11&amp;"!AY$5")</f>
        <v/>
      </c>
      <c r="D11" s="288">
        <f>INDIRECT($B11&amp;"!AZ$5")</f>
        <v/>
      </c>
      <c r="E11" s="288">
        <f>INDIRECT($B11&amp;"!BA$5")</f>
        <v/>
      </c>
      <c r="F11" s="288">
        <f>INDIRECT($B11&amp;"!AX$21")</f>
        <v/>
      </c>
      <c r="G11" s="288">
        <f>INDIRECT($B11&amp;"!AY$21")</f>
        <v/>
      </c>
      <c r="H11" s="288">
        <f>INDIRECT($B11&amp;"!AZ$21")</f>
        <v/>
      </c>
      <c r="I11" s="288">
        <f>INDIRECT($B11&amp;"!BA$21")</f>
        <v/>
      </c>
      <c r="J11" s="288">
        <f>INDIRECT($B11&amp;"!BB$21")</f>
        <v/>
      </c>
      <c r="K11" s="288">
        <f>INDIRECT($B11&amp;"!BC$21")</f>
        <v/>
      </c>
      <c r="L11" s="288">
        <f>INDIRECT($B11&amp;"!BD$21")</f>
        <v/>
      </c>
      <c r="M11" s="288">
        <f>INDIRECT($B11&amp;"!BE$21")</f>
        <v/>
      </c>
      <c r="N11" s="288">
        <f>INDIRECT($B11&amp;"!BC$5")</f>
        <v/>
      </c>
      <c r="O11" s="289" t="n"/>
      <c r="P11" s="247" t="n"/>
    </row>
    <row r="12" ht="15.75" customHeight="1" s="256" thickBot="1">
      <c r="A12" s="247" t="n"/>
      <c r="B12" s="25" t="inlineStr">
        <is>
          <t>Average</t>
        </is>
      </c>
      <c r="C12" s="290">
        <f>IF(COUNTIF(C9:C11,"=0")&gt;0,0,AVERAGE(C9:C11))</f>
        <v/>
      </c>
      <c r="D12" s="290">
        <f>IF(COUNTIF(D9:D11,"=0")&gt;0,0,AVERAGE(D9:D11))</f>
        <v/>
      </c>
      <c r="E12" s="290">
        <f>IF(COUNTIF(E9:E11,"=0")&gt;0,0,AVERAGE(E9:E11))</f>
        <v/>
      </c>
      <c r="F12" s="290">
        <f>IF(COUNTIF(F9:F11,"=0")&gt;0,0,AVERAGE(F9:F11))</f>
        <v/>
      </c>
      <c r="G12" s="290">
        <f>IF(COUNTIF(G9:G11,"=0")&gt;0,0,AVERAGE(G9:G11))</f>
        <v/>
      </c>
      <c r="H12" s="290">
        <f>IF(COUNTIF(H9:H11,"=0")&gt;0,0,AVERAGE(H9:H11))</f>
        <v/>
      </c>
      <c r="I12" s="290">
        <f>IF(COUNTIF(I9:I11,"=0")&gt;0,0,AVERAGE(I9:I11))</f>
        <v/>
      </c>
      <c r="J12" s="290">
        <f>IF(COUNTIF(J9:J11,"=0")&gt;0,0,AVERAGE(J9:J11))</f>
        <v/>
      </c>
      <c r="K12" s="290">
        <f>IF(COUNTIF(K9:K11,"=0")&gt;0,0,AVERAGE(K9:K11))</f>
        <v/>
      </c>
      <c r="L12" s="290">
        <f>IF(COUNTIF(L9:L11,"=0")&gt;0,0,AVERAGE(L9:L11))</f>
        <v/>
      </c>
      <c r="M12" s="290">
        <f>IF(COUNTIF(M9:M11,"=0")&gt;0,0,AVERAGE(M9:M11))</f>
        <v/>
      </c>
      <c r="N12" s="291">
        <f>IF(COUNTIF(N10:N11,"=0")&gt;0,0,AVERAGE(N10:N11))</f>
        <v/>
      </c>
      <c r="O12" s="289" t="n"/>
      <c r="P12" s="289" t="n"/>
    </row>
    <row r="13" ht="15.75" customHeight="1" s="256">
      <c r="A13" s="247" t="n"/>
      <c r="B13" s="249" t="n"/>
      <c r="C13" s="250" t="n"/>
      <c r="D13" s="289" t="n"/>
      <c r="E13" s="289" t="n"/>
      <c r="F13" s="289" t="n"/>
      <c r="G13" s="289" t="n"/>
      <c r="H13" s="289" t="n"/>
      <c r="I13" s="289" t="n"/>
      <c r="J13" s="289" t="n"/>
      <c r="K13" s="289" t="n"/>
      <c r="L13" s="289" t="n"/>
      <c r="M13" s="289" t="n"/>
      <c r="N13" s="289" t="n"/>
      <c r="O13" s="289" t="n"/>
      <c r="P13" s="289" t="n"/>
    </row>
    <row r="14" ht="15.75" customHeight="1" s="256">
      <c r="A14" s="247" t="n"/>
      <c r="B14" s="106" t="n"/>
      <c r="D14" s="292" t="n"/>
      <c r="E14" s="292" t="n"/>
      <c r="F14" s="292" t="n"/>
      <c r="G14" s="292" t="n"/>
      <c r="H14" s="292" t="n"/>
      <c r="I14" s="292" t="n"/>
      <c r="J14" s="292" t="n"/>
      <c r="K14" s="292" t="n"/>
      <c r="L14" s="292" t="n"/>
      <c r="M14" s="292" t="n"/>
      <c r="N14" s="292" t="n"/>
      <c r="O14" s="292" t="n"/>
      <c r="P14" s="188" t="n"/>
    </row>
    <row r="15">
      <c r="A15" s="247" t="n"/>
      <c r="B15" s="247" t="n"/>
      <c r="C15" s="247" t="n"/>
      <c r="D15" s="293" t="n"/>
      <c r="E15" s="293" t="n"/>
      <c r="F15" s="293" t="n"/>
      <c r="G15" s="293" t="n"/>
      <c r="H15" s="293" t="n"/>
      <c r="I15" s="293" t="n"/>
      <c r="J15" s="293" t="n"/>
      <c r="K15" s="293" t="n"/>
      <c r="L15" s="293" t="n"/>
      <c r="M15" s="293" t="n"/>
      <c r="N15" s="293" t="n"/>
      <c r="O15" s="293" t="n"/>
      <c r="P15" s="293" t="n"/>
    </row>
    <row r="16" ht="18" customHeight="1" s="256" thickBot="1">
      <c r="A16" s="247" t="n"/>
      <c r="B16" s="251" t="inlineStr">
        <is>
          <t>Object-centric content - Proposal vs. Anchor</t>
        </is>
      </c>
      <c r="C16" s="252" t="n"/>
      <c r="D16" s="252" t="n"/>
      <c r="E16" s="252" t="n"/>
      <c r="F16" s="252" t="n"/>
      <c r="G16" s="252" t="n"/>
      <c r="H16" s="252" t="n"/>
      <c r="I16" s="252" t="n"/>
      <c r="J16" s="252" t="n"/>
      <c r="K16" s="252" t="n"/>
      <c r="L16" s="252" t="n"/>
      <c r="M16" s="252" t="n"/>
      <c r="N16" s="252" t="n"/>
      <c r="O16" s="252" t="n"/>
      <c r="P16" s="247" t="n"/>
    </row>
    <row r="17" ht="24.75" customHeight="1" s="256" thickBot="1">
      <c r="B17" s="25" t="inlineStr">
        <is>
          <t>Sequence</t>
        </is>
      </c>
      <c r="C17" s="27" t="inlineStr">
        <is>
          <t>BD-rate
RGB-PSNR</t>
        </is>
      </c>
      <c r="D17" s="27" t="inlineStr">
        <is>
          <t>BD-rate
YUV-PSNR</t>
        </is>
      </c>
      <c r="E17" s="27" t="inlineStr">
        <is>
          <t>BD-rate
YUV-SSIM</t>
        </is>
      </c>
      <c r="F17" s="27" t="inlineStr">
        <is>
          <t>EncT Total</t>
        </is>
      </c>
      <c r="G17" s="27" t="inlineStr">
        <is>
          <t>DecT Total</t>
        </is>
      </c>
      <c r="H17" s="27" t="inlineStr">
        <is>
          <t>EncT Geometry</t>
        </is>
      </c>
      <c r="I17" s="27" t="inlineStr">
        <is>
          <t>DecT Geometry</t>
        </is>
      </c>
      <c r="J17" s="27" t="inlineStr">
        <is>
          <t>EncT Attributes</t>
        </is>
      </c>
      <c r="K17" s="27" t="inlineStr">
        <is>
          <t>DecT Attributes</t>
        </is>
      </c>
      <c r="L17" s="27" t="inlineStr">
        <is>
          <t>MaxRSS Encoder</t>
        </is>
      </c>
      <c r="M17" s="27" t="inlineStr">
        <is>
          <t>MaxRSS Decoder</t>
        </is>
      </c>
      <c r="N17" s="209" t="inlineStr">
        <is>
          <t>vs GT (optional)</t>
        </is>
      </c>
    </row>
    <row r="18">
      <c r="B18" s="230" t="inlineStr">
        <is>
          <t>ManWithFruit</t>
        </is>
      </c>
      <c r="C18" s="288">
        <f>INDIRECT($B18&amp;"!AY$5")</f>
        <v/>
      </c>
      <c r="D18" s="288">
        <f>INDIRECT($B18&amp;"!AZ$5")</f>
        <v/>
      </c>
      <c r="E18" s="288">
        <f>INDIRECT($B18&amp;"!BA$5")</f>
        <v/>
      </c>
      <c r="F18" s="288">
        <f>INDIRECT($B18&amp;"!AX$21")</f>
        <v/>
      </c>
      <c r="G18" s="288">
        <f>INDIRECT($B18&amp;"!AY$21")</f>
        <v/>
      </c>
      <c r="H18" s="288">
        <f>INDIRECT($B18&amp;"!AZ$21")</f>
        <v/>
      </c>
      <c r="I18" s="288">
        <f>INDIRECT($B18&amp;"!BA$21")</f>
        <v/>
      </c>
      <c r="J18" s="288">
        <f>INDIRECT($B18&amp;"!BB$21")</f>
        <v/>
      </c>
      <c r="K18" s="288">
        <f>INDIRECT($B18&amp;"!BC$21")</f>
        <v/>
      </c>
      <c r="L18" s="288">
        <f>INDIRECT($B18&amp;"!BD$21")</f>
        <v/>
      </c>
      <c r="M18" s="288">
        <f>INDIRECT($B18&amp;"!BE$21")</f>
        <v/>
      </c>
      <c r="N18" s="288">
        <f>INDIRECT($B18&amp;"!BC$5")</f>
        <v/>
      </c>
    </row>
    <row r="19">
      <c r="B19" s="231" t="inlineStr">
        <is>
          <t>LEGO_Ferrari</t>
        </is>
      </c>
      <c r="C19" s="288">
        <f>INDIRECT($B19&amp;"!AY$5")</f>
        <v/>
      </c>
      <c r="D19" s="288">
        <f>INDIRECT($B19&amp;"!AZ$5")</f>
        <v/>
      </c>
      <c r="E19" s="288">
        <f>INDIRECT($B19&amp;"!BA$5")</f>
        <v/>
      </c>
      <c r="F19" s="288">
        <f>INDIRECT($B19&amp;"!AX$21")</f>
        <v/>
      </c>
      <c r="G19" s="288">
        <f>INDIRECT($B19&amp;"!AY$21")</f>
        <v/>
      </c>
      <c r="H19" s="288">
        <f>INDIRECT($B19&amp;"!AZ$21")</f>
        <v/>
      </c>
      <c r="I19" s="288">
        <f>INDIRECT($B19&amp;"!BA$21")</f>
        <v/>
      </c>
      <c r="J19" s="288">
        <f>INDIRECT($B19&amp;"!BB$21")</f>
        <v/>
      </c>
      <c r="K19" s="288">
        <f>INDIRECT($B19&amp;"!BC$21")</f>
        <v/>
      </c>
      <c r="L19" s="288">
        <f>INDIRECT($B19&amp;"!BD$21")</f>
        <v/>
      </c>
      <c r="M19" s="288">
        <f>INDIRECT($B19&amp;"!BE$21")</f>
        <v/>
      </c>
      <c r="N19" s="288">
        <f>INDIRECT($B19&amp;"!BC$5")</f>
        <v/>
      </c>
    </row>
    <row r="20">
      <c r="B20" s="231" t="inlineStr">
        <is>
          <t>LEGO_Bugatti</t>
        </is>
      </c>
      <c r="C20" s="288">
        <f>INDIRECT($B20&amp;"!AY$5")</f>
        <v/>
      </c>
      <c r="D20" s="288">
        <f>INDIRECT($B20&amp;"!AZ$5")</f>
        <v/>
      </c>
      <c r="E20" s="288">
        <f>INDIRECT($B20&amp;"!BA$5")</f>
        <v/>
      </c>
      <c r="F20" s="288">
        <f>INDIRECT($B20&amp;"!AX$21")</f>
        <v/>
      </c>
      <c r="G20" s="288">
        <f>INDIRECT($B20&amp;"!AY$21")</f>
        <v/>
      </c>
      <c r="H20" s="288">
        <f>INDIRECT($B20&amp;"!AZ$21")</f>
        <v/>
      </c>
      <c r="I20" s="288">
        <f>INDIRECT($B20&amp;"!BA$21")</f>
        <v/>
      </c>
      <c r="J20" s="288">
        <f>INDIRECT($B20&amp;"!BB$21")</f>
        <v/>
      </c>
      <c r="K20" s="288">
        <f>INDIRECT($B20&amp;"!BC$21")</f>
        <v/>
      </c>
      <c r="L20" s="288">
        <f>INDIRECT($B20&amp;"!BD$21")</f>
        <v/>
      </c>
      <c r="M20" s="288">
        <f>INDIRECT($B20&amp;"!BE$21")</f>
        <v/>
      </c>
      <c r="N20" s="288">
        <f>INDIRECT($B20&amp;"!BC$5")</f>
        <v/>
      </c>
    </row>
    <row r="21">
      <c r="B21" s="231" t="inlineStr">
        <is>
          <t>Plant</t>
        </is>
      </c>
      <c r="C21" s="288">
        <f>INDIRECT($B21&amp;"!AY$5")</f>
        <v/>
      </c>
      <c r="D21" s="288">
        <f>INDIRECT($B21&amp;"!AZ$5")</f>
        <v/>
      </c>
      <c r="E21" s="288">
        <f>INDIRECT($B21&amp;"!BA$5")</f>
        <v/>
      </c>
      <c r="F21" s="288">
        <f>INDIRECT($B21&amp;"!AX$21")</f>
        <v/>
      </c>
      <c r="G21" s="288">
        <f>INDIRECT($B21&amp;"!AY$21")</f>
        <v/>
      </c>
      <c r="H21" s="288">
        <f>INDIRECT($B21&amp;"!AZ$21")</f>
        <v/>
      </c>
      <c r="I21" s="288">
        <f>INDIRECT($B21&amp;"!BA$21")</f>
        <v/>
      </c>
      <c r="J21" s="288">
        <f>INDIRECT($B21&amp;"!BB$21")</f>
        <v/>
      </c>
      <c r="K21" s="288">
        <f>INDIRECT($B21&amp;"!BC$21")</f>
        <v/>
      </c>
      <c r="L21" s="288">
        <f>INDIRECT($B21&amp;"!BD$21")</f>
        <v/>
      </c>
      <c r="M21" s="288">
        <f>INDIRECT($B21&amp;"!BE$21")</f>
        <v/>
      </c>
      <c r="N21" s="288">
        <f>INDIRECT($B21&amp;"!BC$5")</f>
        <v/>
      </c>
    </row>
    <row r="22">
      <c r="B22" s="231" t="inlineStr">
        <is>
          <t>Tennis_Player</t>
        </is>
      </c>
      <c r="C22" s="288">
        <f>INDIRECT($B22&amp;"!AY$5")</f>
        <v/>
      </c>
      <c r="D22" s="288">
        <f>INDIRECT($B22&amp;"!AZ$5")</f>
        <v/>
      </c>
      <c r="E22" s="288">
        <f>INDIRECT($B22&amp;"!BA$5")</f>
        <v/>
      </c>
      <c r="F22" s="288">
        <f>INDIRECT($B22&amp;"!AX$21")</f>
        <v/>
      </c>
      <c r="G22" s="288">
        <f>INDIRECT($B22&amp;"!AY$21")</f>
        <v/>
      </c>
      <c r="H22" s="288">
        <f>INDIRECT($B22&amp;"!AZ$21")</f>
        <v/>
      </c>
      <c r="I22" s="288">
        <f>INDIRECT($B22&amp;"!BA$21")</f>
        <v/>
      </c>
      <c r="J22" s="288">
        <f>INDIRECT($B22&amp;"!BB$21")</f>
        <v/>
      </c>
      <c r="K22" s="288">
        <f>INDIRECT($B22&amp;"!BC$21")</f>
        <v/>
      </c>
      <c r="L22" s="288">
        <f>INDIRECT($B22&amp;"!BD$21")</f>
        <v/>
      </c>
      <c r="M22" s="288">
        <f>INDIRECT($B22&amp;"!BE$21")</f>
        <v/>
      </c>
      <c r="N22" s="288">
        <f>INDIRECT($B22&amp;"!BC$5")</f>
        <v/>
      </c>
    </row>
    <row r="23">
      <c r="B23" s="231" t="inlineStr">
        <is>
          <t>Cricket_Player</t>
        </is>
      </c>
      <c r="C23" s="288">
        <f>INDIRECT($B23&amp;"!AY$5")</f>
        <v/>
      </c>
      <c r="D23" s="288">
        <f>INDIRECT($B23&amp;"!AZ$5")</f>
        <v/>
      </c>
      <c r="E23" s="288">
        <f>INDIRECT($B23&amp;"!BA$5")</f>
        <v/>
      </c>
      <c r="F23" s="288">
        <f>INDIRECT($B23&amp;"!AX$21")</f>
        <v/>
      </c>
      <c r="G23" s="288">
        <f>INDIRECT($B23&amp;"!AY$21")</f>
        <v/>
      </c>
      <c r="H23" s="288">
        <f>INDIRECT($B23&amp;"!AZ$21")</f>
        <v/>
      </c>
      <c r="I23" s="288">
        <f>INDIRECT($B23&amp;"!BA$21")</f>
        <v/>
      </c>
      <c r="J23" s="288">
        <f>INDIRECT($B23&amp;"!BB$21")</f>
        <v/>
      </c>
      <c r="K23" s="288">
        <f>INDIRECT($B23&amp;"!BC$21")</f>
        <v/>
      </c>
      <c r="L23" s="288">
        <f>INDIRECT($B23&amp;"!BD$21")</f>
        <v/>
      </c>
      <c r="M23" s="288">
        <f>INDIRECT($B23&amp;"!BE$21")</f>
        <v/>
      </c>
      <c r="N23" s="288">
        <f>INDIRECT($B23&amp;"!BC$5")</f>
        <v/>
      </c>
    </row>
    <row r="24">
      <c r="B24" s="231" t="inlineStr">
        <is>
          <t>Tango_Duo</t>
        </is>
      </c>
      <c r="C24" s="288">
        <f>INDIRECT($B24&amp;"!AY$5")</f>
        <v/>
      </c>
      <c r="D24" s="288">
        <f>INDIRECT($B24&amp;"!AZ$5")</f>
        <v/>
      </c>
      <c r="E24" s="288">
        <f>INDIRECT($B24&amp;"!BA$5")</f>
        <v/>
      </c>
      <c r="F24" s="288">
        <f>INDIRECT($B24&amp;"!AX$21")</f>
        <v/>
      </c>
      <c r="G24" s="288">
        <f>INDIRECT($B24&amp;"!AY$21")</f>
        <v/>
      </c>
      <c r="H24" s="288">
        <f>INDIRECT($B24&amp;"!AZ$21")</f>
        <v/>
      </c>
      <c r="I24" s="288">
        <f>INDIRECT($B24&amp;"!BA$21")</f>
        <v/>
      </c>
      <c r="J24" s="288">
        <f>INDIRECT($B24&amp;"!BB$21")</f>
        <v/>
      </c>
      <c r="K24" s="288">
        <f>INDIRECT($B24&amp;"!BC$21")</f>
        <v/>
      </c>
      <c r="L24" s="288">
        <f>INDIRECT($B24&amp;"!BD$21")</f>
        <v/>
      </c>
      <c r="M24" s="288">
        <f>INDIRECT($B24&amp;"!BE$21")</f>
        <v/>
      </c>
      <c r="N24" s="288">
        <f>INDIRECT($B24&amp;"!BC$5")</f>
        <v/>
      </c>
    </row>
    <row r="25">
      <c r="B25" s="231" t="inlineStr">
        <is>
          <t>Solo_Tango_Female</t>
        </is>
      </c>
      <c r="C25" s="288">
        <f>INDIRECT($B25&amp;"!AY$5")</f>
        <v/>
      </c>
      <c r="D25" s="288">
        <f>INDIRECT($B25&amp;"!AZ$5")</f>
        <v/>
      </c>
      <c r="E25" s="288">
        <f>INDIRECT($B25&amp;"!BA$5")</f>
        <v/>
      </c>
      <c r="F25" s="288">
        <f>INDIRECT($B25&amp;"!AX$21")</f>
        <v/>
      </c>
      <c r="G25" s="288">
        <f>INDIRECT($B25&amp;"!AY$21")</f>
        <v/>
      </c>
      <c r="H25" s="288">
        <f>INDIRECT($B25&amp;"!AZ$21")</f>
        <v/>
      </c>
      <c r="I25" s="288">
        <f>INDIRECT($B25&amp;"!BA$21")</f>
        <v/>
      </c>
      <c r="J25" s="288">
        <f>INDIRECT($B25&amp;"!BB$21")</f>
        <v/>
      </c>
      <c r="K25" s="288">
        <f>INDIRECT($B25&amp;"!BC$21")</f>
        <v/>
      </c>
      <c r="L25" s="288">
        <f>INDIRECT($B25&amp;"!BD$21")</f>
        <v/>
      </c>
      <c r="M25" s="288">
        <f>INDIRECT($B25&amp;"!BE$21")</f>
        <v/>
      </c>
      <c r="N25" s="288">
        <f>INDIRECT($B25&amp;"!BC$5")</f>
        <v/>
      </c>
    </row>
    <row r="26">
      <c r="B26" s="231" t="inlineStr">
        <is>
          <t>Solo_Tango_Male</t>
        </is>
      </c>
      <c r="C26" s="288">
        <f>INDIRECT($B26&amp;"!AY$5")</f>
        <v/>
      </c>
      <c r="D26" s="288">
        <f>INDIRECT($B26&amp;"!AZ$5")</f>
        <v/>
      </c>
      <c r="E26" s="288">
        <f>INDIRECT($B26&amp;"!BA$5")</f>
        <v/>
      </c>
      <c r="F26" s="288">
        <f>INDIRECT($B26&amp;"!AX$21")</f>
        <v/>
      </c>
      <c r="G26" s="288">
        <f>INDIRECT($B26&amp;"!AY$21")</f>
        <v/>
      </c>
      <c r="H26" s="288">
        <f>INDIRECT($B26&amp;"!AZ$21")</f>
        <v/>
      </c>
      <c r="I26" s="288">
        <f>INDIRECT($B26&amp;"!BA$21")</f>
        <v/>
      </c>
      <c r="J26" s="288">
        <f>INDIRECT($B26&amp;"!BB$21")</f>
        <v/>
      </c>
      <c r="K26" s="288">
        <f>INDIRECT($B26&amp;"!BC$21")</f>
        <v/>
      </c>
      <c r="L26" s="288">
        <f>INDIRECT($B26&amp;"!BD$21")</f>
        <v/>
      </c>
      <c r="M26" s="288">
        <f>INDIRECT($B26&amp;"!BE$21")</f>
        <v/>
      </c>
      <c r="N26" s="288">
        <f>INDIRECT($B26&amp;"!BC$5")</f>
        <v/>
      </c>
    </row>
    <row r="27">
      <c r="B27" s="231" t="inlineStr">
        <is>
          <t>BlueBackpack_UVGgs_0100</t>
        </is>
      </c>
      <c r="C27" s="288">
        <f>INDIRECT($B27&amp;"!AY$5")</f>
        <v/>
      </c>
      <c r="D27" s="288">
        <f>INDIRECT($B27&amp;"!AZ$5")</f>
        <v/>
      </c>
      <c r="E27" s="288">
        <f>INDIRECT($B27&amp;"!BA$5")</f>
        <v/>
      </c>
      <c r="F27" s="288">
        <f>INDIRECT($B27&amp;"!AX$21")</f>
        <v/>
      </c>
      <c r="G27" s="288">
        <f>INDIRECT($B27&amp;"!AY$21")</f>
        <v/>
      </c>
      <c r="H27" s="288">
        <f>INDIRECT($B27&amp;"!AZ$21")</f>
        <v/>
      </c>
      <c r="I27" s="288">
        <f>INDIRECT($B27&amp;"!BA$21")</f>
        <v/>
      </c>
      <c r="J27" s="288">
        <f>INDIRECT($B27&amp;"!BB$21")</f>
        <v/>
      </c>
      <c r="K27" s="288">
        <f>INDIRECT($B27&amp;"!BC$21")</f>
        <v/>
      </c>
      <c r="L27" s="288">
        <f>INDIRECT($B27&amp;"!BD$21")</f>
        <v/>
      </c>
      <c r="M27" s="288">
        <f>INDIRECT($B27&amp;"!BE$21")</f>
        <v/>
      </c>
      <c r="N27" s="288">
        <f>INDIRECT($B27&amp;"!BC$5")</f>
        <v/>
      </c>
    </row>
    <row r="28">
      <c r="B28" s="231" t="inlineStr">
        <is>
          <t>BlueBackpack_UVGgs_0200</t>
        </is>
      </c>
      <c r="C28" s="288">
        <f>INDIRECT($B28&amp;"!AY$5")</f>
        <v/>
      </c>
      <c r="D28" s="288">
        <f>INDIRECT($B28&amp;"!AZ$5")</f>
        <v/>
      </c>
      <c r="E28" s="288">
        <f>INDIRECT($B28&amp;"!BA$5")</f>
        <v/>
      </c>
      <c r="F28" s="288">
        <f>INDIRECT($B28&amp;"!AX$21")</f>
        <v/>
      </c>
      <c r="G28" s="288">
        <f>INDIRECT($B28&amp;"!AY$21")</f>
        <v/>
      </c>
      <c r="H28" s="288">
        <f>INDIRECT($B28&amp;"!AZ$21")</f>
        <v/>
      </c>
      <c r="I28" s="288">
        <f>INDIRECT($B28&amp;"!BA$21")</f>
        <v/>
      </c>
      <c r="J28" s="288">
        <f>INDIRECT($B28&amp;"!BB$21")</f>
        <v/>
      </c>
      <c r="K28" s="288">
        <f>INDIRECT($B28&amp;"!BC$21")</f>
        <v/>
      </c>
      <c r="L28" s="288">
        <f>INDIRECT($B28&amp;"!BD$21")</f>
        <v/>
      </c>
      <c r="M28" s="288">
        <f>INDIRECT($B28&amp;"!BE$21")</f>
        <v/>
      </c>
      <c r="N28" s="288">
        <f>INDIRECT($B28&amp;"!BC$5")</f>
        <v/>
      </c>
    </row>
    <row r="29">
      <c r="B29" s="231" t="inlineStr">
        <is>
          <t>FlowerDance_UVGgs_0000</t>
        </is>
      </c>
      <c r="C29" s="288">
        <f>INDIRECT($B29&amp;"!AY$5")</f>
        <v/>
      </c>
      <c r="D29" s="288">
        <f>INDIRECT($B29&amp;"!AZ$5")</f>
        <v/>
      </c>
      <c r="E29" s="288">
        <f>INDIRECT($B29&amp;"!BA$5")</f>
        <v/>
      </c>
      <c r="F29" s="288">
        <f>INDIRECT($B29&amp;"!AX$21")</f>
        <v/>
      </c>
      <c r="G29" s="288">
        <f>INDIRECT($B29&amp;"!AY$21")</f>
        <v/>
      </c>
      <c r="H29" s="288">
        <f>INDIRECT($B29&amp;"!AZ$21")</f>
        <v/>
      </c>
      <c r="I29" s="288">
        <f>INDIRECT($B29&amp;"!BA$21")</f>
        <v/>
      </c>
      <c r="J29" s="288">
        <f>INDIRECT($B29&amp;"!BB$21")</f>
        <v/>
      </c>
      <c r="K29" s="288">
        <f>INDIRECT($B29&amp;"!BC$21")</f>
        <v/>
      </c>
      <c r="L29" s="288">
        <f>INDIRECT($B29&amp;"!BD$21")</f>
        <v/>
      </c>
      <c r="M29" s="288">
        <f>INDIRECT($B29&amp;"!BE$21")</f>
        <v/>
      </c>
      <c r="N29" s="288">
        <f>INDIRECT($B29&amp;"!BC$5")</f>
        <v/>
      </c>
    </row>
    <row r="30">
      <c r="B30" s="231" t="inlineStr">
        <is>
          <t>FlowerDance_UVGgs_0200</t>
        </is>
      </c>
      <c r="C30" s="288">
        <f>INDIRECT($B30&amp;"!AY$5")</f>
        <v/>
      </c>
      <c r="D30" s="288">
        <f>INDIRECT($B30&amp;"!AZ$5")</f>
        <v/>
      </c>
      <c r="E30" s="288">
        <f>INDIRECT($B30&amp;"!BA$5")</f>
        <v/>
      </c>
      <c r="F30" s="288">
        <f>INDIRECT($B30&amp;"!AX$21")</f>
        <v/>
      </c>
      <c r="G30" s="288">
        <f>INDIRECT($B30&amp;"!AY$21")</f>
        <v/>
      </c>
      <c r="H30" s="288">
        <f>INDIRECT($B30&amp;"!AZ$21")</f>
        <v/>
      </c>
      <c r="I30" s="288">
        <f>INDIRECT($B30&amp;"!BA$21")</f>
        <v/>
      </c>
      <c r="J30" s="288">
        <f>INDIRECT($B30&amp;"!BB$21")</f>
        <v/>
      </c>
      <c r="K30" s="288">
        <f>INDIRECT($B30&amp;"!BC$21")</f>
        <v/>
      </c>
      <c r="L30" s="288">
        <f>INDIRECT($B30&amp;"!BD$21")</f>
        <v/>
      </c>
      <c r="M30" s="288">
        <f>INDIRECT($B30&amp;"!BE$21")</f>
        <v/>
      </c>
      <c r="N30" s="288">
        <f>INDIRECT($B30&amp;"!BC$5")</f>
        <v/>
      </c>
    </row>
    <row r="31">
      <c r="B31" s="231" t="inlineStr">
        <is>
          <t>Gymnast_UVGgs_0100</t>
        </is>
      </c>
      <c r="C31" s="288">
        <f>INDIRECT($B31&amp;"!AY$5")</f>
        <v/>
      </c>
      <c r="D31" s="288">
        <f>INDIRECT($B31&amp;"!AZ$5")</f>
        <v/>
      </c>
      <c r="E31" s="288">
        <f>INDIRECT($B31&amp;"!BA$5")</f>
        <v/>
      </c>
      <c r="F31" s="288">
        <f>INDIRECT($B31&amp;"!AX$21")</f>
        <v/>
      </c>
      <c r="G31" s="288">
        <f>INDIRECT($B31&amp;"!AY$21")</f>
        <v/>
      </c>
      <c r="H31" s="288">
        <f>INDIRECT($B31&amp;"!AZ$21")</f>
        <v/>
      </c>
      <c r="I31" s="288">
        <f>INDIRECT($B31&amp;"!BA$21")</f>
        <v/>
      </c>
      <c r="J31" s="288">
        <f>INDIRECT($B31&amp;"!BB$21")</f>
        <v/>
      </c>
      <c r="K31" s="288">
        <f>INDIRECT($B31&amp;"!BC$21")</f>
        <v/>
      </c>
      <c r="L31" s="288">
        <f>INDIRECT($B31&amp;"!BD$21")</f>
        <v/>
      </c>
      <c r="M31" s="288">
        <f>INDIRECT($B31&amp;"!BE$21")</f>
        <v/>
      </c>
      <c r="N31" s="288">
        <f>INDIRECT($B31&amp;"!BC$5")</f>
        <v/>
      </c>
    </row>
    <row r="32">
      <c r="B32" s="231" t="inlineStr">
        <is>
          <t>Gymnast_UVGgs_0200</t>
        </is>
      </c>
      <c r="C32" s="288">
        <f>INDIRECT($B32&amp;"!AY$5")</f>
        <v/>
      </c>
      <c r="D32" s="288">
        <f>INDIRECT($B32&amp;"!AZ$5")</f>
        <v/>
      </c>
      <c r="E32" s="288">
        <f>INDIRECT($B32&amp;"!BA$5")</f>
        <v/>
      </c>
      <c r="F32" s="288">
        <f>INDIRECT($B32&amp;"!AX$21")</f>
        <v/>
      </c>
      <c r="G32" s="288">
        <f>INDIRECT($B32&amp;"!AY$21")</f>
        <v/>
      </c>
      <c r="H32" s="288">
        <f>INDIRECT($B32&amp;"!AZ$21")</f>
        <v/>
      </c>
      <c r="I32" s="288">
        <f>INDIRECT($B32&amp;"!BA$21")</f>
        <v/>
      </c>
      <c r="J32" s="288">
        <f>INDIRECT($B32&amp;"!BB$21")</f>
        <v/>
      </c>
      <c r="K32" s="288">
        <f>INDIRECT($B32&amp;"!BC$21")</f>
        <v/>
      </c>
      <c r="L32" s="288">
        <f>INDIRECT($B32&amp;"!BD$21")</f>
        <v/>
      </c>
      <c r="M32" s="288">
        <f>INDIRECT($B32&amp;"!BE$21")</f>
        <v/>
      </c>
      <c r="N32" s="288">
        <f>INDIRECT($B32&amp;"!BC$5")</f>
        <v/>
      </c>
    </row>
    <row r="33">
      <c r="B33" s="231" t="inlineStr">
        <is>
          <t>artwork</t>
        </is>
      </c>
      <c r="C33" s="288">
        <f>INDIRECT($B33&amp;"!AY$5")</f>
        <v/>
      </c>
      <c r="D33" s="288">
        <f>INDIRECT($B33&amp;"!AZ$5")</f>
        <v/>
      </c>
      <c r="E33" s="288">
        <f>INDIRECT($B33&amp;"!BA$5")</f>
        <v/>
      </c>
      <c r="F33" s="288">
        <f>INDIRECT($B33&amp;"!AX$21")</f>
        <v/>
      </c>
      <c r="G33" s="288">
        <f>INDIRECT($B33&amp;"!AY$21")</f>
        <v/>
      </c>
      <c r="H33" s="288">
        <f>INDIRECT($B33&amp;"!AZ$21")</f>
        <v/>
      </c>
      <c r="I33" s="288">
        <f>INDIRECT($B33&amp;"!BA$21")</f>
        <v/>
      </c>
      <c r="J33" s="288">
        <f>INDIRECT($B33&amp;"!BB$21")</f>
        <v/>
      </c>
      <c r="K33" s="288">
        <f>INDIRECT($B33&amp;"!BC$21")</f>
        <v/>
      </c>
      <c r="L33" s="288">
        <f>INDIRECT($B33&amp;"!BD$21")</f>
        <v/>
      </c>
      <c r="M33" s="288">
        <f>INDIRECT($B33&amp;"!BE$21")</f>
        <v/>
      </c>
      <c r="N33" s="288">
        <f>INDIRECT($B33&amp;"!BC$5")</f>
        <v/>
      </c>
    </row>
    <row r="34">
      <c r="B34" s="231" t="inlineStr">
        <is>
          <t>panda</t>
        </is>
      </c>
      <c r="C34" s="288">
        <f>INDIRECT($B34&amp;"!AY$5")</f>
        <v/>
      </c>
      <c r="D34" s="288">
        <f>INDIRECT($B34&amp;"!AZ$5")</f>
        <v/>
      </c>
      <c r="E34" s="288">
        <f>INDIRECT($B34&amp;"!BA$5")</f>
        <v/>
      </c>
      <c r="F34" s="288">
        <f>INDIRECT($B34&amp;"!AX$21")</f>
        <v/>
      </c>
      <c r="G34" s="288">
        <f>INDIRECT($B34&amp;"!AY$21")</f>
        <v/>
      </c>
      <c r="H34" s="288">
        <f>INDIRECT($B34&amp;"!AZ$21")</f>
        <v/>
      </c>
      <c r="I34" s="288">
        <f>INDIRECT($B34&amp;"!BA$21")</f>
        <v/>
      </c>
      <c r="J34" s="288">
        <f>INDIRECT($B34&amp;"!BB$21")</f>
        <v/>
      </c>
      <c r="K34" s="288">
        <f>INDIRECT($B34&amp;"!BC$21")</f>
        <v/>
      </c>
      <c r="L34" s="288">
        <f>INDIRECT($B34&amp;"!BD$21")</f>
        <v/>
      </c>
      <c r="M34" s="288">
        <f>INDIRECT($B34&amp;"!BE$21")</f>
        <v/>
      </c>
      <c r="N34" s="288">
        <f>INDIRECT($B34&amp;"!BC$5")</f>
        <v/>
      </c>
    </row>
    <row r="35" ht="17.25" customHeight="1" s="256" thickBot="1">
      <c r="B35" s="231" t="inlineStr">
        <is>
          <t>wukong</t>
        </is>
      </c>
      <c r="C35" s="288">
        <f>INDIRECT($B35&amp;"!AY$5")</f>
        <v/>
      </c>
      <c r="D35" s="288">
        <f>INDIRECT($B35&amp;"!AZ$5")</f>
        <v/>
      </c>
      <c r="E35" s="288">
        <f>INDIRECT($B35&amp;"!BA$5")</f>
        <v/>
      </c>
      <c r="F35" s="288">
        <f>INDIRECT($B35&amp;"!AX$21")</f>
        <v/>
      </c>
      <c r="G35" s="288">
        <f>INDIRECT($B35&amp;"!AY$21")</f>
        <v/>
      </c>
      <c r="H35" s="288">
        <f>INDIRECT($B35&amp;"!AZ$21")</f>
        <v/>
      </c>
      <c r="I35" s="288">
        <f>INDIRECT($B35&amp;"!BA$21")</f>
        <v/>
      </c>
      <c r="J35" s="288">
        <f>INDIRECT($B35&amp;"!BB$21")</f>
        <v/>
      </c>
      <c r="K35" s="288">
        <f>INDIRECT($B35&amp;"!BC$21")</f>
        <v/>
      </c>
      <c r="L35" s="288">
        <f>INDIRECT($B35&amp;"!BD$21")</f>
        <v/>
      </c>
      <c r="M35" s="288">
        <f>INDIRECT($B35&amp;"!BE$21")</f>
        <v/>
      </c>
      <c r="N35" s="288">
        <f>INDIRECT($B35&amp;"!BC$5")</f>
        <v/>
      </c>
    </row>
    <row r="36" ht="18" customHeight="1" s="256" thickBot="1">
      <c r="B36" s="25" t="inlineStr">
        <is>
          <t>Average</t>
        </is>
      </c>
      <c r="C36" s="290">
        <f>IF(COUNTIF(C18:C35,"=0")&gt;0,0,AVERAGE(C18:C35))</f>
        <v/>
      </c>
      <c r="D36" s="290">
        <f>IF(COUNTIF(D18:D35,"=0")&gt;0,0,AVERAGE(D18:D35))</f>
        <v/>
      </c>
      <c r="E36" s="290">
        <f>IF(COUNTIF(E18:E35,"=0")&gt;0,0,AVERAGE(E18:E35))</f>
        <v/>
      </c>
      <c r="F36" s="290">
        <f>IF(COUNTIF(F18:F35,"=0")&gt;0,0,AVERAGE(F18:F35))</f>
        <v/>
      </c>
      <c r="G36" s="290">
        <f>IF(COUNTIF(G18:G35,"=0")&gt;0,0,AVERAGE(G18:G35))</f>
        <v/>
      </c>
      <c r="H36" s="290">
        <f>IF(COUNTIF(H18:H35,"=0")&gt;0,0,AVERAGE(H18:H35))</f>
        <v/>
      </c>
      <c r="I36" s="290">
        <f>IF(COUNTIF(I18:I35,"=0")&gt;0,0,AVERAGE(I18:I35))</f>
        <v/>
      </c>
      <c r="J36" s="290">
        <f>IF(COUNTIF(J18:J35,"=0")&gt;0,0,AVERAGE(J18:J35))</f>
        <v/>
      </c>
      <c r="K36" s="290">
        <f>IF(COUNTIF(K18:K35,"=0")&gt;0,0,AVERAGE(K18:K35))</f>
        <v/>
      </c>
      <c r="L36" s="290">
        <f>IF(COUNTIF(L18:L35,"=0")&gt;0,0,AVERAGE(L18:L35))</f>
        <v/>
      </c>
      <c r="M36" s="290">
        <f>IF(COUNTIF(M18:M35,"=0")&gt;0,0,AVERAGE(M18:M35))</f>
        <v/>
      </c>
      <c r="N36" s="290">
        <f>IF(COUNTIF(N18:N35,"=0")&gt;0,0,AVERAGE(N18:N35))</f>
        <v/>
      </c>
    </row>
  </sheetData>
  <mergeCells count="4">
    <mergeCell ref="B7:O7"/>
    <mergeCell ref="C3:O3"/>
    <mergeCell ref="B16:O16"/>
    <mergeCell ref="C4:O4"/>
  </mergeCells>
  <conditionalFormatting sqref="C9:E12 C18:E36 N9:N12">
    <cfRule type="cellIs" priority="37" operator="lessThan" dxfId="1781">
      <formula>-0.03</formula>
    </cfRule>
    <cfRule type="cellIs" priority="38" operator="greaterThan" dxfId="1780">
      <formula>0.03</formula>
    </cfRule>
  </conditionalFormatting>
  <conditionalFormatting sqref="N18:N35">
    <cfRule type="cellIs" priority="1" operator="lessThan" dxfId="1781">
      <formula>-0.03</formula>
    </cfRule>
    <cfRule type="cellIs" priority="2" operator="greaterThan" dxfId="1780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A1:AF277"/>
  <sheetViews>
    <sheetView workbookViewId="0">
      <selection activeCell="H53" sqref="H53"/>
    </sheetView>
  </sheetViews>
  <sheetFormatPr baseColWidth="8" defaultColWidth="9" defaultRowHeight="15.6" outlineLevelCol="0"/>
  <cols>
    <col width="1.69921875" bestFit="1" customWidth="1" style="256" min="1" max="1"/>
    <col width="19.69921875" customWidth="1" style="256" min="2" max="2"/>
    <col width="9.296875" customWidth="1" style="256" min="3" max="3"/>
    <col width="14.296875" customWidth="1" style="256" min="4" max="4"/>
    <col width="4.69921875" customWidth="1" style="256" min="5" max="5"/>
    <col width="18.3984375" bestFit="1" customWidth="1" style="256" min="6" max="6"/>
    <col width="9.296875" customWidth="1" style="256" min="7" max="7"/>
    <col width="14.296875" customWidth="1" style="256" min="8" max="8"/>
    <col width="4.69921875" customWidth="1" style="256" min="9" max="9"/>
    <col width="9.69921875" customWidth="1" style="256" min="10" max="10"/>
    <col width="4.69921875" customWidth="1" style="256" min="11" max="11"/>
    <col width="14.296875" bestFit="1" customWidth="1" style="256" min="12" max="12"/>
    <col width="21.69921875" bestFit="1" customWidth="1" style="256" min="13" max="13"/>
    <col width="7.69921875" bestFit="1" customWidth="1" style="256" min="14" max="14"/>
    <col width="4.69921875" customWidth="1" style="256" min="15" max="15"/>
    <col width="9.69921875" bestFit="1" customWidth="1" style="256" min="16" max="16"/>
    <col width="4.69921875" customWidth="1" style="256" min="17" max="17"/>
    <col width="84.69921875" customWidth="1" style="256" min="18" max="18"/>
    <col width="6.3984375" bestFit="1" customWidth="1" style="256" min="19" max="19"/>
    <col width="9.69921875" bestFit="1" customWidth="1" style="256" min="20" max="20"/>
    <col width="1.69921875" bestFit="1" customWidth="1" style="256" min="21" max="21"/>
    <col width="7.69921875" bestFit="1" customWidth="1" style="256" min="22" max="22"/>
    <col width="1.69921875" bestFit="1" customWidth="1" style="256" min="23" max="23"/>
    <col width="14.296875" bestFit="1" customWidth="1" style="256" min="24" max="24"/>
    <col width="16.09765625" bestFit="1" customWidth="1" style="256" min="25" max="25"/>
    <col width="5.09765625" bestFit="1" customWidth="1" style="256" min="26" max="26"/>
    <col width="1.69921875" bestFit="1" customWidth="1" style="256" min="27" max="27"/>
    <col width="9" bestFit="1" customWidth="1" style="265" min="28" max="28"/>
    <col width="9" customWidth="1" style="256" min="29" max="29"/>
    <col width="1.296875" bestFit="1" customWidth="1" style="256" min="30" max="30"/>
    <col width="80.69921875" customWidth="1" style="256" min="31" max="31"/>
    <col width="1.296875" bestFit="1" customWidth="1" style="256" min="32" max="32"/>
    <col width="9" customWidth="1" style="256" min="33" max="38"/>
  </cols>
  <sheetData>
    <row r="1">
      <c r="AD1" s="10" t="inlineStr"/>
      <c r="AF1" s="10" t="inlineStr"/>
    </row>
    <row r="2">
      <c r="B2" s="260">
        <f>'Summary (auto)'!C3</f>
        <v/>
      </c>
      <c r="E2" s="114" t="n"/>
      <c r="F2" s="260">
        <f>'Summary (auto)'!C4</f>
        <v/>
      </c>
      <c r="I2" s="265" t="n"/>
      <c r="J2" s="255" t="inlineStr">
        <is>
          <t>Rate</t>
        </is>
      </c>
      <c r="K2" s="265" t="n"/>
      <c r="L2" s="255" t="inlineStr">
        <is>
          <t>Distortion</t>
        </is>
      </c>
      <c r="O2" s="265" t="n"/>
      <c r="P2" s="255" t="inlineStr">
        <is>
          <t>BD-rate</t>
        </is>
      </c>
      <c r="U2" s="255" t="n"/>
      <c r="V2" s="255" t="n"/>
    </row>
    <row r="3" ht="16.5" customHeight="1" s="256" thickBot="1">
      <c r="A3" s="189" t="inlineStr"/>
      <c r="B3" s="114" t="n"/>
      <c r="C3" s="114" t="n"/>
      <c r="D3" s="114" t="n"/>
      <c r="E3" s="114" t="n"/>
      <c r="F3" s="114" t="n"/>
      <c r="G3" s="114" t="n"/>
      <c r="H3" s="114" t="n"/>
      <c r="I3" s="265" t="n"/>
      <c r="J3" s="265" t="n"/>
      <c r="K3" s="190" t="inlineStr"/>
      <c r="L3" s="105" t="inlineStr">
        <is>
          <t>F</t>
        </is>
      </c>
      <c r="M3" s="105" t="inlineStr">
        <is>
          <t>AD</t>
        </is>
      </c>
      <c r="N3" s="265" t="n"/>
      <c r="O3" s="190" t="inlineStr"/>
      <c r="P3" s="265" t="n"/>
      <c r="U3" s="189" t="inlineStr"/>
      <c r="W3" s="189" t="inlineStr"/>
    </row>
    <row r="4">
      <c r="B4" s="261" t="inlineStr">
        <is>
          <t>bartender_track</t>
        </is>
      </c>
      <c r="C4" s="262" t="n"/>
      <c r="D4" s="263" t="n"/>
      <c r="E4" s="2" t="n"/>
      <c r="F4" s="261">
        <f>B4</f>
        <v/>
      </c>
      <c r="G4" s="262" t="n"/>
      <c r="H4" s="263" t="n"/>
      <c r="I4" s="2" t="n"/>
      <c r="J4" s="264" t="n"/>
      <c r="L4" s="264">
        <f>F4</f>
        <v/>
      </c>
      <c r="M4" s="262" t="n"/>
      <c r="N4" s="263" t="n"/>
      <c r="O4" s="195" t="n"/>
      <c r="P4" s="264" t="n"/>
      <c r="Q4" s="195" t="n"/>
      <c r="R4" s="195" t="n"/>
      <c r="S4" s="195" t="n"/>
      <c r="T4" s="195" t="n"/>
      <c r="U4" s="265" t="n"/>
      <c r="V4" s="265" t="n"/>
      <c r="X4" s="265" t="n"/>
    </row>
    <row r="5">
      <c r="B5" s="259" t="inlineStr">
        <is>
          <t>Test</t>
        </is>
      </c>
      <c r="D5" s="87" t="inlineStr">
        <is>
          <t>Bitstream (MB)</t>
        </is>
      </c>
      <c r="E5" s="294" t="n"/>
      <c r="F5" s="259" t="inlineStr">
        <is>
          <t>Test</t>
        </is>
      </c>
      <c r="H5" s="87" t="inlineStr">
        <is>
          <t>Bitstream (MB)</t>
        </is>
      </c>
      <c r="I5" s="9" t="n"/>
      <c r="J5" s="257" t="inlineStr">
        <is>
          <t>%</t>
        </is>
      </c>
      <c r="L5" s="257" t="inlineStr">
        <is>
          <t>RGB-PSNR</t>
        </is>
      </c>
      <c r="N5" s="258" t="n"/>
      <c r="O5" s="85" t="n"/>
      <c r="P5" s="3" t="n"/>
      <c r="Q5" s="85" t="n"/>
      <c r="R5" s="255" t="n"/>
      <c r="U5" s="255" t="n"/>
      <c r="V5" s="255" t="n"/>
      <c r="X5" s="255" t="n"/>
    </row>
    <row r="6">
      <c r="B6" s="191" t="inlineStr">
        <is>
          <t>Anchor</t>
        </is>
      </c>
      <c r="C6" s="130" t="inlineStr">
        <is>
          <t>Test point</t>
        </is>
      </c>
      <c r="D6" s="86" t="inlineStr">
        <is>
          <t>Total</t>
        </is>
      </c>
      <c r="E6" s="294" t="n"/>
      <c r="F6" s="191" t="inlineStr">
        <is>
          <t>Anchor</t>
        </is>
      </c>
      <c r="G6" s="130" t="inlineStr">
        <is>
          <t>Test point</t>
        </is>
      </c>
      <c r="H6" s="86" t="inlineStr">
        <is>
          <t>Total</t>
        </is>
      </c>
      <c r="I6" s="9" t="n"/>
      <c r="J6" s="93" t="n"/>
      <c r="L6" s="192">
        <f>CONCATENATE(B$2," ",L4)</f>
        <v/>
      </c>
      <c r="M6" s="193">
        <f>CONCATENATE(F$2," ",L4)</f>
        <v/>
      </c>
      <c r="N6" s="194" t="inlineStr">
        <is>
          <t>Delta</t>
        </is>
      </c>
      <c r="O6" s="2" t="n"/>
      <c r="P6" s="3" t="inlineStr">
        <is>
          <t>BD-rate</t>
        </is>
      </c>
      <c r="Q6" s="2" t="n"/>
      <c r="R6" s="2" t="n"/>
      <c r="S6" s="2" t="n"/>
      <c r="T6" s="2" t="n"/>
      <c r="U6" s="2" t="n"/>
      <c r="V6" s="2" t="n"/>
      <c r="X6" s="195" t="n"/>
      <c r="Y6" s="195" t="n"/>
      <c r="Z6" s="195" t="n"/>
    </row>
    <row r="7">
      <c r="B7" s="122">
        <f>B4</f>
        <v/>
      </c>
      <c r="C7" s="130" t="inlineStr">
        <is>
          <t>r01</t>
        </is>
      </c>
      <c r="D7" s="295">
        <f>0.000001*INDIRECT($B7&amp;"!E5")</f>
        <v/>
      </c>
      <c r="E7" s="294" t="n"/>
      <c r="F7" s="122">
        <f>F4</f>
        <v/>
      </c>
      <c r="G7" s="130" t="inlineStr">
        <is>
          <t>r01</t>
        </is>
      </c>
      <c r="H7" s="295">
        <f>0.000001*INDIRECT($B7&amp;"!AC5")</f>
        <v/>
      </c>
      <c r="I7" s="9" t="n"/>
      <c r="J7" s="296">
        <f>H7/D7-1</f>
        <v/>
      </c>
      <c r="L7" s="94">
        <f>INDIRECT($B7&amp;"!"&amp;L$3&amp;"5")</f>
        <v/>
      </c>
      <c r="M7" s="95">
        <f>INDIRECT($B7&amp;"!"&amp;M$3&amp;"5")</f>
        <v/>
      </c>
      <c r="N7" s="96">
        <f>M7-L7</f>
        <v/>
      </c>
      <c r="O7" s="294" t="n"/>
      <c r="P7" s="296">
        <f>bdRateExtend(D7:D11,L7:L11,H7:H11,M7:M11)</f>
        <v/>
      </c>
      <c r="Q7" s="294" t="n"/>
      <c r="R7" s="9" t="n"/>
      <c r="S7" s="9" t="n"/>
      <c r="T7" s="9" t="n"/>
      <c r="U7" s="9" t="n"/>
      <c r="V7" s="297" t="n"/>
      <c r="X7" s="6" t="n"/>
      <c r="Y7" s="6" t="n"/>
      <c r="Z7" s="81" t="n"/>
      <c r="AB7" s="298" t="n"/>
    </row>
    <row r="8">
      <c r="B8" s="122">
        <f>B7</f>
        <v/>
      </c>
      <c r="C8" s="130" t="inlineStr">
        <is>
          <t>r02</t>
        </is>
      </c>
      <c r="D8" s="295">
        <f>0.000001*INDIRECT($B8&amp;"!E6")</f>
        <v/>
      </c>
      <c r="E8" s="294" t="n"/>
      <c r="F8" s="122">
        <f>F7</f>
        <v/>
      </c>
      <c r="G8" s="130" t="inlineStr">
        <is>
          <t>r02</t>
        </is>
      </c>
      <c r="H8" s="295">
        <f>0.000001*INDIRECT($B8&amp;"!AC6")</f>
        <v/>
      </c>
      <c r="I8" s="9" t="n"/>
      <c r="J8" s="296">
        <f>H8/D8-1</f>
        <v/>
      </c>
      <c r="L8" s="94">
        <f>INDIRECT($B8&amp;"!"&amp;L$3&amp;"6")</f>
        <v/>
      </c>
      <c r="M8" s="95">
        <f>INDIRECT($B8&amp;"!"&amp;M$3&amp;"6")</f>
        <v/>
      </c>
      <c r="N8" s="96">
        <f>M8-L8</f>
        <v/>
      </c>
      <c r="O8" s="294" t="n"/>
      <c r="P8" s="3" t="n"/>
      <c r="Q8" s="294" t="n"/>
      <c r="R8" s="9" t="n"/>
      <c r="S8" s="9" t="n"/>
      <c r="T8" s="9" t="n"/>
      <c r="U8" s="9" t="n"/>
      <c r="V8" s="297" t="n"/>
      <c r="X8" s="6" t="n"/>
      <c r="Y8" s="6" t="n"/>
      <c r="Z8" s="81" t="n"/>
    </row>
    <row r="9">
      <c r="B9" s="122">
        <f>B8</f>
        <v/>
      </c>
      <c r="C9" s="130" t="inlineStr">
        <is>
          <t>r03</t>
        </is>
      </c>
      <c r="D9" s="295">
        <f>0.000001*INDIRECT($B9&amp;"!E7")</f>
        <v/>
      </c>
      <c r="E9" s="294" t="n"/>
      <c r="F9" s="122">
        <f>F8</f>
        <v/>
      </c>
      <c r="G9" s="130" t="inlineStr">
        <is>
          <t>r03</t>
        </is>
      </c>
      <c r="H9" s="295">
        <f>0.000001*INDIRECT($B9&amp;"!AC7")</f>
        <v/>
      </c>
      <c r="I9" s="9" t="n"/>
      <c r="J9" s="296">
        <f>H9/D9-1</f>
        <v/>
      </c>
      <c r="L9" s="94">
        <f>INDIRECT($B9&amp;"!"&amp;L$3&amp;"7")</f>
        <v/>
      </c>
      <c r="M9" s="95">
        <f>INDIRECT($B9&amp;"!"&amp;M$3&amp;"7")</f>
        <v/>
      </c>
      <c r="N9" s="96">
        <f>M9-L9</f>
        <v/>
      </c>
      <c r="O9" s="294" t="n"/>
      <c r="P9" s="3" t="n"/>
      <c r="Q9" s="294" t="n"/>
      <c r="R9" s="9" t="n"/>
      <c r="S9" s="9" t="n"/>
      <c r="T9" s="9" t="n"/>
      <c r="U9" s="9" t="n"/>
      <c r="V9" s="297" t="n"/>
      <c r="X9" s="6" t="n"/>
      <c r="Y9" s="6" t="n"/>
      <c r="Z9" s="81" t="n"/>
    </row>
    <row r="10">
      <c r="B10" s="122">
        <f>B9</f>
        <v/>
      </c>
      <c r="C10" s="130" t="inlineStr">
        <is>
          <t>r04</t>
        </is>
      </c>
      <c r="D10" s="295">
        <f>0.000001*INDIRECT($B10&amp;"!E8")</f>
        <v/>
      </c>
      <c r="E10" s="294" t="n"/>
      <c r="F10" s="122">
        <f>F9</f>
        <v/>
      </c>
      <c r="G10" s="130" t="inlineStr">
        <is>
          <t>r04</t>
        </is>
      </c>
      <c r="H10" s="295">
        <f>0.000001*INDIRECT($B10&amp;"!AC8")</f>
        <v/>
      </c>
      <c r="I10" s="9" t="n"/>
      <c r="J10" s="296">
        <f>H10/D10-1</f>
        <v/>
      </c>
      <c r="L10" s="94">
        <f>INDIRECT($B10&amp;"!"&amp;L$3&amp;"8")</f>
        <v/>
      </c>
      <c r="M10" s="95">
        <f>INDIRECT($B10&amp;"!"&amp;M$3&amp;"8")</f>
        <v/>
      </c>
      <c r="N10" s="96">
        <f>M10-L10</f>
        <v/>
      </c>
      <c r="O10" s="294" t="n"/>
      <c r="P10" s="296" t="n"/>
      <c r="Q10" s="294" t="n"/>
      <c r="R10" s="9" t="n"/>
      <c r="S10" s="9" t="n"/>
      <c r="T10" s="9" t="n"/>
      <c r="U10" s="9" t="n"/>
      <c r="V10" s="297" t="n"/>
      <c r="X10" s="6" t="n"/>
      <c r="Y10" s="6" t="n"/>
      <c r="Z10" s="81" t="n"/>
    </row>
    <row r="11" ht="16.5" customHeight="1" s="256" thickBot="1">
      <c r="B11" s="122">
        <f>B10</f>
        <v/>
      </c>
      <c r="C11" s="130" t="inlineStr">
        <is>
          <t>r05</t>
        </is>
      </c>
      <c r="D11" s="295">
        <f>0.000001*INDIRECT($B11&amp;"!E9")</f>
        <v/>
      </c>
      <c r="E11" s="294" t="n"/>
      <c r="F11" s="122">
        <f>F10</f>
        <v/>
      </c>
      <c r="G11" s="130" t="inlineStr">
        <is>
          <t>r05</t>
        </is>
      </c>
      <c r="H11" s="295">
        <f>0.000001*INDIRECT($B11&amp;"!AC9")</f>
        <v/>
      </c>
      <c r="I11" s="9" t="n"/>
      <c r="J11" s="296">
        <f>H11/D11-1</f>
        <v/>
      </c>
      <c r="L11" s="94">
        <f>INDIRECT($B11&amp;"!"&amp;L$3&amp;"9")</f>
        <v/>
      </c>
      <c r="M11" s="95">
        <f>INDIRECT($B11&amp;"!"&amp;M$3&amp;"9")</f>
        <v/>
      </c>
      <c r="N11" s="96">
        <f>M11-L11</f>
        <v/>
      </c>
      <c r="O11" s="294" t="n"/>
      <c r="P11" s="299" t="n"/>
      <c r="Q11" s="294" t="n"/>
      <c r="R11" s="9" t="n"/>
      <c r="S11" s="9" t="n"/>
      <c r="T11" s="9" t="n"/>
      <c r="U11" s="9" t="n"/>
      <c r="V11" s="297" t="n"/>
      <c r="X11" s="6" t="n"/>
      <c r="Y11" s="6" t="n"/>
      <c r="Z11" s="81" t="n"/>
      <c r="AB11" s="298" t="n"/>
    </row>
    <row r="12" ht="16.5" customHeight="1" s="256">
      <c r="B12" s="109" t="n"/>
      <c r="C12" s="110" t="n"/>
      <c r="D12" s="300" t="n"/>
      <c r="F12" s="109" t="n"/>
      <c r="G12" s="110" t="n"/>
      <c r="H12" s="300" t="n"/>
      <c r="J12" s="98">
        <f>MIN(D7:D11,H7:H11)</f>
        <v/>
      </c>
      <c r="L12" s="99" t="n"/>
      <c r="M12" s="100" t="n"/>
      <c r="N12" s="101" t="n"/>
      <c r="O12" s="294" t="n"/>
      <c r="P12" s="264" t="n"/>
      <c r="Q12" s="294" t="n"/>
      <c r="R12" s="9" t="n"/>
      <c r="S12" s="9" t="n"/>
      <c r="T12" s="9" t="n"/>
      <c r="U12" s="9" t="n"/>
      <c r="V12" s="83" t="n"/>
      <c r="X12" s="6" t="n"/>
      <c r="Y12" s="6" t="n"/>
      <c r="Z12" s="81" t="n"/>
    </row>
    <row r="13" ht="16.5" customHeight="1" s="256" thickBot="1">
      <c r="B13" s="89" t="n"/>
      <c r="C13" s="92" t="n"/>
      <c r="D13" s="301" t="n"/>
      <c r="E13" s="294" t="n"/>
      <c r="F13" s="89" t="n"/>
      <c r="G13" s="92" t="n"/>
      <c r="H13" s="301" t="n"/>
      <c r="I13" s="9" t="n"/>
      <c r="J13" s="102">
        <f>MAX(D7:D11,H7:H11)</f>
        <v/>
      </c>
      <c r="L13" s="103">
        <f>L12</f>
        <v/>
      </c>
      <c r="M13" s="104">
        <f>M12</f>
        <v/>
      </c>
      <c r="N13" s="97" t="n"/>
      <c r="O13" s="294" t="n"/>
      <c r="P13" s="5" t="n"/>
      <c r="Q13" s="294" t="n"/>
      <c r="R13" s="9" t="n"/>
      <c r="S13" s="9" t="n"/>
      <c r="T13" s="9" t="n"/>
      <c r="U13" s="9" t="n"/>
      <c r="V13" s="83" t="n"/>
      <c r="X13" s="84" t="n"/>
      <c r="Y13" s="84" t="n"/>
      <c r="Z13" s="81" t="n"/>
    </row>
    <row r="14" ht="16.5" customHeight="1" s="256" thickBot="1">
      <c r="B14" s="114" t="n"/>
      <c r="C14" s="114" t="n"/>
      <c r="D14" s="302" t="n"/>
      <c r="E14" s="294" t="n"/>
      <c r="F14" s="114" t="n"/>
      <c r="G14" s="114" t="n"/>
      <c r="H14" s="302" t="n"/>
      <c r="I14" s="9" t="n"/>
      <c r="J14" s="212" t="n"/>
      <c r="L14" s="213" t="n"/>
      <c r="M14" s="213" t="n"/>
      <c r="N14" s="214" t="n"/>
      <c r="O14" s="294" t="n"/>
      <c r="P14" s="265" t="n"/>
      <c r="Q14" s="294" t="n"/>
      <c r="R14" s="9" t="n"/>
      <c r="S14" s="9" t="n"/>
      <c r="T14" s="9" t="n"/>
      <c r="U14" s="9" t="n"/>
      <c r="V14" s="83" t="n"/>
      <c r="X14" s="84" t="n"/>
      <c r="Y14" s="84" t="n"/>
      <c r="Z14" s="81" t="n"/>
    </row>
    <row r="15">
      <c r="B15" s="261" t="inlineStr">
        <is>
          <t>breakfast_track</t>
        </is>
      </c>
      <c r="C15" s="262" t="n"/>
      <c r="D15" s="263" t="n"/>
      <c r="E15" s="2" t="n"/>
      <c r="F15" s="261">
        <f>B15</f>
        <v/>
      </c>
      <c r="G15" s="262" t="n"/>
      <c r="H15" s="263" t="n"/>
      <c r="I15" s="2" t="n"/>
      <c r="J15" s="264" t="n"/>
      <c r="L15" s="264">
        <f>F15</f>
        <v/>
      </c>
      <c r="M15" s="262" t="n"/>
      <c r="N15" s="263" t="n"/>
      <c r="O15" s="195" t="n"/>
      <c r="P15" s="264" t="n"/>
      <c r="Q15" s="195" t="n"/>
      <c r="R15" s="195" t="n"/>
      <c r="S15" s="195" t="n"/>
      <c r="T15" s="195" t="n"/>
      <c r="U15" s="265" t="n"/>
      <c r="V15" s="265" t="n"/>
      <c r="X15" s="265" t="n"/>
    </row>
    <row r="16">
      <c r="B16" s="259" t="inlineStr">
        <is>
          <t>Test</t>
        </is>
      </c>
      <c r="D16" s="87" t="inlineStr">
        <is>
          <t>Bitstream (MB)</t>
        </is>
      </c>
      <c r="E16" s="294" t="n"/>
      <c r="F16" s="259" t="inlineStr">
        <is>
          <t>Test</t>
        </is>
      </c>
      <c r="H16" s="87" t="inlineStr">
        <is>
          <t>Bitstream (MB)</t>
        </is>
      </c>
      <c r="I16" s="9" t="n"/>
      <c r="J16" s="257" t="inlineStr">
        <is>
          <t>%</t>
        </is>
      </c>
      <c r="L16" s="257" t="inlineStr">
        <is>
          <t>RGB-PSNR</t>
        </is>
      </c>
      <c r="N16" s="258" t="n"/>
      <c r="O16" s="85" t="n"/>
      <c r="P16" s="3" t="n"/>
      <c r="Q16" s="85" t="n"/>
      <c r="R16" s="255" t="n"/>
      <c r="U16" s="255" t="n"/>
      <c r="V16" s="255" t="n"/>
      <c r="X16" s="255" t="n"/>
    </row>
    <row r="17">
      <c r="B17" s="191" t="inlineStr">
        <is>
          <t>Anchor</t>
        </is>
      </c>
      <c r="C17" s="130" t="inlineStr">
        <is>
          <t>Test point</t>
        </is>
      </c>
      <c r="D17" s="86" t="inlineStr">
        <is>
          <t>Total</t>
        </is>
      </c>
      <c r="E17" s="294" t="n"/>
      <c r="F17" s="191" t="inlineStr">
        <is>
          <t>Anchor</t>
        </is>
      </c>
      <c r="G17" s="130" t="inlineStr">
        <is>
          <t>Test point</t>
        </is>
      </c>
      <c r="H17" s="86" t="inlineStr">
        <is>
          <t>Total</t>
        </is>
      </c>
      <c r="I17" s="9" t="n"/>
      <c r="J17" s="93" t="n"/>
      <c r="L17" s="192">
        <f>CONCATENATE(B$2," ",L15)</f>
        <v/>
      </c>
      <c r="M17" s="193">
        <f>CONCATENATE(F$2," ",L15)</f>
        <v/>
      </c>
      <c r="N17" s="194" t="inlineStr">
        <is>
          <t>Delta</t>
        </is>
      </c>
      <c r="O17" s="2" t="n"/>
      <c r="P17" s="3" t="inlineStr">
        <is>
          <t>BD-rate</t>
        </is>
      </c>
      <c r="Q17" s="2" t="n"/>
      <c r="R17" s="2" t="n"/>
      <c r="S17" s="2" t="n"/>
      <c r="T17" s="2" t="n"/>
      <c r="U17" s="2" t="n"/>
      <c r="V17" s="2" t="n"/>
      <c r="X17" s="195" t="n"/>
      <c r="Y17" s="195" t="n"/>
      <c r="Z17" s="195" t="n"/>
    </row>
    <row r="18">
      <c r="B18" s="122">
        <f>B15</f>
        <v/>
      </c>
      <c r="C18" s="130" t="inlineStr">
        <is>
          <t>r01</t>
        </is>
      </c>
      <c r="D18" s="295">
        <f>0.000001*INDIRECT($B18&amp;"!E5")</f>
        <v/>
      </c>
      <c r="E18" s="294" t="n"/>
      <c r="F18" s="122">
        <f>F15</f>
        <v/>
      </c>
      <c r="G18" s="130" t="inlineStr">
        <is>
          <t>r01</t>
        </is>
      </c>
      <c r="H18" s="295">
        <f>0.000001*INDIRECT($B18&amp;"!AC5")</f>
        <v/>
      </c>
      <c r="I18" s="9" t="n"/>
      <c r="J18" s="296">
        <f>H18/D18-1</f>
        <v/>
      </c>
      <c r="L18" s="94">
        <f>INDIRECT($B18&amp;"!"&amp;L$3&amp;"5")</f>
        <v/>
      </c>
      <c r="M18" s="95">
        <f>INDIRECT($B18&amp;"!"&amp;M$3&amp;"5")</f>
        <v/>
      </c>
      <c r="N18" s="96">
        <f>M18-L18</f>
        <v/>
      </c>
      <c r="O18" s="294" t="n"/>
      <c r="P18" s="296">
        <f>bdRateExtend(D18:D22,L18:L22,H18:H22,M18:M22)</f>
        <v/>
      </c>
      <c r="Q18" s="294" t="n"/>
      <c r="R18" s="9" t="n"/>
      <c r="S18" s="9" t="n"/>
      <c r="T18" s="9" t="n"/>
      <c r="U18" s="9" t="n"/>
      <c r="V18" s="297" t="n"/>
      <c r="X18" s="6" t="n"/>
      <c r="Y18" s="6" t="n"/>
      <c r="Z18" s="81" t="n"/>
      <c r="AB18" s="298" t="n"/>
    </row>
    <row r="19">
      <c r="B19" s="122">
        <f>B18</f>
        <v/>
      </c>
      <c r="C19" s="130" t="inlineStr">
        <is>
          <t>r02</t>
        </is>
      </c>
      <c r="D19" s="295">
        <f>0.000001*INDIRECT($B19&amp;"!E6")</f>
        <v/>
      </c>
      <c r="E19" s="294" t="n"/>
      <c r="F19" s="122">
        <f>F18</f>
        <v/>
      </c>
      <c r="G19" s="130" t="inlineStr">
        <is>
          <t>r02</t>
        </is>
      </c>
      <c r="H19" s="295">
        <f>0.000001*INDIRECT($B19&amp;"!AC6")</f>
        <v/>
      </c>
      <c r="I19" s="9" t="n"/>
      <c r="J19" s="296">
        <f>H19/D19-1</f>
        <v/>
      </c>
      <c r="L19" s="94">
        <f>INDIRECT($B19&amp;"!"&amp;L$3&amp;"6")</f>
        <v/>
      </c>
      <c r="M19" s="95">
        <f>INDIRECT($B19&amp;"!"&amp;M$3&amp;"6")</f>
        <v/>
      </c>
      <c r="N19" s="96">
        <f>M19-L19</f>
        <v/>
      </c>
      <c r="O19" s="294" t="n"/>
      <c r="P19" s="3" t="n"/>
      <c r="Q19" s="294" t="n"/>
      <c r="R19" s="9" t="n"/>
      <c r="S19" s="9" t="n"/>
      <c r="T19" s="9" t="n"/>
      <c r="U19" s="9" t="n"/>
      <c r="V19" s="297" t="n"/>
      <c r="X19" s="6" t="n"/>
      <c r="Y19" s="6" t="n"/>
      <c r="Z19" s="81" t="n"/>
    </row>
    <row r="20">
      <c r="B20" s="122">
        <f>B19</f>
        <v/>
      </c>
      <c r="C20" s="130" t="inlineStr">
        <is>
          <t>r03</t>
        </is>
      </c>
      <c r="D20" s="295">
        <f>0.000001*INDIRECT($B20&amp;"!E7")</f>
        <v/>
      </c>
      <c r="E20" s="294" t="n"/>
      <c r="F20" s="122">
        <f>F19</f>
        <v/>
      </c>
      <c r="G20" s="130" t="inlineStr">
        <is>
          <t>r03</t>
        </is>
      </c>
      <c r="H20" s="295">
        <f>0.000001*INDIRECT($B20&amp;"!AC7")</f>
        <v/>
      </c>
      <c r="I20" s="9" t="n"/>
      <c r="J20" s="296">
        <f>H20/D20-1</f>
        <v/>
      </c>
      <c r="L20" s="94">
        <f>INDIRECT($B20&amp;"!"&amp;L$3&amp;"7")</f>
        <v/>
      </c>
      <c r="M20" s="95">
        <f>INDIRECT($B20&amp;"!"&amp;M$3&amp;"7")</f>
        <v/>
      </c>
      <c r="N20" s="96">
        <f>M20-L20</f>
        <v/>
      </c>
      <c r="O20" s="294" t="n"/>
      <c r="P20" s="3" t="n"/>
      <c r="Q20" s="294" t="n"/>
      <c r="R20" s="9" t="n"/>
      <c r="S20" s="9" t="n"/>
      <c r="T20" s="9" t="n"/>
      <c r="U20" s="9" t="n"/>
      <c r="V20" s="297" t="n"/>
      <c r="X20" s="6" t="n"/>
      <c r="Y20" s="6" t="n"/>
      <c r="Z20" s="81" t="n"/>
    </row>
    <row r="21">
      <c r="B21" s="122">
        <f>B20</f>
        <v/>
      </c>
      <c r="C21" s="130" t="inlineStr">
        <is>
          <t>r04</t>
        </is>
      </c>
      <c r="D21" s="295">
        <f>0.000001*INDIRECT($B21&amp;"!E8")</f>
        <v/>
      </c>
      <c r="E21" s="294" t="n"/>
      <c r="F21" s="122">
        <f>F20</f>
        <v/>
      </c>
      <c r="G21" s="130" t="inlineStr">
        <is>
          <t>r04</t>
        </is>
      </c>
      <c r="H21" s="295">
        <f>0.000001*INDIRECT($B21&amp;"!AC8")</f>
        <v/>
      </c>
      <c r="I21" s="9" t="n"/>
      <c r="J21" s="296">
        <f>H21/D21-1</f>
        <v/>
      </c>
      <c r="L21" s="94">
        <f>INDIRECT($B21&amp;"!"&amp;L$3&amp;"8")</f>
        <v/>
      </c>
      <c r="M21" s="95">
        <f>INDIRECT($B21&amp;"!"&amp;M$3&amp;"8")</f>
        <v/>
      </c>
      <c r="N21" s="96">
        <f>M21-L21</f>
        <v/>
      </c>
      <c r="O21" s="294" t="n"/>
      <c r="P21" s="296" t="n"/>
      <c r="Q21" s="294" t="n"/>
      <c r="R21" s="9" t="n"/>
      <c r="S21" s="9" t="n"/>
      <c r="T21" s="9" t="n"/>
      <c r="U21" s="9" t="n"/>
      <c r="V21" s="297" t="n"/>
      <c r="X21" s="6" t="n"/>
      <c r="Y21" s="6" t="n"/>
      <c r="Z21" s="81" t="n"/>
    </row>
    <row r="22" ht="16.5" customHeight="1" s="256" thickBot="1">
      <c r="B22" s="122">
        <f>B21</f>
        <v/>
      </c>
      <c r="C22" s="130" t="inlineStr">
        <is>
          <t>r05</t>
        </is>
      </c>
      <c r="D22" s="295">
        <f>0.000001*INDIRECT($B22&amp;"!E9")</f>
        <v/>
      </c>
      <c r="E22" s="294" t="n"/>
      <c r="F22" s="122">
        <f>F21</f>
        <v/>
      </c>
      <c r="G22" s="130" t="inlineStr">
        <is>
          <t>r05</t>
        </is>
      </c>
      <c r="H22" s="295">
        <f>0.000001*INDIRECT($B22&amp;"!AC9")</f>
        <v/>
      </c>
      <c r="I22" s="9" t="n"/>
      <c r="J22" s="296">
        <f>H22/D22-1</f>
        <v/>
      </c>
      <c r="L22" s="94">
        <f>INDIRECT($B22&amp;"!"&amp;L$3&amp;"9")</f>
        <v/>
      </c>
      <c r="M22" s="95">
        <f>INDIRECT($B22&amp;"!"&amp;M$3&amp;"9")</f>
        <v/>
      </c>
      <c r="N22" s="96">
        <f>M22-L22</f>
        <v/>
      </c>
      <c r="O22" s="294" t="n"/>
      <c r="P22" s="299" t="n"/>
      <c r="Q22" s="294" t="n"/>
      <c r="R22" s="9" t="n"/>
      <c r="S22" s="9" t="n"/>
      <c r="T22" s="9" t="n"/>
      <c r="U22" s="9" t="n"/>
      <c r="V22" s="297" t="n"/>
      <c r="X22" s="6" t="n"/>
      <c r="Y22" s="6" t="n"/>
      <c r="Z22" s="81" t="n"/>
      <c r="AB22" s="298" t="n"/>
    </row>
    <row r="23" ht="16.5" customHeight="1" s="256">
      <c r="B23" s="109" t="n"/>
      <c r="C23" s="110" t="n"/>
      <c r="D23" s="300" t="n"/>
      <c r="F23" s="109" t="n"/>
      <c r="G23" s="110" t="n"/>
      <c r="H23" s="300" t="n"/>
      <c r="J23" s="98">
        <f>MIN(D18:D22,H18:H22)</f>
        <v/>
      </c>
      <c r="L23" s="99" t="n"/>
      <c r="M23" s="100" t="n"/>
      <c r="N23" s="101" t="n"/>
      <c r="O23" s="294" t="n"/>
      <c r="P23" s="264" t="n"/>
      <c r="Q23" s="294" t="n"/>
      <c r="R23" s="9" t="n"/>
      <c r="S23" s="9" t="n"/>
      <c r="T23" s="9" t="n"/>
      <c r="U23" s="9" t="n"/>
      <c r="V23" s="83" t="n"/>
      <c r="X23" s="6" t="n"/>
      <c r="Y23" s="6" t="n"/>
      <c r="Z23" s="81" t="n"/>
    </row>
    <row r="24" ht="16.5" customHeight="1" s="256" thickBot="1">
      <c r="B24" s="89" t="n"/>
      <c r="C24" s="92" t="n"/>
      <c r="D24" s="301" t="n"/>
      <c r="E24" s="294" t="n"/>
      <c r="F24" s="89" t="n"/>
      <c r="G24" s="92" t="n"/>
      <c r="H24" s="301" t="n"/>
      <c r="I24" s="9" t="n"/>
      <c r="J24" s="102">
        <f>MAX(D18:D22,H18:H22)</f>
        <v/>
      </c>
      <c r="L24" s="103">
        <f>L23</f>
        <v/>
      </c>
      <c r="M24" s="104">
        <f>M23</f>
        <v/>
      </c>
      <c r="N24" s="97" t="n"/>
      <c r="O24" s="294" t="n"/>
      <c r="P24" s="5" t="n"/>
      <c r="Q24" s="294" t="n"/>
      <c r="R24" s="9" t="n"/>
      <c r="S24" s="9" t="n"/>
      <c r="T24" s="9" t="n"/>
      <c r="U24" s="9" t="n"/>
      <c r="V24" s="83" t="n"/>
      <c r="X24" s="84" t="n"/>
      <c r="Y24" s="84" t="n"/>
      <c r="Z24" s="81" t="n"/>
    </row>
    <row r="25" ht="16.5" customHeight="1" s="256" thickBot="1"/>
    <row r="26">
      <c r="B26" s="261" t="inlineStr">
        <is>
          <t>cinema_track</t>
        </is>
      </c>
      <c r="C26" s="262" t="n"/>
      <c r="D26" s="263" t="n"/>
      <c r="E26" s="2" t="n"/>
      <c r="F26" s="261">
        <f>B26</f>
        <v/>
      </c>
      <c r="G26" s="262" t="n"/>
      <c r="H26" s="263" t="n"/>
      <c r="I26" s="2" t="n"/>
      <c r="J26" s="264" t="n"/>
      <c r="L26" s="264">
        <f>F26</f>
        <v/>
      </c>
      <c r="M26" s="262" t="n"/>
      <c r="N26" s="263" t="n"/>
      <c r="O26" s="195" t="n"/>
      <c r="P26" s="264" t="n"/>
      <c r="U26" s="265" t="n"/>
      <c r="V26" s="265" t="n"/>
      <c r="X26" s="265" t="n"/>
    </row>
    <row r="27">
      <c r="B27" s="259" t="inlineStr">
        <is>
          <t>Test</t>
        </is>
      </c>
      <c r="D27" s="87" t="inlineStr">
        <is>
          <t>Bitstream (MB)</t>
        </is>
      </c>
      <c r="E27" s="294" t="n"/>
      <c r="F27" s="259" t="inlineStr">
        <is>
          <t>Test</t>
        </is>
      </c>
      <c r="H27" s="87" t="inlineStr">
        <is>
          <t>Bitstream (MB)</t>
        </is>
      </c>
      <c r="I27" s="9" t="n"/>
      <c r="J27" s="257" t="inlineStr">
        <is>
          <t>%</t>
        </is>
      </c>
      <c r="L27" s="257" t="inlineStr">
        <is>
          <t>RGB-PSNR</t>
        </is>
      </c>
      <c r="N27" s="258" t="n"/>
      <c r="O27" s="85" t="n"/>
      <c r="P27" s="3" t="n"/>
      <c r="R27" s="255" t="n"/>
      <c r="U27" s="255" t="n"/>
      <c r="V27" s="255" t="n"/>
      <c r="X27" s="255" t="n"/>
    </row>
    <row r="28">
      <c r="B28" s="191" t="inlineStr">
        <is>
          <t>Anchor</t>
        </is>
      </c>
      <c r="C28" s="130" t="inlineStr">
        <is>
          <t>Test point</t>
        </is>
      </c>
      <c r="D28" s="86" t="inlineStr">
        <is>
          <t>Total</t>
        </is>
      </c>
      <c r="E28" s="294" t="n"/>
      <c r="F28" s="191" t="inlineStr">
        <is>
          <t>Anchor</t>
        </is>
      </c>
      <c r="G28" s="130" t="inlineStr">
        <is>
          <t>Test point</t>
        </is>
      </c>
      <c r="H28" s="86" t="inlineStr">
        <is>
          <t>Total</t>
        </is>
      </c>
      <c r="I28" s="9" t="n"/>
      <c r="J28" s="93" t="n"/>
      <c r="L28" s="192">
        <f>CONCATENATE(B$2," ",L26)</f>
        <v/>
      </c>
      <c r="M28" s="193">
        <f>CONCATENATE(F$2," ",L26)</f>
        <v/>
      </c>
      <c r="N28" s="194" t="inlineStr">
        <is>
          <t>Delta</t>
        </is>
      </c>
      <c r="O28" s="2" t="n"/>
      <c r="P28" s="3" t="inlineStr">
        <is>
          <t>BD-rate</t>
        </is>
      </c>
      <c r="Q28" s="2" t="n"/>
      <c r="R28" s="2" t="n"/>
      <c r="S28" s="2" t="n"/>
      <c r="T28" s="2" t="n"/>
      <c r="U28" s="2" t="n"/>
      <c r="V28" s="2" t="n"/>
      <c r="X28" s="195" t="n"/>
      <c r="Y28" s="195" t="n"/>
      <c r="Z28" s="195" t="n"/>
    </row>
    <row r="29">
      <c r="B29" s="122">
        <f>B26</f>
        <v/>
      </c>
      <c r="C29" s="130" t="inlineStr">
        <is>
          <t>r01</t>
        </is>
      </c>
      <c r="D29" s="295">
        <f>0.000001*INDIRECT($B29&amp;"!E5")</f>
        <v/>
      </c>
      <c r="E29" s="294" t="n"/>
      <c r="F29" s="122">
        <f>F26</f>
        <v/>
      </c>
      <c r="G29" s="130" t="inlineStr">
        <is>
          <t>r01</t>
        </is>
      </c>
      <c r="H29" s="295">
        <f>0.000001*INDIRECT($B29&amp;"!AC5")</f>
        <v/>
      </c>
      <c r="I29" s="9" t="n"/>
      <c r="J29" s="296">
        <f>H29/D29-1</f>
        <v/>
      </c>
      <c r="L29" s="94">
        <f>INDIRECT($B29&amp;"!"&amp;L$3&amp;"5")</f>
        <v/>
      </c>
      <c r="M29" s="95">
        <f>INDIRECT($B29&amp;"!"&amp;M$3&amp;"5")</f>
        <v/>
      </c>
      <c r="N29" s="96">
        <f>M29-L29</f>
        <v/>
      </c>
      <c r="O29" s="294" t="n"/>
      <c r="P29" s="296">
        <f>bdRateExtend(D29:D33,L29:L33,H29:H33,M29:M33)</f>
        <v/>
      </c>
      <c r="Q29" s="294" t="n"/>
      <c r="R29" s="9" t="n"/>
      <c r="S29" s="9" t="n"/>
      <c r="T29" s="9" t="n"/>
      <c r="U29" s="9" t="n"/>
      <c r="V29" s="297" t="n"/>
      <c r="X29" s="6" t="n"/>
      <c r="Y29" s="6" t="n"/>
      <c r="Z29" s="81" t="n"/>
      <c r="AB29" s="298" t="n"/>
    </row>
    <row r="30">
      <c r="B30" s="122">
        <f>B29</f>
        <v/>
      </c>
      <c r="C30" s="130" t="inlineStr">
        <is>
          <t>r02</t>
        </is>
      </c>
      <c r="D30" s="295">
        <f>0.000001*INDIRECT($B30&amp;"!E6")</f>
        <v/>
      </c>
      <c r="E30" s="294" t="n"/>
      <c r="F30" s="122">
        <f>F29</f>
        <v/>
      </c>
      <c r="G30" s="130" t="inlineStr">
        <is>
          <t>r02</t>
        </is>
      </c>
      <c r="H30" s="295">
        <f>0.000001*INDIRECT($B30&amp;"!AC6")</f>
        <v/>
      </c>
      <c r="I30" s="9" t="n"/>
      <c r="J30" s="296">
        <f>H30/D30-1</f>
        <v/>
      </c>
      <c r="L30" s="94">
        <f>INDIRECT($B30&amp;"!"&amp;L$3&amp;"6")</f>
        <v/>
      </c>
      <c r="M30" s="95">
        <f>INDIRECT($B30&amp;"!"&amp;M$3&amp;"6")</f>
        <v/>
      </c>
      <c r="N30" s="96">
        <f>M30-L30</f>
        <v/>
      </c>
      <c r="O30" s="294" t="n"/>
      <c r="P30" s="3" t="n"/>
      <c r="Q30" s="294" t="n"/>
      <c r="R30" s="9" t="n"/>
      <c r="S30" s="9" t="n"/>
      <c r="T30" s="9" t="n"/>
      <c r="U30" s="9" t="n"/>
      <c r="V30" s="297" t="n"/>
      <c r="X30" s="6" t="n"/>
      <c r="Y30" s="6" t="n"/>
      <c r="Z30" s="81" t="n"/>
    </row>
    <row r="31">
      <c r="B31" s="122">
        <f>B30</f>
        <v/>
      </c>
      <c r="C31" s="130" t="inlineStr">
        <is>
          <t>r03</t>
        </is>
      </c>
      <c r="D31" s="295">
        <f>0.000001*INDIRECT($B31&amp;"!E7")</f>
        <v/>
      </c>
      <c r="E31" s="294" t="n"/>
      <c r="F31" s="122">
        <f>F30</f>
        <v/>
      </c>
      <c r="G31" s="130" t="inlineStr">
        <is>
          <t>r03</t>
        </is>
      </c>
      <c r="H31" s="295">
        <f>0.000001*INDIRECT($B31&amp;"!AC7")</f>
        <v/>
      </c>
      <c r="I31" s="9" t="n"/>
      <c r="J31" s="296">
        <f>H31/D31-1</f>
        <v/>
      </c>
      <c r="L31" s="94">
        <f>INDIRECT($B31&amp;"!"&amp;L$3&amp;"7")</f>
        <v/>
      </c>
      <c r="M31" s="95">
        <f>INDIRECT($B31&amp;"!"&amp;M$3&amp;"7")</f>
        <v/>
      </c>
      <c r="N31" s="96">
        <f>M31-L31</f>
        <v/>
      </c>
      <c r="O31" s="294" t="n"/>
      <c r="P31" s="3" t="n"/>
      <c r="Q31" s="294" t="n"/>
      <c r="R31" s="9" t="n"/>
      <c r="S31" s="9" t="n"/>
      <c r="T31" s="9" t="n"/>
      <c r="U31" s="9" t="n"/>
      <c r="V31" s="297" t="n"/>
      <c r="X31" s="6" t="n"/>
      <c r="Y31" s="6" t="n"/>
      <c r="Z31" s="81" t="n"/>
    </row>
    <row r="32">
      <c r="B32" s="122">
        <f>B31</f>
        <v/>
      </c>
      <c r="C32" s="130" t="inlineStr">
        <is>
          <t>r04</t>
        </is>
      </c>
      <c r="D32" s="295">
        <f>0.000001*INDIRECT($B32&amp;"!E8")</f>
        <v/>
      </c>
      <c r="E32" s="294" t="n"/>
      <c r="F32" s="122">
        <f>F31</f>
        <v/>
      </c>
      <c r="G32" s="130" t="inlineStr">
        <is>
          <t>r04</t>
        </is>
      </c>
      <c r="H32" s="295">
        <f>0.000001*INDIRECT($B32&amp;"!AC8")</f>
        <v/>
      </c>
      <c r="I32" s="9" t="n"/>
      <c r="J32" s="296">
        <f>H32/D32-1</f>
        <v/>
      </c>
      <c r="L32" s="94">
        <f>INDIRECT($B32&amp;"!"&amp;L$3&amp;"8")</f>
        <v/>
      </c>
      <c r="M32" s="95">
        <f>INDIRECT($B32&amp;"!"&amp;M$3&amp;"8")</f>
        <v/>
      </c>
      <c r="N32" s="96">
        <f>M32-L32</f>
        <v/>
      </c>
      <c r="O32" s="294" t="n"/>
      <c r="P32" s="296" t="n"/>
      <c r="Q32" s="294" t="n"/>
      <c r="R32" s="9" t="n"/>
      <c r="S32" s="9" t="n"/>
      <c r="T32" s="9" t="n"/>
      <c r="U32" s="9" t="n"/>
      <c r="V32" s="297" t="n"/>
      <c r="X32" s="6" t="n"/>
      <c r="Y32" s="6" t="n"/>
      <c r="Z32" s="81" t="n"/>
    </row>
    <row r="33" ht="16.5" customHeight="1" s="256" thickBot="1">
      <c r="B33" s="122">
        <f>B32</f>
        <v/>
      </c>
      <c r="C33" s="130" t="inlineStr">
        <is>
          <t>r05</t>
        </is>
      </c>
      <c r="D33" s="295">
        <f>0.000001*INDIRECT($B33&amp;"!E9")</f>
        <v/>
      </c>
      <c r="E33" s="294" t="n"/>
      <c r="F33" s="122">
        <f>F32</f>
        <v/>
      </c>
      <c r="G33" s="130" t="inlineStr">
        <is>
          <t>r05</t>
        </is>
      </c>
      <c r="H33" s="295">
        <f>0.000001*INDIRECT($B33&amp;"!AC9")</f>
        <v/>
      </c>
      <c r="I33" s="9" t="n"/>
      <c r="J33" s="296">
        <f>H33/D33-1</f>
        <v/>
      </c>
      <c r="L33" s="94">
        <f>INDIRECT($B33&amp;"!"&amp;L$3&amp;"9")</f>
        <v/>
      </c>
      <c r="M33" s="95">
        <f>INDIRECT($B33&amp;"!"&amp;M$3&amp;"9")</f>
        <v/>
      </c>
      <c r="N33" s="96">
        <f>M33-L33</f>
        <v/>
      </c>
      <c r="O33" s="294" t="n"/>
      <c r="P33" s="299" t="n"/>
      <c r="Q33" s="294" t="n"/>
      <c r="R33" s="9" t="n"/>
      <c r="S33" s="9" t="n"/>
      <c r="T33" s="9" t="n"/>
      <c r="U33" s="9" t="n"/>
      <c r="V33" s="297" t="n"/>
      <c r="X33" s="6" t="n"/>
      <c r="Y33" s="6" t="n"/>
      <c r="Z33" s="81" t="n"/>
      <c r="AB33" s="298" t="n"/>
    </row>
    <row r="34" ht="16.5" customHeight="1" s="256">
      <c r="B34" s="109" t="n"/>
      <c r="C34" s="110" t="n"/>
      <c r="D34" s="300" t="n"/>
      <c r="F34" s="109" t="n"/>
      <c r="G34" s="110" t="n"/>
      <c r="H34" s="300" t="n"/>
      <c r="J34" s="98">
        <f>MIN(D29:D33,H29:H33)</f>
        <v/>
      </c>
      <c r="L34" s="99" t="n"/>
      <c r="M34" s="100" t="n"/>
      <c r="N34" s="101" t="n"/>
      <c r="O34" s="294" t="n"/>
      <c r="P34" s="264" t="n"/>
      <c r="Q34" s="294" t="n"/>
      <c r="R34" s="9" t="n"/>
      <c r="S34" s="9" t="n"/>
      <c r="T34" s="9" t="n"/>
      <c r="U34" s="9" t="n"/>
      <c r="V34" s="83" t="n"/>
      <c r="X34" s="6" t="n"/>
      <c r="Y34" s="6" t="n"/>
      <c r="Z34" s="81" t="n"/>
    </row>
    <row r="35" ht="16.5" customHeight="1" s="256" thickBot="1">
      <c r="B35" s="89" t="n"/>
      <c r="C35" s="92" t="n"/>
      <c r="D35" s="301" t="n"/>
      <c r="E35" s="294" t="n"/>
      <c r="F35" s="89" t="n"/>
      <c r="G35" s="92" t="n"/>
      <c r="H35" s="301" t="n"/>
      <c r="I35" s="9" t="n"/>
      <c r="J35" s="102">
        <f>MAX(D29:D33,H29:H33)</f>
        <v/>
      </c>
      <c r="L35" s="103">
        <f>L34</f>
        <v/>
      </c>
      <c r="M35" s="104">
        <f>M34</f>
        <v/>
      </c>
      <c r="N35" s="97" t="n"/>
      <c r="O35" s="294" t="n"/>
      <c r="P35" s="5" t="n"/>
      <c r="Q35" s="294" t="n"/>
      <c r="R35" s="9" t="n"/>
      <c r="S35" s="9" t="n"/>
      <c r="T35" s="9" t="n"/>
      <c r="U35" s="9" t="n"/>
      <c r="V35" s="83" t="n"/>
      <c r="X35" s="84" t="n"/>
      <c r="Y35" s="84" t="n"/>
      <c r="Z35" s="81" t="n"/>
    </row>
    <row r="36" ht="16.5" customHeight="1" s="256" thickBot="1"/>
    <row r="37">
      <c r="B37" s="261" t="inlineStr">
        <is>
          <t>ManWithFruit</t>
        </is>
      </c>
      <c r="C37" s="262" t="n"/>
      <c r="D37" s="263" t="n"/>
      <c r="E37" s="2" t="n"/>
      <c r="F37" s="261">
        <f>B37</f>
        <v/>
      </c>
      <c r="G37" s="262" t="n"/>
      <c r="H37" s="263" t="n"/>
      <c r="I37" s="2" t="n"/>
      <c r="J37" s="264" t="n"/>
      <c r="L37" s="264">
        <f>F37</f>
        <v/>
      </c>
      <c r="M37" s="262" t="n"/>
      <c r="N37" s="263" t="n"/>
      <c r="O37" s="195" t="n"/>
      <c r="P37" s="264" t="n"/>
      <c r="U37" s="265" t="n"/>
      <c r="V37" s="265" t="n"/>
      <c r="X37" s="265" t="n"/>
    </row>
    <row r="38">
      <c r="B38" s="259" t="inlineStr">
        <is>
          <t>Test</t>
        </is>
      </c>
      <c r="D38" s="87" t="inlineStr">
        <is>
          <t>Bitstream (MB)</t>
        </is>
      </c>
      <c r="E38" s="294" t="n"/>
      <c r="F38" s="259" t="inlineStr">
        <is>
          <t>Test</t>
        </is>
      </c>
      <c r="H38" s="87" t="inlineStr">
        <is>
          <t>Bitstream (MB)</t>
        </is>
      </c>
      <c r="I38" s="9" t="n"/>
      <c r="J38" s="257" t="inlineStr">
        <is>
          <t>%</t>
        </is>
      </c>
      <c r="L38" s="257" t="inlineStr">
        <is>
          <t>RGB-PSNR</t>
        </is>
      </c>
      <c r="N38" s="258" t="n"/>
      <c r="O38" s="85" t="n"/>
      <c r="P38" s="3" t="n"/>
      <c r="R38" s="255" t="n"/>
      <c r="U38" s="255" t="n"/>
      <c r="V38" s="255" t="n"/>
      <c r="X38" s="255" t="n"/>
    </row>
    <row r="39">
      <c r="B39" s="191" t="inlineStr">
        <is>
          <t>Anchor</t>
        </is>
      </c>
      <c r="C39" s="130" t="inlineStr">
        <is>
          <t>Test point</t>
        </is>
      </c>
      <c r="D39" s="86" t="inlineStr">
        <is>
          <t>Total</t>
        </is>
      </c>
      <c r="E39" s="294" t="n"/>
      <c r="F39" s="191" t="inlineStr">
        <is>
          <t>Anchor</t>
        </is>
      </c>
      <c r="G39" s="130" t="inlineStr">
        <is>
          <t>Test point</t>
        </is>
      </c>
      <c r="H39" s="86" t="inlineStr">
        <is>
          <t>Total</t>
        </is>
      </c>
      <c r="I39" s="9" t="n"/>
      <c r="J39" s="93" t="n"/>
      <c r="L39" s="192">
        <f>CONCATENATE(B$2," ",L37)</f>
        <v/>
      </c>
      <c r="M39" s="193">
        <f>CONCATENATE(F$2," ",L37)</f>
        <v/>
      </c>
      <c r="N39" s="194" t="inlineStr">
        <is>
          <t>Delta</t>
        </is>
      </c>
      <c r="O39" s="2" t="n"/>
      <c r="P39" s="3" t="inlineStr">
        <is>
          <t>BD-rate</t>
        </is>
      </c>
      <c r="Q39" s="2" t="n"/>
      <c r="R39" s="2" t="n"/>
      <c r="S39" s="2" t="n"/>
      <c r="T39" s="2" t="n"/>
      <c r="U39" s="2" t="n"/>
      <c r="V39" s="2" t="n"/>
      <c r="X39" s="195" t="n"/>
      <c r="Y39" s="195" t="n"/>
      <c r="Z39" s="195" t="n"/>
    </row>
    <row r="40">
      <c r="B40" s="122">
        <f>B37</f>
        <v/>
      </c>
      <c r="C40" s="130" t="inlineStr">
        <is>
          <t>r01</t>
        </is>
      </c>
      <c r="D40" s="295">
        <f>0.000001*INDIRECT($B40&amp;"!E5")</f>
        <v/>
      </c>
      <c r="E40" s="294" t="n"/>
      <c r="F40" s="122">
        <f>F37</f>
        <v/>
      </c>
      <c r="G40" s="130" t="inlineStr">
        <is>
          <t>r01</t>
        </is>
      </c>
      <c r="H40" s="295">
        <f>0.000001*INDIRECT($B40&amp;"!AC5")</f>
        <v/>
      </c>
      <c r="I40" s="9" t="n"/>
      <c r="J40" s="296">
        <f>H40/D40-1</f>
        <v/>
      </c>
      <c r="L40" s="94">
        <f>INDIRECT($B40&amp;"!"&amp;L$3&amp;"5")</f>
        <v/>
      </c>
      <c r="M40" s="95">
        <f>INDIRECT($B40&amp;"!"&amp;M$3&amp;"5")</f>
        <v/>
      </c>
      <c r="N40" s="96">
        <f>M40-L40</f>
        <v/>
      </c>
      <c r="O40" s="294" t="n"/>
      <c r="P40" s="296">
        <f>bdRateExtend(D40:D44,L40:L44,H40:H44,M40:M44)</f>
        <v/>
      </c>
      <c r="Q40" s="294" t="n"/>
      <c r="R40" s="9" t="n"/>
      <c r="S40" s="9" t="n"/>
      <c r="T40" s="9" t="n"/>
      <c r="U40" s="9" t="n"/>
      <c r="V40" s="297" t="n"/>
      <c r="X40" s="6" t="n"/>
      <c r="Y40" s="6" t="n"/>
      <c r="Z40" s="81" t="n"/>
      <c r="AB40" s="298" t="n"/>
    </row>
    <row r="41">
      <c r="B41" s="122">
        <f>B40</f>
        <v/>
      </c>
      <c r="C41" s="130" t="inlineStr">
        <is>
          <t>r02</t>
        </is>
      </c>
      <c r="D41" s="295">
        <f>0.000001*INDIRECT($B41&amp;"!E6")</f>
        <v/>
      </c>
      <c r="E41" s="294" t="n"/>
      <c r="F41" s="122">
        <f>F40</f>
        <v/>
      </c>
      <c r="G41" s="130" t="inlineStr">
        <is>
          <t>r02</t>
        </is>
      </c>
      <c r="H41" s="295">
        <f>0.000001*INDIRECT($B41&amp;"!AC6")</f>
        <v/>
      </c>
      <c r="I41" s="9" t="n"/>
      <c r="J41" s="296">
        <f>H41/D41-1</f>
        <v/>
      </c>
      <c r="L41" s="94">
        <f>INDIRECT($B41&amp;"!"&amp;L$3&amp;"6")</f>
        <v/>
      </c>
      <c r="M41" s="95">
        <f>INDIRECT($B41&amp;"!"&amp;M$3&amp;"6")</f>
        <v/>
      </c>
      <c r="N41" s="96">
        <f>M41-L41</f>
        <v/>
      </c>
      <c r="O41" s="294" t="n"/>
      <c r="P41" s="3" t="n"/>
      <c r="Q41" s="294" t="n"/>
      <c r="R41" s="9" t="n"/>
      <c r="S41" s="9" t="n"/>
      <c r="T41" s="9" t="n"/>
      <c r="U41" s="9" t="n"/>
      <c r="V41" s="297" t="n"/>
      <c r="X41" s="6" t="n"/>
      <c r="Y41" s="6" t="n"/>
      <c r="Z41" s="81" t="n"/>
    </row>
    <row r="42">
      <c r="B42" s="122">
        <f>B41</f>
        <v/>
      </c>
      <c r="C42" s="130" t="inlineStr">
        <is>
          <t>r03</t>
        </is>
      </c>
      <c r="D42" s="295">
        <f>0.000001*INDIRECT($B42&amp;"!E7")</f>
        <v/>
      </c>
      <c r="E42" s="294" t="n"/>
      <c r="F42" s="122">
        <f>F41</f>
        <v/>
      </c>
      <c r="G42" s="130" t="inlineStr">
        <is>
          <t>r03</t>
        </is>
      </c>
      <c r="H42" s="295">
        <f>0.000001*INDIRECT($B42&amp;"!AC7")</f>
        <v/>
      </c>
      <c r="I42" s="9" t="n"/>
      <c r="J42" s="296">
        <f>H42/D42-1</f>
        <v/>
      </c>
      <c r="L42" s="94">
        <f>INDIRECT($B42&amp;"!"&amp;L$3&amp;"7")</f>
        <v/>
      </c>
      <c r="M42" s="95">
        <f>INDIRECT($B42&amp;"!"&amp;M$3&amp;"7")</f>
        <v/>
      </c>
      <c r="N42" s="96">
        <f>M42-L42</f>
        <v/>
      </c>
      <c r="O42" s="294" t="n"/>
      <c r="P42" s="3" t="n"/>
      <c r="Q42" s="294" t="n"/>
      <c r="R42" s="9" t="n"/>
      <c r="S42" s="9" t="n"/>
      <c r="T42" s="9" t="n"/>
      <c r="U42" s="9" t="n"/>
      <c r="V42" s="297" t="n"/>
      <c r="X42" s="6" t="n"/>
      <c r="Y42" s="6" t="n"/>
      <c r="Z42" s="81" t="n"/>
    </row>
    <row r="43">
      <c r="B43" s="122">
        <f>B42</f>
        <v/>
      </c>
      <c r="C43" s="130" t="inlineStr">
        <is>
          <t>r04</t>
        </is>
      </c>
      <c r="D43" s="295">
        <f>0.000001*INDIRECT($B43&amp;"!E8")</f>
        <v/>
      </c>
      <c r="E43" s="294" t="n"/>
      <c r="F43" s="122">
        <f>F42</f>
        <v/>
      </c>
      <c r="G43" s="130" t="inlineStr">
        <is>
          <t>r04</t>
        </is>
      </c>
      <c r="H43" s="295">
        <f>0.000001*INDIRECT($B43&amp;"!AC8")</f>
        <v/>
      </c>
      <c r="I43" s="9" t="n"/>
      <c r="J43" s="296">
        <f>H43/D43-1</f>
        <v/>
      </c>
      <c r="L43" s="94">
        <f>INDIRECT($B43&amp;"!"&amp;L$3&amp;"8")</f>
        <v/>
      </c>
      <c r="M43" s="95">
        <f>INDIRECT($B43&amp;"!"&amp;M$3&amp;"8")</f>
        <v/>
      </c>
      <c r="N43" s="96">
        <f>M43-L43</f>
        <v/>
      </c>
      <c r="O43" s="294" t="n"/>
      <c r="P43" s="296" t="n"/>
      <c r="Q43" s="294" t="n"/>
      <c r="R43" s="9" t="n"/>
      <c r="S43" s="9" t="n"/>
      <c r="T43" s="9" t="n"/>
      <c r="U43" s="9" t="n"/>
      <c r="V43" s="297" t="n"/>
      <c r="X43" s="6" t="n"/>
      <c r="Y43" s="6" t="n"/>
      <c r="Z43" s="81" t="n"/>
    </row>
    <row r="44" ht="16.5" customHeight="1" s="256" thickBot="1">
      <c r="B44" s="122">
        <f>B43</f>
        <v/>
      </c>
      <c r="C44" s="130" t="inlineStr">
        <is>
          <t>r05</t>
        </is>
      </c>
      <c r="D44" s="295">
        <f>0.000001*INDIRECT($B44&amp;"!E9")</f>
        <v/>
      </c>
      <c r="E44" s="294" t="n"/>
      <c r="F44" s="122">
        <f>F43</f>
        <v/>
      </c>
      <c r="G44" s="130" t="inlineStr">
        <is>
          <t>r05</t>
        </is>
      </c>
      <c r="H44" s="295">
        <f>0.000001*INDIRECT($B44&amp;"!AC9")</f>
        <v/>
      </c>
      <c r="I44" s="9" t="n"/>
      <c r="J44" s="296">
        <f>H44/D44-1</f>
        <v/>
      </c>
      <c r="L44" s="94">
        <f>INDIRECT($B44&amp;"!"&amp;L$3&amp;"9")</f>
        <v/>
      </c>
      <c r="M44" s="95">
        <f>INDIRECT($B44&amp;"!"&amp;M$3&amp;"9")</f>
        <v/>
      </c>
      <c r="N44" s="96">
        <f>M44-L44</f>
        <v/>
      </c>
      <c r="O44" s="294" t="n"/>
      <c r="P44" s="299" t="n"/>
      <c r="Q44" s="294" t="n"/>
      <c r="R44" s="9" t="n"/>
      <c r="S44" s="9" t="n"/>
      <c r="T44" s="9" t="n"/>
      <c r="U44" s="9" t="n"/>
      <c r="V44" s="297" t="n"/>
      <c r="X44" s="6" t="n"/>
      <c r="Y44" s="6" t="n"/>
      <c r="Z44" s="81" t="n"/>
      <c r="AB44" s="298" t="n"/>
    </row>
    <row r="45" ht="16.5" customHeight="1" s="256">
      <c r="B45" s="109" t="n"/>
      <c r="C45" s="110" t="n"/>
      <c r="D45" s="300" t="n"/>
      <c r="F45" s="109" t="n"/>
      <c r="G45" s="110" t="n"/>
      <c r="H45" s="300" t="n"/>
      <c r="J45" s="98">
        <f>MIN(D40:D44,H40:H44)</f>
        <v/>
      </c>
      <c r="L45" s="99" t="n"/>
      <c r="M45" s="100" t="n"/>
      <c r="N45" s="101" t="n"/>
      <c r="O45" s="294" t="n"/>
      <c r="P45" s="264" t="n"/>
      <c r="Q45" s="294" t="n"/>
      <c r="R45" s="9" t="n"/>
      <c r="S45" s="9" t="n"/>
      <c r="T45" s="9" t="n"/>
      <c r="U45" s="9" t="n"/>
      <c r="V45" s="83" t="n"/>
      <c r="X45" s="6" t="n"/>
      <c r="Y45" s="6" t="n"/>
      <c r="Z45" s="81" t="n"/>
    </row>
    <row r="46" ht="16.5" customHeight="1" s="256" thickBot="1">
      <c r="B46" s="89" t="n"/>
      <c r="C46" s="92" t="n"/>
      <c r="D46" s="301" t="n"/>
      <c r="E46" s="294" t="n"/>
      <c r="F46" s="89" t="n"/>
      <c r="G46" s="92" t="n"/>
      <c r="H46" s="301" t="n"/>
      <c r="I46" s="9" t="n"/>
      <c r="J46" s="102">
        <f>MAX(D40:D44,H40:H44)</f>
        <v/>
      </c>
      <c r="L46" s="103">
        <f>L45</f>
        <v/>
      </c>
      <c r="M46" s="104">
        <f>M45</f>
        <v/>
      </c>
      <c r="N46" s="97" t="n"/>
      <c r="O46" s="294" t="n"/>
      <c r="P46" s="5" t="n"/>
      <c r="Q46" s="294" t="n"/>
      <c r="R46" s="9" t="n"/>
      <c r="S46" s="9" t="n"/>
      <c r="T46" s="9" t="n"/>
      <c r="U46" s="9" t="n"/>
      <c r="V46" s="83" t="n"/>
      <c r="X46" s="84" t="n"/>
      <c r="Y46" s="84" t="n"/>
      <c r="Z46" s="81" t="n"/>
    </row>
    <row r="47" ht="16.5" customHeight="1" s="256" thickBot="1"/>
    <row r="48">
      <c r="B48" s="261" t="inlineStr">
        <is>
          <t>LEGO_Ferrari</t>
        </is>
      </c>
      <c r="C48" s="262" t="n"/>
      <c r="D48" s="263" t="n"/>
      <c r="E48" s="2" t="n"/>
      <c r="F48" s="261">
        <f>B48</f>
        <v/>
      </c>
      <c r="G48" s="262" t="n"/>
      <c r="H48" s="263" t="n"/>
      <c r="I48" s="2" t="n"/>
      <c r="J48" s="264" t="n"/>
      <c r="L48" s="264">
        <f>F48</f>
        <v/>
      </c>
      <c r="M48" s="262" t="n"/>
      <c r="N48" s="263" t="n"/>
      <c r="O48" s="195" t="n"/>
      <c r="P48" s="264" t="n"/>
      <c r="U48" s="265" t="n"/>
      <c r="V48" s="265" t="n"/>
      <c r="X48" s="265" t="n"/>
    </row>
    <row r="49">
      <c r="B49" s="259" t="inlineStr">
        <is>
          <t>Test</t>
        </is>
      </c>
      <c r="D49" s="87" t="inlineStr">
        <is>
          <t>Bitstream (MB)</t>
        </is>
      </c>
      <c r="E49" s="294" t="n"/>
      <c r="F49" s="259" t="inlineStr">
        <is>
          <t>Test</t>
        </is>
      </c>
      <c r="H49" s="87" t="inlineStr">
        <is>
          <t>Bitstream (MB)</t>
        </is>
      </c>
      <c r="I49" s="9" t="n"/>
      <c r="J49" s="257" t="inlineStr">
        <is>
          <t>%</t>
        </is>
      </c>
      <c r="L49" s="257" t="inlineStr">
        <is>
          <t>RGB-PSNR</t>
        </is>
      </c>
      <c r="N49" s="258" t="n"/>
      <c r="O49" s="85" t="n"/>
      <c r="P49" s="3" t="n"/>
      <c r="R49" s="255" t="n"/>
      <c r="U49" s="255" t="n"/>
      <c r="V49" s="255" t="n"/>
      <c r="X49" s="255" t="n"/>
    </row>
    <row r="50">
      <c r="B50" s="191" t="inlineStr">
        <is>
          <t>Anchor</t>
        </is>
      </c>
      <c r="C50" s="130" t="inlineStr">
        <is>
          <t>Test point</t>
        </is>
      </c>
      <c r="D50" s="86" t="inlineStr">
        <is>
          <t>Total</t>
        </is>
      </c>
      <c r="E50" s="294" t="n"/>
      <c r="F50" s="191" t="inlineStr">
        <is>
          <t>Anchor</t>
        </is>
      </c>
      <c r="G50" s="130" t="inlineStr">
        <is>
          <t>Test point</t>
        </is>
      </c>
      <c r="H50" s="86" t="inlineStr">
        <is>
          <t>Total</t>
        </is>
      </c>
      <c r="I50" s="9" t="n"/>
      <c r="J50" s="93" t="n"/>
      <c r="L50" s="192">
        <f>CONCATENATE(B$2," ",L48)</f>
        <v/>
      </c>
      <c r="M50" s="193">
        <f>CONCATENATE(F$2," ",L48)</f>
        <v/>
      </c>
      <c r="N50" s="194" t="inlineStr">
        <is>
          <t>Delta</t>
        </is>
      </c>
      <c r="O50" s="2" t="n"/>
      <c r="P50" s="3" t="inlineStr">
        <is>
          <t>BD-rate</t>
        </is>
      </c>
      <c r="Q50" s="2" t="n"/>
      <c r="R50" s="2" t="n"/>
      <c r="S50" s="2" t="n"/>
      <c r="T50" s="2" t="n"/>
      <c r="U50" s="2" t="n"/>
      <c r="V50" s="2" t="n"/>
      <c r="X50" s="195" t="n"/>
      <c r="Y50" s="195" t="n"/>
      <c r="Z50" s="195" t="n"/>
    </row>
    <row r="51">
      <c r="B51" s="122">
        <f>B48</f>
        <v/>
      </c>
      <c r="C51" s="130" t="inlineStr">
        <is>
          <t>r01</t>
        </is>
      </c>
      <c r="D51" s="295">
        <f>0.000001*INDIRECT($B51&amp;"!E5")</f>
        <v/>
      </c>
      <c r="E51" s="294" t="n"/>
      <c r="F51" s="122">
        <f>F48</f>
        <v/>
      </c>
      <c r="G51" s="130" t="inlineStr">
        <is>
          <t>r01</t>
        </is>
      </c>
      <c r="H51" s="295">
        <f>0.000001*INDIRECT($B51&amp;"!AC5")</f>
        <v/>
      </c>
      <c r="I51" s="9" t="n"/>
      <c r="J51" s="296">
        <f>H51/D51-1</f>
        <v/>
      </c>
      <c r="L51" s="94">
        <f>INDIRECT($B51&amp;"!"&amp;L$3&amp;"5")</f>
        <v/>
      </c>
      <c r="M51" s="95">
        <f>INDIRECT($B51&amp;"!"&amp;M$3&amp;"5")</f>
        <v/>
      </c>
      <c r="N51" s="96">
        <f>M51-L51</f>
        <v/>
      </c>
      <c r="O51" s="294" t="n"/>
      <c r="P51" s="296">
        <f>bdRateExtend(D51:D55,L51:L55,H51:H55,M51:M55)</f>
        <v/>
      </c>
      <c r="Q51" s="294" t="n"/>
      <c r="R51" s="9" t="n"/>
      <c r="S51" s="9" t="n"/>
      <c r="T51" s="9" t="n"/>
      <c r="U51" s="9" t="n"/>
      <c r="V51" s="297" t="n"/>
      <c r="X51" s="6" t="n"/>
      <c r="Y51" s="6" t="n"/>
      <c r="Z51" s="81" t="n"/>
      <c r="AB51" s="298" t="n"/>
    </row>
    <row r="52">
      <c r="B52" s="122">
        <f>B51</f>
        <v/>
      </c>
      <c r="C52" s="130" t="inlineStr">
        <is>
          <t>r02</t>
        </is>
      </c>
      <c r="D52" s="295">
        <f>0.000001*INDIRECT($B52&amp;"!E6")</f>
        <v/>
      </c>
      <c r="E52" s="294" t="n"/>
      <c r="F52" s="122">
        <f>F51</f>
        <v/>
      </c>
      <c r="G52" s="130" t="inlineStr">
        <is>
          <t>r02</t>
        </is>
      </c>
      <c r="H52" s="295">
        <f>0.000001*INDIRECT($B52&amp;"!AC6")</f>
        <v/>
      </c>
      <c r="I52" s="9" t="n"/>
      <c r="J52" s="296">
        <f>H52/D52-1</f>
        <v/>
      </c>
      <c r="L52" s="94">
        <f>INDIRECT($B52&amp;"!"&amp;L$3&amp;"6")</f>
        <v/>
      </c>
      <c r="M52" s="95">
        <f>INDIRECT($B52&amp;"!"&amp;M$3&amp;"6")</f>
        <v/>
      </c>
      <c r="N52" s="96">
        <f>M52-L52</f>
        <v/>
      </c>
      <c r="O52" s="294" t="n"/>
      <c r="P52" s="3" t="n"/>
      <c r="Q52" s="294" t="n"/>
      <c r="R52" s="9" t="n"/>
      <c r="S52" s="9" t="n"/>
      <c r="T52" s="9" t="n"/>
      <c r="U52" s="9" t="n"/>
      <c r="V52" s="297" t="n"/>
      <c r="X52" s="6" t="n"/>
      <c r="Y52" s="6" t="n"/>
      <c r="Z52" s="81" t="n"/>
    </row>
    <row r="53">
      <c r="B53" s="122">
        <f>B52</f>
        <v/>
      </c>
      <c r="C53" s="130" t="inlineStr">
        <is>
          <t>r03</t>
        </is>
      </c>
      <c r="D53" s="295">
        <f>0.000001*INDIRECT($B53&amp;"!E7")</f>
        <v/>
      </c>
      <c r="E53" s="294" t="n"/>
      <c r="F53" s="122">
        <f>F52</f>
        <v/>
      </c>
      <c r="G53" s="130" t="inlineStr">
        <is>
          <t>r03</t>
        </is>
      </c>
      <c r="H53" s="295">
        <f>0.000001*INDIRECT($B53&amp;"!AC7")</f>
        <v/>
      </c>
      <c r="I53" s="9" t="n"/>
      <c r="J53" s="296">
        <f>H53/D53-1</f>
        <v/>
      </c>
      <c r="L53" s="94">
        <f>INDIRECT($B53&amp;"!"&amp;L$3&amp;"7")</f>
        <v/>
      </c>
      <c r="M53" s="95">
        <f>INDIRECT($B53&amp;"!"&amp;M$3&amp;"7")</f>
        <v/>
      </c>
      <c r="N53" s="96">
        <f>M53-L53</f>
        <v/>
      </c>
      <c r="O53" s="294" t="n"/>
      <c r="P53" s="3" t="n"/>
      <c r="Q53" s="294" t="n"/>
      <c r="R53" s="9" t="n"/>
      <c r="S53" s="9" t="n"/>
      <c r="T53" s="9" t="n"/>
      <c r="U53" s="9" t="n"/>
      <c r="V53" s="297" t="n"/>
      <c r="X53" s="6" t="n"/>
      <c r="Y53" s="6" t="n"/>
      <c r="Z53" s="81" t="n"/>
    </row>
    <row r="54">
      <c r="B54" s="122">
        <f>B53</f>
        <v/>
      </c>
      <c r="C54" s="130" t="inlineStr">
        <is>
          <t>r04</t>
        </is>
      </c>
      <c r="D54" s="295">
        <f>0.000001*INDIRECT($B54&amp;"!E8")</f>
        <v/>
      </c>
      <c r="E54" s="294" t="n"/>
      <c r="F54" s="122">
        <f>F53</f>
        <v/>
      </c>
      <c r="G54" s="130" t="inlineStr">
        <is>
          <t>r04</t>
        </is>
      </c>
      <c r="H54" s="295">
        <f>0.000001*INDIRECT($B54&amp;"!AC8")</f>
        <v/>
      </c>
      <c r="I54" s="9" t="n"/>
      <c r="J54" s="296">
        <f>H54/D54-1</f>
        <v/>
      </c>
      <c r="L54" s="94">
        <f>INDIRECT($B54&amp;"!"&amp;L$3&amp;"8")</f>
        <v/>
      </c>
      <c r="M54" s="95">
        <f>INDIRECT($B54&amp;"!"&amp;M$3&amp;"8")</f>
        <v/>
      </c>
      <c r="N54" s="96">
        <f>M54-L54</f>
        <v/>
      </c>
      <c r="O54" s="294" t="n"/>
      <c r="P54" s="296" t="n"/>
      <c r="Q54" s="294" t="n"/>
      <c r="R54" s="9" t="n"/>
      <c r="S54" s="9" t="n"/>
      <c r="T54" s="9" t="n"/>
      <c r="U54" s="9" t="n"/>
      <c r="V54" s="297" t="n"/>
      <c r="X54" s="6" t="n"/>
      <c r="Y54" s="6" t="n"/>
      <c r="Z54" s="81" t="n"/>
    </row>
    <row r="55" ht="16.5" customHeight="1" s="256" thickBot="1">
      <c r="B55" s="122">
        <f>B54</f>
        <v/>
      </c>
      <c r="C55" s="130" t="inlineStr">
        <is>
          <t>r05</t>
        </is>
      </c>
      <c r="D55" s="295">
        <f>0.000001*INDIRECT($B55&amp;"!E9")</f>
        <v/>
      </c>
      <c r="E55" s="294" t="n"/>
      <c r="F55" s="122">
        <f>F54</f>
        <v/>
      </c>
      <c r="G55" s="130" t="inlineStr">
        <is>
          <t>r05</t>
        </is>
      </c>
      <c r="H55" s="295">
        <f>0.000001*INDIRECT($B55&amp;"!AC9")</f>
        <v/>
      </c>
      <c r="I55" s="9" t="n"/>
      <c r="J55" s="296">
        <f>H55/D55-1</f>
        <v/>
      </c>
      <c r="L55" s="94">
        <f>INDIRECT($B55&amp;"!"&amp;L$3&amp;"9")</f>
        <v/>
      </c>
      <c r="M55" s="95">
        <f>INDIRECT($B55&amp;"!"&amp;M$3&amp;"9")</f>
        <v/>
      </c>
      <c r="N55" s="96">
        <f>M55-L55</f>
        <v/>
      </c>
      <c r="O55" s="294" t="n"/>
      <c r="P55" s="299" t="n"/>
      <c r="Q55" s="294" t="n"/>
      <c r="R55" s="9" t="n"/>
      <c r="S55" s="9" t="n"/>
      <c r="T55" s="9" t="n"/>
      <c r="U55" s="9" t="n"/>
      <c r="V55" s="297" t="n"/>
      <c r="X55" s="6" t="n"/>
      <c r="Y55" s="6" t="n"/>
      <c r="Z55" s="81" t="n"/>
      <c r="AB55" s="298" t="n"/>
    </row>
    <row r="56" ht="16.5" customHeight="1" s="256">
      <c r="B56" s="109" t="n"/>
      <c r="C56" s="110" t="n"/>
      <c r="D56" s="300" t="n"/>
      <c r="F56" s="109" t="n"/>
      <c r="G56" s="110" t="n"/>
      <c r="H56" s="300" t="n"/>
      <c r="J56" s="98">
        <f>MIN(D51:D55,H51:H55)</f>
        <v/>
      </c>
      <c r="L56" s="99" t="n"/>
      <c r="M56" s="100" t="n"/>
      <c r="N56" s="101" t="n"/>
      <c r="O56" s="294" t="n"/>
      <c r="P56" s="264" t="n"/>
      <c r="Q56" s="294" t="n"/>
      <c r="R56" s="9" t="n"/>
      <c r="S56" s="9" t="n"/>
      <c r="T56" s="9" t="n"/>
      <c r="U56" s="9" t="n"/>
      <c r="V56" s="83" t="n"/>
      <c r="X56" s="6" t="n"/>
      <c r="Y56" s="6" t="n"/>
      <c r="Z56" s="81" t="n"/>
    </row>
    <row r="57" ht="16.5" customHeight="1" s="256" thickBot="1">
      <c r="B57" s="89" t="n"/>
      <c r="C57" s="92" t="n"/>
      <c r="D57" s="301" t="n"/>
      <c r="E57" s="294" t="n"/>
      <c r="F57" s="89" t="n"/>
      <c r="G57" s="92" t="n"/>
      <c r="H57" s="301" t="n"/>
      <c r="I57" s="9" t="n"/>
      <c r="J57" s="102">
        <f>MAX(D51:D55,H51:H55)</f>
        <v/>
      </c>
      <c r="L57" s="103">
        <f>L56</f>
        <v/>
      </c>
      <c r="M57" s="104">
        <f>M56</f>
        <v/>
      </c>
      <c r="N57" s="97" t="n"/>
      <c r="O57" s="294" t="n"/>
      <c r="P57" s="5" t="n"/>
      <c r="Q57" s="294" t="n"/>
      <c r="R57" s="9" t="n"/>
      <c r="S57" s="9" t="n"/>
      <c r="T57" s="9" t="n"/>
      <c r="U57" s="9" t="n"/>
      <c r="V57" s="83" t="n"/>
      <c r="X57" s="84" t="n"/>
      <c r="Y57" s="84" t="n"/>
      <c r="Z57" s="81" t="n"/>
    </row>
    <row r="58" ht="16.5" customHeight="1" s="256" thickBot="1"/>
    <row r="59">
      <c r="B59" s="261" t="inlineStr">
        <is>
          <t>LEGO_Bugatti</t>
        </is>
      </c>
      <c r="C59" s="262" t="n"/>
      <c r="D59" s="263" t="n"/>
      <c r="E59" s="2" t="n"/>
      <c r="F59" s="261">
        <f>B59</f>
        <v/>
      </c>
      <c r="G59" s="262" t="n"/>
      <c r="H59" s="263" t="n"/>
      <c r="I59" s="2" t="n"/>
      <c r="J59" s="264" t="n"/>
      <c r="L59" s="264">
        <f>F59</f>
        <v/>
      </c>
      <c r="M59" s="262" t="n"/>
      <c r="N59" s="263" t="n"/>
      <c r="O59" s="195" t="n"/>
      <c r="P59" s="264" t="n"/>
      <c r="U59" s="265" t="n"/>
      <c r="V59" s="265" t="n"/>
      <c r="X59" s="265" t="n"/>
    </row>
    <row r="60">
      <c r="B60" s="259" t="inlineStr">
        <is>
          <t>Test</t>
        </is>
      </c>
      <c r="D60" s="87" t="inlineStr">
        <is>
          <t>Bitstream (MB)</t>
        </is>
      </c>
      <c r="E60" s="294" t="n"/>
      <c r="F60" s="259" t="inlineStr">
        <is>
          <t>Test</t>
        </is>
      </c>
      <c r="H60" s="87" t="inlineStr">
        <is>
          <t>Bitstream (MB)</t>
        </is>
      </c>
      <c r="I60" s="9" t="n"/>
      <c r="J60" s="257" t="inlineStr">
        <is>
          <t>%</t>
        </is>
      </c>
      <c r="L60" s="257" t="inlineStr">
        <is>
          <t>RGB-PSNR</t>
        </is>
      </c>
      <c r="N60" s="258" t="n"/>
      <c r="O60" s="85" t="n"/>
      <c r="P60" s="3" t="n"/>
      <c r="R60" s="255" t="n"/>
      <c r="U60" s="255" t="n"/>
      <c r="V60" s="255" t="n"/>
      <c r="X60" s="255" t="n"/>
    </row>
    <row r="61">
      <c r="B61" s="191" t="inlineStr">
        <is>
          <t>Anchor</t>
        </is>
      </c>
      <c r="C61" s="130" t="inlineStr">
        <is>
          <t>Test point</t>
        </is>
      </c>
      <c r="D61" s="86" t="inlineStr">
        <is>
          <t>Total</t>
        </is>
      </c>
      <c r="E61" s="294" t="n"/>
      <c r="F61" s="191" t="inlineStr">
        <is>
          <t>Anchor</t>
        </is>
      </c>
      <c r="G61" s="130" t="inlineStr">
        <is>
          <t>Test point</t>
        </is>
      </c>
      <c r="H61" s="86" t="inlineStr">
        <is>
          <t>Total</t>
        </is>
      </c>
      <c r="I61" s="9" t="n"/>
      <c r="J61" s="93" t="n"/>
      <c r="L61" s="192">
        <f>CONCATENATE(B$2," ",L59)</f>
        <v/>
      </c>
      <c r="M61" s="193">
        <f>CONCATENATE(F$2," ",L59)</f>
        <v/>
      </c>
      <c r="N61" s="194" t="inlineStr">
        <is>
          <t>Delta</t>
        </is>
      </c>
      <c r="O61" s="2" t="n"/>
      <c r="P61" s="3" t="inlineStr">
        <is>
          <t>BD-rate</t>
        </is>
      </c>
      <c r="Q61" s="2" t="n"/>
      <c r="R61" s="2" t="n"/>
      <c r="S61" s="2" t="n"/>
      <c r="T61" s="2" t="n"/>
      <c r="U61" s="2" t="n"/>
      <c r="V61" s="2" t="n"/>
      <c r="X61" s="195" t="n"/>
      <c r="Y61" s="195" t="n"/>
      <c r="Z61" s="195" t="n"/>
    </row>
    <row r="62">
      <c r="B62" s="122">
        <f>B59</f>
        <v/>
      </c>
      <c r="C62" s="130" t="inlineStr">
        <is>
          <t>r01</t>
        </is>
      </c>
      <c r="D62" s="295">
        <f>0.000001*INDIRECT($B62&amp;"!E5")</f>
        <v/>
      </c>
      <c r="E62" s="294" t="n"/>
      <c r="F62" s="122">
        <f>F59</f>
        <v/>
      </c>
      <c r="G62" s="130" t="inlineStr">
        <is>
          <t>r01</t>
        </is>
      </c>
      <c r="H62" s="295">
        <f>0.000001*INDIRECT($B62&amp;"!AC5")</f>
        <v/>
      </c>
      <c r="I62" s="9" t="n"/>
      <c r="J62" s="296">
        <f>H62/D62-1</f>
        <v/>
      </c>
      <c r="L62" s="94">
        <f>INDIRECT($B62&amp;"!"&amp;L$3&amp;"5")</f>
        <v/>
      </c>
      <c r="M62" s="95">
        <f>INDIRECT($B62&amp;"!"&amp;M$3&amp;"5")</f>
        <v/>
      </c>
      <c r="N62" s="96">
        <f>M62-L62</f>
        <v/>
      </c>
      <c r="O62" s="294" t="n"/>
      <c r="P62" s="296">
        <f>bdRateExtend(D62:D66,L62:L66,H62:H66,M62:M66)</f>
        <v/>
      </c>
      <c r="Q62" s="294" t="n"/>
      <c r="R62" s="9" t="n"/>
      <c r="S62" s="9" t="n"/>
      <c r="T62" s="9" t="n"/>
      <c r="U62" s="9" t="n"/>
      <c r="V62" s="297" t="n"/>
      <c r="X62" s="6" t="n"/>
      <c r="Y62" s="6" t="n"/>
      <c r="Z62" s="81" t="n"/>
      <c r="AB62" s="298" t="n"/>
    </row>
    <row r="63">
      <c r="B63" s="122">
        <f>B62</f>
        <v/>
      </c>
      <c r="C63" s="130" t="inlineStr">
        <is>
          <t>r02</t>
        </is>
      </c>
      <c r="D63" s="295">
        <f>0.000001*INDIRECT($B63&amp;"!E6")</f>
        <v/>
      </c>
      <c r="E63" s="294" t="n"/>
      <c r="F63" s="122">
        <f>F62</f>
        <v/>
      </c>
      <c r="G63" s="130" t="inlineStr">
        <is>
          <t>r02</t>
        </is>
      </c>
      <c r="H63" s="295">
        <f>0.000001*INDIRECT($B63&amp;"!AC6")</f>
        <v/>
      </c>
      <c r="I63" s="9" t="n"/>
      <c r="J63" s="296">
        <f>H63/D63-1</f>
        <v/>
      </c>
      <c r="L63" s="94">
        <f>INDIRECT($B63&amp;"!"&amp;L$3&amp;"6")</f>
        <v/>
      </c>
      <c r="M63" s="95">
        <f>INDIRECT($B63&amp;"!"&amp;M$3&amp;"6")</f>
        <v/>
      </c>
      <c r="N63" s="96">
        <f>M63-L63</f>
        <v/>
      </c>
      <c r="O63" s="294" t="n"/>
      <c r="P63" s="3" t="n"/>
      <c r="Q63" s="294" t="n"/>
      <c r="R63" s="9" t="n"/>
      <c r="S63" s="9" t="n"/>
      <c r="T63" s="9" t="n"/>
      <c r="U63" s="9" t="n"/>
      <c r="V63" s="297" t="n"/>
      <c r="X63" s="6" t="n"/>
      <c r="Y63" s="6" t="n"/>
      <c r="Z63" s="81" t="n"/>
    </row>
    <row r="64">
      <c r="B64" s="122">
        <f>B63</f>
        <v/>
      </c>
      <c r="C64" s="130" t="inlineStr">
        <is>
          <t>r03</t>
        </is>
      </c>
      <c r="D64" s="295">
        <f>0.000001*INDIRECT($B64&amp;"!E7")</f>
        <v/>
      </c>
      <c r="E64" s="294" t="n"/>
      <c r="F64" s="122">
        <f>F63</f>
        <v/>
      </c>
      <c r="G64" s="130" t="inlineStr">
        <is>
          <t>r03</t>
        </is>
      </c>
      <c r="H64" s="295">
        <f>0.000001*INDIRECT($B64&amp;"!AC7")</f>
        <v/>
      </c>
      <c r="I64" s="9" t="n"/>
      <c r="J64" s="296">
        <f>H64/D64-1</f>
        <v/>
      </c>
      <c r="L64" s="94">
        <f>INDIRECT($B64&amp;"!"&amp;L$3&amp;"7")</f>
        <v/>
      </c>
      <c r="M64" s="95">
        <f>INDIRECT($B64&amp;"!"&amp;M$3&amp;"7")</f>
        <v/>
      </c>
      <c r="N64" s="96">
        <f>M64-L64</f>
        <v/>
      </c>
      <c r="O64" s="294" t="n"/>
      <c r="P64" s="3" t="n"/>
      <c r="Q64" s="294" t="n"/>
      <c r="R64" s="9" t="n"/>
      <c r="S64" s="9" t="n"/>
      <c r="T64" s="9" t="n"/>
      <c r="U64" s="9" t="n"/>
      <c r="V64" s="297" t="n"/>
      <c r="X64" s="6" t="n"/>
      <c r="Y64" s="6" t="n"/>
      <c r="Z64" s="81" t="n"/>
    </row>
    <row r="65">
      <c r="B65" s="122">
        <f>B64</f>
        <v/>
      </c>
      <c r="C65" s="130" t="inlineStr">
        <is>
          <t>r04</t>
        </is>
      </c>
      <c r="D65" s="295">
        <f>0.000001*INDIRECT($B65&amp;"!E8")</f>
        <v/>
      </c>
      <c r="E65" s="294" t="n"/>
      <c r="F65" s="122">
        <f>F64</f>
        <v/>
      </c>
      <c r="G65" s="130" t="inlineStr">
        <is>
          <t>r04</t>
        </is>
      </c>
      <c r="H65" s="295">
        <f>0.000001*INDIRECT($B65&amp;"!AC8")</f>
        <v/>
      </c>
      <c r="I65" s="9" t="n"/>
      <c r="J65" s="296">
        <f>H65/D65-1</f>
        <v/>
      </c>
      <c r="L65" s="94">
        <f>INDIRECT($B65&amp;"!"&amp;L$3&amp;"8")</f>
        <v/>
      </c>
      <c r="M65" s="95">
        <f>INDIRECT($B65&amp;"!"&amp;M$3&amp;"8")</f>
        <v/>
      </c>
      <c r="N65" s="96">
        <f>M65-L65</f>
        <v/>
      </c>
      <c r="O65" s="294" t="n"/>
      <c r="P65" s="296" t="n"/>
      <c r="Q65" s="294" t="n"/>
      <c r="R65" s="9" t="n"/>
      <c r="S65" s="9" t="n"/>
      <c r="T65" s="9" t="n"/>
      <c r="U65" s="9" t="n"/>
      <c r="V65" s="297" t="n"/>
      <c r="X65" s="6" t="n"/>
      <c r="Y65" s="6" t="n"/>
      <c r="Z65" s="81" t="n"/>
    </row>
    <row r="66" ht="16.5" customHeight="1" s="256" thickBot="1">
      <c r="B66" s="122">
        <f>B65</f>
        <v/>
      </c>
      <c r="C66" s="130" t="inlineStr">
        <is>
          <t>r05</t>
        </is>
      </c>
      <c r="D66" s="295">
        <f>0.000001*INDIRECT($B66&amp;"!E9")</f>
        <v/>
      </c>
      <c r="E66" s="294" t="n"/>
      <c r="F66" s="122">
        <f>F65</f>
        <v/>
      </c>
      <c r="G66" s="130" t="inlineStr">
        <is>
          <t>r05</t>
        </is>
      </c>
      <c r="H66" s="295">
        <f>0.000001*INDIRECT($B66&amp;"!AC9")</f>
        <v/>
      </c>
      <c r="I66" s="9" t="n"/>
      <c r="J66" s="296">
        <f>H66/D66-1</f>
        <v/>
      </c>
      <c r="L66" s="94">
        <f>INDIRECT($B66&amp;"!"&amp;L$3&amp;"9")</f>
        <v/>
      </c>
      <c r="M66" s="95">
        <f>INDIRECT($B66&amp;"!"&amp;M$3&amp;"9")</f>
        <v/>
      </c>
      <c r="N66" s="96">
        <f>M66-L66</f>
        <v/>
      </c>
      <c r="O66" s="294" t="n"/>
      <c r="P66" s="299" t="n"/>
      <c r="Q66" s="294" t="n"/>
      <c r="R66" s="9" t="n"/>
      <c r="S66" s="9" t="n"/>
      <c r="T66" s="9" t="n"/>
      <c r="U66" s="9" t="n"/>
      <c r="V66" s="297" t="n"/>
      <c r="X66" s="6" t="n"/>
      <c r="Y66" s="6" t="n"/>
      <c r="Z66" s="81" t="n"/>
      <c r="AB66" s="298" t="n"/>
    </row>
    <row r="67" ht="16.5" customHeight="1" s="256">
      <c r="B67" s="109" t="n"/>
      <c r="C67" s="110" t="n"/>
      <c r="D67" s="300" t="n"/>
      <c r="F67" s="109" t="n"/>
      <c r="G67" s="110" t="n"/>
      <c r="H67" s="300" t="n"/>
      <c r="J67" s="98">
        <f>MIN(D62:D66,H62:H66)</f>
        <v/>
      </c>
      <c r="L67" s="99" t="n"/>
      <c r="M67" s="100" t="n"/>
      <c r="N67" s="101" t="n"/>
      <c r="O67" s="294" t="n"/>
      <c r="P67" s="264" t="n"/>
      <c r="Q67" s="294" t="n"/>
      <c r="R67" s="9" t="n"/>
      <c r="S67" s="9" t="n"/>
      <c r="T67" s="9" t="n"/>
      <c r="U67" s="9" t="n"/>
      <c r="V67" s="83" t="n"/>
      <c r="X67" s="6" t="n"/>
      <c r="Y67" s="6" t="n"/>
      <c r="Z67" s="81" t="n"/>
    </row>
    <row r="68" ht="16.5" customHeight="1" s="256" thickBot="1">
      <c r="B68" s="89" t="n"/>
      <c r="C68" s="92" t="n"/>
      <c r="D68" s="301" t="n"/>
      <c r="E68" s="294" t="n"/>
      <c r="F68" s="89" t="n"/>
      <c r="G68" s="92" t="n"/>
      <c r="H68" s="301" t="n"/>
      <c r="I68" s="9" t="n"/>
      <c r="J68" s="102">
        <f>MAX(D62:D66,H62:H66)</f>
        <v/>
      </c>
      <c r="L68" s="103">
        <f>L67</f>
        <v/>
      </c>
      <c r="M68" s="104">
        <f>M67</f>
        <v/>
      </c>
      <c r="N68" s="97" t="n"/>
      <c r="O68" s="294" t="n"/>
      <c r="P68" s="5" t="n"/>
      <c r="Q68" s="294" t="n"/>
      <c r="R68" s="9" t="n"/>
      <c r="S68" s="9" t="n"/>
      <c r="T68" s="9" t="n"/>
      <c r="U68" s="9" t="n"/>
      <c r="V68" s="83" t="n"/>
      <c r="X68" s="84" t="n"/>
      <c r="Y68" s="84" t="n"/>
      <c r="Z68" s="81" t="n"/>
    </row>
    <row r="69" ht="16.5" customHeight="1" s="256" thickBot="1"/>
    <row r="70">
      <c r="B70" s="261" t="inlineStr">
        <is>
          <t>Plant</t>
        </is>
      </c>
      <c r="C70" s="262" t="n"/>
      <c r="D70" s="263" t="n"/>
      <c r="E70" s="2" t="n"/>
      <c r="F70" s="261">
        <f>B70</f>
        <v/>
      </c>
      <c r="G70" s="262" t="n"/>
      <c r="H70" s="263" t="n"/>
      <c r="I70" s="2" t="n"/>
      <c r="J70" s="264" t="n"/>
      <c r="L70" s="264">
        <f>F70</f>
        <v/>
      </c>
      <c r="M70" s="262" t="n"/>
      <c r="N70" s="263" t="n"/>
      <c r="O70" s="195" t="n"/>
      <c r="P70" s="264" t="n"/>
      <c r="U70" s="265" t="n"/>
      <c r="V70" s="265" t="n"/>
      <c r="X70" s="265" t="n"/>
    </row>
    <row r="71">
      <c r="B71" s="259" t="inlineStr">
        <is>
          <t>Test</t>
        </is>
      </c>
      <c r="D71" s="87" t="inlineStr">
        <is>
          <t>Bitstream (MB)</t>
        </is>
      </c>
      <c r="E71" s="294" t="n"/>
      <c r="F71" s="259" t="inlineStr">
        <is>
          <t>Test</t>
        </is>
      </c>
      <c r="H71" s="87" t="inlineStr">
        <is>
          <t>Bitstream (MB)</t>
        </is>
      </c>
      <c r="I71" s="9" t="n"/>
      <c r="J71" s="257" t="inlineStr">
        <is>
          <t>%</t>
        </is>
      </c>
      <c r="L71" s="257" t="inlineStr">
        <is>
          <t>RGB-PSNR</t>
        </is>
      </c>
      <c r="N71" s="258" t="n"/>
      <c r="O71" s="85" t="n"/>
      <c r="P71" s="3" t="n"/>
      <c r="R71" s="255" t="n"/>
      <c r="U71" s="255" t="n"/>
      <c r="V71" s="255" t="n"/>
      <c r="X71" s="255" t="n"/>
    </row>
    <row r="72">
      <c r="B72" s="191" t="inlineStr">
        <is>
          <t>Anchor</t>
        </is>
      </c>
      <c r="C72" s="130" t="inlineStr">
        <is>
          <t>Test point</t>
        </is>
      </c>
      <c r="D72" s="86" t="inlineStr">
        <is>
          <t>Total</t>
        </is>
      </c>
      <c r="E72" s="294" t="n"/>
      <c r="F72" s="191" t="inlineStr">
        <is>
          <t>Anchor</t>
        </is>
      </c>
      <c r="G72" s="130" t="inlineStr">
        <is>
          <t>Test point</t>
        </is>
      </c>
      <c r="H72" s="86" t="inlineStr">
        <is>
          <t>Total</t>
        </is>
      </c>
      <c r="I72" s="9" t="n"/>
      <c r="J72" s="93" t="n"/>
      <c r="L72" s="192">
        <f>CONCATENATE(B$2," ",L70)</f>
        <v/>
      </c>
      <c r="M72" s="193">
        <f>CONCATENATE(F$2," ",L70)</f>
        <v/>
      </c>
      <c r="N72" s="194" t="inlineStr">
        <is>
          <t>Delta</t>
        </is>
      </c>
      <c r="O72" s="2" t="n"/>
      <c r="P72" s="3" t="inlineStr">
        <is>
          <t>BD-rate</t>
        </is>
      </c>
      <c r="Q72" s="2" t="n"/>
      <c r="R72" s="2" t="n"/>
      <c r="S72" s="2" t="n"/>
      <c r="T72" s="2" t="n"/>
      <c r="U72" s="2" t="n"/>
      <c r="V72" s="2" t="n"/>
      <c r="X72" s="195" t="n"/>
      <c r="Y72" s="195" t="n"/>
      <c r="Z72" s="195" t="n"/>
    </row>
    <row r="73">
      <c r="B73" s="122">
        <f>B70</f>
        <v/>
      </c>
      <c r="C73" s="130" t="inlineStr">
        <is>
          <t>r01</t>
        </is>
      </c>
      <c r="D73" s="295">
        <f>0.000001*INDIRECT($B73&amp;"!E5")</f>
        <v/>
      </c>
      <c r="E73" s="294" t="n"/>
      <c r="F73" s="122">
        <f>F70</f>
        <v/>
      </c>
      <c r="G73" s="130" t="inlineStr">
        <is>
          <t>r01</t>
        </is>
      </c>
      <c r="H73" s="295">
        <f>0.000001*INDIRECT($B73&amp;"!AC5")</f>
        <v/>
      </c>
      <c r="I73" s="9" t="n"/>
      <c r="J73" s="296">
        <f>H73/D73-1</f>
        <v/>
      </c>
      <c r="L73" s="94">
        <f>INDIRECT($B73&amp;"!"&amp;L$3&amp;"5")</f>
        <v/>
      </c>
      <c r="M73" s="95">
        <f>INDIRECT($B73&amp;"!"&amp;M$3&amp;"5")</f>
        <v/>
      </c>
      <c r="N73" s="96">
        <f>M73-L73</f>
        <v/>
      </c>
      <c r="O73" s="294" t="n"/>
      <c r="P73" s="296">
        <f>bdRateExtend(D73:D77,L73:L77,H73:H77,M73:M77)</f>
        <v/>
      </c>
      <c r="Q73" s="294" t="n"/>
      <c r="R73" s="9" t="n"/>
      <c r="S73" s="9" t="n"/>
      <c r="T73" s="9" t="n"/>
      <c r="U73" s="9" t="n"/>
      <c r="V73" s="297" t="n"/>
      <c r="X73" s="6" t="n"/>
      <c r="Y73" s="6" t="n"/>
      <c r="Z73" s="81" t="n"/>
      <c r="AB73" s="298" t="n"/>
    </row>
    <row r="74">
      <c r="B74" s="122">
        <f>B73</f>
        <v/>
      </c>
      <c r="C74" s="130" t="inlineStr">
        <is>
          <t>r02</t>
        </is>
      </c>
      <c r="D74" s="295">
        <f>0.000001*INDIRECT($B74&amp;"!E6")</f>
        <v/>
      </c>
      <c r="E74" s="294" t="n"/>
      <c r="F74" s="122">
        <f>F73</f>
        <v/>
      </c>
      <c r="G74" s="130" t="inlineStr">
        <is>
          <t>r02</t>
        </is>
      </c>
      <c r="H74" s="295">
        <f>0.000001*INDIRECT($B74&amp;"!AC6")</f>
        <v/>
      </c>
      <c r="I74" s="9" t="n"/>
      <c r="J74" s="296">
        <f>H74/D74-1</f>
        <v/>
      </c>
      <c r="L74" s="94">
        <f>INDIRECT($B74&amp;"!"&amp;L$3&amp;"6")</f>
        <v/>
      </c>
      <c r="M74" s="95">
        <f>INDIRECT($B74&amp;"!"&amp;M$3&amp;"6")</f>
        <v/>
      </c>
      <c r="N74" s="96">
        <f>M74-L74</f>
        <v/>
      </c>
      <c r="O74" s="294" t="n"/>
      <c r="P74" s="3" t="n"/>
      <c r="Q74" s="294" t="n"/>
      <c r="R74" s="9" t="n"/>
      <c r="S74" s="9" t="n"/>
      <c r="T74" s="9" t="n"/>
      <c r="U74" s="9" t="n"/>
      <c r="V74" s="297" t="n"/>
      <c r="X74" s="6" t="n"/>
      <c r="Y74" s="6" t="n"/>
      <c r="Z74" s="81" t="n"/>
    </row>
    <row r="75">
      <c r="B75" s="122">
        <f>B74</f>
        <v/>
      </c>
      <c r="C75" s="130" t="inlineStr">
        <is>
          <t>r03</t>
        </is>
      </c>
      <c r="D75" s="295">
        <f>0.000001*INDIRECT($B75&amp;"!E7")</f>
        <v/>
      </c>
      <c r="E75" s="294" t="n"/>
      <c r="F75" s="122">
        <f>F74</f>
        <v/>
      </c>
      <c r="G75" s="130" t="inlineStr">
        <is>
          <t>r03</t>
        </is>
      </c>
      <c r="H75" s="295">
        <f>0.000001*INDIRECT($B75&amp;"!AC7")</f>
        <v/>
      </c>
      <c r="I75" s="9" t="n"/>
      <c r="J75" s="296">
        <f>H75/D75-1</f>
        <v/>
      </c>
      <c r="L75" s="94">
        <f>INDIRECT($B75&amp;"!"&amp;L$3&amp;"7")</f>
        <v/>
      </c>
      <c r="M75" s="95">
        <f>INDIRECT($B75&amp;"!"&amp;M$3&amp;"7")</f>
        <v/>
      </c>
      <c r="N75" s="96">
        <f>M75-L75</f>
        <v/>
      </c>
      <c r="O75" s="294" t="n"/>
      <c r="P75" s="3" t="n"/>
      <c r="Q75" s="294" t="n"/>
      <c r="R75" s="9" t="n"/>
      <c r="S75" s="9" t="n"/>
      <c r="T75" s="9" t="n"/>
      <c r="U75" s="9" t="n"/>
      <c r="V75" s="297" t="n"/>
      <c r="X75" s="6" t="n"/>
      <c r="Y75" s="6" t="n"/>
      <c r="Z75" s="81" t="n"/>
    </row>
    <row r="76">
      <c r="B76" s="122">
        <f>B75</f>
        <v/>
      </c>
      <c r="C76" s="130" t="inlineStr">
        <is>
          <t>r04</t>
        </is>
      </c>
      <c r="D76" s="295">
        <f>0.000001*INDIRECT($B76&amp;"!E8")</f>
        <v/>
      </c>
      <c r="E76" s="294" t="n"/>
      <c r="F76" s="122">
        <f>F75</f>
        <v/>
      </c>
      <c r="G76" s="130" t="inlineStr">
        <is>
          <t>r04</t>
        </is>
      </c>
      <c r="H76" s="295">
        <f>0.000001*INDIRECT($B76&amp;"!AC8")</f>
        <v/>
      </c>
      <c r="I76" s="9" t="n"/>
      <c r="J76" s="296">
        <f>H76/D76-1</f>
        <v/>
      </c>
      <c r="L76" s="94">
        <f>INDIRECT($B76&amp;"!"&amp;L$3&amp;"8")</f>
        <v/>
      </c>
      <c r="M76" s="95">
        <f>INDIRECT($B76&amp;"!"&amp;M$3&amp;"8")</f>
        <v/>
      </c>
      <c r="N76" s="96">
        <f>M76-L76</f>
        <v/>
      </c>
      <c r="O76" s="294" t="n"/>
      <c r="P76" s="296" t="n"/>
      <c r="Q76" s="294" t="n"/>
      <c r="R76" s="9" t="n"/>
      <c r="S76" s="9" t="n"/>
      <c r="T76" s="9" t="n"/>
      <c r="U76" s="9" t="n"/>
      <c r="V76" s="297" t="n"/>
      <c r="X76" s="6" t="n"/>
      <c r="Y76" s="6" t="n"/>
      <c r="Z76" s="81" t="n"/>
    </row>
    <row r="77" ht="16.5" customHeight="1" s="256" thickBot="1">
      <c r="B77" s="122">
        <f>B76</f>
        <v/>
      </c>
      <c r="C77" s="130" t="inlineStr">
        <is>
          <t>r05</t>
        </is>
      </c>
      <c r="D77" s="295">
        <f>0.000001*INDIRECT($B77&amp;"!E9")</f>
        <v/>
      </c>
      <c r="E77" s="294" t="n"/>
      <c r="F77" s="122">
        <f>F76</f>
        <v/>
      </c>
      <c r="G77" s="130" t="inlineStr">
        <is>
          <t>r05</t>
        </is>
      </c>
      <c r="H77" s="295">
        <f>0.000001*INDIRECT($B77&amp;"!AC9")</f>
        <v/>
      </c>
      <c r="I77" s="9" t="n"/>
      <c r="J77" s="296">
        <f>H77/D77-1</f>
        <v/>
      </c>
      <c r="L77" s="94">
        <f>INDIRECT($B77&amp;"!"&amp;L$3&amp;"9")</f>
        <v/>
      </c>
      <c r="M77" s="95">
        <f>INDIRECT($B77&amp;"!"&amp;M$3&amp;"9")</f>
        <v/>
      </c>
      <c r="N77" s="96">
        <f>M77-L77</f>
        <v/>
      </c>
      <c r="O77" s="294" t="n"/>
      <c r="P77" s="299" t="n"/>
      <c r="Q77" s="294" t="n"/>
      <c r="R77" s="9" t="n"/>
      <c r="S77" s="9" t="n"/>
      <c r="T77" s="9" t="n"/>
      <c r="U77" s="9" t="n"/>
      <c r="V77" s="297" t="n"/>
      <c r="X77" s="6" t="n"/>
      <c r="Y77" s="6" t="n"/>
      <c r="Z77" s="81" t="n"/>
      <c r="AB77" s="298" t="n"/>
    </row>
    <row r="78" ht="16.5" customHeight="1" s="256">
      <c r="B78" s="109" t="n"/>
      <c r="C78" s="110" t="n"/>
      <c r="D78" s="300" t="n"/>
      <c r="F78" s="109" t="n"/>
      <c r="G78" s="110" t="n"/>
      <c r="H78" s="300" t="n"/>
      <c r="J78" s="98">
        <f>MIN(D73:D77,H73:H77)</f>
        <v/>
      </c>
      <c r="L78" s="99" t="n"/>
      <c r="M78" s="100" t="n"/>
      <c r="N78" s="101" t="n"/>
      <c r="O78" s="294" t="n"/>
      <c r="P78" s="264" t="n"/>
      <c r="Q78" s="294" t="n"/>
      <c r="R78" s="9" t="n"/>
      <c r="S78" s="9" t="n"/>
      <c r="T78" s="9" t="n"/>
      <c r="U78" s="9" t="n"/>
      <c r="V78" s="83" t="n"/>
      <c r="X78" s="6" t="n"/>
      <c r="Y78" s="6" t="n"/>
      <c r="Z78" s="81" t="n"/>
    </row>
    <row r="79" ht="16.5" customHeight="1" s="256" thickBot="1">
      <c r="B79" s="89" t="n"/>
      <c r="C79" s="92" t="n"/>
      <c r="D79" s="301" t="n"/>
      <c r="E79" s="294" t="n"/>
      <c r="F79" s="89" t="n"/>
      <c r="G79" s="92" t="n"/>
      <c r="H79" s="301" t="n"/>
      <c r="I79" s="9" t="n"/>
      <c r="J79" s="102">
        <f>MAX(D73:D77,H73:H77)</f>
        <v/>
      </c>
      <c r="L79" s="103">
        <f>L78</f>
        <v/>
      </c>
      <c r="M79" s="104">
        <f>M78</f>
        <v/>
      </c>
      <c r="N79" s="97" t="n"/>
      <c r="O79" s="294" t="n"/>
      <c r="P79" s="5" t="n"/>
      <c r="Q79" s="294" t="n"/>
      <c r="R79" s="9" t="n"/>
      <c r="S79" s="9" t="n"/>
      <c r="T79" s="9" t="n"/>
      <c r="U79" s="9" t="n"/>
      <c r="V79" s="83" t="n"/>
      <c r="X79" s="84" t="n"/>
      <c r="Y79" s="84" t="n"/>
      <c r="Z79" s="81" t="n"/>
    </row>
    <row r="80" ht="18" customHeight="1" s="256" thickBot="1"/>
    <row r="81">
      <c r="B81" s="261" t="inlineStr">
        <is>
          <t>Tennis_Player</t>
        </is>
      </c>
      <c r="C81" s="262" t="n"/>
      <c r="D81" s="263" t="n"/>
      <c r="E81" s="2" t="n"/>
      <c r="F81" s="261">
        <f>B81</f>
        <v/>
      </c>
      <c r="G81" s="262" t="n"/>
      <c r="H81" s="263" t="n"/>
      <c r="I81" s="2" t="n"/>
      <c r="J81" s="264" t="n"/>
      <c r="L81" s="264">
        <f>F81</f>
        <v/>
      </c>
      <c r="M81" s="262" t="n"/>
      <c r="N81" s="263" t="n"/>
      <c r="O81" s="195" t="n"/>
      <c r="P81" s="264" t="n"/>
      <c r="U81" s="265" t="n"/>
      <c r="V81" s="265" t="n"/>
      <c r="X81" s="265" t="n"/>
    </row>
    <row r="82">
      <c r="B82" s="259" t="inlineStr">
        <is>
          <t>Test</t>
        </is>
      </c>
      <c r="D82" s="87" t="inlineStr">
        <is>
          <t>Bitstream (MB)</t>
        </is>
      </c>
      <c r="E82" s="294" t="n"/>
      <c r="F82" s="259" t="inlineStr">
        <is>
          <t>Test</t>
        </is>
      </c>
      <c r="H82" s="87" t="inlineStr">
        <is>
          <t>Bitstream (MB)</t>
        </is>
      </c>
      <c r="I82" s="9" t="n"/>
      <c r="J82" s="257" t="inlineStr">
        <is>
          <t>%</t>
        </is>
      </c>
      <c r="L82" s="257" t="inlineStr">
        <is>
          <t>RGB-PSNR</t>
        </is>
      </c>
      <c r="N82" s="258" t="n"/>
      <c r="O82" s="85" t="n"/>
      <c r="P82" s="3" t="n"/>
      <c r="R82" s="255" t="n"/>
      <c r="U82" s="255" t="n"/>
      <c r="V82" s="255" t="n"/>
      <c r="X82" s="255" t="n"/>
    </row>
    <row r="83">
      <c r="B83" s="191" t="inlineStr">
        <is>
          <t>Anchor</t>
        </is>
      </c>
      <c r="C83" s="130" t="inlineStr">
        <is>
          <t>Test point</t>
        </is>
      </c>
      <c r="D83" s="86" t="inlineStr">
        <is>
          <t>Total</t>
        </is>
      </c>
      <c r="E83" s="294" t="n"/>
      <c r="F83" s="191" t="inlineStr">
        <is>
          <t>Anchor</t>
        </is>
      </c>
      <c r="G83" s="130" t="inlineStr">
        <is>
          <t>Test point</t>
        </is>
      </c>
      <c r="H83" s="86" t="inlineStr">
        <is>
          <t>Total</t>
        </is>
      </c>
      <c r="I83" s="9" t="n"/>
      <c r="J83" s="93" t="n"/>
      <c r="L83" s="192">
        <f>CONCATENATE(B$2," ",L81)</f>
        <v/>
      </c>
      <c r="M83" s="193">
        <f>CONCATENATE(F$2," ",L81)</f>
        <v/>
      </c>
      <c r="N83" s="194" t="inlineStr">
        <is>
          <t>Delta</t>
        </is>
      </c>
      <c r="O83" s="2" t="n"/>
      <c r="P83" s="3" t="inlineStr">
        <is>
          <t>BD-rate</t>
        </is>
      </c>
      <c r="Q83" s="2" t="n"/>
      <c r="R83" s="2" t="n"/>
      <c r="S83" s="2" t="n"/>
      <c r="T83" s="2" t="n"/>
      <c r="U83" s="2" t="n"/>
      <c r="V83" s="2" t="n"/>
      <c r="X83" s="195" t="n"/>
      <c r="Y83" s="195" t="n"/>
      <c r="Z83" s="195" t="n"/>
    </row>
    <row r="84">
      <c r="B84" s="122">
        <f>B81</f>
        <v/>
      </c>
      <c r="C84" s="130" t="inlineStr">
        <is>
          <t>r01</t>
        </is>
      </c>
      <c r="D84" s="295">
        <f>0.000001*INDIRECT($B84&amp;"!E5")</f>
        <v/>
      </c>
      <c r="E84" s="294" t="n"/>
      <c r="F84" s="122">
        <f>F81</f>
        <v/>
      </c>
      <c r="G84" s="130" t="inlineStr">
        <is>
          <t>r01</t>
        </is>
      </c>
      <c r="H84" s="295">
        <f>0.000001*INDIRECT($B84&amp;"!AC5")</f>
        <v/>
      </c>
      <c r="I84" s="9" t="n"/>
      <c r="J84" s="296">
        <f>H84/D84-1</f>
        <v/>
      </c>
      <c r="L84" s="94">
        <f>INDIRECT($B84&amp;"!"&amp;L$3&amp;"5")</f>
        <v/>
      </c>
      <c r="M84" s="95">
        <f>INDIRECT($B84&amp;"!"&amp;M$3&amp;"5")</f>
        <v/>
      </c>
      <c r="N84" s="96">
        <f>M84-L84</f>
        <v/>
      </c>
      <c r="O84" s="294" t="n"/>
      <c r="P84" s="296">
        <f>bdRateExtend(D84:D88,L84:L88,H84:H88,M84:M88)</f>
        <v/>
      </c>
      <c r="Q84" s="294" t="n"/>
      <c r="R84" s="9" t="n"/>
      <c r="S84" s="9" t="n"/>
      <c r="T84" s="9" t="n"/>
      <c r="U84" s="9" t="n"/>
      <c r="V84" s="297" t="n"/>
      <c r="X84" s="6" t="n"/>
      <c r="Y84" s="6" t="n"/>
      <c r="Z84" s="81" t="n"/>
      <c r="AB84" s="298" t="n"/>
    </row>
    <row r="85">
      <c r="B85" s="122">
        <f>B84</f>
        <v/>
      </c>
      <c r="C85" s="130" t="inlineStr">
        <is>
          <t>r02</t>
        </is>
      </c>
      <c r="D85" s="295">
        <f>0.000001*INDIRECT($B85&amp;"!E6")</f>
        <v/>
      </c>
      <c r="E85" s="294" t="n"/>
      <c r="F85" s="122">
        <f>F84</f>
        <v/>
      </c>
      <c r="G85" s="130" t="inlineStr">
        <is>
          <t>r02</t>
        </is>
      </c>
      <c r="H85" s="295">
        <f>0.000001*INDIRECT($B85&amp;"!AC6")</f>
        <v/>
      </c>
      <c r="I85" s="9" t="n"/>
      <c r="J85" s="296">
        <f>H85/D85-1</f>
        <v/>
      </c>
      <c r="L85" s="94">
        <f>INDIRECT($B85&amp;"!"&amp;L$3&amp;"6")</f>
        <v/>
      </c>
      <c r="M85" s="95">
        <f>INDIRECT($B85&amp;"!"&amp;M$3&amp;"6")</f>
        <v/>
      </c>
      <c r="N85" s="96">
        <f>M85-L85</f>
        <v/>
      </c>
      <c r="O85" s="294" t="n"/>
      <c r="P85" s="3" t="n"/>
      <c r="Q85" s="294" t="n"/>
      <c r="R85" s="9" t="n"/>
      <c r="S85" s="9" t="n"/>
      <c r="T85" s="9" t="n"/>
      <c r="U85" s="9" t="n"/>
      <c r="V85" s="297" t="n"/>
      <c r="X85" s="6" t="n"/>
      <c r="Y85" s="6" t="n"/>
      <c r="Z85" s="81" t="n"/>
    </row>
    <row r="86">
      <c r="B86" s="122">
        <f>B85</f>
        <v/>
      </c>
      <c r="C86" s="130" t="inlineStr">
        <is>
          <t>r03</t>
        </is>
      </c>
      <c r="D86" s="295">
        <f>0.000001*INDIRECT($B86&amp;"!E7")</f>
        <v/>
      </c>
      <c r="E86" s="294" t="n"/>
      <c r="F86" s="122">
        <f>F85</f>
        <v/>
      </c>
      <c r="G86" s="130" t="inlineStr">
        <is>
          <t>r03</t>
        </is>
      </c>
      <c r="H86" s="295">
        <f>0.000001*INDIRECT($B86&amp;"!AC7")</f>
        <v/>
      </c>
      <c r="I86" s="9" t="n"/>
      <c r="J86" s="296">
        <f>H86/D86-1</f>
        <v/>
      </c>
      <c r="L86" s="94">
        <f>INDIRECT($B86&amp;"!"&amp;L$3&amp;"7")</f>
        <v/>
      </c>
      <c r="M86" s="95">
        <f>INDIRECT($B86&amp;"!"&amp;M$3&amp;"7")</f>
        <v/>
      </c>
      <c r="N86" s="96">
        <f>M86-L86</f>
        <v/>
      </c>
      <c r="O86" s="294" t="n"/>
      <c r="P86" s="3" t="n"/>
      <c r="Q86" s="294" t="n"/>
      <c r="R86" s="9" t="n"/>
      <c r="S86" s="9" t="n"/>
      <c r="T86" s="9" t="n"/>
      <c r="U86" s="9" t="n"/>
      <c r="V86" s="297" t="n"/>
      <c r="X86" s="6" t="n"/>
      <c r="Y86" s="6" t="n"/>
      <c r="Z86" s="81" t="n"/>
    </row>
    <row r="87">
      <c r="B87" s="122">
        <f>B86</f>
        <v/>
      </c>
      <c r="C87" s="130" t="inlineStr">
        <is>
          <t>r04</t>
        </is>
      </c>
      <c r="D87" s="295">
        <f>0.000001*INDIRECT($B87&amp;"!E8")</f>
        <v/>
      </c>
      <c r="E87" s="294" t="n"/>
      <c r="F87" s="122">
        <f>F86</f>
        <v/>
      </c>
      <c r="G87" s="130" t="inlineStr">
        <is>
          <t>r04</t>
        </is>
      </c>
      <c r="H87" s="295">
        <f>0.000001*INDIRECT($B87&amp;"!AC8")</f>
        <v/>
      </c>
      <c r="I87" s="9" t="n"/>
      <c r="J87" s="296">
        <f>H87/D87-1</f>
        <v/>
      </c>
      <c r="L87" s="94">
        <f>INDIRECT($B87&amp;"!"&amp;L$3&amp;"8")</f>
        <v/>
      </c>
      <c r="M87" s="95">
        <f>INDIRECT($B87&amp;"!"&amp;M$3&amp;"8")</f>
        <v/>
      </c>
      <c r="N87" s="96">
        <f>M87-L87</f>
        <v/>
      </c>
      <c r="O87" s="294" t="n"/>
      <c r="P87" s="296" t="n"/>
      <c r="Q87" s="294" t="n"/>
      <c r="R87" s="9" t="n"/>
      <c r="S87" s="9" t="n"/>
      <c r="T87" s="9" t="n"/>
      <c r="U87" s="9" t="n"/>
      <c r="V87" s="297" t="n"/>
      <c r="X87" s="6" t="n"/>
      <c r="Y87" s="6" t="n"/>
      <c r="Z87" s="81" t="n"/>
    </row>
    <row r="88" ht="16.5" customHeight="1" s="256" thickBot="1">
      <c r="B88" s="122">
        <f>B87</f>
        <v/>
      </c>
      <c r="C88" s="130" t="inlineStr">
        <is>
          <t>r05</t>
        </is>
      </c>
      <c r="D88" s="295">
        <f>0.000001*INDIRECT($B88&amp;"!E9")</f>
        <v/>
      </c>
      <c r="E88" s="294" t="n"/>
      <c r="F88" s="122">
        <f>F87</f>
        <v/>
      </c>
      <c r="G88" s="130" t="inlineStr">
        <is>
          <t>r05</t>
        </is>
      </c>
      <c r="H88" s="295">
        <f>0.000001*INDIRECT($B88&amp;"!AC9")</f>
        <v/>
      </c>
      <c r="I88" s="9" t="n"/>
      <c r="J88" s="296">
        <f>H88/D88-1</f>
        <v/>
      </c>
      <c r="L88" s="94">
        <f>INDIRECT($B88&amp;"!"&amp;L$3&amp;"9")</f>
        <v/>
      </c>
      <c r="M88" s="95">
        <f>INDIRECT($B88&amp;"!"&amp;M$3&amp;"9")</f>
        <v/>
      </c>
      <c r="N88" s="96">
        <f>M88-L88</f>
        <v/>
      </c>
      <c r="O88" s="294" t="n"/>
      <c r="P88" s="299" t="n"/>
      <c r="Q88" s="294" t="n"/>
      <c r="R88" s="9" t="n"/>
      <c r="S88" s="9" t="n"/>
      <c r="T88" s="9" t="n"/>
      <c r="U88" s="9" t="n"/>
      <c r="V88" s="297" t="n"/>
      <c r="X88" s="6" t="n"/>
      <c r="Y88" s="6" t="n"/>
      <c r="Z88" s="81" t="n"/>
      <c r="AB88" s="298" t="n"/>
    </row>
    <row r="89" ht="16.5" customHeight="1" s="256">
      <c r="B89" s="109" t="n"/>
      <c r="C89" s="110" t="n"/>
      <c r="D89" s="300" t="n"/>
      <c r="F89" s="109" t="n"/>
      <c r="G89" s="110" t="n"/>
      <c r="H89" s="300" t="n"/>
      <c r="J89" s="98">
        <f>MIN(D84:D88,H84:H88)</f>
        <v/>
      </c>
      <c r="L89" s="99" t="n"/>
      <c r="M89" s="100" t="n"/>
      <c r="N89" s="101" t="n"/>
      <c r="O89" s="294" t="n"/>
      <c r="P89" s="264" t="n"/>
      <c r="Q89" s="294" t="n"/>
      <c r="R89" s="9" t="n"/>
      <c r="S89" s="9" t="n"/>
      <c r="T89" s="9" t="n"/>
      <c r="U89" s="9" t="n"/>
      <c r="V89" s="83" t="n"/>
      <c r="X89" s="6" t="n"/>
      <c r="Y89" s="6" t="n"/>
      <c r="Z89" s="81" t="n"/>
    </row>
    <row r="90" ht="16.5" customHeight="1" s="256" thickBot="1">
      <c r="B90" s="89" t="n"/>
      <c r="C90" s="92" t="n"/>
      <c r="D90" s="301" t="n"/>
      <c r="E90" s="294" t="n"/>
      <c r="F90" s="89" t="n"/>
      <c r="G90" s="92" t="n"/>
      <c r="H90" s="301" t="n"/>
      <c r="I90" s="9" t="n"/>
      <c r="J90" s="102">
        <f>MAX(D84:D88,H84:H88)</f>
        <v/>
      </c>
      <c r="L90" s="103">
        <f>L89</f>
        <v/>
      </c>
      <c r="M90" s="104">
        <f>M89</f>
        <v/>
      </c>
      <c r="N90" s="97" t="n"/>
      <c r="O90" s="294" t="n"/>
      <c r="P90" s="5" t="n"/>
      <c r="Q90" s="294" t="n"/>
      <c r="R90" s="9" t="n"/>
      <c r="S90" s="9" t="n"/>
      <c r="T90" s="9" t="n"/>
      <c r="U90" s="9" t="n"/>
      <c r="V90" s="83" t="n"/>
      <c r="X90" s="84" t="n"/>
      <c r="Y90" s="84" t="n"/>
      <c r="Z90" s="81" t="n"/>
    </row>
    <row r="91" ht="18" customHeight="1" s="256" thickBot="1"/>
    <row r="92">
      <c r="B92" s="261" t="inlineStr">
        <is>
          <t>Cricket_Player</t>
        </is>
      </c>
      <c r="C92" s="262" t="n"/>
      <c r="D92" s="263" t="n"/>
      <c r="E92" s="2" t="n"/>
      <c r="F92" s="261">
        <f>B92</f>
        <v/>
      </c>
      <c r="G92" s="262" t="n"/>
      <c r="H92" s="263" t="n"/>
      <c r="I92" s="2" t="n"/>
      <c r="J92" s="264" t="n"/>
      <c r="L92" s="264">
        <f>F92</f>
        <v/>
      </c>
      <c r="M92" s="262" t="n"/>
      <c r="N92" s="263" t="n"/>
      <c r="O92" s="195" t="n"/>
      <c r="P92" s="264" t="n"/>
      <c r="U92" s="265" t="n"/>
      <c r="V92" s="265" t="n"/>
      <c r="X92" s="265" t="n"/>
    </row>
    <row r="93">
      <c r="B93" s="259" t="inlineStr">
        <is>
          <t>Test</t>
        </is>
      </c>
      <c r="D93" s="87" t="inlineStr">
        <is>
          <t>Bitstream (MB)</t>
        </is>
      </c>
      <c r="E93" s="294" t="n"/>
      <c r="F93" s="259" t="inlineStr">
        <is>
          <t>Test</t>
        </is>
      </c>
      <c r="H93" s="87" t="inlineStr">
        <is>
          <t>Bitstream (MB)</t>
        </is>
      </c>
      <c r="I93" s="9" t="n"/>
      <c r="J93" s="257" t="inlineStr">
        <is>
          <t>%</t>
        </is>
      </c>
      <c r="L93" s="257" t="inlineStr">
        <is>
          <t>RGB-PSNR</t>
        </is>
      </c>
      <c r="N93" s="258" t="n"/>
      <c r="O93" s="85" t="n"/>
      <c r="P93" s="3" t="n"/>
      <c r="R93" s="255" t="n"/>
      <c r="U93" s="255" t="n"/>
      <c r="V93" s="255" t="n"/>
      <c r="X93" s="255" t="n"/>
    </row>
    <row r="94">
      <c r="B94" s="191" t="inlineStr">
        <is>
          <t>Anchor</t>
        </is>
      </c>
      <c r="C94" s="130" t="inlineStr">
        <is>
          <t>Test point</t>
        </is>
      </c>
      <c r="D94" s="86" t="inlineStr">
        <is>
          <t>Total</t>
        </is>
      </c>
      <c r="E94" s="294" t="n"/>
      <c r="F94" s="191" t="inlineStr">
        <is>
          <t>Anchor</t>
        </is>
      </c>
      <c r="G94" s="130" t="inlineStr">
        <is>
          <t>Test point</t>
        </is>
      </c>
      <c r="H94" s="86" t="inlineStr">
        <is>
          <t>Total</t>
        </is>
      </c>
      <c r="I94" s="9" t="n"/>
      <c r="J94" s="93" t="n"/>
      <c r="L94" s="192">
        <f>CONCATENATE(B$2," ",L92)</f>
        <v/>
      </c>
      <c r="M94" s="193">
        <f>CONCATENATE(F$2," ",L92)</f>
        <v/>
      </c>
      <c r="N94" s="194" t="inlineStr">
        <is>
          <t>Delta</t>
        </is>
      </c>
      <c r="O94" s="2" t="n"/>
      <c r="P94" s="3" t="inlineStr">
        <is>
          <t>BD-rate</t>
        </is>
      </c>
      <c r="Q94" s="2" t="n"/>
      <c r="R94" s="2" t="n"/>
      <c r="S94" s="2" t="n"/>
      <c r="T94" s="2" t="n"/>
      <c r="U94" s="2" t="n"/>
      <c r="V94" s="2" t="n"/>
      <c r="X94" s="195" t="n"/>
      <c r="Y94" s="195" t="n"/>
      <c r="Z94" s="195" t="n"/>
    </row>
    <row r="95">
      <c r="B95" s="122">
        <f>B92</f>
        <v/>
      </c>
      <c r="C95" s="130" t="inlineStr">
        <is>
          <t>r01</t>
        </is>
      </c>
      <c r="D95" s="295">
        <f>0.000001*INDIRECT($B95&amp;"!E5")</f>
        <v/>
      </c>
      <c r="E95" s="294" t="n"/>
      <c r="F95" s="122">
        <f>F92</f>
        <v/>
      </c>
      <c r="G95" s="130" t="inlineStr">
        <is>
          <t>r01</t>
        </is>
      </c>
      <c r="H95" s="295">
        <f>0.000001*INDIRECT($B95&amp;"!AC5")</f>
        <v/>
      </c>
      <c r="I95" s="9" t="n"/>
      <c r="J95" s="296">
        <f>H95/D95-1</f>
        <v/>
      </c>
      <c r="L95" s="94">
        <f>INDIRECT($B95&amp;"!"&amp;L$3&amp;"5")</f>
        <v/>
      </c>
      <c r="M95" s="95">
        <f>INDIRECT($B95&amp;"!"&amp;M$3&amp;"5")</f>
        <v/>
      </c>
      <c r="N95" s="96">
        <f>M95-L95</f>
        <v/>
      </c>
      <c r="O95" s="294" t="n"/>
      <c r="P95" s="296">
        <f>bdRateExtend(D95:D99,L95:L99,H95:H99,M95:M99)</f>
        <v/>
      </c>
      <c r="Q95" s="294" t="n"/>
      <c r="R95" s="9" t="n"/>
      <c r="S95" s="9" t="n"/>
      <c r="T95" s="9" t="n"/>
      <c r="U95" s="9" t="n"/>
      <c r="V95" s="297" t="n"/>
      <c r="X95" s="6" t="n"/>
      <c r="Y95" s="6" t="n"/>
      <c r="Z95" s="81" t="n"/>
      <c r="AB95" s="298" t="n"/>
    </row>
    <row r="96">
      <c r="B96" s="122">
        <f>B95</f>
        <v/>
      </c>
      <c r="C96" s="130" t="inlineStr">
        <is>
          <t>r02</t>
        </is>
      </c>
      <c r="D96" s="295">
        <f>0.000001*INDIRECT($B96&amp;"!E6")</f>
        <v/>
      </c>
      <c r="E96" s="294" t="n"/>
      <c r="F96" s="122">
        <f>F95</f>
        <v/>
      </c>
      <c r="G96" s="130" t="inlineStr">
        <is>
          <t>r02</t>
        </is>
      </c>
      <c r="H96" s="295">
        <f>0.000001*INDIRECT($B96&amp;"!AC6")</f>
        <v/>
      </c>
      <c r="I96" s="9" t="n"/>
      <c r="J96" s="296">
        <f>H96/D96-1</f>
        <v/>
      </c>
      <c r="L96" s="94">
        <f>INDIRECT($B96&amp;"!"&amp;L$3&amp;"6")</f>
        <v/>
      </c>
      <c r="M96" s="95">
        <f>INDIRECT($B96&amp;"!"&amp;M$3&amp;"6")</f>
        <v/>
      </c>
      <c r="N96" s="96">
        <f>M96-L96</f>
        <v/>
      </c>
      <c r="O96" s="294" t="n"/>
      <c r="P96" s="3" t="n"/>
      <c r="Q96" s="294" t="n"/>
      <c r="R96" s="9" t="n"/>
      <c r="S96" s="9" t="n"/>
      <c r="T96" s="9" t="n"/>
      <c r="U96" s="9" t="n"/>
      <c r="V96" s="297" t="n"/>
      <c r="X96" s="6" t="n"/>
      <c r="Y96" s="6" t="n"/>
      <c r="Z96" s="81" t="n"/>
    </row>
    <row r="97">
      <c r="B97" s="122">
        <f>B96</f>
        <v/>
      </c>
      <c r="C97" s="130" t="inlineStr">
        <is>
          <t>r03</t>
        </is>
      </c>
      <c r="D97" s="295">
        <f>0.000001*INDIRECT($B97&amp;"!E7")</f>
        <v/>
      </c>
      <c r="E97" s="294" t="n"/>
      <c r="F97" s="122">
        <f>F96</f>
        <v/>
      </c>
      <c r="G97" s="130" t="inlineStr">
        <is>
          <t>r03</t>
        </is>
      </c>
      <c r="H97" s="295">
        <f>0.000001*INDIRECT($B97&amp;"!AC7")</f>
        <v/>
      </c>
      <c r="I97" s="9" t="n"/>
      <c r="J97" s="296">
        <f>H97/D97-1</f>
        <v/>
      </c>
      <c r="L97" s="94">
        <f>INDIRECT($B97&amp;"!"&amp;L$3&amp;"7")</f>
        <v/>
      </c>
      <c r="M97" s="95">
        <f>INDIRECT($B97&amp;"!"&amp;M$3&amp;"7")</f>
        <v/>
      </c>
      <c r="N97" s="96">
        <f>M97-L97</f>
        <v/>
      </c>
      <c r="O97" s="294" t="n"/>
      <c r="P97" s="3" t="n"/>
      <c r="Q97" s="294" t="n"/>
      <c r="R97" s="9" t="n"/>
      <c r="S97" s="9" t="n"/>
      <c r="T97" s="9" t="n"/>
      <c r="U97" s="9" t="n"/>
      <c r="V97" s="297" t="n"/>
      <c r="X97" s="6" t="n"/>
      <c r="Y97" s="6" t="n"/>
      <c r="Z97" s="81" t="n"/>
    </row>
    <row r="98">
      <c r="B98" s="122">
        <f>B97</f>
        <v/>
      </c>
      <c r="C98" s="130" t="inlineStr">
        <is>
          <t>r04</t>
        </is>
      </c>
      <c r="D98" s="295">
        <f>0.000001*INDIRECT($B98&amp;"!E8")</f>
        <v/>
      </c>
      <c r="E98" s="294" t="n"/>
      <c r="F98" s="122">
        <f>F97</f>
        <v/>
      </c>
      <c r="G98" s="130" t="inlineStr">
        <is>
          <t>r04</t>
        </is>
      </c>
      <c r="H98" s="295">
        <f>0.000001*INDIRECT($B98&amp;"!AC8")</f>
        <v/>
      </c>
      <c r="I98" s="9" t="n"/>
      <c r="J98" s="296">
        <f>H98/D98-1</f>
        <v/>
      </c>
      <c r="L98" s="94">
        <f>INDIRECT($B98&amp;"!"&amp;L$3&amp;"8")</f>
        <v/>
      </c>
      <c r="M98" s="95">
        <f>INDIRECT($B98&amp;"!"&amp;M$3&amp;"8")</f>
        <v/>
      </c>
      <c r="N98" s="96">
        <f>M98-L98</f>
        <v/>
      </c>
      <c r="O98" s="294" t="n"/>
      <c r="P98" s="296" t="n"/>
      <c r="Q98" s="294" t="n"/>
      <c r="R98" s="9" t="n"/>
      <c r="S98" s="9" t="n"/>
      <c r="T98" s="9" t="n"/>
      <c r="U98" s="9" t="n"/>
      <c r="V98" s="297" t="n"/>
      <c r="X98" s="6" t="n"/>
      <c r="Y98" s="6" t="n"/>
      <c r="Z98" s="81" t="n"/>
    </row>
    <row r="99" ht="16.5" customHeight="1" s="256" thickBot="1">
      <c r="B99" s="122">
        <f>B98</f>
        <v/>
      </c>
      <c r="C99" s="130" t="inlineStr">
        <is>
          <t>r05</t>
        </is>
      </c>
      <c r="D99" s="295">
        <f>0.000001*INDIRECT($B99&amp;"!E9")</f>
        <v/>
      </c>
      <c r="E99" s="294" t="n"/>
      <c r="F99" s="122">
        <f>F98</f>
        <v/>
      </c>
      <c r="G99" s="130" t="inlineStr">
        <is>
          <t>r05</t>
        </is>
      </c>
      <c r="H99" s="295">
        <f>0.000001*INDIRECT($B99&amp;"!AC9")</f>
        <v/>
      </c>
      <c r="I99" s="9" t="n"/>
      <c r="J99" s="296">
        <f>H99/D99-1</f>
        <v/>
      </c>
      <c r="L99" s="94">
        <f>INDIRECT($B99&amp;"!"&amp;L$3&amp;"9")</f>
        <v/>
      </c>
      <c r="M99" s="95">
        <f>INDIRECT($B99&amp;"!"&amp;M$3&amp;"9")</f>
        <v/>
      </c>
      <c r="N99" s="96">
        <f>M99-L99</f>
        <v/>
      </c>
      <c r="O99" s="294" t="n"/>
      <c r="P99" s="299" t="n"/>
      <c r="Q99" s="294" t="n"/>
      <c r="R99" s="9" t="n"/>
      <c r="S99" s="9" t="n"/>
      <c r="T99" s="9" t="n"/>
      <c r="U99" s="9" t="n"/>
      <c r="V99" s="297" t="n"/>
      <c r="X99" s="6" t="n"/>
      <c r="Y99" s="6" t="n"/>
      <c r="Z99" s="81" t="n"/>
      <c r="AB99" s="298" t="n"/>
    </row>
    <row r="100" ht="16.5" customHeight="1" s="256">
      <c r="B100" s="109" t="n"/>
      <c r="C100" s="110" t="n"/>
      <c r="D100" s="300" t="n"/>
      <c r="F100" s="109" t="n"/>
      <c r="G100" s="110" t="n"/>
      <c r="H100" s="300" t="n"/>
      <c r="J100" s="98">
        <f>MIN(D95:D99,H95:H99)</f>
        <v/>
      </c>
      <c r="L100" s="99" t="n"/>
      <c r="M100" s="100" t="n"/>
      <c r="N100" s="101" t="n"/>
      <c r="O100" s="294" t="n"/>
      <c r="P100" s="264" t="n"/>
      <c r="Q100" s="294" t="n"/>
      <c r="R100" s="9" t="n"/>
      <c r="S100" s="9" t="n"/>
      <c r="T100" s="9" t="n"/>
      <c r="U100" s="9" t="n"/>
      <c r="V100" s="83" t="n"/>
      <c r="X100" s="6" t="n"/>
      <c r="Y100" s="6" t="n"/>
      <c r="Z100" s="81" t="n"/>
    </row>
    <row r="101" ht="16.5" customHeight="1" s="256" thickBot="1">
      <c r="B101" s="89" t="n"/>
      <c r="C101" s="92" t="n"/>
      <c r="D101" s="301" t="n"/>
      <c r="E101" s="294" t="n"/>
      <c r="F101" s="89" t="n"/>
      <c r="G101" s="92" t="n"/>
      <c r="H101" s="301" t="n"/>
      <c r="I101" s="9" t="n"/>
      <c r="J101" s="102">
        <f>MAX(D95:D99,H95:H99)</f>
        <v/>
      </c>
      <c r="L101" s="103">
        <f>L100</f>
        <v/>
      </c>
      <c r="M101" s="104">
        <f>M100</f>
        <v/>
      </c>
      <c r="N101" s="97" t="n"/>
      <c r="O101" s="294" t="n"/>
      <c r="P101" s="5" t="n"/>
      <c r="Q101" s="294" t="n"/>
      <c r="R101" s="9" t="n"/>
      <c r="S101" s="9" t="n"/>
      <c r="T101" s="9" t="n"/>
      <c r="U101" s="9" t="n"/>
      <c r="V101" s="83" t="n"/>
      <c r="X101" s="84" t="n"/>
      <c r="Y101" s="84" t="n"/>
      <c r="Z101" s="81" t="n"/>
    </row>
    <row r="102" ht="18" customHeight="1" s="256" thickBot="1"/>
    <row r="103">
      <c r="B103" s="261" t="inlineStr">
        <is>
          <t>Tango_Duo</t>
        </is>
      </c>
      <c r="C103" s="262" t="n"/>
      <c r="D103" s="263" t="n"/>
      <c r="E103" s="2" t="n"/>
      <c r="F103" s="261">
        <f>B103</f>
        <v/>
      </c>
      <c r="G103" s="262" t="n"/>
      <c r="H103" s="263" t="n"/>
      <c r="I103" s="2" t="n"/>
      <c r="J103" s="264" t="n"/>
      <c r="L103" s="264">
        <f>F103</f>
        <v/>
      </c>
      <c r="M103" s="262" t="n"/>
      <c r="N103" s="263" t="n"/>
      <c r="O103" s="195" t="n"/>
      <c r="P103" s="264" t="n"/>
      <c r="U103" s="265" t="n"/>
      <c r="V103" s="265" t="n"/>
      <c r="X103" s="265" t="n"/>
    </row>
    <row r="104">
      <c r="B104" s="259" t="inlineStr">
        <is>
          <t>Test</t>
        </is>
      </c>
      <c r="D104" s="87" t="inlineStr">
        <is>
          <t>Bitstream (MB)</t>
        </is>
      </c>
      <c r="E104" s="294" t="n"/>
      <c r="F104" s="259" t="inlineStr">
        <is>
          <t>Test</t>
        </is>
      </c>
      <c r="H104" s="87" t="inlineStr">
        <is>
          <t>Bitstream (MB)</t>
        </is>
      </c>
      <c r="I104" s="9" t="n"/>
      <c r="J104" s="257" t="inlineStr">
        <is>
          <t>%</t>
        </is>
      </c>
      <c r="L104" s="257" t="inlineStr">
        <is>
          <t>RGB-PSNR</t>
        </is>
      </c>
      <c r="N104" s="258" t="n"/>
      <c r="O104" s="85" t="n"/>
      <c r="P104" s="3" t="n"/>
      <c r="R104" s="255" t="n"/>
      <c r="U104" s="255" t="n"/>
      <c r="V104" s="255" t="n"/>
      <c r="X104" s="255" t="n"/>
    </row>
    <row r="105">
      <c r="B105" s="191" t="inlineStr">
        <is>
          <t>Anchor</t>
        </is>
      </c>
      <c r="C105" s="130" t="inlineStr">
        <is>
          <t>Test point</t>
        </is>
      </c>
      <c r="D105" s="86" t="inlineStr">
        <is>
          <t>Total</t>
        </is>
      </c>
      <c r="E105" s="294" t="n"/>
      <c r="F105" s="191" t="inlineStr">
        <is>
          <t>Anchor</t>
        </is>
      </c>
      <c r="G105" s="130" t="inlineStr">
        <is>
          <t>Test point</t>
        </is>
      </c>
      <c r="H105" s="86" t="inlineStr">
        <is>
          <t>Total</t>
        </is>
      </c>
      <c r="I105" s="9" t="n"/>
      <c r="J105" s="93" t="n"/>
      <c r="L105" s="192">
        <f>CONCATENATE(B$2," ",L103)</f>
        <v/>
      </c>
      <c r="M105" s="193">
        <f>CONCATENATE(F$2," ",L103)</f>
        <v/>
      </c>
      <c r="N105" s="194" t="inlineStr">
        <is>
          <t>Delta</t>
        </is>
      </c>
      <c r="O105" s="2" t="n"/>
      <c r="P105" s="3" t="inlineStr">
        <is>
          <t>BD-rate</t>
        </is>
      </c>
      <c r="Q105" s="2" t="n"/>
      <c r="R105" s="2" t="n"/>
      <c r="S105" s="2" t="n"/>
      <c r="T105" s="2" t="n"/>
      <c r="U105" s="2" t="n"/>
      <c r="V105" s="2" t="n"/>
      <c r="X105" s="195" t="n"/>
      <c r="Y105" s="195" t="n"/>
      <c r="Z105" s="195" t="n"/>
    </row>
    <row r="106">
      <c r="B106" s="122">
        <f>B103</f>
        <v/>
      </c>
      <c r="C106" s="130" t="inlineStr">
        <is>
          <t>r01</t>
        </is>
      </c>
      <c r="D106" s="295">
        <f>0.000001*INDIRECT($B106&amp;"!E5")</f>
        <v/>
      </c>
      <c r="E106" s="294" t="n"/>
      <c r="F106" s="122">
        <f>F103</f>
        <v/>
      </c>
      <c r="G106" s="130" t="inlineStr">
        <is>
          <t>r01</t>
        </is>
      </c>
      <c r="H106" s="295">
        <f>0.000001*INDIRECT($B106&amp;"!AC5")</f>
        <v/>
      </c>
      <c r="I106" s="9" t="n"/>
      <c r="J106" s="296">
        <f>H106/D106-1</f>
        <v/>
      </c>
      <c r="L106" s="94">
        <f>INDIRECT($B106&amp;"!"&amp;L$3&amp;"5")</f>
        <v/>
      </c>
      <c r="M106" s="95">
        <f>INDIRECT($B106&amp;"!"&amp;M$3&amp;"5")</f>
        <v/>
      </c>
      <c r="N106" s="96">
        <f>M106-L106</f>
        <v/>
      </c>
      <c r="O106" s="294" t="n"/>
      <c r="P106" s="296">
        <f>bdRateExtend(D106:D110,L106:L110,H106:H110,M106:M110)</f>
        <v/>
      </c>
      <c r="Q106" s="294" t="n"/>
      <c r="R106" s="9" t="n"/>
      <c r="S106" s="9" t="n"/>
      <c r="T106" s="9" t="n"/>
      <c r="U106" s="9" t="n"/>
      <c r="V106" s="297" t="n"/>
      <c r="X106" s="6" t="n"/>
      <c r="Y106" s="6" t="n"/>
      <c r="Z106" s="81" t="n"/>
      <c r="AB106" s="298" t="n"/>
    </row>
    <row r="107">
      <c r="B107" s="122">
        <f>B106</f>
        <v/>
      </c>
      <c r="C107" s="130" t="inlineStr">
        <is>
          <t>r02</t>
        </is>
      </c>
      <c r="D107" s="295">
        <f>0.000001*INDIRECT($B107&amp;"!E6")</f>
        <v/>
      </c>
      <c r="E107" s="294" t="n"/>
      <c r="F107" s="122">
        <f>F106</f>
        <v/>
      </c>
      <c r="G107" s="130" t="inlineStr">
        <is>
          <t>r02</t>
        </is>
      </c>
      <c r="H107" s="295">
        <f>0.000001*INDIRECT($B107&amp;"!AC6")</f>
        <v/>
      </c>
      <c r="I107" s="9" t="n"/>
      <c r="J107" s="296">
        <f>H107/D107-1</f>
        <v/>
      </c>
      <c r="L107" s="94">
        <f>INDIRECT($B107&amp;"!"&amp;L$3&amp;"6")</f>
        <v/>
      </c>
      <c r="M107" s="95">
        <f>INDIRECT($B107&amp;"!"&amp;M$3&amp;"6")</f>
        <v/>
      </c>
      <c r="N107" s="96">
        <f>M107-L107</f>
        <v/>
      </c>
      <c r="O107" s="294" t="n"/>
      <c r="P107" s="3" t="n"/>
      <c r="Q107" s="294" t="n"/>
      <c r="R107" s="9" t="n"/>
      <c r="S107" s="9" t="n"/>
      <c r="T107" s="9" t="n"/>
      <c r="U107" s="9" t="n"/>
      <c r="V107" s="297" t="n"/>
      <c r="X107" s="6" t="n"/>
      <c r="Y107" s="6" t="n"/>
      <c r="Z107" s="81" t="n"/>
    </row>
    <row r="108">
      <c r="B108" s="122">
        <f>B107</f>
        <v/>
      </c>
      <c r="C108" s="130" t="inlineStr">
        <is>
          <t>r03</t>
        </is>
      </c>
      <c r="D108" s="295">
        <f>0.000001*INDIRECT($B108&amp;"!E7")</f>
        <v/>
      </c>
      <c r="E108" s="294" t="n"/>
      <c r="F108" s="122">
        <f>F107</f>
        <v/>
      </c>
      <c r="G108" s="130" t="inlineStr">
        <is>
          <t>r03</t>
        </is>
      </c>
      <c r="H108" s="295">
        <f>0.000001*INDIRECT($B108&amp;"!AC7")</f>
        <v/>
      </c>
      <c r="I108" s="9" t="n"/>
      <c r="J108" s="296">
        <f>H108/D108-1</f>
        <v/>
      </c>
      <c r="L108" s="94">
        <f>INDIRECT($B108&amp;"!"&amp;L$3&amp;"7")</f>
        <v/>
      </c>
      <c r="M108" s="95">
        <f>INDIRECT($B108&amp;"!"&amp;M$3&amp;"7")</f>
        <v/>
      </c>
      <c r="N108" s="96">
        <f>M108-L108</f>
        <v/>
      </c>
      <c r="O108" s="294" t="n"/>
      <c r="P108" s="3" t="n"/>
      <c r="Q108" s="294" t="n"/>
      <c r="R108" s="9" t="n"/>
      <c r="S108" s="9" t="n"/>
      <c r="T108" s="9" t="n"/>
      <c r="U108" s="9" t="n"/>
      <c r="V108" s="297" t="n"/>
      <c r="X108" s="6" t="n"/>
      <c r="Y108" s="6" t="n"/>
      <c r="Z108" s="81" t="n"/>
    </row>
    <row r="109">
      <c r="B109" s="122">
        <f>B108</f>
        <v/>
      </c>
      <c r="C109" s="130" t="inlineStr">
        <is>
          <t>r04</t>
        </is>
      </c>
      <c r="D109" s="295">
        <f>0.000001*INDIRECT($B109&amp;"!E8")</f>
        <v/>
      </c>
      <c r="E109" s="294" t="n"/>
      <c r="F109" s="122">
        <f>F108</f>
        <v/>
      </c>
      <c r="G109" s="130" t="inlineStr">
        <is>
          <t>r04</t>
        </is>
      </c>
      <c r="H109" s="295">
        <f>0.000001*INDIRECT($B109&amp;"!AC8")</f>
        <v/>
      </c>
      <c r="I109" s="9" t="n"/>
      <c r="J109" s="296">
        <f>H109/D109-1</f>
        <v/>
      </c>
      <c r="L109" s="94">
        <f>INDIRECT($B109&amp;"!"&amp;L$3&amp;"8")</f>
        <v/>
      </c>
      <c r="M109" s="95">
        <f>INDIRECT($B109&amp;"!"&amp;M$3&amp;"8")</f>
        <v/>
      </c>
      <c r="N109" s="96">
        <f>M109-L109</f>
        <v/>
      </c>
      <c r="O109" s="294" t="n"/>
      <c r="P109" s="296" t="n"/>
      <c r="Q109" s="294" t="n"/>
      <c r="R109" s="9" t="n"/>
      <c r="S109" s="9" t="n"/>
      <c r="T109" s="9" t="n"/>
      <c r="U109" s="9" t="n"/>
      <c r="V109" s="297" t="n"/>
      <c r="X109" s="6" t="n"/>
      <c r="Y109" s="6" t="n"/>
      <c r="Z109" s="81" t="n"/>
    </row>
    <row r="110" ht="16.5" customHeight="1" s="256" thickBot="1">
      <c r="B110" s="122">
        <f>B109</f>
        <v/>
      </c>
      <c r="C110" s="130" t="inlineStr">
        <is>
          <t>r05</t>
        </is>
      </c>
      <c r="D110" s="295">
        <f>0.000001*INDIRECT($B110&amp;"!E9")</f>
        <v/>
      </c>
      <c r="E110" s="294" t="n"/>
      <c r="F110" s="122">
        <f>F109</f>
        <v/>
      </c>
      <c r="G110" s="130" t="inlineStr">
        <is>
          <t>r05</t>
        </is>
      </c>
      <c r="H110" s="295">
        <f>0.000001*INDIRECT($B110&amp;"!AC9")</f>
        <v/>
      </c>
      <c r="I110" s="9" t="n"/>
      <c r="J110" s="296">
        <f>H110/D110-1</f>
        <v/>
      </c>
      <c r="L110" s="94">
        <f>INDIRECT($B110&amp;"!"&amp;L$3&amp;"9")</f>
        <v/>
      </c>
      <c r="M110" s="95">
        <f>INDIRECT($B110&amp;"!"&amp;M$3&amp;"9")</f>
        <v/>
      </c>
      <c r="N110" s="96">
        <f>M110-L110</f>
        <v/>
      </c>
      <c r="O110" s="294" t="n"/>
      <c r="P110" s="299" t="n"/>
      <c r="Q110" s="294" t="n"/>
      <c r="R110" s="9" t="n"/>
      <c r="S110" s="9" t="n"/>
      <c r="T110" s="9" t="n"/>
      <c r="U110" s="9" t="n"/>
      <c r="V110" s="297" t="n"/>
      <c r="X110" s="6" t="n"/>
      <c r="Y110" s="6" t="n"/>
      <c r="Z110" s="81" t="n"/>
      <c r="AB110" s="298" t="n"/>
    </row>
    <row r="111" ht="16.5" customHeight="1" s="256">
      <c r="B111" s="109" t="n"/>
      <c r="C111" s="110" t="n"/>
      <c r="D111" s="300" t="n"/>
      <c r="F111" s="109" t="n"/>
      <c r="G111" s="110" t="n"/>
      <c r="H111" s="300" t="n"/>
      <c r="J111" s="98">
        <f>MIN(D106:D110,H106:H110)</f>
        <v/>
      </c>
      <c r="L111" s="99" t="n"/>
      <c r="M111" s="100" t="n"/>
      <c r="N111" s="101" t="n"/>
      <c r="O111" s="294" t="n"/>
      <c r="P111" s="264" t="n"/>
      <c r="Q111" s="294" t="n"/>
      <c r="R111" s="9" t="n"/>
      <c r="S111" s="9" t="n"/>
      <c r="T111" s="9" t="n"/>
      <c r="U111" s="9" t="n"/>
      <c r="V111" s="83" t="n"/>
      <c r="X111" s="6" t="n"/>
      <c r="Y111" s="6" t="n"/>
      <c r="Z111" s="81" t="n"/>
    </row>
    <row r="112" ht="16.5" customHeight="1" s="256" thickBot="1">
      <c r="B112" s="89" t="n"/>
      <c r="C112" s="92" t="n"/>
      <c r="D112" s="301" t="n"/>
      <c r="E112" s="294" t="n"/>
      <c r="F112" s="89" t="n"/>
      <c r="G112" s="92" t="n"/>
      <c r="H112" s="301" t="n"/>
      <c r="I112" s="9" t="n"/>
      <c r="J112" s="102">
        <f>MAX(D106:D110,H106:H110)</f>
        <v/>
      </c>
      <c r="L112" s="103">
        <f>L111</f>
        <v/>
      </c>
      <c r="M112" s="104">
        <f>M111</f>
        <v/>
      </c>
      <c r="N112" s="97" t="n"/>
      <c r="O112" s="294" t="n"/>
      <c r="P112" s="5" t="n"/>
      <c r="Q112" s="294" t="n"/>
      <c r="R112" s="9" t="n"/>
      <c r="S112" s="9" t="n"/>
      <c r="T112" s="9" t="n"/>
      <c r="U112" s="9" t="n"/>
      <c r="V112" s="83" t="n"/>
      <c r="X112" s="84" t="n"/>
      <c r="Y112" s="84" t="n"/>
      <c r="Z112" s="81" t="n"/>
    </row>
    <row r="113" ht="18" customHeight="1" s="256" thickBot="1">
      <c r="AB113" s="298" t="n"/>
    </row>
    <row r="114">
      <c r="B114" s="261" t="inlineStr">
        <is>
          <t>Solo_Tango_Female</t>
        </is>
      </c>
      <c r="C114" s="262" t="n"/>
      <c r="D114" s="263" t="n"/>
      <c r="E114" s="2" t="n"/>
      <c r="F114" s="261">
        <f>B114</f>
        <v/>
      </c>
      <c r="G114" s="262" t="n"/>
      <c r="H114" s="263" t="n"/>
      <c r="I114" s="2" t="n"/>
      <c r="J114" s="264" t="n"/>
      <c r="L114" s="264">
        <f>F114</f>
        <v/>
      </c>
      <c r="M114" s="262" t="n"/>
      <c r="N114" s="263" t="n"/>
      <c r="O114" s="195" t="n"/>
      <c r="P114" s="264" t="n"/>
    </row>
    <row r="115">
      <c r="B115" s="259" t="inlineStr">
        <is>
          <t>Test</t>
        </is>
      </c>
      <c r="D115" s="87" t="inlineStr">
        <is>
          <t>Bitstream (MB)</t>
        </is>
      </c>
      <c r="E115" s="294" t="n"/>
      <c r="F115" s="259" t="inlineStr">
        <is>
          <t>Test</t>
        </is>
      </c>
      <c r="H115" s="87" t="inlineStr">
        <is>
          <t>Bitstream (MB)</t>
        </is>
      </c>
      <c r="I115" s="9" t="n"/>
      <c r="J115" s="257" t="inlineStr">
        <is>
          <t>%</t>
        </is>
      </c>
      <c r="L115" s="257" t="inlineStr">
        <is>
          <t>RGB-PSNR</t>
        </is>
      </c>
      <c r="N115" s="258" t="n"/>
      <c r="O115" s="85" t="n"/>
      <c r="P115" s="3" t="n"/>
    </row>
    <row r="116" ht="16.5" customHeight="1" s="256">
      <c r="B116" s="191" t="inlineStr">
        <is>
          <t>Anchor</t>
        </is>
      </c>
      <c r="C116" s="130" t="inlineStr">
        <is>
          <t>Test point</t>
        </is>
      </c>
      <c r="D116" s="86" t="inlineStr">
        <is>
          <t>Total</t>
        </is>
      </c>
      <c r="E116" s="294" t="n"/>
      <c r="F116" s="191" t="inlineStr">
        <is>
          <t>Anchor</t>
        </is>
      </c>
      <c r="G116" s="130" t="inlineStr">
        <is>
          <t>Test point</t>
        </is>
      </c>
      <c r="H116" s="86" t="inlineStr">
        <is>
          <t>Total</t>
        </is>
      </c>
      <c r="I116" s="9" t="n"/>
      <c r="J116" s="93" t="n"/>
      <c r="L116" s="192">
        <f>CONCATENATE(B$2," ",L114)</f>
        <v/>
      </c>
      <c r="M116" s="193">
        <f>CONCATENATE(F$2," ",L114)</f>
        <v/>
      </c>
      <c r="N116" s="194" t="inlineStr">
        <is>
          <t>Delta</t>
        </is>
      </c>
      <c r="O116" s="2" t="n"/>
      <c r="P116" s="3" t="inlineStr">
        <is>
          <t>BD-rate</t>
        </is>
      </c>
      <c r="AB116" s="298" t="n"/>
    </row>
    <row r="117">
      <c r="B117" s="122">
        <f>B114</f>
        <v/>
      </c>
      <c r="C117" s="130" t="inlineStr">
        <is>
          <t>r01</t>
        </is>
      </c>
      <c r="D117" s="295">
        <f>0.000001*INDIRECT($B117&amp;"!E5")</f>
        <v/>
      </c>
      <c r="E117" s="294" t="n"/>
      <c r="F117" s="122">
        <f>F114</f>
        <v/>
      </c>
      <c r="G117" s="130" t="inlineStr">
        <is>
          <t>r01</t>
        </is>
      </c>
      <c r="H117" s="295">
        <f>0.000001*INDIRECT($B117&amp;"!AC5")</f>
        <v/>
      </c>
      <c r="I117" s="9" t="n"/>
      <c r="J117" s="296">
        <f>H117/D117-1</f>
        <v/>
      </c>
      <c r="L117" s="94">
        <f>INDIRECT($B117&amp;"!"&amp;L$3&amp;"5")</f>
        <v/>
      </c>
      <c r="M117" s="95">
        <f>INDIRECT($B117&amp;"!"&amp;M$3&amp;"5")</f>
        <v/>
      </c>
      <c r="N117" s="96">
        <f>M117-L117</f>
        <v/>
      </c>
      <c r="O117" s="294" t="n"/>
      <c r="P117" s="296">
        <f>bdRateExtend(D117:D121,L117:L121,H117:H121,M117:M121)</f>
        <v/>
      </c>
    </row>
    <row r="118" ht="16.5" customHeight="1" s="256">
      <c r="B118" s="122">
        <f>B117</f>
        <v/>
      </c>
      <c r="C118" s="130" t="inlineStr">
        <is>
          <t>r02</t>
        </is>
      </c>
      <c r="D118" s="295">
        <f>0.000001*INDIRECT($B118&amp;"!E6")</f>
        <v/>
      </c>
      <c r="E118" s="294" t="n"/>
      <c r="F118" s="122">
        <f>F117</f>
        <v/>
      </c>
      <c r="G118" s="130" t="inlineStr">
        <is>
          <t>r02</t>
        </is>
      </c>
      <c r="H118" s="295">
        <f>0.000001*INDIRECT($B118&amp;"!AC6")</f>
        <v/>
      </c>
      <c r="I118" s="9" t="n"/>
      <c r="J118" s="296">
        <f>H118/D118-1</f>
        <v/>
      </c>
      <c r="L118" s="94">
        <f>INDIRECT($B118&amp;"!"&amp;L$3&amp;"6")</f>
        <v/>
      </c>
      <c r="M118" s="95">
        <f>INDIRECT($B118&amp;"!"&amp;M$3&amp;"6")</f>
        <v/>
      </c>
      <c r="N118" s="96">
        <f>M118-L118</f>
        <v/>
      </c>
      <c r="O118" s="294" t="n"/>
      <c r="P118" s="3" t="n"/>
    </row>
    <row r="119" ht="16.5" customHeight="1" s="256">
      <c r="B119" s="122">
        <f>B118</f>
        <v/>
      </c>
      <c r="C119" s="130" t="inlineStr">
        <is>
          <t>r03</t>
        </is>
      </c>
      <c r="D119" s="295">
        <f>0.000001*INDIRECT($B119&amp;"!E7")</f>
        <v/>
      </c>
      <c r="E119" s="294" t="n"/>
      <c r="F119" s="122">
        <f>F118</f>
        <v/>
      </c>
      <c r="G119" s="130" t="inlineStr">
        <is>
          <t>r03</t>
        </is>
      </c>
      <c r="H119" s="295">
        <f>0.000001*INDIRECT($B119&amp;"!AC7")</f>
        <v/>
      </c>
      <c r="I119" s="9" t="n"/>
      <c r="J119" s="296">
        <f>H119/D119-1</f>
        <v/>
      </c>
      <c r="L119" s="94">
        <f>INDIRECT($B119&amp;"!"&amp;L$3&amp;"7")</f>
        <v/>
      </c>
      <c r="M119" s="95">
        <f>INDIRECT($B119&amp;"!"&amp;M$3&amp;"7")</f>
        <v/>
      </c>
      <c r="N119" s="96">
        <f>M119-L119</f>
        <v/>
      </c>
      <c r="O119" s="294" t="n"/>
      <c r="P119" s="3" t="n"/>
    </row>
    <row r="120">
      <c r="B120" s="122">
        <f>B119</f>
        <v/>
      </c>
      <c r="C120" s="130" t="inlineStr">
        <is>
          <t>r04</t>
        </is>
      </c>
      <c r="D120" s="295">
        <f>0.000001*INDIRECT($B120&amp;"!E8")</f>
        <v/>
      </c>
      <c r="E120" s="294" t="n"/>
      <c r="F120" s="122">
        <f>F119</f>
        <v/>
      </c>
      <c r="G120" s="130" t="inlineStr">
        <is>
          <t>r04</t>
        </is>
      </c>
      <c r="H120" s="295">
        <f>0.000001*INDIRECT($B120&amp;"!AC8")</f>
        <v/>
      </c>
      <c r="I120" s="9" t="n"/>
      <c r="J120" s="296">
        <f>H120/D120-1</f>
        <v/>
      </c>
      <c r="L120" s="94">
        <f>INDIRECT($B120&amp;"!"&amp;L$3&amp;"8")</f>
        <v/>
      </c>
      <c r="M120" s="95">
        <f>INDIRECT($B120&amp;"!"&amp;M$3&amp;"8")</f>
        <v/>
      </c>
      <c r="N120" s="96">
        <f>M120-L120</f>
        <v/>
      </c>
      <c r="O120" s="294" t="n"/>
      <c r="P120" s="296" t="n"/>
    </row>
    <row r="121" ht="18" customHeight="1" s="256" thickBot="1">
      <c r="B121" s="122">
        <f>B120</f>
        <v/>
      </c>
      <c r="C121" s="130" t="inlineStr">
        <is>
          <t>r05</t>
        </is>
      </c>
      <c r="D121" s="295">
        <f>0.000001*INDIRECT($B121&amp;"!E9")</f>
        <v/>
      </c>
      <c r="E121" s="294" t="n"/>
      <c r="F121" s="122">
        <f>F120</f>
        <v/>
      </c>
      <c r="G121" s="130" t="inlineStr">
        <is>
          <t>r05</t>
        </is>
      </c>
      <c r="H121" s="295">
        <f>0.000001*INDIRECT($B121&amp;"!AC9")</f>
        <v/>
      </c>
      <c r="I121" s="9" t="n"/>
      <c r="J121" s="296">
        <f>H121/D121-1</f>
        <v/>
      </c>
      <c r="L121" s="94">
        <f>INDIRECT($B121&amp;"!"&amp;L$3&amp;"9")</f>
        <v/>
      </c>
      <c r="M121" s="95">
        <f>INDIRECT($B121&amp;"!"&amp;M$3&amp;"9")</f>
        <v/>
      </c>
      <c r="N121" s="96">
        <f>M121-L121</f>
        <v/>
      </c>
      <c r="O121" s="294" t="n"/>
      <c r="P121" s="299" t="n"/>
    </row>
    <row r="122">
      <c r="B122" s="109" t="n"/>
      <c r="C122" s="110" t="n"/>
      <c r="D122" s="300" t="n"/>
      <c r="F122" s="109" t="n"/>
      <c r="G122" s="110" t="n"/>
      <c r="H122" s="300" t="n"/>
      <c r="J122" s="98">
        <f>MIN(D117:D121,H117:H121)</f>
        <v/>
      </c>
      <c r="L122" s="99" t="n"/>
      <c r="M122" s="100" t="n"/>
      <c r="N122" s="101" t="n"/>
      <c r="O122" s="294" t="n"/>
      <c r="P122" s="264" t="n"/>
    </row>
    <row r="123" ht="18" customHeight="1" s="256" thickBot="1">
      <c r="B123" s="89" t="n"/>
      <c r="C123" s="92" t="n"/>
      <c r="D123" s="301" t="n"/>
      <c r="E123" s="294" t="n"/>
      <c r="F123" s="89" t="n"/>
      <c r="G123" s="92" t="n"/>
      <c r="H123" s="301" t="n"/>
      <c r="I123" s="9" t="n"/>
      <c r="J123" s="102">
        <f>MAX(D117:D121,H117:H121)</f>
        <v/>
      </c>
      <c r="L123" s="103">
        <f>L122</f>
        <v/>
      </c>
      <c r="M123" s="104">
        <f>M122</f>
        <v/>
      </c>
      <c r="N123" s="97" t="n"/>
      <c r="O123" s="294" t="n"/>
      <c r="P123" s="5" t="n"/>
      <c r="AB123" s="298" t="n"/>
    </row>
    <row r="124" ht="18" customHeight="1" s="256" thickBot="1"/>
    <row r="125">
      <c r="B125" s="261" t="inlineStr">
        <is>
          <t>Solo_Tango_Male</t>
        </is>
      </c>
      <c r="C125" s="262" t="n"/>
      <c r="D125" s="263" t="n"/>
      <c r="E125" s="2" t="n"/>
      <c r="F125" s="261">
        <f>B125</f>
        <v/>
      </c>
      <c r="G125" s="262" t="n"/>
      <c r="H125" s="263" t="n"/>
      <c r="I125" s="2" t="n"/>
      <c r="J125" s="264" t="n"/>
      <c r="L125" s="264">
        <f>F125</f>
        <v/>
      </c>
      <c r="M125" s="262" t="n"/>
      <c r="N125" s="263" t="n"/>
      <c r="O125" s="195" t="n"/>
      <c r="P125" s="264" t="n"/>
    </row>
    <row r="126" ht="16.5" customHeight="1" s="256">
      <c r="B126" s="259" t="inlineStr">
        <is>
          <t>Test</t>
        </is>
      </c>
      <c r="D126" s="87" t="inlineStr">
        <is>
          <t>Bitstream (MB)</t>
        </is>
      </c>
      <c r="E126" s="294" t="n"/>
      <c r="F126" s="259" t="inlineStr">
        <is>
          <t>Test</t>
        </is>
      </c>
      <c r="H126" s="87" t="inlineStr">
        <is>
          <t>Bitstream (MB)</t>
        </is>
      </c>
      <c r="I126" s="9" t="n"/>
      <c r="J126" s="257" t="inlineStr">
        <is>
          <t>%</t>
        </is>
      </c>
      <c r="L126" s="257" t="inlineStr">
        <is>
          <t>RGB-PSNR</t>
        </is>
      </c>
      <c r="N126" s="258" t="n"/>
      <c r="O126" s="85" t="n"/>
      <c r="P126" s="3" t="n"/>
      <c r="AB126" s="298" t="n"/>
    </row>
    <row r="127">
      <c r="B127" s="191" t="inlineStr">
        <is>
          <t>Anchor</t>
        </is>
      </c>
      <c r="C127" s="130" t="inlineStr">
        <is>
          <t>Test point</t>
        </is>
      </c>
      <c r="D127" s="86" t="inlineStr">
        <is>
          <t>Total</t>
        </is>
      </c>
      <c r="E127" s="294" t="n"/>
      <c r="F127" s="191" t="inlineStr">
        <is>
          <t>Anchor</t>
        </is>
      </c>
      <c r="G127" s="130" t="inlineStr">
        <is>
          <t>Test point</t>
        </is>
      </c>
      <c r="H127" s="86" t="inlineStr">
        <is>
          <t>Total</t>
        </is>
      </c>
      <c r="I127" s="9" t="n"/>
      <c r="J127" s="93" t="n"/>
      <c r="L127" s="192">
        <f>CONCATENATE(B$2," ",L125)</f>
        <v/>
      </c>
      <c r="M127" s="193">
        <f>CONCATENATE(F$2," ",L125)</f>
        <v/>
      </c>
      <c r="N127" s="194" t="inlineStr">
        <is>
          <t>Delta</t>
        </is>
      </c>
      <c r="O127" s="2" t="n"/>
      <c r="P127" s="3" t="inlineStr">
        <is>
          <t>BD-rate</t>
        </is>
      </c>
    </row>
    <row r="128" ht="16.5" customHeight="1" s="256">
      <c r="B128" s="122">
        <f>B125</f>
        <v/>
      </c>
      <c r="C128" s="130" t="inlineStr">
        <is>
          <t>r01</t>
        </is>
      </c>
      <c r="D128" s="295">
        <f>0.000001*INDIRECT($B128&amp;"!E5")</f>
        <v/>
      </c>
      <c r="E128" s="294" t="n"/>
      <c r="F128" s="122">
        <f>F125</f>
        <v/>
      </c>
      <c r="G128" s="130" t="inlineStr">
        <is>
          <t>r01</t>
        </is>
      </c>
      <c r="H128" s="295">
        <f>0.000001*INDIRECT($B128&amp;"!AC5")</f>
        <v/>
      </c>
      <c r="I128" s="9" t="n"/>
      <c r="J128" s="296">
        <f>H128/D128-1</f>
        <v/>
      </c>
      <c r="L128" s="94">
        <f>INDIRECT($B128&amp;"!"&amp;L$3&amp;"5")</f>
        <v/>
      </c>
      <c r="M128" s="95">
        <f>INDIRECT($B128&amp;"!"&amp;M$3&amp;"5")</f>
        <v/>
      </c>
      <c r="N128" s="96">
        <f>M128-L128</f>
        <v/>
      </c>
      <c r="O128" s="294" t="n"/>
      <c r="P128" s="296">
        <f>bdRateExtend(D128:D132,L128:L132,H128:H132,M128:M132)</f>
        <v/>
      </c>
    </row>
    <row r="129" ht="16.5" customHeight="1" s="256">
      <c r="B129" s="122">
        <f>B128</f>
        <v/>
      </c>
      <c r="C129" s="130" t="inlineStr">
        <is>
          <t>r02</t>
        </is>
      </c>
      <c r="D129" s="295">
        <f>0.000001*INDIRECT($B129&amp;"!E6")</f>
        <v/>
      </c>
      <c r="E129" s="294" t="n"/>
      <c r="F129" s="122">
        <f>F128</f>
        <v/>
      </c>
      <c r="G129" s="130" t="inlineStr">
        <is>
          <t>r02</t>
        </is>
      </c>
      <c r="H129" s="295">
        <f>0.000001*INDIRECT($B129&amp;"!AC6")</f>
        <v/>
      </c>
      <c r="I129" s="9" t="n"/>
      <c r="J129" s="296">
        <f>H129/D129-1</f>
        <v/>
      </c>
      <c r="L129" s="94">
        <f>INDIRECT($B129&amp;"!"&amp;L$3&amp;"6")</f>
        <v/>
      </c>
      <c r="M129" s="95">
        <f>INDIRECT($B129&amp;"!"&amp;M$3&amp;"6")</f>
        <v/>
      </c>
      <c r="N129" s="96">
        <f>M129-L129</f>
        <v/>
      </c>
      <c r="O129" s="294" t="n"/>
      <c r="P129" s="3" t="n"/>
    </row>
    <row r="130">
      <c r="B130" s="122">
        <f>B129</f>
        <v/>
      </c>
      <c r="C130" s="130" t="inlineStr">
        <is>
          <t>r03</t>
        </is>
      </c>
      <c r="D130" s="295">
        <f>0.000001*INDIRECT($B130&amp;"!E7")</f>
        <v/>
      </c>
      <c r="E130" s="294" t="n"/>
      <c r="F130" s="122">
        <f>F129</f>
        <v/>
      </c>
      <c r="G130" s="130" t="inlineStr">
        <is>
          <t>r03</t>
        </is>
      </c>
      <c r="H130" s="295">
        <f>0.000001*INDIRECT($B130&amp;"!AC7")</f>
        <v/>
      </c>
      <c r="I130" s="9" t="n"/>
      <c r="J130" s="296">
        <f>H130/D130-1</f>
        <v/>
      </c>
      <c r="L130" s="94">
        <f>INDIRECT($B130&amp;"!"&amp;L$3&amp;"7")</f>
        <v/>
      </c>
      <c r="M130" s="95">
        <f>INDIRECT($B130&amp;"!"&amp;M$3&amp;"7")</f>
        <v/>
      </c>
      <c r="N130" s="96">
        <f>M130-L130</f>
        <v/>
      </c>
      <c r="O130" s="294" t="n"/>
      <c r="P130" s="3" t="n"/>
    </row>
    <row r="131">
      <c r="B131" s="122">
        <f>B130</f>
        <v/>
      </c>
      <c r="C131" s="130" t="inlineStr">
        <is>
          <t>r04</t>
        </is>
      </c>
      <c r="D131" s="295">
        <f>0.000001*INDIRECT($B131&amp;"!E8")</f>
        <v/>
      </c>
      <c r="E131" s="294" t="n"/>
      <c r="F131" s="122">
        <f>F130</f>
        <v/>
      </c>
      <c r="G131" s="130" t="inlineStr">
        <is>
          <t>r04</t>
        </is>
      </c>
      <c r="H131" s="295">
        <f>0.000001*INDIRECT($B131&amp;"!AC8")</f>
        <v/>
      </c>
      <c r="I131" s="9" t="n"/>
      <c r="J131" s="296">
        <f>H131/D131-1</f>
        <v/>
      </c>
      <c r="L131" s="94">
        <f>INDIRECT($B131&amp;"!"&amp;L$3&amp;"8")</f>
        <v/>
      </c>
      <c r="M131" s="95">
        <f>INDIRECT($B131&amp;"!"&amp;M$3&amp;"8")</f>
        <v/>
      </c>
      <c r="N131" s="96">
        <f>M131-L131</f>
        <v/>
      </c>
      <c r="O131" s="294" t="n"/>
      <c r="P131" s="296" t="n"/>
    </row>
    <row r="132" ht="18" customHeight="1" s="256" thickBot="1">
      <c r="B132" s="122">
        <f>B131</f>
        <v/>
      </c>
      <c r="C132" s="130" t="inlineStr">
        <is>
          <t>r05</t>
        </is>
      </c>
      <c r="D132" s="295">
        <f>0.000001*INDIRECT($B132&amp;"!E9")</f>
        <v/>
      </c>
      <c r="E132" s="294" t="n"/>
      <c r="F132" s="122">
        <f>F131</f>
        <v/>
      </c>
      <c r="G132" s="130" t="inlineStr">
        <is>
          <t>r05</t>
        </is>
      </c>
      <c r="H132" s="295">
        <f>0.000001*INDIRECT($B132&amp;"!AC9")</f>
        <v/>
      </c>
      <c r="I132" s="9" t="n"/>
      <c r="J132" s="296">
        <f>H132/D132-1</f>
        <v/>
      </c>
      <c r="L132" s="94">
        <f>INDIRECT($B132&amp;"!"&amp;L$3&amp;"9")</f>
        <v/>
      </c>
      <c r="M132" s="95">
        <f>INDIRECT($B132&amp;"!"&amp;M$3&amp;"9")</f>
        <v/>
      </c>
      <c r="N132" s="96">
        <f>M132-L132</f>
        <v/>
      </c>
      <c r="O132" s="294" t="n"/>
      <c r="P132" s="299" t="n"/>
    </row>
    <row r="133">
      <c r="B133" s="109" t="n"/>
      <c r="C133" s="110" t="n"/>
      <c r="D133" s="300" t="n"/>
      <c r="F133" s="109" t="n"/>
      <c r="G133" s="110" t="n"/>
      <c r="H133" s="300" t="n"/>
      <c r="J133" s="98">
        <f>MIN(D128:D132,H128:H132)</f>
        <v/>
      </c>
      <c r="L133" s="99" t="n"/>
      <c r="M133" s="100" t="n"/>
      <c r="N133" s="101" t="n"/>
      <c r="O133" s="294" t="n"/>
      <c r="P133" s="264" t="n"/>
      <c r="AB133" s="298" t="n"/>
    </row>
    <row r="134" ht="18" customHeight="1" s="256" thickBot="1">
      <c r="B134" s="89" t="n"/>
      <c r="C134" s="92" t="n"/>
      <c r="D134" s="301" t="n"/>
      <c r="E134" s="294" t="n"/>
      <c r="F134" s="89" t="n"/>
      <c r="G134" s="92" t="n"/>
      <c r="H134" s="301" t="n"/>
      <c r="I134" s="9" t="n"/>
      <c r="J134" s="102">
        <f>MAX(D128:D132,H128:H132)</f>
        <v/>
      </c>
      <c r="L134" s="103">
        <f>L133</f>
        <v/>
      </c>
      <c r="M134" s="104">
        <f>M133</f>
        <v/>
      </c>
      <c r="N134" s="97" t="n"/>
      <c r="O134" s="294" t="n"/>
      <c r="P134" s="5" t="n"/>
    </row>
    <row r="135" ht="18" customHeight="1" s="256" thickBot="1"/>
    <row r="136" ht="16.5" customHeight="1" s="256">
      <c r="B136" s="261" t="inlineStr">
        <is>
          <t>BlueBackpack_UVGgs_0100</t>
        </is>
      </c>
      <c r="C136" s="262" t="n"/>
      <c r="D136" s="263" t="n"/>
      <c r="E136" s="2" t="n"/>
      <c r="F136" s="261">
        <f>B136</f>
        <v/>
      </c>
      <c r="G136" s="262" t="n"/>
      <c r="H136" s="263" t="n"/>
      <c r="I136" s="2" t="n"/>
      <c r="J136" s="264" t="n"/>
      <c r="L136" s="264">
        <f>F136</f>
        <v/>
      </c>
      <c r="M136" s="262" t="n"/>
      <c r="N136" s="263" t="n"/>
      <c r="O136" s="195" t="n"/>
      <c r="P136" s="264" t="n"/>
      <c r="AB136" s="298" t="n"/>
    </row>
    <row r="137">
      <c r="B137" s="259" t="inlineStr">
        <is>
          <t>Test</t>
        </is>
      </c>
      <c r="D137" s="87" t="inlineStr">
        <is>
          <t>Bitstream (MB)</t>
        </is>
      </c>
      <c r="E137" s="294" t="n"/>
      <c r="F137" s="259" t="inlineStr">
        <is>
          <t>Test</t>
        </is>
      </c>
      <c r="H137" s="87" t="inlineStr">
        <is>
          <t>Bitstream (MB)</t>
        </is>
      </c>
      <c r="I137" s="9" t="n"/>
      <c r="J137" s="257" t="inlineStr">
        <is>
          <t>%</t>
        </is>
      </c>
      <c r="L137" s="257" t="inlineStr">
        <is>
          <t>RGB-PSNR</t>
        </is>
      </c>
      <c r="N137" s="258" t="n"/>
      <c r="O137" s="85" t="n"/>
      <c r="P137" s="3" t="n"/>
    </row>
    <row r="138" ht="16.5" customHeight="1" s="256">
      <c r="B138" s="191" t="inlineStr">
        <is>
          <t>Anchor</t>
        </is>
      </c>
      <c r="C138" s="130" t="inlineStr">
        <is>
          <t>Test point</t>
        </is>
      </c>
      <c r="D138" s="86" t="inlineStr">
        <is>
          <t>Total</t>
        </is>
      </c>
      <c r="E138" s="294" t="n"/>
      <c r="F138" s="191" t="inlineStr">
        <is>
          <t>Anchor</t>
        </is>
      </c>
      <c r="G138" s="130" t="inlineStr">
        <is>
          <t>Test point</t>
        </is>
      </c>
      <c r="H138" s="86" t="inlineStr">
        <is>
          <t>Total</t>
        </is>
      </c>
      <c r="I138" s="9" t="n"/>
      <c r="J138" s="93" t="n"/>
      <c r="L138" s="192">
        <f>CONCATENATE(B$2," ",L136)</f>
        <v/>
      </c>
      <c r="M138" s="193">
        <f>CONCATENATE(F$2," ",L136)</f>
        <v/>
      </c>
      <c r="N138" s="194" t="inlineStr">
        <is>
          <t>Delta</t>
        </is>
      </c>
      <c r="O138" s="2" t="n"/>
      <c r="P138" s="3" t="inlineStr">
        <is>
          <t>BD-rate</t>
        </is>
      </c>
    </row>
    <row r="139" ht="16.5" customHeight="1" s="256">
      <c r="B139" s="122">
        <f>B136</f>
        <v/>
      </c>
      <c r="C139" s="130" t="inlineStr">
        <is>
          <t>r01</t>
        </is>
      </c>
      <c r="D139" s="295">
        <f>0.000001*INDIRECT($B139&amp;"!E5")</f>
        <v/>
      </c>
      <c r="E139" s="294" t="n"/>
      <c r="F139" s="122">
        <f>F136</f>
        <v/>
      </c>
      <c r="G139" s="130" t="inlineStr">
        <is>
          <t>r01</t>
        </is>
      </c>
      <c r="H139" s="295">
        <f>0.000001*INDIRECT($B139&amp;"!AC5")</f>
        <v/>
      </c>
      <c r="I139" s="9" t="n"/>
      <c r="J139" s="296">
        <f>H139/D139-1</f>
        <v/>
      </c>
      <c r="L139" s="94">
        <f>INDIRECT($B139&amp;"!"&amp;L$3&amp;"5")</f>
        <v/>
      </c>
      <c r="M139" s="95">
        <f>INDIRECT($B139&amp;"!"&amp;M$3&amp;"5")</f>
        <v/>
      </c>
      <c r="N139" s="96">
        <f>M139-L139</f>
        <v/>
      </c>
      <c r="O139" s="294" t="n"/>
      <c r="P139" s="296">
        <f>bdRateExtend(D139:D143,L139:L143,H139:H143,M139:M143)</f>
        <v/>
      </c>
    </row>
    <row r="140">
      <c r="B140" s="122">
        <f>B139</f>
        <v/>
      </c>
      <c r="C140" s="130" t="inlineStr">
        <is>
          <t>r02</t>
        </is>
      </c>
      <c r="D140" s="295">
        <f>0.000001*INDIRECT($B140&amp;"!E6")</f>
        <v/>
      </c>
      <c r="E140" s="294" t="n"/>
      <c r="F140" s="122">
        <f>F139</f>
        <v/>
      </c>
      <c r="G140" s="130" t="inlineStr">
        <is>
          <t>r02</t>
        </is>
      </c>
      <c r="H140" s="295">
        <f>0.000001*INDIRECT($B140&amp;"!AC6")</f>
        <v/>
      </c>
      <c r="I140" s="9" t="n"/>
      <c r="J140" s="296">
        <f>H140/D140-1</f>
        <v/>
      </c>
      <c r="L140" s="94">
        <f>INDIRECT($B140&amp;"!"&amp;L$3&amp;"6")</f>
        <v/>
      </c>
      <c r="M140" s="95">
        <f>INDIRECT($B140&amp;"!"&amp;M$3&amp;"6")</f>
        <v/>
      </c>
      <c r="N140" s="96">
        <f>M140-L140</f>
        <v/>
      </c>
      <c r="O140" s="294" t="n"/>
      <c r="P140" s="3" t="n"/>
    </row>
    <row r="141">
      <c r="B141" s="122">
        <f>B140</f>
        <v/>
      </c>
      <c r="C141" s="130" t="inlineStr">
        <is>
          <t>r03</t>
        </is>
      </c>
      <c r="D141" s="295">
        <f>0.000001*INDIRECT($B141&amp;"!E7")</f>
        <v/>
      </c>
      <c r="E141" s="294" t="n"/>
      <c r="F141" s="122">
        <f>F140</f>
        <v/>
      </c>
      <c r="G141" s="130" t="inlineStr">
        <is>
          <t>r03</t>
        </is>
      </c>
      <c r="H141" s="295">
        <f>0.000001*INDIRECT($B141&amp;"!AC7")</f>
        <v/>
      </c>
      <c r="I141" s="9" t="n"/>
      <c r="J141" s="296">
        <f>H141/D141-1</f>
        <v/>
      </c>
      <c r="L141" s="94">
        <f>INDIRECT($B141&amp;"!"&amp;L$3&amp;"7")</f>
        <v/>
      </c>
      <c r="M141" s="95">
        <f>INDIRECT($B141&amp;"!"&amp;M$3&amp;"7")</f>
        <v/>
      </c>
      <c r="N141" s="96">
        <f>M141-L141</f>
        <v/>
      </c>
      <c r="O141" s="294" t="n"/>
      <c r="P141" s="3" t="n"/>
    </row>
    <row r="142">
      <c r="B142" s="122">
        <f>B141</f>
        <v/>
      </c>
      <c r="C142" s="130" t="inlineStr">
        <is>
          <t>r04</t>
        </is>
      </c>
      <c r="D142" s="295">
        <f>0.000001*INDIRECT($B142&amp;"!E8")</f>
        <v/>
      </c>
      <c r="E142" s="294" t="n"/>
      <c r="F142" s="122">
        <f>F141</f>
        <v/>
      </c>
      <c r="G142" s="130" t="inlineStr">
        <is>
          <t>r04</t>
        </is>
      </c>
      <c r="H142" s="295">
        <f>0.000001*INDIRECT($B142&amp;"!AC8")</f>
        <v/>
      </c>
      <c r="I142" s="9" t="n"/>
      <c r="J142" s="296">
        <f>H142/D142-1</f>
        <v/>
      </c>
      <c r="L142" s="94">
        <f>INDIRECT($B142&amp;"!"&amp;L$3&amp;"8")</f>
        <v/>
      </c>
      <c r="M142" s="95">
        <f>INDIRECT($B142&amp;"!"&amp;M$3&amp;"8")</f>
        <v/>
      </c>
      <c r="N142" s="96">
        <f>M142-L142</f>
        <v/>
      </c>
      <c r="O142" s="294" t="n"/>
      <c r="P142" s="296" t="n"/>
    </row>
    <row r="143" ht="18" customHeight="1" s="256" thickBot="1">
      <c r="B143" s="122">
        <f>B142</f>
        <v/>
      </c>
      <c r="C143" s="130" t="inlineStr">
        <is>
          <t>r05</t>
        </is>
      </c>
      <c r="D143" s="295">
        <f>0.000001*INDIRECT($B143&amp;"!E9")</f>
        <v/>
      </c>
      <c r="E143" s="294" t="n"/>
      <c r="F143" s="122">
        <f>F142</f>
        <v/>
      </c>
      <c r="G143" s="130" t="inlineStr">
        <is>
          <t>r05</t>
        </is>
      </c>
      <c r="H143" s="295">
        <f>0.000001*INDIRECT($B143&amp;"!AC9")</f>
        <v/>
      </c>
      <c r="I143" s="9" t="n"/>
      <c r="J143" s="296">
        <f>H143/D143-1</f>
        <v/>
      </c>
      <c r="L143" s="94">
        <f>INDIRECT($B143&amp;"!"&amp;L$3&amp;"9")</f>
        <v/>
      </c>
      <c r="M143" s="95">
        <f>INDIRECT($B143&amp;"!"&amp;M$3&amp;"9")</f>
        <v/>
      </c>
      <c r="N143" s="96">
        <f>M143-L143</f>
        <v/>
      </c>
      <c r="O143" s="294" t="n"/>
      <c r="P143" s="299" t="n"/>
      <c r="AB143" s="298" t="n"/>
    </row>
    <row r="144">
      <c r="B144" s="109" t="n"/>
      <c r="C144" s="110" t="n"/>
      <c r="D144" s="300" t="n"/>
      <c r="F144" s="109" t="n"/>
      <c r="G144" s="110" t="n"/>
      <c r="H144" s="300" t="n"/>
      <c r="J144" s="98">
        <f>MIN(D139:D143,H139:H143)</f>
        <v/>
      </c>
      <c r="L144" s="99" t="n"/>
      <c r="M144" s="100" t="n"/>
      <c r="N144" s="101" t="n"/>
      <c r="O144" s="294" t="n"/>
      <c r="P144" s="264" t="n"/>
    </row>
    <row r="145" ht="18" customHeight="1" s="256" thickBot="1">
      <c r="B145" s="89" t="n"/>
      <c r="C145" s="92" t="n"/>
      <c r="D145" s="301" t="n"/>
      <c r="E145" s="294" t="n"/>
      <c r="F145" s="89" t="n"/>
      <c r="G145" s="92" t="n"/>
      <c r="H145" s="301" t="n"/>
      <c r="I145" s="9" t="n"/>
      <c r="J145" s="102">
        <f>MAX(D139:D143,H139:H143)</f>
        <v/>
      </c>
      <c r="L145" s="103">
        <f>L144</f>
        <v/>
      </c>
      <c r="M145" s="104">
        <f>M144</f>
        <v/>
      </c>
      <c r="N145" s="97" t="n"/>
      <c r="O145" s="294" t="n"/>
      <c r="P145" s="5" t="n"/>
    </row>
    <row r="146" ht="16.5" customHeight="1" s="256" thickBot="1">
      <c r="B146" s="114" t="n"/>
      <c r="C146" s="114" t="n"/>
      <c r="D146" s="302" t="n"/>
      <c r="E146" s="294" t="n"/>
      <c r="F146" s="114" t="n"/>
      <c r="G146" s="114" t="n"/>
      <c r="H146" s="302" t="n"/>
      <c r="I146" s="9" t="n"/>
      <c r="J146" s="212" t="n"/>
      <c r="L146" s="213" t="n"/>
      <c r="M146" s="213" t="n"/>
      <c r="N146" s="214" t="n"/>
      <c r="O146" s="294" t="n"/>
      <c r="P146" s="265" t="n"/>
      <c r="AB146" s="298" t="n"/>
    </row>
    <row r="147">
      <c r="B147" s="261" t="inlineStr">
        <is>
          <t>BlueBackpack_UVGgs_0200</t>
        </is>
      </c>
      <c r="C147" s="262" t="n"/>
      <c r="D147" s="263" t="n"/>
      <c r="E147" s="2" t="n"/>
      <c r="F147" s="261">
        <f>B147</f>
        <v/>
      </c>
      <c r="G147" s="262" t="n"/>
      <c r="H147" s="263" t="n"/>
      <c r="I147" s="2" t="n"/>
      <c r="J147" s="264" t="n"/>
      <c r="L147" s="264">
        <f>F147</f>
        <v/>
      </c>
      <c r="M147" s="262" t="n"/>
      <c r="N147" s="263" t="n"/>
      <c r="O147" s="195" t="n"/>
      <c r="P147" s="264" t="n"/>
    </row>
    <row r="148" ht="16.5" customHeight="1" s="256">
      <c r="B148" s="259" t="inlineStr">
        <is>
          <t>Test</t>
        </is>
      </c>
      <c r="D148" s="87" t="inlineStr">
        <is>
          <t>Bitstream (MB)</t>
        </is>
      </c>
      <c r="E148" s="294" t="n"/>
      <c r="F148" s="259" t="inlineStr">
        <is>
          <t>Test</t>
        </is>
      </c>
      <c r="H148" s="87" t="inlineStr">
        <is>
          <t>Bitstream (MB)</t>
        </is>
      </c>
      <c r="I148" s="9" t="n"/>
      <c r="J148" s="257" t="inlineStr">
        <is>
          <t>%</t>
        </is>
      </c>
      <c r="L148" s="257" t="inlineStr">
        <is>
          <t>RGB-PSNR</t>
        </is>
      </c>
      <c r="N148" s="258" t="n"/>
      <c r="O148" s="85" t="n"/>
      <c r="P148" s="3" t="n"/>
    </row>
    <row r="149" ht="16.5" customHeight="1" s="256">
      <c r="B149" s="191" t="inlineStr">
        <is>
          <t>Anchor</t>
        </is>
      </c>
      <c r="C149" s="130" t="inlineStr">
        <is>
          <t>Test point</t>
        </is>
      </c>
      <c r="D149" s="86" t="inlineStr">
        <is>
          <t>Total</t>
        </is>
      </c>
      <c r="E149" s="294" t="n"/>
      <c r="F149" s="191" t="inlineStr">
        <is>
          <t>Anchor</t>
        </is>
      </c>
      <c r="G149" s="130" t="inlineStr">
        <is>
          <t>Test point</t>
        </is>
      </c>
      <c r="H149" s="86" t="inlineStr">
        <is>
          <t>Total</t>
        </is>
      </c>
      <c r="I149" s="9" t="n"/>
      <c r="J149" s="93" t="n"/>
      <c r="L149" s="192">
        <f>CONCATENATE(B$2," ",L147)</f>
        <v/>
      </c>
      <c r="M149" s="193">
        <f>CONCATENATE(F$2," ",L147)</f>
        <v/>
      </c>
      <c r="N149" s="194" t="inlineStr">
        <is>
          <t>Delta</t>
        </is>
      </c>
      <c r="O149" s="2" t="n"/>
      <c r="P149" s="3" t="inlineStr">
        <is>
          <t>BD-rate</t>
        </is>
      </c>
    </row>
    <row r="150">
      <c r="B150" s="122">
        <f>B147</f>
        <v/>
      </c>
      <c r="C150" s="130" t="inlineStr">
        <is>
          <t>r01</t>
        </is>
      </c>
      <c r="D150" s="295">
        <f>0.000001*INDIRECT($B150&amp;"!E5")</f>
        <v/>
      </c>
      <c r="E150" s="294" t="n"/>
      <c r="F150" s="122">
        <f>F147</f>
        <v/>
      </c>
      <c r="G150" s="130" t="inlineStr">
        <is>
          <t>r01</t>
        </is>
      </c>
      <c r="H150" s="295">
        <f>0.000001*INDIRECT($B150&amp;"!AC5")</f>
        <v/>
      </c>
      <c r="I150" s="9" t="n"/>
      <c r="J150" s="296">
        <f>H150/D150-1</f>
        <v/>
      </c>
      <c r="L150" s="94">
        <f>INDIRECT($B150&amp;"!"&amp;L$3&amp;"5")</f>
        <v/>
      </c>
      <c r="M150" s="95">
        <f>INDIRECT($B150&amp;"!"&amp;M$3&amp;"5")</f>
        <v/>
      </c>
      <c r="N150" s="96">
        <f>M150-L150</f>
        <v/>
      </c>
      <c r="O150" s="294" t="n"/>
      <c r="P150" s="296">
        <f>bdRateExtend(D150:D154,L150:L154,H150:H154,M150:M154)</f>
        <v/>
      </c>
    </row>
    <row r="151">
      <c r="B151" s="122">
        <f>B150</f>
        <v/>
      </c>
      <c r="C151" s="130" t="inlineStr">
        <is>
          <t>r02</t>
        </is>
      </c>
      <c r="D151" s="295">
        <f>0.000001*INDIRECT($B151&amp;"!E6")</f>
        <v/>
      </c>
      <c r="E151" s="294" t="n"/>
      <c r="F151" s="122">
        <f>F150</f>
        <v/>
      </c>
      <c r="G151" s="130" t="inlineStr">
        <is>
          <t>r02</t>
        </is>
      </c>
      <c r="H151" s="295">
        <f>0.000001*INDIRECT($B151&amp;"!AC6")</f>
        <v/>
      </c>
      <c r="I151" s="9" t="n"/>
      <c r="J151" s="296">
        <f>H151/D151-1</f>
        <v/>
      </c>
      <c r="L151" s="94">
        <f>INDIRECT($B151&amp;"!"&amp;L$3&amp;"6")</f>
        <v/>
      </c>
      <c r="M151" s="95">
        <f>INDIRECT($B151&amp;"!"&amp;M$3&amp;"6")</f>
        <v/>
      </c>
      <c r="N151" s="96">
        <f>M151-L151</f>
        <v/>
      </c>
      <c r="O151" s="294" t="n"/>
      <c r="P151" s="3" t="n"/>
    </row>
    <row r="152">
      <c r="B152" s="122">
        <f>B151</f>
        <v/>
      </c>
      <c r="C152" s="130" t="inlineStr">
        <is>
          <t>r03</t>
        </is>
      </c>
      <c r="D152" s="295">
        <f>0.000001*INDIRECT($B152&amp;"!E7")</f>
        <v/>
      </c>
      <c r="E152" s="294" t="n"/>
      <c r="F152" s="122">
        <f>F151</f>
        <v/>
      </c>
      <c r="G152" s="130" t="inlineStr">
        <is>
          <t>r03</t>
        </is>
      </c>
      <c r="H152" s="295">
        <f>0.000001*INDIRECT($B152&amp;"!AC7")</f>
        <v/>
      </c>
      <c r="I152" s="9" t="n"/>
      <c r="J152" s="296">
        <f>H152/D152-1</f>
        <v/>
      </c>
      <c r="L152" s="94">
        <f>INDIRECT($B152&amp;"!"&amp;L$3&amp;"7")</f>
        <v/>
      </c>
      <c r="M152" s="95">
        <f>INDIRECT($B152&amp;"!"&amp;M$3&amp;"7")</f>
        <v/>
      </c>
      <c r="N152" s="96">
        <f>M152-L152</f>
        <v/>
      </c>
      <c r="O152" s="294" t="n"/>
      <c r="P152" s="3" t="n"/>
    </row>
    <row r="153">
      <c r="B153" s="122">
        <f>B152</f>
        <v/>
      </c>
      <c r="C153" s="130" t="inlineStr">
        <is>
          <t>r04</t>
        </is>
      </c>
      <c r="D153" s="295">
        <f>0.000001*INDIRECT($B153&amp;"!E8")</f>
        <v/>
      </c>
      <c r="E153" s="294" t="n"/>
      <c r="F153" s="122">
        <f>F152</f>
        <v/>
      </c>
      <c r="G153" s="130" t="inlineStr">
        <is>
          <t>r04</t>
        </is>
      </c>
      <c r="H153" s="295">
        <f>0.000001*INDIRECT($B153&amp;"!AC8")</f>
        <v/>
      </c>
      <c r="I153" s="9" t="n"/>
      <c r="J153" s="296">
        <f>H153/D153-1</f>
        <v/>
      </c>
      <c r="L153" s="94">
        <f>INDIRECT($B153&amp;"!"&amp;L$3&amp;"8")</f>
        <v/>
      </c>
      <c r="M153" s="95">
        <f>INDIRECT($B153&amp;"!"&amp;M$3&amp;"8")</f>
        <v/>
      </c>
      <c r="N153" s="96">
        <f>M153-L153</f>
        <v/>
      </c>
      <c r="O153" s="294" t="n"/>
      <c r="P153" s="296" t="n"/>
      <c r="AB153" s="298" t="n"/>
    </row>
    <row r="154" ht="18" customHeight="1" s="256" thickBot="1">
      <c r="B154" s="122">
        <f>B153</f>
        <v/>
      </c>
      <c r="C154" s="130" t="inlineStr">
        <is>
          <t>r05</t>
        </is>
      </c>
      <c r="D154" s="295">
        <f>0.000001*INDIRECT($B154&amp;"!E9")</f>
        <v/>
      </c>
      <c r="E154" s="294" t="n"/>
      <c r="F154" s="122">
        <f>F153</f>
        <v/>
      </c>
      <c r="G154" s="130" t="inlineStr">
        <is>
          <t>r05</t>
        </is>
      </c>
      <c r="H154" s="295">
        <f>0.000001*INDIRECT($B154&amp;"!AC9")</f>
        <v/>
      </c>
      <c r="I154" s="9" t="n"/>
      <c r="J154" s="296">
        <f>H154/D154-1</f>
        <v/>
      </c>
      <c r="L154" s="94">
        <f>INDIRECT($B154&amp;"!"&amp;L$3&amp;"9")</f>
        <v/>
      </c>
      <c r="M154" s="95">
        <f>INDIRECT($B154&amp;"!"&amp;M$3&amp;"9")</f>
        <v/>
      </c>
      <c r="N154" s="96">
        <f>M154-L154</f>
        <v/>
      </c>
      <c r="O154" s="294" t="n"/>
      <c r="P154" s="299" t="n"/>
    </row>
    <row r="155">
      <c r="B155" s="109" t="n"/>
      <c r="C155" s="110" t="n"/>
      <c r="D155" s="300" t="n"/>
      <c r="F155" s="109" t="n"/>
      <c r="G155" s="110" t="n"/>
      <c r="H155" s="300" t="n"/>
      <c r="J155" s="98">
        <f>MIN(D150:D154,H150:H154)</f>
        <v/>
      </c>
      <c r="L155" s="99" t="n"/>
      <c r="M155" s="100" t="n"/>
      <c r="N155" s="101" t="n"/>
      <c r="O155" s="294" t="n"/>
      <c r="P155" s="264" t="n"/>
    </row>
    <row r="156" ht="16.5" customHeight="1" s="256" thickBot="1">
      <c r="B156" s="89" t="n"/>
      <c r="C156" s="92" t="n"/>
      <c r="D156" s="301" t="n"/>
      <c r="E156" s="294" t="n"/>
      <c r="F156" s="89" t="n"/>
      <c r="G156" s="92" t="n"/>
      <c r="H156" s="301" t="n"/>
      <c r="I156" s="9" t="n"/>
      <c r="J156" s="102">
        <f>MAX(D150:D154,H150:H154)</f>
        <v/>
      </c>
      <c r="L156" s="103">
        <f>L155</f>
        <v/>
      </c>
      <c r="M156" s="104">
        <f>M155</f>
        <v/>
      </c>
      <c r="N156" s="97" t="n"/>
      <c r="O156" s="294" t="n"/>
      <c r="P156" s="5" t="n"/>
      <c r="AB156" s="298" t="n"/>
    </row>
    <row r="157" ht="18" customHeight="1" s="256" thickBot="1"/>
    <row r="158" ht="16.5" customHeight="1" s="256">
      <c r="B158" s="261" t="inlineStr">
        <is>
          <t>FlowerDance_UVGgs_0000</t>
        </is>
      </c>
      <c r="C158" s="262" t="n"/>
      <c r="D158" s="263" t="n"/>
      <c r="E158" s="2" t="n"/>
      <c r="F158" s="261">
        <f>B158</f>
        <v/>
      </c>
      <c r="G158" s="262" t="n"/>
      <c r="H158" s="263" t="n"/>
      <c r="I158" s="2" t="n"/>
      <c r="J158" s="264" t="n"/>
      <c r="L158" s="264">
        <f>F158</f>
        <v/>
      </c>
      <c r="M158" s="262" t="n"/>
      <c r="N158" s="263" t="n"/>
      <c r="O158" s="195" t="n"/>
      <c r="P158" s="264" t="n"/>
    </row>
    <row r="159" ht="16.5" customHeight="1" s="256">
      <c r="B159" s="259" t="inlineStr">
        <is>
          <t>Test</t>
        </is>
      </c>
      <c r="D159" s="87" t="inlineStr">
        <is>
          <t>Bitstream (MB)</t>
        </is>
      </c>
      <c r="E159" s="294" t="n"/>
      <c r="F159" s="259" t="inlineStr">
        <is>
          <t>Test</t>
        </is>
      </c>
      <c r="H159" s="87" t="inlineStr">
        <is>
          <t>Bitstream (MB)</t>
        </is>
      </c>
      <c r="I159" s="9" t="n"/>
      <c r="J159" s="257" t="inlineStr">
        <is>
          <t>%</t>
        </is>
      </c>
      <c r="L159" s="257" t="inlineStr">
        <is>
          <t>RGB-PSNR</t>
        </is>
      </c>
      <c r="N159" s="258" t="n"/>
      <c r="O159" s="85" t="n"/>
      <c r="P159" s="3" t="n"/>
    </row>
    <row r="160">
      <c r="B160" s="191" t="inlineStr">
        <is>
          <t>Anchor</t>
        </is>
      </c>
      <c r="C160" s="130" t="inlineStr">
        <is>
          <t>Test point</t>
        </is>
      </c>
      <c r="D160" s="86" t="inlineStr">
        <is>
          <t>Total</t>
        </is>
      </c>
      <c r="E160" s="294" t="n"/>
      <c r="F160" s="191" t="inlineStr">
        <is>
          <t>Anchor</t>
        </is>
      </c>
      <c r="G160" s="130" t="inlineStr">
        <is>
          <t>Test point</t>
        </is>
      </c>
      <c r="H160" s="86" t="inlineStr">
        <is>
          <t>Total</t>
        </is>
      </c>
      <c r="I160" s="9" t="n"/>
      <c r="J160" s="93" t="n"/>
      <c r="L160" s="192">
        <f>CONCATENATE(B$2," ",L158)</f>
        <v/>
      </c>
      <c r="M160" s="193">
        <f>CONCATENATE(F$2," ",L158)</f>
        <v/>
      </c>
      <c r="N160" s="194" t="inlineStr">
        <is>
          <t>Delta</t>
        </is>
      </c>
      <c r="O160" s="2" t="n"/>
      <c r="P160" s="3" t="inlineStr">
        <is>
          <t>BD-rate</t>
        </is>
      </c>
    </row>
    <row r="161">
      <c r="B161" s="122">
        <f>B158</f>
        <v/>
      </c>
      <c r="C161" s="130" t="inlineStr">
        <is>
          <t>r01</t>
        </is>
      </c>
      <c r="D161" s="295">
        <f>0.000001*INDIRECT($B161&amp;"!E5")</f>
        <v/>
      </c>
      <c r="E161" s="294" t="n"/>
      <c r="F161" s="122">
        <f>F158</f>
        <v/>
      </c>
      <c r="G161" s="130" t="inlineStr">
        <is>
          <t>r01</t>
        </is>
      </c>
      <c r="H161" s="295">
        <f>0.000001*INDIRECT($B161&amp;"!AC5")</f>
        <v/>
      </c>
      <c r="I161" s="9" t="n"/>
      <c r="J161" s="296">
        <f>H161/D161-1</f>
        <v/>
      </c>
      <c r="L161" s="94">
        <f>INDIRECT($B161&amp;"!"&amp;L$3&amp;"5")</f>
        <v/>
      </c>
      <c r="M161" s="95">
        <f>INDIRECT($B161&amp;"!"&amp;M$3&amp;"5")</f>
        <v/>
      </c>
      <c r="N161" s="96">
        <f>M161-L161</f>
        <v/>
      </c>
      <c r="O161" s="294" t="n"/>
      <c r="P161" s="296">
        <f>bdRateExtend(D161:D165,L161:L165,H161:H165,M161:M165)</f>
        <v/>
      </c>
    </row>
    <row r="162">
      <c r="B162" s="122">
        <f>B161</f>
        <v/>
      </c>
      <c r="C162" s="130" t="inlineStr">
        <is>
          <t>r02</t>
        </is>
      </c>
      <c r="D162" s="295">
        <f>0.000001*INDIRECT($B162&amp;"!E6")</f>
        <v/>
      </c>
      <c r="E162" s="294" t="n"/>
      <c r="F162" s="122">
        <f>F161</f>
        <v/>
      </c>
      <c r="G162" s="130" t="inlineStr">
        <is>
          <t>r02</t>
        </is>
      </c>
      <c r="H162" s="295">
        <f>0.000001*INDIRECT($B162&amp;"!AC6")</f>
        <v/>
      </c>
      <c r="I162" s="9" t="n"/>
      <c r="J162" s="296">
        <f>H162/D162-1</f>
        <v/>
      </c>
      <c r="L162" s="94">
        <f>INDIRECT($B162&amp;"!"&amp;L$3&amp;"6")</f>
        <v/>
      </c>
      <c r="M162" s="95">
        <f>INDIRECT($B162&amp;"!"&amp;M$3&amp;"6")</f>
        <v/>
      </c>
      <c r="N162" s="96">
        <f>M162-L162</f>
        <v/>
      </c>
      <c r="O162" s="294" t="n"/>
      <c r="P162" s="3" t="n"/>
    </row>
    <row r="163">
      <c r="B163" s="122">
        <f>B162</f>
        <v/>
      </c>
      <c r="C163" s="130" t="inlineStr">
        <is>
          <t>r03</t>
        </is>
      </c>
      <c r="D163" s="295">
        <f>0.000001*INDIRECT($B163&amp;"!E7")</f>
        <v/>
      </c>
      <c r="E163" s="294" t="n"/>
      <c r="F163" s="122">
        <f>F162</f>
        <v/>
      </c>
      <c r="G163" s="130" t="inlineStr">
        <is>
          <t>r03</t>
        </is>
      </c>
      <c r="H163" s="295">
        <f>0.000001*INDIRECT($B163&amp;"!AC7")</f>
        <v/>
      </c>
      <c r="I163" s="9" t="n"/>
      <c r="J163" s="296">
        <f>H163/D163-1</f>
        <v/>
      </c>
      <c r="L163" s="94">
        <f>INDIRECT($B163&amp;"!"&amp;L$3&amp;"7")</f>
        <v/>
      </c>
      <c r="M163" s="95">
        <f>INDIRECT($B163&amp;"!"&amp;M$3&amp;"7")</f>
        <v/>
      </c>
      <c r="N163" s="96">
        <f>M163-L163</f>
        <v/>
      </c>
      <c r="O163" s="294" t="n"/>
      <c r="P163" s="3" t="n"/>
      <c r="AB163" s="298" t="n"/>
    </row>
    <row r="164">
      <c r="B164" s="122">
        <f>B163</f>
        <v/>
      </c>
      <c r="C164" s="130" t="inlineStr">
        <is>
          <t>r04</t>
        </is>
      </c>
      <c r="D164" s="295">
        <f>0.000001*INDIRECT($B164&amp;"!E8")</f>
        <v/>
      </c>
      <c r="E164" s="294" t="n"/>
      <c r="F164" s="122">
        <f>F163</f>
        <v/>
      </c>
      <c r="G164" s="130" t="inlineStr">
        <is>
          <t>r04</t>
        </is>
      </c>
      <c r="H164" s="295">
        <f>0.000001*INDIRECT($B164&amp;"!AC8")</f>
        <v/>
      </c>
      <c r="I164" s="9" t="n"/>
      <c r="J164" s="296">
        <f>H164/D164-1</f>
        <v/>
      </c>
      <c r="L164" s="94">
        <f>INDIRECT($B164&amp;"!"&amp;L$3&amp;"8")</f>
        <v/>
      </c>
      <c r="M164" s="95">
        <f>INDIRECT($B164&amp;"!"&amp;M$3&amp;"8")</f>
        <v/>
      </c>
      <c r="N164" s="96">
        <f>M164-L164</f>
        <v/>
      </c>
      <c r="O164" s="294" t="n"/>
      <c r="P164" s="296" t="n"/>
    </row>
    <row r="165" ht="18" customHeight="1" s="256" thickBot="1">
      <c r="B165" s="122">
        <f>B164</f>
        <v/>
      </c>
      <c r="C165" s="130" t="inlineStr">
        <is>
          <t>r05</t>
        </is>
      </c>
      <c r="D165" s="295">
        <f>0.000001*INDIRECT($B165&amp;"!E9")</f>
        <v/>
      </c>
      <c r="E165" s="294" t="n"/>
      <c r="F165" s="122">
        <f>F164</f>
        <v/>
      </c>
      <c r="G165" s="130" t="inlineStr">
        <is>
          <t>r05</t>
        </is>
      </c>
      <c r="H165" s="295">
        <f>0.000001*INDIRECT($B165&amp;"!AC9")</f>
        <v/>
      </c>
      <c r="I165" s="9" t="n"/>
      <c r="J165" s="296">
        <f>H165/D165-1</f>
        <v/>
      </c>
      <c r="L165" s="94">
        <f>INDIRECT($B165&amp;"!"&amp;L$3&amp;"9")</f>
        <v/>
      </c>
      <c r="M165" s="95">
        <f>INDIRECT($B165&amp;"!"&amp;M$3&amp;"9")</f>
        <v/>
      </c>
      <c r="N165" s="96">
        <f>M165-L165</f>
        <v/>
      </c>
      <c r="O165" s="294" t="n"/>
      <c r="P165" s="299" t="n"/>
    </row>
    <row r="166" ht="16.5" customHeight="1" s="256">
      <c r="B166" s="109" t="n"/>
      <c r="C166" s="110" t="n"/>
      <c r="D166" s="300" t="n"/>
      <c r="F166" s="109" t="n"/>
      <c r="G166" s="110" t="n"/>
      <c r="H166" s="300" t="n"/>
      <c r="J166" s="98">
        <f>MIN(D161:D165,H161:H165)</f>
        <v/>
      </c>
      <c r="L166" s="99" t="n"/>
      <c r="M166" s="100" t="n"/>
      <c r="N166" s="101" t="n"/>
      <c r="O166" s="294" t="n"/>
      <c r="P166" s="264" t="n"/>
      <c r="AB166" s="298" t="n"/>
    </row>
    <row r="167" ht="18" customHeight="1" s="256" thickBot="1">
      <c r="B167" s="89" t="n"/>
      <c r="C167" s="92" t="n"/>
      <c r="D167" s="301" t="n"/>
      <c r="E167" s="294" t="n"/>
      <c r="F167" s="89" t="n"/>
      <c r="G167" s="92" t="n"/>
      <c r="H167" s="301" t="n"/>
      <c r="I167" s="9" t="n"/>
      <c r="J167" s="102">
        <f>MAX(D161:D165,H161:H165)</f>
        <v/>
      </c>
      <c r="L167" s="103">
        <f>L166</f>
        <v/>
      </c>
      <c r="M167" s="104">
        <f>M166</f>
        <v/>
      </c>
      <c r="N167" s="97" t="n"/>
      <c r="O167" s="294" t="n"/>
      <c r="P167" s="5" t="n"/>
    </row>
    <row r="168" ht="16.5" customHeight="1" s="256" thickBot="1"/>
    <row r="169" ht="16.5" customHeight="1" s="256">
      <c r="B169" s="261" t="inlineStr">
        <is>
          <t>FlowerDance_UVGgs_0200</t>
        </is>
      </c>
      <c r="C169" s="262" t="n"/>
      <c r="D169" s="263" t="n"/>
      <c r="E169" s="2" t="n"/>
      <c r="F169" s="261">
        <f>B169</f>
        <v/>
      </c>
      <c r="G169" s="262" t="n"/>
      <c r="H169" s="263" t="n"/>
      <c r="I169" s="2" t="n"/>
      <c r="J169" s="264" t="n"/>
      <c r="L169" s="264">
        <f>F169</f>
        <v/>
      </c>
      <c r="M169" s="262" t="n"/>
      <c r="N169" s="263" t="n"/>
      <c r="O169" s="195" t="n"/>
      <c r="P169" s="264" t="n"/>
    </row>
    <row r="170">
      <c r="B170" s="259" t="inlineStr">
        <is>
          <t>Test</t>
        </is>
      </c>
      <c r="D170" s="87" t="inlineStr">
        <is>
          <t>Bitstream (MB)</t>
        </is>
      </c>
      <c r="E170" s="294" t="n"/>
      <c r="F170" s="259" t="inlineStr">
        <is>
          <t>Test</t>
        </is>
      </c>
      <c r="H170" s="87" t="inlineStr">
        <is>
          <t>Bitstream (MB)</t>
        </is>
      </c>
      <c r="I170" s="9" t="n"/>
      <c r="J170" s="257" t="inlineStr">
        <is>
          <t>%</t>
        </is>
      </c>
      <c r="L170" s="257" t="inlineStr">
        <is>
          <t>RGB-PSNR</t>
        </is>
      </c>
      <c r="N170" s="258" t="n"/>
      <c r="O170" s="85" t="n"/>
      <c r="P170" s="3" t="n"/>
    </row>
    <row r="171">
      <c r="B171" s="191" t="inlineStr">
        <is>
          <t>Anchor</t>
        </is>
      </c>
      <c r="C171" s="130" t="inlineStr">
        <is>
          <t>Test point</t>
        </is>
      </c>
      <c r="D171" s="86" t="inlineStr">
        <is>
          <t>Total</t>
        </is>
      </c>
      <c r="E171" s="294" t="n"/>
      <c r="F171" s="191" t="inlineStr">
        <is>
          <t>Anchor</t>
        </is>
      </c>
      <c r="G171" s="130" t="inlineStr">
        <is>
          <t>Test point</t>
        </is>
      </c>
      <c r="H171" s="86" t="inlineStr">
        <is>
          <t>Total</t>
        </is>
      </c>
      <c r="I171" s="9" t="n"/>
      <c r="J171" s="93" t="n"/>
      <c r="L171" s="192">
        <f>CONCATENATE(B$2," ",L169)</f>
        <v/>
      </c>
      <c r="M171" s="193">
        <f>CONCATENATE(F$2," ",L169)</f>
        <v/>
      </c>
      <c r="N171" s="194" t="inlineStr">
        <is>
          <t>Delta</t>
        </is>
      </c>
      <c r="O171" s="2" t="n"/>
      <c r="P171" s="3" t="inlineStr">
        <is>
          <t>BD-rate</t>
        </is>
      </c>
    </row>
    <row r="172">
      <c r="B172" s="122">
        <f>B169</f>
        <v/>
      </c>
      <c r="C172" s="130" t="inlineStr">
        <is>
          <t>r01</t>
        </is>
      </c>
      <c r="D172" s="295">
        <f>0.000001*INDIRECT($B172&amp;"!E5")</f>
        <v/>
      </c>
      <c r="E172" s="294" t="n"/>
      <c r="F172" s="122">
        <f>F169</f>
        <v/>
      </c>
      <c r="G172" s="130" t="inlineStr">
        <is>
          <t>r01</t>
        </is>
      </c>
      <c r="H172" s="295">
        <f>0.000001*INDIRECT($B172&amp;"!AC5")</f>
        <v/>
      </c>
      <c r="I172" s="9" t="n"/>
      <c r="J172" s="296">
        <f>H172/D172-1</f>
        <v/>
      </c>
      <c r="L172" s="94">
        <f>INDIRECT($B172&amp;"!"&amp;L$3&amp;"5")</f>
        <v/>
      </c>
      <c r="M172" s="95">
        <f>INDIRECT($B172&amp;"!"&amp;M$3&amp;"5")</f>
        <v/>
      </c>
      <c r="N172" s="96">
        <f>M172-L172</f>
        <v/>
      </c>
      <c r="O172" s="294" t="n"/>
      <c r="P172" s="296">
        <f>bdRateExtend(D172:D176,L172:L176,H172:H176,M172:M176)</f>
        <v/>
      </c>
    </row>
    <row r="173">
      <c r="B173" s="122">
        <f>B172</f>
        <v/>
      </c>
      <c r="C173" s="130" t="inlineStr">
        <is>
          <t>r02</t>
        </is>
      </c>
      <c r="D173" s="295">
        <f>0.000001*INDIRECT($B173&amp;"!E6")</f>
        <v/>
      </c>
      <c r="E173" s="294" t="n"/>
      <c r="F173" s="122">
        <f>F172</f>
        <v/>
      </c>
      <c r="G173" s="130" t="inlineStr">
        <is>
          <t>r02</t>
        </is>
      </c>
      <c r="H173" s="295">
        <f>0.000001*INDIRECT($B173&amp;"!AC6")</f>
        <v/>
      </c>
      <c r="I173" s="9" t="n"/>
      <c r="J173" s="296">
        <f>H173/D173-1</f>
        <v/>
      </c>
      <c r="L173" s="94">
        <f>INDIRECT($B173&amp;"!"&amp;L$3&amp;"6")</f>
        <v/>
      </c>
      <c r="M173" s="95">
        <f>INDIRECT($B173&amp;"!"&amp;M$3&amp;"6")</f>
        <v/>
      </c>
      <c r="N173" s="96">
        <f>M173-L173</f>
        <v/>
      </c>
      <c r="O173" s="294" t="n"/>
      <c r="P173" s="3" t="n"/>
      <c r="AB173" s="298" t="n"/>
    </row>
    <row r="174">
      <c r="B174" s="122">
        <f>B173</f>
        <v/>
      </c>
      <c r="C174" s="130" t="inlineStr">
        <is>
          <t>r03</t>
        </is>
      </c>
      <c r="D174" s="295">
        <f>0.000001*INDIRECT($B174&amp;"!E7")</f>
        <v/>
      </c>
      <c r="E174" s="294" t="n"/>
      <c r="F174" s="122">
        <f>F173</f>
        <v/>
      </c>
      <c r="G174" s="130" t="inlineStr">
        <is>
          <t>r03</t>
        </is>
      </c>
      <c r="H174" s="295">
        <f>0.000001*INDIRECT($B174&amp;"!AC7")</f>
        <v/>
      </c>
      <c r="I174" s="9" t="n"/>
      <c r="J174" s="296">
        <f>H174/D174-1</f>
        <v/>
      </c>
      <c r="L174" s="94">
        <f>INDIRECT($B174&amp;"!"&amp;L$3&amp;"7")</f>
        <v/>
      </c>
      <c r="M174" s="95">
        <f>INDIRECT($B174&amp;"!"&amp;M$3&amp;"7")</f>
        <v/>
      </c>
      <c r="N174" s="96">
        <f>M174-L174</f>
        <v/>
      </c>
      <c r="O174" s="294" t="n"/>
      <c r="P174" s="3" t="n"/>
    </row>
    <row r="175">
      <c r="B175" s="122">
        <f>B174</f>
        <v/>
      </c>
      <c r="C175" s="130" t="inlineStr">
        <is>
          <t>r04</t>
        </is>
      </c>
      <c r="D175" s="295">
        <f>0.000001*INDIRECT($B175&amp;"!E8")</f>
        <v/>
      </c>
      <c r="E175" s="294" t="n"/>
      <c r="F175" s="122">
        <f>F174</f>
        <v/>
      </c>
      <c r="G175" s="130" t="inlineStr">
        <is>
          <t>r04</t>
        </is>
      </c>
      <c r="H175" s="295">
        <f>0.000001*INDIRECT($B175&amp;"!AC8")</f>
        <v/>
      </c>
      <c r="I175" s="9" t="n"/>
      <c r="J175" s="296">
        <f>H175/D175-1</f>
        <v/>
      </c>
      <c r="L175" s="94">
        <f>INDIRECT($B175&amp;"!"&amp;L$3&amp;"8")</f>
        <v/>
      </c>
      <c r="M175" s="95">
        <f>INDIRECT($B175&amp;"!"&amp;M$3&amp;"8")</f>
        <v/>
      </c>
      <c r="N175" s="96">
        <f>M175-L175</f>
        <v/>
      </c>
      <c r="O175" s="294" t="n"/>
      <c r="P175" s="296" t="n"/>
    </row>
    <row r="176" ht="16.5" customHeight="1" s="256" thickBot="1">
      <c r="B176" s="122">
        <f>B175</f>
        <v/>
      </c>
      <c r="C176" s="130" t="inlineStr">
        <is>
          <t>r05</t>
        </is>
      </c>
      <c r="D176" s="295">
        <f>0.000001*INDIRECT($B176&amp;"!E9")</f>
        <v/>
      </c>
      <c r="E176" s="294" t="n"/>
      <c r="F176" s="122">
        <f>F175</f>
        <v/>
      </c>
      <c r="G176" s="130" t="inlineStr">
        <is>
          <t>r05</t>
        </is>
      </c>
      <c r="H176" s="295">
        <f>0.000001*INDIRECT($B176&amp;"!AC9")</f>
        <v/>
      </c>
      <c r="I176" s="9" t="n"/>
      <c r="J176" s="296">
        <f>H176/D176-1</f>
        <v/>
      </c>
      <c r="L176" s="94">
        <f>INDIRECT($B176&amp;"!"&amp;L$3&amp;"9")</f>
        <v/>
      </c>
      <c r="M176" s="95">
        <f>INDIRECT($B176&amp;"!"&amp;M$3&amp;"9")</f>
        <v/>
      </c>
      <c r="N176" s="96">
        <f>M176-L176</f>
        <v/>
      </c>
      <c r="O176" s="294" t="n"/>
      <c r="P176" s="299" t="n"/>
      <c r="AB176" s="298" t="n"/>
    </row>
    <row r="177">
      <c r="B177" s="109" t="n"/>
      <c r="C177" s="110" t="n"/>
      <c r="D177" s="300" t="n"/>
      <c r="F177" s="109" t="n"/>
      <c r="G177" s="110" t="n"/>
      <c r="H177" s="300" t="n"/>
      <c r="J177" s="98">
        <f>MIN(D172:D176,H172:H176)</f>
        <v/>
      </c>
      <c r="L177" s="99" t="n"/>
      <c r="M177" s="100" t="n"/>
      <c r="N177" s="101" t="n"/>
      <c r="O177" s="294" t="n"/>
      <c r="P177" s="264" t="n"/>
    </row>
    <row r="178" ht="16.5" customHeight="1" s="256" thickBot="1">
      <c r="B178" s="89" t="n"/>
      <c r="C178" s="92" t="n"/>
      <c r="D178" s="301" t="n"/>
      <c r="E178" s="294" t="n"/>
      <c r="F178" s="89" t="n"/>
      <c r="G178" s="92" t="n"/>
      <c r="H178" s="301" t="n"/>
      <c r="I178" s="9" t="n"/>
      <c r="J178" s="102">
        <f>MAX(D172:D176,H172:H176)</f>
        <v/>
      </c>
      <c r="L178" s="103">
        <f>L177</f>
        <v/>
      </c>
      <c r="M178" s="104">
        <f>M177</f>
        <v/>
      </c>
      <c r="N178" s="97" t="n"/>
      <c r="O178" s="294" t="n"/>
      <c r="P178" s="5" t="n"/>
    </row>
    <row r="179" ht="16.5" customHeight="1" s="256" thickBot="1"/>
    <row r="180">
      <c r="B180" s="261" t="inlineStr">
        <is>
          <t>Gymnast_UVGgs_0100</t>
        </is>
      </c>
      <c r="C180" s="262" t="n"/>
      <c r="D180" s="263" t="n"/>
      <c r="E180" s="2" t="n"/>
      <c r="F180" s="261">
        <f>B180</f>
        <v/>
      </c>
      <c r="G180" s="262" t="n"/>
      <c r="H180" s="263" t="n"/>
      <c r="I180" s="2" t="n"/>
      <c r="J180" s="264" t="n"/>
      <c r="L180" s="264">
        <f>F180</f>
        <v/>
      </c>
      <c r="M180" s="262" t="n"/>
      <c r="N180" s="263" t="n"/>
      <c r="O180" s="195" t="n"/>
      <c r="P180" s="264" t="n"/>
    </row>
    <row r="181">
      <c r="B181" s="259" t="inlineStr">
        <is>
          <t>Test</t>
        </is>
      </c>
      <c r="D181" s="87" t="inlineStr">
        <is>
          <t>Bitstream (MB)</t>
        </is>
      </c>
      <c r="E181" s="294" t="n"/>
      <c r="F181" s="259" t="inlineStr">
        <is>
          <t>Test</t>
        </is>
      </c>
      <c r="H181" s="87" t="inlineStr">
        <is>
          <t>Bitstream (MB)</t>
        </is>
      </c>
      <c r="I181" s="9" t="n"/>
      <c r="J181" s="257" t="inlineStr">
        <is>
          <t>%</t>
        </is>
      </c>
      <c r="L181" s="257" t="inlineStr">
        <is>
          <t>RGB-PSNR</t>
        </is>
      </c>
      <c r="N181" s="258" t="n"/>
      <c r="O181" s="85" t="n"/>
      <c r="P181" s="3" t="n"/>
    </row>
    <row r="182">
      <c r="B182" s="191" t="inlineStr">
        <is>
          <t>Anchor</t>
        </is>
      </c>
      <c r="C182" s="130" t="inlineStr">
        <is>
          <t>Test point</t>
        </is>
      </c>
      <c r="D182" s="86" t="inlineStr">
        <is>
          <t>Total</t>
        </is>
      </c>
      <c r="E182" s="294" t="n"/>
      <c r="F182" s="191" t="inlineStr">
        <is>
          <t>Anchor</t>
        </is>
      </c>
      <c r="G182" s="130" t="inlineStr">
        <is>
          <t>Test point</t>
        </is>
      </c>
      <c r="H182" s="86" t="inlineStr">
        <is>
          <t>Total</t>
        </is>
      </c>
      <c r="I182" s="9" t="n"/>
      <c r="J182" s="93" t="n"/>
      <c r="L182" s="192">
        <f>CONCATENATE(B$2," ",L180)</f>
        <v/>
      </c>
      <c r="M182" s="193">
        <f>CONCATENATE(F$2," ",L180)</f>
        <v/>
      </c>
      <c r="N182" s="194" t="inlineStr">
        <is>
          <t>Delta</t>
        </is>
      </c>
      <c r="O182" s="2" t="n"/>
      <c r="P182" s="3" t="inlineStr">
        <is>
          <t>BD-rate</t>
        </is>
      </c>
      <c r="Q182" s="2" t="n"/>
      <c r="R182" s="2" t="n"/>
      <c r="S182" s="2" t="n"/>
      <c r="T182" s="2" t="n"/>
      <c r="U182" s="2" t="n"/>
      <c r="V182" s="2" t="n"/>
      <c r="X182" s="195" t="n"/>
      <c r="Y182" s="195" t="n"/>
      <c r="Z182" s="195" t="n"/>
    </row>
    <row r="183">
      <c r="B183" s="122">
        <f>B180</f>
        <v/>
      </c>
      <c r="C183" s="130" t="inlineStr">
        <is>
          <t>r01</t>
        </is>
      </c>
      <c r="D183" s="295">
        <f>0.000001*INDIRECT($B183&amp;"!E5")</f>
        <v/>
      </c>
      <c r="E183" s="294" t="n"/>
      <c r="F183" s="122">
        <f>F180</f>
        <v/>
      </c>
      <c r="G183" s="130" t="inlineStr">
        <is>
          <t>r01</t>
        </is>
      </c>
      <c r="H183" s="295">
        <f>0.000001*INDIRECT($B183&amp;"!AC5")</f>
        <v/>
      </c>
      <c r="I183" s="9" t="n"/>
      <c r="J183" s="296">
        <f>H183/D183-1</f>
        <v/>
      </c>
      <c r="L183" s="94">
        <f>INDIRECT($B183&amp;"!"&amp;L$3&amp;"5")</f>
        <v/>
      </c>
      <c r="M183" s="95">
        <f>INDIRECT($B183&amp;"!"&amp;M$3&amp;"5")</f>
        <v/>
      </c>
      <c r="N183" s="96">
        <f>M183-L183</f>
        <v/>
      </c>
      <c r="O183" s="294" t="n"/>
      <c r="P183" s="296">
        <f>bdRateExtend(D183:D187,L183:L187,H183:H187,M183:M187)</f>
        <v/>
      </c>
      <c r="Q183" s="294" t="n"/>
      <c r="R183" s="9" t="n"/>
      <c r="S183" s="9" t="n"/>
      <c r="T183" s="9" t="n"/>
      <c r="U183" s="9" t="n"/>
      <c r="V183" s="297" t="n"/>
      <c r="X183" s="6" t="n"/>
      <c r="Y183" s="6" t="n"/>
      <c r="Z183" s="81" t="n"/>
      <c r="AB183" s="298" t="n"/>
    </row>
    <row r="184">
      <c r="B184" s="122">
        <f>B183</f>
        <v/>
      </c>
      <c r="C184" s="130" t="inlineStr">
        <is>
          <t>r02</t>
        </is>
      </c>
      <c r="D184" s="295">
        <f>0.000001*INDIRECT($B184&amp;"!E6")</f>
        <v/>
      </c>
      <c r="E184" s="294" t="n"/>
      <c r="F184" s="122">
        <f>F183</f>
        <v/>
      </c>
      <c r="G184" s="130" t="inlineStr">
        <is>
          <t>r02</t>
        </is>
      </c>
      <c r="H184" s="295">
        <f>0.000001*INDIRECT($B184&amp;"!AC6")</f>
        <v/>
      </c>
      <c r="I184" s="9" t="n"/>
      <c r="J184" s="296">
        <f>H184/D184-1</f>
        <v/>
      </c>
      <c r="L184" s="94">
        <f>INDIRECT($B184&amp;"!"&amp;L$3&amp;"6")</f>
        <v/>
      </c>
      <c r="M184" s="95">
        <f>INDIRECT($B184&amp;"!"&amp;M$3&amp;"6")</f>
        <v/>
      </c>
      <c r="N184" s="96">
        <f>M184-L184</f>
        <v/>
      </c>
      <c r="O184" s="294" t="n"/>
      <c r="P184" s="3" t="n"/>
      <c r="Q184" s="294" t="n"/>
      <c r="R184" s="9" t="n"/>
      <c r="S184" s="9" t="n"/>
      <c r="T184" s="9" t="n"/>
      <c r="U184" s="9" t="n"/>
      <c r="V184" s="297" t="n"/>
      <c r="X184" s="6" t="n"/>
      <c r="Y184" s="6" t="n"/>
      <c r="Z184" s="81" t="n"/>
    </row>
    <row r="185">
      <c r="B185" s="122">
        <f>B184</f>
        <v/>
      </c>
      <c r="C185" s="130" t="inlineStr">
        <is>
          <t>r03</t>
        </is>
      </c>
      <c r="D185" s="295">
        <f>0.000001*INDIRECT($B185&amp;"!E7")</f>
        <v/>
      </c>
      <c r="E185" s="294" t="n"/>
      <c r="F185" s="122">
        <f>F184</f>
        <v/>
      </c>
      <c r="G185" s="130" t="inlineStr">
        <is>
          <t>r03</t>
        </is>
      </c>
      <c r="H185" s="295">
        <f>0.000001*INDIRECT($B185&amp;"!AC7")</f>
        <v/>
      </c>
      <c r="I185" s="9" t="n"/>
      <c r="J185" s="296">
        <f>H185/D185-1</f>
        <v/>
      </c>
      <c r="L185" s="94">
        <f>INDIRECT($B185&amp;"!"&amp;L$3&amp;"7")</f>
        <v/>
      </c>
      <c r="M185" s="95">
        <f>INDIRECT($B185&amp;"!"&amp;M$3&amp;"7")</f>
        <v/>
      </c>
      <c r="N185" s="96">
        <f>M185-L185</f>
        <v/>
      </c>
      <c r="O185" s="294" t="n"/>
      <c r="P185" s="3" t="n"/>
      <c r="Q185" s="294" t="n"/>
      <c r="R185" s="9" t="n"/>
      <c r="S185" s="9" t="n"/>
      <c r="T185" s="9" t="n"/>
      <c r="U185" s="9" t="n"/>
      <c r="V185" s="297" t="n"/>
      <c r="X185" s="6" t="n"/>
      <c r="Y185" s="6" t="n"/>
      <c r="Z185" s="81" t="n"/>
    </row>
    <row r="186" ht="16.5" customHeight="1" s="256">
      <c r="B186" s="122">
        <f>B185</f>
        <v/>
      </c>
      <c r="C186" s="130" t="inlineStr">
        <is>
          <t>r04</t>
        </is>
      </c>
      <c r="D186" s="295">
        <f>0.000001*INDIRECT($B186&amp;"!E8")</f>
        <v/>
      </c>
      <c r="E186" s="294" t="n"/>
      <c r="F186" s="122">
        <f>F185</f>
        <v/>
      </c>
      <c r="G186" s="130" t="inlineStr">
        <is>
          <t>r04</t>
        </is>
      </c>
      <c r="H186" s="295">
        <f>0.000001*INDIRECT($B186&amp;"!AC8")</f>
        <v/>
      </c>
      <c r="I186" s="9" t="n"/>
      <c r="J186" s="296">
        <f>H186/D186-1</f>
        <v/>
      </c>
      <c r="L186" s="94">
        <f>INDIRECT($B186&amp;"!"&amp;L$3&amp;"8")</f>
        <v/>
      </c>
      <c r="M186" s="95">
        <f>INDIRECT($B186&amp;"!"&amp;M$3&amp;"8")</f>
        <v/>
      </c>
      <c r="N186" s="96">
        <f>M186-L186</f>
        <v/>
      </c>
      <c r="O186" s="294" t="n"/>
      <c r="P186" s="296" t="n"/>
      <c r="Q186" s="294" t="n"/>
      <c r="R186" s="9" t="n"/>
      <c r="S186" s="9" t="n"/>
      <c r="T186" s="9" t="n"/>
      <c r="U186" s="9" t="n"/>
      <c r="V186" s="297" t="n"/>
      <c r="X186" s="6" t="n"/>
      <c r="Y186" s="6" t="n"/>
      <c r="Z186" s="81" t="n"/>
      <c r="AB186" s="298" t="n"/>
    </row>
    <row r="187" ht="18" customHeight="1" s="256" thickBot="1">
      <c r="B187" s="122">
        <f>B186</f>
        <v/>
      </c>
      <c r="C187" s="130" t="inlineStr">
        <is>
          <t>r05</t>
        </is>
      </c>
      <c r="D187" s="295">
        <f>0.000001*INDIRECT($B187&amp;"!E9")</f>
        <v/>
      </c>
      <c r="E187" s="294" t="n"/>
      <c r="F187" s="122">
        <f>F186</f>
        <v/>
      </c>
      <c r="G187" s="130" t="inlineStr">
        <is>
          <t>r05</t>
        </is>
      </c>
      <c r="H187" s="295">
        <f>0.000001*INDIRECT($B187&amp;"!AC9")</f>
        <v/>
      </c>
      <c r="I187" s="9" t="n"/>
      <c r="J187" s="296">
        <f>H187/D187-1</f>
        <v/>
      </c>
      <c r="L187" s="94">
        <f>INDIRECT($B187&amp;"!"&amp;L$3&amp;"9")</f>
        <v/>
      </c>
      <c r="M187" s="95">
        <f>INDIRECT($B187&amp;"!"&amp;M$3&amp;"9")</f>
        <v/>
      </c>
      <c r="N187" s="96">
        <f>M187-L187</f>
        <v/>
      </c>
      <c r="O187" s="294" t="n"/>
      <c r="P187" s="299" t="n"/>
      <c r="Q187" s="294" t="n"/>
      <c r="R187" s="9" t="n"/>
      <c r="S187" s="9" t="n"/>
      <c r="T187" s="9" t="n"/>
      <c r="U187" s="9" t="n"/>
      <c r="V187" s="83" t="n"/>
      <c r="X187" s="6" t="n"/>
      <c r="Y187" s="6" t="n"/>
      <c r="Z187" s="81" t="n"/>
    </row>
    <row r="188" ht="16.5" customHeight="1" s="256">
      <c r="B188" s="109" t="n"/>
      <c r="C188" s="110" t="n"/>
      <c r="D188" s="300" t="n"/>
      <c r="F188" s="109" t="n"/>
      <c r="G188" s="110" t="n"/>
      <c r="H188" s="300" t="n"/>
      <c r="J188" s="98">
        <f>MIN(D183:D187,H183:H187)</f>
        <v/>
      </c>
      <c r="L188" s="99" t="n"/>
      <c r="M188" s="100" t="n"/>
      <c r="N188" s="101" t="n"/>
      <c r="O188" s="294" t="n"/>
      <c r="P188" s="264" t="n"/>
      <c r="Q188" s="294" t="n"/>
      <c r="R188" s="9" t="n"/>
      <c r="S188" s="9" t="n"/>
      <c r="T188" s="9" t="n"/>
      <c r="U188" s="9" t="n"/>
      <c r="V188" s="83" t="n"/>
      <c r="X188" s="84" t="n"/>
      <c r="Y188" s="84" t="n"/>
      <c r="Z188" s="81" t="n"/>
    </row>
    <row r="189" ht="18" customHeight="1" s="256" thickBot="1">
      <c r="B189" s="89" t="n"/>
      <c r="C189" s="92" t="n"/>
      <c r="D189" s="301" t="n"/>
      <c r="E189" s="294" t="n"/>
      <c r="F189" s="89" t="n"/>
      <c r="G189" s="92" t="n"/>
      <c r="H189" s="301" t="n"/>
      <c r="I189" s="9" t="n"/>
      <c r="J189" s="102">
        <f>MAX(D183:D187,H183:H187)</f>
        <v/>
      </c>
      <c r="L189" s="103">
        <f>L188</f>
        <v/>
      </c>
      <c r="M189" s="104">
        <f>M188</f>
        <v/>
      </c>
      <c r="N189" s="97" t="n"/>
      <c r="O189" s="294" t="n"/>
      <c r="P189" s="5" t="n"/>
    </row>
    <row r="190" ht="18" customHeight="1" s="256" thickBot="1"/>
    <row r="191">
      <c r="B191" s="261" t="inlineStr">
        <is>
          <t>Gymnast_UVGgs_0200</t>
        </is>
      </c>
      <c r="C191" s="262" t="n"/>
      <c r="D191" s="263" t="n"/>
      <c r="E191" s="2" t="n"/>
      <c r="F191" s="261">
        <f>B191</f>
        <v/>
      </c>
      <c r="G191" s="262" t="n"/>
      <c r="H191" s="263" t="n"/>
      <c r="I191" s="2" t="n"/>
      <c r="J191" s="264" t="n"/>
      <c r="L191" s="264">
        <f>F191</f>
        <v/>
      </c>
      <c r="M191" s="262" t="n"/>
      <c r="N191" s="263" t="n"/>
      <c r="O191" s="195" t="n"/>
      <c r="P191" s="264" t="n"/>
    </row>
    <row r="192">
      <c r="B192" s="259" t="inlineStr">
        <is>
          <t>Test</t>
        </is>
      </c>
      <c r="D192" s="87" t="inlineStr">
        <is>
          <t>Bitstream (MB)</t>
        </is>
      </c>
      <c r="E192" s="294" t="n"/>
      <c r="F192" s="259" t="inlineStr">
        <is>
          <t>Test</t>
        </is>
      </c>
      <c r="H192" s="87" t="inlineStr">
        <is>
          <t>Bitstream (MB)</t>
        </is>
      </c>
      <c r="I192" s="9" t="n"/>
      <c r="J192" s="257" t="inlineStr">
        <is>
          <t>%</t>
        </is>
      </c>
      <c r="L192" s="257" t="inlineStr">
        <is>
          <t>RGB-PSNR</t>
        </is>
      </c>
      <c r="N192" s="258" t="n"/>
      <c r="O192" s="85" t="n"/>
      <c r="P192" s="3" t="n"/>
    </row>
    <row r="193">
      <c r="B193" s="191" t="inlineStr">
        <is>
          <t>Anchor</t>
        </is>
      </c>
      <c r="C193" s="130" t="inlineStr">
        <is>
          <t>Test point</t>
        </is>
      </c>
      <c r="D193" s="86" t="inlineStr">
        <is>
          <t>Total</t>
        </is>
      </c>
      <c r="E193" s="294" t="n"/>
      <c r="F193" s="191" t="inlineStr">
        <is>
          <t>Anchor</t>
        </is>
      </c>
      <c r="G193" s="130" t="inlineStr">
        <is>
          <t>Test point</t>
        </is>
      </c>
      <c r="H193" s="86" t="inlineStr">
        <is>
          <t>Total</t>
        </is>
      </c>
      <c r="I193" s="9" t="n"/>
      <c r="J193" s="93" t="n"/>
      <c r="L193" s="192">
        <f>CONCATENATE(B$2," ",L191)</f>
        <v/>
      </c>
      <c r="M193" s="193">
        <f>CONCATENATE(F$2," ",L191)</f>
        <v/>
      </c>
      <c r="N193" s="194" t="inlineStr">
        <is>
          <t>Delta</t>
        </is>
      </c>
      <c r="O193" s="2" t="n"/>
      <c r="P193" s="3" t="inlineStr">
        <is>
          <t>BD-rate</t>
        </is>
      </c>
    </row>
    <row r="194">
      <c r="B194" s="122">
        <f>B191</f>
        <v/>
      </c>
      <c r="C194" s="130" t="inlineStr">
        <is>
          <t>r01</t>
        </is>
      </c>
      <c r="D194" s="295">
        <f>0.000001*INDIRECT($B194&amp;"!E5")</f>
        <v/>
      </c>
      <c r="E194" s="294" t="n"/>
      <c r="F194" s="122">
        <f>F191</f>
        <v/>
      </c>
      <c r="G194" s="130" t="inlineStr">
        <is>
          <t>r01</t>
        </is>
      </c>
      <c r="H194" s="295">
        <f>0.000001*INDIRECT($B194&amp;"!AC5")</f>
        <v/>
      </c>
      <c r="I194" s="9" t="n"/>
      <c r="J194" s="296">
        <f>H194/D194-1</f>
        <v/>
      </c>
      <c r="L194" s="94">
        <f>INDIRECT($B194&amp;"!"&amp;L$3&amp;"5")</f>
        <v/>
      </c>
      <c r="M194" s="95">
        <f>INDIRECT($B194&amp;"!"&amp;M$3&amp;"5")</f>
        <v/>
      </c>
      <c r="N194" s="96">
        <f>M194-L194</f>
        <v/>
      </c>
      <c r="O194" s="294" t="n"/>
      <c r="P194" s="296">
        <f>bdRateExtend(D194:D198,L194:L198,H194:H198,M194:M198)</f>
        <v/>
      </c>
    </row>
    <row r="195">
      <c r="B195" s="122">
        <f>B194</f>
        <v/>
      </c>
      <c r="C195" s="130" t="inlineStr">
        <is>
          <t>r02</t>
        </is>
      </c>
      <c r="D195" s="295">
        <f>0.000001*INDIRECT($B195&amp;"!E6")</f>
        <v/>
      </c>
      <c r="E195" s="294" t="n"/>
      <c r="F195" s="122">
        <f>F194</f>
        <v/>
      </c>
      <c r="G195" s="130" t="inlineStr">
        <is>
          <t>r02</t>
        </is>
      </c>
      <c r="H195" s="295">
        <f>0.000001*INDIRECT($B195&amp;"!AC6")</f>
        <v/>
      </c>
      <c r="I195" s="9" t="n"/>
      <c r="J195" s="296">
        <f>H195/D195-1</f>
        <v/>
      </c>
      <c r="L195" s="94">
        <f>INDIRECT($B195&amp;"!"&amp;L$3&amp;"6")</f>
        <v/>
      </c>
      <c r="M195" s="95">
        <f>INDIRECT($B195&amp;"!"&amp;M$3&amp;"6")</f>
        <v/>
      </c>
      <c r="N195" s="96">
        <f>M195-L195</f>
        <v/>
      </c>
      <c r="O195" s="294" t="n"/>
      <c r="P195" s="3" t="n"/>
    </row>
    <row r="196">
      <c r="B196" s="122">
        <f>B195</f>
        <v/>
      </c>
      <c r="C196" s="130" t="inlineStr">
        <is>
          <t>r03</t>
        </is>
      </c>
      <c r="D196" s="295">
        <f>0.000001*INDIRECT($B196&amp;"!E7")</f>
        <v/>
      </c>
      <c r="E196" s="294" t="n"/>
      <c r="F196" s="122">
        <f>F195</f>
        <v/>
      </c>
      <c r="G196" s="130" t="inlineStr">
        <is>
          <t>r03</t>
        </is>
      </c>
      <c r="H196" s="295">
        <f>0.000001*INDIRECT($B196&amp;"!AC7")</f>
        <v/>
      </c>
      <c r="I196" s="9" t="n"/>
      <c r="J196" s="296">
        <f>H196/D196-1</f>
        <v/>
      </c>
      <c r="L196" s="94">
        <f>INDIRECT($B196&amp;"!"&amp;L$3&amp;"7")</f>
        <v/>
      </c>
      <c r="M196" s="95">
        <f>INDIRECT($B196&amp;"!"&amp;M$3&amp;"7")</f>
        <v/>
      </c>
      <c r="N196" s="96">
        <f>M196-L196</f>
        <v/>
      </c>
      <c r="O196" s="294" t="n"/>
      <c r="P196" s="3" t="n"/>
    </row>
    <row r="197">
      <c r="B197" s="122">
        <f>B196</f>
        <v/>
      </c>
      <c r="C197" s="130" t="inlineStr">
        <is>
          <t>r04</t>
        </is>
      </c>
      <c r="D197" s="295">
        <f>0.000001*INDIRECT($B197&amp;"!E8")</f>
        <v/>
      </c>
      <c r="E197" s="294" t="n"/>
      <c r="F197" s="122">
        <f>F196</f>
        <v/>
      </c>
      <c r="G197" s="130" t="inlineStr">
        <is>
          <t>r04</t>
        </is>
      </c>
      <c r="H197" s="295">
        <f>0.000001*INDIRECT($B197&amp;"!AC8")</f>
        <v/>
      </c>
      <c r="I197" s="9" t="n"/>
      <c r="J197" s="296">
        <f>H197/D197-1</f>
        <v/>
      </c>
      <c r="L197" s="94">
        <f>INDIRECT($B197&amp;"!"&amp;L$3&amp;"8")</f>
        <v/>
      </c>
      <c r="M197" s="95">
        <f>INDIRECT($B197&amp;"!"&amp;M$3&amp;"8")</f>
        <v/>
      </c>
      <c r="N197" s="96">
        <f>M197-L197</f>
        <v/>
      </c>
      <c r="O197" s="294" t="n"/>
      <c r="P197" s="296" t="n"/>
    </row>
    <row r="198" ht="18" customHeight="1" s="256" thickBot="1">
      <c r="B198" s="122">
        <f>B197</f>
        <v/>
      </c>
      <c r="C198" s="130" t="inlineStr">
        <is>
          <t>r05</t>
        </is>
      </c>
      <c r="D198" s="295">
        <f>0.000001*INDIRECT($B198&amp;"!E9")</f>
        <v/>
      </c>
      <c r="E198" s="294" t="n"/>
      <c r="F198" s="122">
        <f>F197</f>
        <v/>
      </c>
      <c r="G198" s="130" t="inlineStr">
        <is>
          <t>r05</t>
        </is>
      </c>
      <c r="H198" s="295">
        <f>0.000001*INDIRECT($B198&amp;"!AC9")</f>
        <v/>
      </c>
      <c r="I198" s="9" t="n"/>
      <c r="J198" s="296">
        <f>H198/D198-1</f>
        <v/>
      </c>
      <c r="L198" s="94">
        <f>INDIRECT($B198&amp;"!"&amp;L$3&amp;"9")</f>
        <v/>
      </c>
      <c r="M198" s="95">
        <f>INDIRECT($B198&amp;"!"&amp;M$3&amp;"9")</f>
        <v/>
      </c>
      <c r="N198" s="96">
        <f>M198-L198</f>
        <v/>
      </c>
      <c r="O198" s="294" t="n"/>
      <c r="P198" s="299" t="n"/>
    </row>
    <row r="199">
      <c r="B199" s="109" t="n"/>
      <c r="C199" s="110" t="n"/>
      <c r="D199" s="300" t="n"/>
      <c r="F199" s="109" t="n"/>
      <c r="G199" s="110" t="n"/>
      <c r="H199" s="300" t="n"/>
      <c r="J199" s="98">
        <f>MIN(D194:D198,H194:H198)</f>
        <v/>
      </c>
      <c r="L199" s="99" t="n"/>
      <c r="M199" s="100" t="n"/>
      <c r="N199" s="101" t="n"/>
      <c r="O199" s="294" t="n"/>
      <c r="P199" s="264" t="n"/>
    </row>
    <row r="200" ht="18" customHeight="1" s="256" thickBot="1">
      <c r="B200" s="89" t="n"/>
      <c r="C200" s="92" t="n"/>
      <c r="D200" s="301" t="n"/>
      <c r="E200" s="294" t="n"/>
      <c r="F200" s="89" t="n"/>
      <c r="G200" s="92" t="n"/>
      <c r="H200" s="301" t="n"/>
      <c r="I200" s="9" t="n"/>
      <c r="J200" s="102">
        <f>MAX(D194:D198,H194:H198)</f>
        <v/>
      </c>
      <c r="L200" s="103">
        <f>L199</f>
        <v/>
      </c>
      <c r="M200" s="104">
        <f>M199</f>
        <v/>
      </c>
      <c r="N200" s="97" t="n"/>
      <c r="O200" s="294" t="n"/>
      <c r="P200" s="5" t="n"/>
    </row>
    <row r="201" ht="18" customHeight="1" s="256" thickBot="1"/>
    <row r="202">
      <c r="B202" s="261" t="inlineStr">
        <is>
          <t>artwork</t>
        </is>
      </c>
      <c r="C202" s="262" t="n"/>
      <c r="D202" s="263" t="n"/>
      <c r="E202" s="2" t="n"/>
      <c r="F202" s="261">
        <f>B202</f>
        <v/>
      </c>
      <c r="G202" s="262" t="n"/>
      <c r="H202" s="263" t="n"/>
      <c r="I202" s="2" t="n"/>
      <c r="J202" s="264" t="n"/>
      <c r="L202" s="264">
        <f>F202</f>
        <v/>
      </c>
      <c r="M202" s="262" t="n"/>
      <c r="N202" s="263" t="n"/>
      <c r="O202" s="195" t="n"/>
      <c r="P202" s="264" t="n"/>
    </row>
    <row r="203">
      <c r="B203" s="259" t="inlineStr">
        <is>
          <t>Test</t>
        </is>
      </c>
      <c r="D203" s="87" t="inlineStr">
        <is>
          <t>Bitstream (MB)</t>
        </is>
      </c>
      <c r="E203" s="294" t="n"/>
      <c r="F203" s="259" t="inlineStr">
        <is>
          <t>Test</t>
        </is>
      </c>
      <c r="H203" s="87" t="inlineStr">
        <is>
          <t>Bitstream (MB)</t>
        </is>
      </c>
      <c r="I203" s="9" t="n"/>
      <c r="J203" s="257" t="inlineStr">
        <is>
          <t>%</t>
        </is>
      </c>
      <c r="L203" s="257" t="inlineStr">
        <is>
          <t>RGB-PSNR</t>
        </is>
      </c>
      <c r="N203" s="258" t="n"/>
      <c r="O203" s="85" t="n"/>
      <c r="P203" s="3" t="n"/>
    </row>
    <row r="204">
      <c r="B204" s="191" t="inlineStr">
        <is>
          <t>Anchor</t>
        </is>
      </c>
      <c r="C204" s="130" t="inlineStr">
        <is>
          <t>Test point</t>
        </is>
      </c>
      <c r="D204" s="86" t="inlineStr">
        <is>
          <t>Total</t>
        </is>
      </c>
      <c r="E204" s="294" t="n"/>
      <c r="F204" s="191" t="inlineStr">
        <is>
          <t>Anchor</t>
        </is>
      </c>
      <c r="G204" s="130" t="inlineStr">
        <is>
          <t>Test point</t>
        </is>
      </c>
      <c r="H204" s="86" t="inlineStr">
        <is>
          <t>Total</t>
        </is>
      </c>
      <c r="I204" s="9" t="n"/>
      <c r="J204" s="93" t="n"/>
      <c r="L204" s="192">
        <f>CONCATENATE(B$2," ",L202)</f>
        <v/>
      </c>
      <c r="M204" s="193">
        <f>CONCATENATE(F$2," ",L202)</f>
        <v/>
      </c>
      <c r="N204" s="194" t="inlineStr">
        <is>
          <t>Delta</t>
        </is>
      </c>
      <c r="O204" s="2" t="n"/>
      <c r="P204" s="3" t="inlineStr">
        <is>
          <t>BD-rate</t>
        </is>
      </c>
    </row>
    <row r="205">
      <c r="B205" s="122">
        <f>B202</f>
        <v/>
      </c>
      <c r="C205" s="130" t="inlineStr">
        <is>
          <t>r01</t>
        </is>
      </c>
      <c r="D205" s="295">
        <f>0.000001*INDIRECT($B205&amp;"!E5")</f>
        <v/>
      </c>
      <c r="E205" s="294" t="n"/>
      <c r="F205" s="122">
        <f>F202</f>
        <v/>
      </c>
      <c r="G205" s="130" t="inlineStr">
        <is>
          <t>r01</t>
        </is>
      </c>
      <c r="H205" s="295">
        <f>0.000001*INDIRECT($B205&amp;"!AC5")</f>
        <v/>
      </c>
      <c r="I205" s="9" t="n"/>
      <c r="J205" s="296">
        <f>H205/D205-1</f>
        <v/>
      </c>
      <c r="L205" s="94">
        <f>INDIRECT($B205&amp;"!"&amp;L$3&amp;"5")</f>
        <v/>
      </c>
      <c r="M205" s="95">
        <f>INDIRECT($B205&amp;"!"&amp;M$3&amp;"5")</f>
        <v/>
      </c>
      <c r="N205" s="96">
        <f>M205-L205</f>
        <v/>
      </c>
      <c r="O205" s="294" t="n"/>
      <c r="P205" s="296">
        <f>bdRateExtend(D205:D209,L205:L209,H205:H209,M205:M209)</f>
        <v/>
      </c>
    </row>
    <row r="206">
      <c r="B206" s="122">
        <f>B205</f>
        <v/>
      </c>
      <c r="C206" s="130" t="inlineStr">
        <is>
          <t>r02</t>
        </is>
      </c>
      <c r="D206" s="295">
        <f>0.000001*INDIRECT($B206&amp;"!E6")</f>
        <v/>
      </c>
      <c r="E206" s="294" t="n"/>
      <c r="F206" s="122">
        <f>F205</f>
        <v/>
      </c>
      <c r="G206" s="130" t="inlineStr">
        <is>
          <t>r02</t>
        </is>
      </c>
      <c r="H206" s="295">
        <f>0.000001*INDIRECT($B206&amp;"!AC6")</f>
        <v/>
      </c>
      <c r="I206" s="9" t="n"/>
      <c r="J206" s="296">
        <f>H206/D206-1</f>
        <v/>
      </c>
      <c r="L206" s="94">
        <f>INDIRECT($B206&amp;"!"&amp;L$3&amp;"6")</f>
        <v/>
      </c>
      <c r="M206" s="95">
        <f>INDIRECT($B206&amp;"!"&amp;M$3&amp;"6")</f>
        <v/>
      </c>
      <c r="N206" s="96">
        <f>M206-L206</f>
        <v/>
      </c>
      <c r="O206" s="294" t="n"/>
      <c r="P206" s="3" t="n"/>
    </row>
    <row r="207">
      <c r="B207" s="122">
        <f>B206</f>
        <v/>
      </c>
      <c r="C207" s="130" t="inlineStr">
        <is>
          <t>r03</t>
        </is>
      </c>
      <c r="D207" s="295">
        <f>0.000001*INDIRECT($B207&amp;"!E7")</f>
        <v/>
      </c>
      <c r="E207" s="294" t="n"/>
      <c r="F207" s="122">
        <f>F206</f>
        <v/>
      </c>
      <c r="G207" s="130" t="inlineStr">
        <is>
          <t>r03</t>
        </is>
      </c>
      <c r="H207" s="295">
        <f>0.000001*INDIRECT($B207&amp;"!AC7")</f>
        <v/>
      </c>
      <c r="I207" s="9" t="n"/>
      <c r="J207" s="296">
        <f>H207/D207-1</f>
        <v/>
      </c>
      <c r="L207" s="94">
        <f>INDIRECT($B207&amp;"!"&amp;L$3&amp;"7")</f>
        <v/>
      </c>
      <c r="M207" s="95">
        <f>INDIRECT($B207&amp;"!"&amp;M$3&amp;"7")</f>
        <v/>
      </c>
      <c r="N207" s="96">
        <f>M207-L207</f>
        <v/>
      </c>
      <c r="O207" s="294" t="n"/>
      <c r="P207" s="3" t="n"/>
    </row>
    <row r="208">
      <c r="B208" s="122">
        <f>B207</f>
        <v/>
      </c>
      <c r="C208" s="130" t="inlineStr">
        <is>
          <t>r04</t>
        </is>
      </c>
      <c r="D208" s="295">
        <f>0.000001*INDIRECT($B208&amp;"!E8")</f>
        <v/>
      </c>
      <c r="E208" s="294" t="n"/>
      <c r="F208" s="122">
        <f>F207</f>
        <v/>
      </c>
      <c r="G208" s="130" t="inlineStr">
        <is>
          <t>r04</t>
        </is>
      </c>
      <c r="H208" s="295">
        <f>0.000001*INDIRECT($B208&amp;"!AC8")</f>
        <v/>
      </c>
      <c r="I208" s="9" t="n"/>
      <c r="J208" s="296">
        <f>H208/D208-1</f>
        <v/>
      </c>
      <c r="L208" s="94">
        <f>INDIRECT($B208&amp;"!"&amp;L$3&amp;"8")</f>
        <v/>
      </c>
      <c r="M208" s="95">
        <f>INDIRECT($B208&amp;"!"&amp;M$3&amp;"8")</f>
        <v/>
      </c>
      <c r="N208" s="96">
        <f>M208-L208</f>
        <v/>
      </c>
      <c r="O208" s="294" t="n"/>
      <c r="P208" s="296" t="n"/>
    </row>
    <row r="209" ht="18" customHeight="1" s="256" thickBot="1">
      <c r="B209" s="122">
        <f>B208</f>
        <v/>
      </c>
      <c r="C209" s="130" t="inlineStr">
        <is>
          <t>r05</t>
        </is>
      </c>
      <c r="D209" s="295">
        <f>0.000001*INDIRECT($B209&amp;"!E9")</f>
        <v/>
      </c>
      <c r="E209" s="294" t="n"/>
      <c r="F209" s="122">
        <f>F208</f>
        <v/>
      </c>
      <c r="G209" s="130" t="inlineStr">
        <is>
          <t>r05</t>
        </is>
      </c>
      <c r="H209" s="295">
        <f>0.000001*INDIRECT($B209&amp;"!AC9")</f>
        <v/>
      </c>
      <c r="I209" s="9" t="n"/>
      <c r="J209" s="296">
        <f>H209/D209-1</f>
        <v/>
      </c>
      <c r="L209" s="94">
        <f>INDIRECT($B209&amp;"!"&amp;L$3&amp;"9")</f>
        <v/>
      </c>
      <c r="M209" s="95">
        <f>INDIRECT($B209&amp;"!"&amp;M$3&amp;"9")</f>
        <v/>
      </c>
      <c r="N209" s="96">
        <f>M209-L209</f>
        <v/>
      </c>
      <c r="O209" s="294" t="n"/>
      <c r="P209" s="299" t="n"/>
    </row>
    <row r="210">
      <c r="B210" s="109" t="n"/>
      <c r="C210" s="110" t="n"/>
      <c r="D210" s="300" t="n"/>
      <c r="F210" s="109" t="n"/>
      <c r="G210" s="110" t="n"/>
      <c r="H210" s="300" t="n"/>
      <c r="J210" s="98">
        <f>MIN(D205:D209,H205:H209)</f>
        <v/>
      </c>
      <c r="L210" s="99" t="n"/>
      <c r="M210" s="100" t="n"/>
      <c r="N210" s="101" t="n"/>
      <c r="O210" s="294" t="n"/>
      <c r="P210" s="264" t="n"/>
    </row>
    <row r="211" ht="18" customHeight="1" s="256" thickBot="1">
      <c r="B211" s="89" t="n"/>
      <c r="C211" s="92" t="n"/>
      <c r="D211" s="301" t="n"/>
      <c r="E211" s="294" t="n"/>
      <c r="F211" s="89" t="n"/>
      <c r="G211" s="92" t="n"/>
      <c r="H211" s="301" t="n"/>
      <c r="I211" s="9" t="n"/>
      <c r="J211" s="102">
        <f>MAX(D205:D209,H205:H209)</f>
        <v/>
      </c>
      <c r="L211" s="103">
        <f>L210</f>
        <v/>
      </c>
      <c r="M211" s="104">
        <f>M210</f>
        <v/>
      </c>
      <c r="N211" s="97" t="n"/>
      <c r="O211" s="294" t="n"/>
      <c r="P211" s="5" t="n"/>
    </row>
    <row r="212" ht="18" customHeight="1" s="256" thickBot="1"/>
    <row r="213">
      <c r="B213" s="261" t="inlineStr">
        <is>
          <t>panda</t>
        </is>
      </c>
      <c r="C213" s="262" t="n"/>
      <c r="D213" s="263" t="n"/>
      <c r="E213" s="2" t="n"/>
      <c r="F213" s="261">
        <f>B213</f>
        <v/>
      </c>
      <c r="G213" s="262" t="n"/>
      <c r="H213" s="263" t="n"/>
      <c r="I213" s="2" t="n"/>
      <c r="J213" s="264" t="n"/>
      <c r="L213" s="264">
        <f>F213</f>
        <v/>
      </c>
      <c r="M213" s="262" t="n"/>
      <c r="N213" s="263" t="n"/>
      <c r="O213" s="195" t="n"/>
      <c r="P213" s="264" t="n"/>
    </row>
    <row r="214">
      <c r="B214" s="259" t="inlineStr">
        <is>
          <t>Test</t>
        </is>
      </c>
      <c r="D214" s="87" t="inlineStr">
        <is>
          <t>Bitstream (MB)</t>
        </is>
      </c>
      <c r="E214" s="294" t="n"/>
      <c r="F214" s="259" t="inlineStr">
        <is>
          <t>Test</t>
        </is>
      </c>
      <c r="H214" s="87" t="inlineStr">
        <is>
          <t>Bitstream (MB)</t>
        </is>
      </c>
      <c r="I214" s="9" t="n"/>
      <c r="J214" s="257" t="inlineStr">
        <is>
          <t>%</t>
        </is>
      </c>
      <c r="L214" s="257" t="inlineStr">
        <is>
          <t>RGB-PSNR</t>
        </is>
      </c>
      <c r="N214" s="258" t="n"/>
      <c r="O214" s="85" t="n"/>
      <c r="P214" s="3" t="n"/>
    </row>
    <row r="215">
      <c r="B215" s="191" t="inlineStr">
        <is>
          <t>Anchor</t>
        </is>
      </c>
      <c r="C215" s="130" t="inlineStr">
        <is>
          <t>Test point</t>
        </is>
      </c>
      <c r="D215" s="86" t="inlineStr">
        <is>
          <t>Total</t>
        </is>
      </c>
      <c r="E215" s="294" t="n"/>
      <c r="F215" s="191" t="inlineStr">
        <is>
          <t>Anchor</t>
        </is>
      </c>
      <c r="G215" s="130" t="inlineStr">
        <is>
          <t>Test point</t>
        </is>
      </c>
      <c r="H215" s="86" t="inlineStr">
        <is>
          <t>Total</t>
        </is>
      </c>
      <c r="I215" s="9" t="n"/>
      <c r="J215" s="93" t="n"/>
      <c r="L215" s="192">
        <f>CONCATENATE(B$2," ",L213)</f>
        <v/>
      </c>
      <c r="M215" s="193">
        <f>CONCATENATE(F$2," ",L213)</f>
        <v/>
      </c>
      <c r="N215" s="194" t="inlineStr">
        <is>
          <t>Delta</t>
        </is>
      </c>
      <c r="O215" s="2" t="n"/>
      <c r="P215" s="3" t="inlineStr">
        <is>
          <t>BD-rate</t>
        </is>
      </c>
    </row>
    <row r="216">
      <c r="B216" s="122">
        <f>B213</f>
        <v/>
      </c>
      <c r="C216" s="130" t="inlineStr">
        <is>
          <t>r01</t>
        </is>
      </c>
      <c r="D216" s="295">
        <f>0.000001*INDIRECT($B216&amp;"!E5")</f>
        <v/>
      </c>
      <c r="E216" s="294" t="n"/>
      <c r="F216" s="122">
        <f>F213</f>
        <v/>
      </c>
      <c r="G216" s="130" t="inlineStr">
        <is>
          <t>r01</t>
        </is>
      </c>
      <c r="H216" s="295">
        <f>0.000001*INDIRECT($B216&amp;"!AC5")</f>
        <v/>
      </c>
      <c r="I216" s="9" t="n"/>
      <c r="J216" s="296">
        <f>H216/D216-1</f>
        <v/>
      </c>
      <c r="L216" s="94">
        <f>INDIRECT($B216&amp;"!"&amp;L$3&amp;"5")</f>
        <v/>
      </c>
      <c r="M216" s="95">
        <f>INDIRECT($B216&amp;"!"&amp;M$3&amp;"5")</f>
        <v/>
      </c>
      <c r="N216" s="96">
        <f>M216-L216</f>
        <v/>
      </c>
      <c r="O216" s="294" t="n"/>
      <c r="P216" s="296">
        <f>bdRateExtend(D216:D220,L216:L220,H216:H220,M216:M220)</f>
        <v/>
      </c>
    </row>
    <row r="217">
      <c r="B217" s="122">
        <f>B216</f>
        <v/>
      </c>
      <c r="C217" s="130" t="inlineStr">
        <is>
          <t>r02</t>
        </is>
      </c>
      <c r="D217" s="295">
        <f>0.000001*INDIRECT($B217&amp;"!E6")</f>
        <v/>
      </c>
      <c r="E217" s="294" t="n"/>
      <c r="F217" s="122">
        <f>F216</f>
        <v/>
      </c>
      <c r="G217" s="130" t="inlineStr">
        <is>
          <t>r02</t>
        </is>
      </c>
      <c r="H217" s="295">
        <f>0.000001*INDIRECT($B217&amp;"!AC6")</f>
        <v/>
      </c>
      <c r="I217" s="9" t="n"/>
      <c r="J217" s="296">
        <f>H217/D217-1</f>
        <v/>
      </c>
      <c r="L217" s="94">
        <f>INDIRECT($B217&amp;"!"&amp;L$3&amp;"6")</f>
        <v/>
      </c>
      <c r="M217" s="95">
        <f>INDIRECT($B217&amp;"!"&amp;M$3&amp;"6")</f>
        <v/>
      </c>
      <c r="N217" s="96">
        <f>M217-L217</f>
        <v/>
      </c>
      <c r="O217" s="294" t="n"/>
      <c r="P217" s="3" t="n"/>
    </row>
    <row r="218">
      <c r="B218" s="122">
        <f>B217</f>
        <v/>
      </c>
      <c r="C218" s="130" t="inlineStr">
        <is>
          <t>r03</t>
        </is>
      </c>
      <c r="D218" s="295">
        <f>0.000001*INDIRECT($B218&amp;"!E7")</f>
        <v/>
      </c>
      <c r="E218" s="294" t="n"/>
      <c r="F218" s="122">
        <f>F217</f>
        <v/>
      </c>
      <c r="G218" s="130" t="inlineStr">
        <is>
          <t>r03</t>
        </is>
      </c>
      <c r="H218" s="295">
        <f>0.000001*INDIRECT($B218&amp;"!AC7")</f>
        <v/>
      </c>
      <c r="I218" s="9" t="n"/>
      <c r="J218" s="296">
        <f>H218/D218-1</f>
        <v/>
      </c>
      <c r="L218" s="94">
        <f>INDIRECT($B218&amp;"!"&amp;L$3&amp;"7")</f>
        <v/>
      </c>
      <c r="M218" s="95">
        <f>INDIRECT($B218&amp;"!"&amp;M$3&amp;"7")</f>
        <v/>
      </c>
      <c r="N218" s="96">
        <f>M218-L218</f>
        <v/>
      </c>
      <c r="O218" s="294" t="n"/>
      <c r="P218" s="3" t="n"/>
    </row>
    <row r="219">
      <c r="B219" s="122">
        <f>B218</f>
        <v/>
      </c>
      <c r="C219" s="130" t="inlineStr">
        <is>
          <t>r04</t>
        </is>
      </c>
      <c r="D219" s="295">
        <f>0.000001*INDIRECT($B219&amp;"!E8")</f>
        <v/>
      </c>
      <c r="E219" s="294" t="n"/>
      <c r="F219" s="122">
        <f>F218</f>
        <v/>
      </c>
      <c r="G219" s="130" t="inlineStr">
        <is>
          <t>r04</t>
        </is>
      </c>
      <c r="H219" s="295">
        <f>0.000001*INDIRECT($B219&amp;"!AC8")</f>
        <v/>
      </c>
      <c r="I219" s="9" t="n"/>
      <c r="J219" s="296">
        <f>H219/D219-1</f>
        <v/>
      </c>
      <c r="L219" s="94">
        <f>INDIRECT($B219&amp;"!"&amp;L$3&amp;"8")</f>
        <v/>
      </c>
      <c r="M219" s="95">
        <f>INDIRECT($B219&amp;"!"&amp;M$3&amp;"8")</f>
        <v/>
      </c>
      <c r="N219" s="96">
        <f>M219-L219</f>
        <v/>
      </c>
      <c r="O219" s="294" t="n"/>
      <c r="P219" s="296" t="n"/>
    </row>
    <row r="220" ht="18" customHeight="1" s="256" thickBot="1">
      <c r="B220" s="122">
        <f>B219</f>
        <v/>
      </c>
      <c r="C220" s="130" t="inlineStr">
        <is>
          <t>r05</t>
        </is>
      </c>
      <c r="D220" s="295">
        <f>0.000001*INDIRECT($B220&amp;"!E9")</f>
        <v/>
      </c>
      <c r="E220" s="294" t="n"/>
      <c r="F220" s="122">
        <f>F219</f>
        <v/>
      </c>
      <c r="G220" s="130" t="inlineStr">
        <is>
          <t>r05</t>
        </is>
      </c>
      <c r="H220" s="295">
        <f>0.000001*INDIRECT($B220&amp;"!AC9")</f>
        <v/>
      </c>
      <c r="I220" s="9" t="n"/>
      <c r="J220" s="296">
        <f>H220/D220-1</f>
        <v/>
      </c>
      <c r="L220" s="94">
        <f>INDIRECT($B220&amp;"!"&amp;L$3&amp;"9")</f>
        <v/>
      </c>
      <c r="M220" s="95">
        <f>INDIRECT($B220&amp;"!"&amp;M$3&amp;"9")</f>
        <v/>
      </c>
      <c r="N220" s="96">
        <f>M220-L220</f>
        <v/>
      </c>
      <c r="O220" s="294" t="n"/>
      <c r="P220" s="299" t="n"/>
    </row>
    <row r="221">
      <c r="B221" s="109" t="n"/>
      <c r="C221" s="110" t="n"/>
      <c r="D221" s="300" t="n"/>
      <c r="F221" s="109" t="n"/>
      <c r="G221" s="110" t="n"/>
      <c r="H221" s="300" t="n"/>
      <c r="J221" s="98">
        <f>MIN(D216:D220,H216:H220)</f>
        <v/>
      </c>
      <c r="L221" s="99" t="n"/>
      <c r="M221" s="100" t="n"/>
      <c r="N221" s="101" t="n"/>
      <c r="O221" s="294" t="n"/>
      <c r="P221" s="264" t="n"/>
    </row>
    <row r="222" ht="18" customHeight="1" s="256" thickBot="1">
      <c r="B222" s="89" t="n"/>
      <c r="C222" s="92" t="n"/>
      <c r="D222" s="301" t="n"/>
      <c r="E222" s="294" t="n"/>
      <c r="F222" s="89" t="n"/>
      <c r="G222" s="92" t="n"/>
      <c r="H222" s="301" t="n"/>
      <c r="I222" s="9" t="n"/>
      <c r="J222" s="102">
        <f>MAX(D216:D220,H216:H220)</f>
        <v/>
      </c>
      <c r="L222" s="103">
        <f>L221</f>
        <v/>
      </c>
      <c r="M222" s="104">
        <f>M221</f>
        <v/>
      </c>
      <c r="N222" s="97" t="n"/>
      <c r="O222" s="294" t="n"/>
      <c r="P222" s="5" t="n"/>
    </row>
    <row r="223" ht="18" customHeight="1" s="256" thickBot="1"/>
    <row r="224">
      <c r="B224" s="261" t="inlineStr">
        <is>
          <t>wukong</t>
        </is>
      </c>
      <c r="C224" s="262" t="n"/>
      <c r="D224" s="263" t="n"/>
      <c r="E224" s="2" t="n"/>
      <c r="F224" s="261">
        <f>B224</f>
        <v/>
      </c>
      <c r="G224" s="262" t="n"/>
      <c r="H224" s="263" t="n"/>
      <c r="I224" s="2" t="n"/>
      <c r="J224" s="264" t="n"/>
      <c r="L224" s="264">
        <f>F224</f>
        <v/>
      </c>
      <c r="M224" s="262" t="n"/>
      <c r="N224" s="263" t="n"/>
      <c r="O224" s="195" t="n"/>
      <c r="P224" s="264" t="n"/>
    </row>
    <row r="225">
      <c r="B225" s="259" t="inlineStr">
        <is>
          <t>Test</t>
        </is>
      </c>
      <c r="D225" s="87" t="inlineStr">
        <is>
          <t>Bitstream (MB)</t>
        </is>
      </c>
      <c r="E225" s="294" t="n"/>
      <c r="F225" s="259" t="inlineStr">
        <is>
          <t>Test</t>
        </is>
      </c>
      <c r="H225" s="87" t="inlineStr">
        <is>
          <t>Bitstream (MB)</t>
        </is>
      </c>
      <c r="I225" s="9" t="n"/>
      <c r="J225" s="257" t="inlineStr">
        <is>
          <t>%</t>
        </is>
      </c>
      <c r="L225" s="257" t="inlineStr">
        <is>
          <t>RGB-PSNR</t>
        </is>
      </c>
      <c r="N225" s="258" t="n"/>
      <c r="O225" s="85" t="n"/>
      <c r="P225" s="3" t="n"/>
    </row>
    <row r="226">
      <c r="B226" s="191" t="inlineStr">
        <is>
          <t>Anchor</t>
        </is>
      </c>
      <c r="C226" s="130" t="inlineStr">
        <is>
          <t>Test point</t>
        </is>
      </c>
      <c r="D226" s="86" t="inlineStr">
        <is>
          <t>Total</t>
        </is>
      </c>
      <c r="E226" s="294" t="n"/>
      <c r="F226" s="191" t="inlineStr">
        <is>
          <t>Anchor</t>
        </is>
      </c>
      <c r="G226" s="130" t="inlineStr">
        <is>
          <t>Test point</t>
        </is>
      </c>
      <c r="H226" s="86" t="inlineStr">
        <is>
          <t>Total</t>
        </is>
      </c>
      <c r="I226" s="9" t="n"/>
      <c r="J226" s="93" t="n"/>
      <c r="L226" s="192">
        <f>CONCATENATE(B$2," ",L224)</f>
        <v/>
      </c>
      <c r="M226" s="193">
        <f>CONCATENATE(F$2," ",L224)</f>
        <v/>
      </c>
      <c r="N226" s="194" t="inlineStr">
        <is>
          <t>Delta</t>
        </is>
      </c>
      <c r="O226" s="2" t="n"/>
      <c r="P226" s="3" t="inlineStr">
        <is>
          <t>BD-rate</t>
        </is>
      </c>
    </row>
    <row r="227">
      <c r="B227" s="122">
        <f>B224</f>
        <v/>
      </c>
      <c r="C227" s="130" t="inlineStr">
        <is>
          <t>r01</t>
        </is>
      </c>
      <c r="D227" s="295">
        <f>0.000001*INDIRECT($B227&amp;"!E5")</f>
        <v/>
      </c>
      <c r="E227" s="294" t="n"/>
      <c r="F227" s="122">
        <f>F224</f>
        <v/>
      </c>
      <c r="G227" s="130" t="inlineStr">
        <is>
          <t>r01</t>
        </is>
      </c>
      <c r="H227" s="295">
        <f>0.000001*INDIRECT($B227&amp;"!AC5")</f>
        <v/>
      </c>
      <c r="I227" s="9" t="n"/>
      <c r="J227" s="296">
        <f>H227/D227-1</f>
        <v/>
      </c>
      <c r="L227" s="94">
        <f>INDIRECT($B227&amp;"!"&amp;L$3&amp;"5")</f>
        <v/>
      </c>
      <c r="M227" s="95">
        <f>INDIRECT($B227&amp;"!"&amp;M$3&amp;"5")</f>
        <v/>
      </c>
      <c r="N227" s="96">
        <f>M227-L227</f>
        <v/>
      </c>
      <c r="O227" s="294" t="n"/>
      <c r="P227" s="296">
        <f>bdRateExtend(D227:D231,L227:L231,H227:H231,M227:M231)</f>
        <v/>
      </c>
    </row>
    <row r="228">
      <c r="B228" s="122">
        <f>B227</f>
        <v/>
      </c>
      <c r="C228" s="130" t="inlineStr">
        <is>
          <t>r02</t>
        </is>
      </c>
      <c r="D228" s="295">
        <f>0.000001*INDIRECT($B228&amp;"!E6")</f>
        <v/>
      </c>
      <c r="E228" s="294" t="n"/>
      <c r="F228" s="122">
        <f>F227</f>
        <v/>
      </c>
      <c r="G228" s="130" t="inlineStr">
        <is>
          <t>r02</t>
        </is>
      </c>
      <c r="H228" s="295">
        <f>0.000001*INDIRECT($B228&amp;"!AC6")</f>
        <v/>
      </c>
      <c r="I228" s="9" t="n"/>
      <c r="J228" s="296">
        <f>H228/D228-1</f>
        <v/>
      </c>
      <c r="L228" s="94">
        <f>INDIRECT($B228&amp;"!"&amp;L$3&amp;"6")</f>
        <v/>
      </c>
      <c r="M228" s="95">
        <f>INDIRECT($B228&amp;"!"&amp;M$3&amp;"6")</f>
        <v/>
      </c>
      <c r="N228" s="96">
        <f>M228-L228</f>
        <v/>
      </c>
      <c r="O228" s="294" t="n"/>
      <c r="P228" s="3" t="n"/>
    </row>
    <row r="229">
      <c r="B229" s="122">
        <f>B228</f>
        <v/>
      </c>
      <c r="C229" s="130" t="inlineStr">
        <is>
          <t>r03</t>
        </is>
      </c>
      <c r="D229" s="295">
        <f>0.000001*INDIRECT($B229&amp;"!E7")</f>
        <v/>
      </c>
      <c r="E229" s="294" t="n"/>
      <c r="F229" s="122">
        <f>F228</f>
        <v/>
      </c>
      <c r="G229" s="130" t="inlineStr">
        <is>
          <t>r03</t>
        </is>
      </c>
      <c r="H229" s="295">
        <f>0.000001*INDIRECT($B229&amp;"!AC7")</f>
        <v/>
      </c>
      <c r="I229" s="9" t="n"/>
      <c r="J229" s="296">
        <f>H229/D229-1</f>
        <v/>
      </c>
      <c r="L229" s="94">
        <f>INDIRECT($B229&amp;"!"&amp;L$3&amp;"7")</f>
        <v/>
      </c>
      <c r="M229" s="95">
        <f>INDIRECT($B229&amp;"!"&amp;M$3&amp;"7")</f>
        <v/>
      </c>
      <c r="N229" s="96">
        <f>M229-L229</f>
        <v/>
      </c>
      <c r="O229" s="294" t="n"/>
      <c r="P229" s="3" t="n"/>
    </row>
    <row r="230">
      <c r="B230" s="122">
        <f>B229</f>
        <v/>
      </c>
      <c r="C230" s="130" t="inlineStr">
        <is>
          <t>r04</t>
        </is>
      </c>
      <c r="D230" s="295">
        <f>0.000001*INDIRECT($B230&amp;"!E8")</f>
        <v/>
      </c>
      <c r="E230" s="294" t="n"/>
      <c r="F230" s="122">
        <f>F229</f>
        <v/>
      </c>
      <c r="G230" s="130" t="inlineStr">
        <is>
          <t>r04</t>
        </is>
      </c>
      <c r="H230" s="295">
        <f>0.000001*INDIRECT($B230&amp;"!AC8")</f>
        <v/>
      </c>
      <c r="I230" s="9" t="n"/>
      <c r="J230" s="296">
        <f>H230/D230-1</f>
        <v/>
      </c>
      <c r="L230" s="94">
        <f>INDIRECT($B230&amp;"!"&amp;L$3&amp;"8")</f>
        <v/>
      </c>
      <c r="M230" s="95">
        <f>INDIRECT($B230&amp;"!"&amp;M$3&amp;"8")</f>
        <v/>
      </c>
      <c r="N230" s="96">
        <f>M230-L230</f>
        <v/>
      </c>
      <c r="O230" s="294" t="n"/>
      <c r="P230" s="296" t="n"/>
    </row>
    <row r="231" ht="18" customHeight="1" s="256" thickBot="1">
      <c r="B231" s="122">
        <f>B230</f>
        <v/>
      </c>
      <c r="C231" s="130" t="inlineStr">
        <is>
          <t>r05</t>
        </is>
      </c>
      <c r="D231" s="295">
        <f>0.000001*INDIRECT($B231&amp;"!E9")</f>
        <v/>
      </c>
      <c r="E231" s="294" t="n"/>
      <c r="F231" s="122">
        <f>F230</f>
        <v/>
      </c>
      <c r="G231" s="130" t="inlineStr">
        <is>
          <t>r05</t>
        </is>
      </c>
      <c r="H231" s="295">
        <f>0.000001*INDIRECT($B231&amp;"!AC9")</f>
        <v/>
      </c>
      <c r="I231" s="9" t="n"/>
      <c r="J231" s="296">
        <f>H231/D231-1</f>
        <v/>
      </c>
      <c r="L231" s="94">
        <f>INDIRECT($B231&amp;"!"&amp;L$3&amp;"9")</f>
        <v/>
      </c>
      <c r="M231" s="95">
        <f>INDIRECT($B231&amp;"!"&amp;M$3&amp;"9")</f>
        <v/>
      </c>
      <c r="N231" s="96">
        <f>M231-L231</f>
        <v/>
      </c>
      <c r="O231" s="294" t="n"/>
      <c r="P231" s="299" t="n"/>
    </row>
    <row r="232">
      <c r="B232" s="109" t="n"/>
      <c r="C232" s="110" t="n"/>
      <c r="D232" s="300" t="n"/>
      <c r="F232" s="109" t="n"/>
      <c r="G232" s="110" t="n"/>
      <c r="H232" s="300" t="n"/>
      <c r="J232" s="98">
        <f>MIN(D227:D231,H227:H231)</f>
        <v/>
      </c>
      <c r="L232" s="99" t="n"/>
      <c r="M232" s="100" t="n"/>
      <c r="N232" s="101" t="n"/>
      <c r="O232" s="294" t="n"/>
      <c r="P232" s="264" t="n"/>
    </row>
    <row r="233" ht="18" customHeight="1" s="256" thickBot="1">
      <c r="B233" s="89" t="n"/>
      <c r="C233" s="92" t="n"/>
      <c r="D233" s="301" t="n"/>
      <c r="E233" s="294" t="n"/>
      <c r="F233" s="89" t="n"/>
      <c r="G233" s="92" t="n"/>
      <c r="H233" s="301" t="n"/>
      <c r="I233" s="9" t="n"/>
      <c r="J233" s="102">
        <f>MAX(D227:D231,H227:H231)</f>
        <v/>
      </c>
      <c r="L233" s="103">
        <f>L232</f>
        <v/>
      </c>
      <c r="M233" s="104">
        <f>M232</f>
        <v/>
      </c>
      <c r="N233" s="97" t="n"/>
      <c r="O233" s="294" t="n"/>
      <c r="P233" s="5" t="n"/>
    </row>
    <row r="234" ht="18" customHeight="1" s="256" thickBot="1"/>
    <row r="235">
      <c r="B235" s="261" t="n"/>
      <c r="C235" s="262" t="n"/>
      <c r="D235" s="263" t="n"/>
      <c r="E235" s="2" t="n"/>
      <c r="F235" s="261" t="n"/>
      <c r="G235" s="262" t="n"/>
      <c r="H235" s="263" t="n"/>
      <c r="I235" s="2" t="n"/>
      <c r="J235" s="264" t="n"/>
      <c r="L235" s="264" t="n"/>
      <c r="M235" s="262" t="n"/>
      <c r="N235" s="263" t="n"/>
      <c r="O235" s="195" t="n"/>
      <c r="P235" s="264" t="n"/>
    </row>
    <row r="236">
      <c r="B236" s="259" t="n"/>
      <c r="D236" s="87" t="n"/>
      <c r="E236" s="294" t="n"/>
      <c r="F236" s="259" t="n"/>
      <c r="H236" s="87" t="n"/>
      <c r="I236" s="9" t="n"/>
      <c r="J236" s="257" t="n"/>
      <c r="L236" s="257" t="n"/>
      <c r="N236" s="258" t="n"/>
      <c r="O236" s="85" t="n"/>
      <c r="P236" s="3" t="n"/>
    </row>
    <row r="237">
      <c r="B237" s="191" t="n"/>
      <c r="C237" s="130" t="n"/>
      <c r="D237" s="86" t="n"/>
      <c r="E237" s="294" t="n"/>
      <c r="F237" s="191" t="n"/>
      <c r="G237" s="130" t="n"/>
      <c r="H237" s="86" t="n"/>
      <c r="I237" s="9" t="n"/>
      <c r="J237" s="93" t="n"/>
      <c r="L237" s="192" t="n"/>
      <c r="M237" s="193" t="n"/>
      <c r="N237" s="194" t="n"/>
      <c r="O237" s="2" t="n"/>
      <c r="P237" s="3" t="n"/>
    </row>
    <row r="238">
      <c r="B238" s="122" t="n"/>
      <c r="C238" s="130" t="n"/>
      <c r="D238" s="295" t="n"/>
      <c r="E238" s="294" t="n"/>
      <c r="F238" s="122" t="n"/>
      <c r="G238" s="130" t="n"/>
      <c r="H238" s="295" t="n"/>
      <c r="I238" s="9" t="n"/>
      <c r="J238" s="296" t="n"/>
      <c r="L238" s="94" t="n"/>
      <c r="M238" s="95" t="n"/>
      <c r="N238" s="96" t="n"/>
      <c r="O238" s="294" t="n"/>
      <c r="P238" s="296" t="n"/>
    </row>
    <row r="239">
      <c r="B239" s="122" t="n"/>
      <c r="C239" s="130" t="n"/>
      <c r="D239" s="295" t="n"/>
      <c r="E239" s="294" t="n"/>
      <c r="F239" s="122" t="n"/>
      <c r="G239" s="130" t="n"/>
      <c r="H239" s="295" t="n"/>
      <c r="I239" s="9" t="n"/>
      <c r="J239" s="296" t="n"/>
      <c r="L239" s="94" t="n"/>
      <c r="M239" s="95" t="n"/>
      <c r="N239" s="96" t="n"/>
      <c r="O239" s="294" t="n"/>
      <c r="P239" s="3" t="n"/>
    </row>
    <row r="240">
      <c r="B240" s="122" t="n"/>
      <c r="C240" s="130" t="n"/>
      <c r="D240" s="295" t="n"/>
      <c r="E240" s="294" t="n"/>
      <c r="F240" s="122" t="n"/>
      <c r="G240" s="130" t="n"/>
      <c r="H240" s="295" t="n"/>
      <c r="I240" s="9" t="n"/>
      <c r="J240" s="296" t="n"/>
      <c r="L240" s="94" t="n"/>
      <c r="M240" s="95" t="n"/>
      <c r="N240" s="96" t="n"/>
      <c r="O240" s="294" t="n"/>
      <c r="P240" s="3" t="n"/>
    </row>
    <row r="241">
      <c r="B241" s="122" t="n"/>
      <c r="C241" s="130" t="n"/>
      <c r="D241" s="295" t="n"/>
      <c r="E241" s="294" t="n"/>
      <c r="F241" s="122" t="n"/>
      <c r="G241" s="130" t="n"/>
      <c r="H241" s="295" t="n"/>
      <c r="I241" s="9" t="n"/>
      <c r="J241" s="296" t="n"/>
      <c r="L241" s="94" t="n"/>
      <c r="M241" s="95" t="n"/>
      <c r="N241" s="96" t="n"/>
      <c r="O241" s="294" t="n"/>
      <c r="P241" s="296" t="n"/>
    </row>
    <row r="242" ht="18" customHeight="1" s="256" thickBot="1">
      <c r="B242" s="122" t="n"/>
      <c r="C242" s="130" t="n"/>
      <c r="D242" s="295" t="n"/>
      <c r="E242" s="294" t="n"/>
      <c r="F242" s="122" t="n"/>
      <c r="G242" s="130" t="n"/>
      <c r="H242" s="295" t="n"/>
      <c r="I242" s="9" t="n"/>
      <c r="J242" s="296" t="n"/>
      <c r="L242" s="94" t="n"/>
      <c r="M242" s="95" t="n"/>
      <c r="N242" s="96" t="n"/>
      <c r="O242" s="294" t="n"/>
      <c r="P242" s="299" t="n"/>
    </row>
    <row r="243">
      <c r="B243" s="109" t="n"/>
      <c r="C243" s="110" t="n"/>
      <c r="D243" s="300" t="n"/>
      <c r="F243" s="109" t="n"/>
      <c r="G243" s="110" t="n"/>
      <c r="H243" s="300" t="n"/>
      <c r="J243" s="98" t="n"/>
      <c r="L243" s="99" t="n"/>
      <c r="M243" s="100" t="n"/>
      <c r="N243" s="101" t="n"/>
      <c r="O243" s="294" t="n"/>
      <c r="P243" s="264" t="n"/>
    </row>
    <row r="244" ht="18" customHeight="1" s="256" thickBot="1">
      <c r="B244" s="89" t="n"/>
      <c r="C244" s="92" t="n"/>
      <c r="D244" s="301" t="n"/>
      <c r="E244" s="294" t="n"/>
      <c r="F244" s="89" t="n"/>
      <c r="G244" s="92" t="n"/>
      <c r="H244" s="301" t="n"/>
      <c r="I244" s="9" t="n"/>
      <c r="J244" s="102" t="n"/>
      <c r="L244" s="103" t="n"/>
      <c r="M244" s="104" t="n"/>
      <c r="N244" s="97" t="n"/>
      <c r="O244" s="294" t="n"/>
      <c r="P244" s="5" t="n"/>
    </row>
    <row r="245" ht="18" customHeight="1" s="256" thickBot="1"/>
    <row r="246">
      <c r="B246" s="261" t="n"/>
      <c r="C246" s="262" t="n"/>
      <c r="D246" s="263" t="n"/>
      <c r="E246" s="2" t="n"/>
      <c r="F246" s="261" t="n"/>
      <c r="G246" s="262" t="n"/>
      <c r="H246" s="263" t="n"/>
      <c r="I246" s="2" t="n"/>
      <c r="J246" s="264" t="n"/>
      <c r="L246" s="264" t="n"/>
      <c r="M246" s="262" t="n"/>
      <c r="N246" s="263" t="n"/>
      <c r="O246" s="195" t="n"/>
      <c r="P246" s="264" t="n"/>
    </row>
    <row r="247">
      <c r="B247" s="259" t="n"/>
      <c r="D247" s="87" t="n"/>
      <c r="E247" s="294" t="n"/>
      <c r="F247" s="259" t="n"/>
      <c r="H247" s="87" t="n"/>
      <c r="I247" s="9" t="n"/>
      <c r="J247" s="257" t="n"/>
      <c r="L247" s="257" t="n"/>
      <c r="N247" s="258" t="n"/>
      <c r="O247" s="85" t="n"/>
      <c r="P247" s="3" t="n"/>
    </row>
    <row r="248">
      <c r="B248" s="191" t="n"/>
      <c r="C248" s="130" t="n"/>
      <c r="D248" s="86" t="n"/>
      <c r="E248" s="294" t="n"/>
      <c r="F248" s="191" t="n"/>
      <c r="G248" s="130" t="n"/>
      <c r="H248" s="86" t="n"/>
      <c r="I248" s="9" t="n"/>
      <c r="J248" s="93" t="n"/>
      <c r="L248" s="192" t="n"/>
      <c r="M248" s="193" t="n"/>
      <c r="N248" s="194" t="n"/>
      <c r="O248" s="2" t="n"/>
      <c r="P248" s="3" t="n"/>
    </row>
    <row r="249">
      <c r="B249" s="122" t="n"/>
      <c r="C249" s="130" t="n"/>
      <c r="D249" s="295" t="n"/>
      <c r="E249" s="294" t="n"/>
      <c r="F249" s="122" t="n"/>
      <c r="G249" s="130" t="n"/>
      <c r="H249" s="295" t="n"/>
      <c r="I249" s="9" t="n"/>
      <c r="J249" s="296" t="n"/>
      <c r="L249" s="94" t="n"/>
      <c r="M249" s="95" t="n"/>
      <c r="N249" s="96" t="n"/>
      <c r="O249" s="294" t="n"/>
      <c r="P249" s="296" t="n"/>
    </row>
    <row r="250">
      <c r="B250" s="122" t="n"/>
      <c r="C250" s="130" t="n"/>
      <c r="D250" s="295" t="n"/>
      <c r="E250" s="294" t="n"/>
      <c r="F250" s="122" t="n"/>
      <c r="G250" s="130" t="n"/>
      <c r="H250" s="295" t="n"/>
      <c r="I250" s="9" t="n"/>
      <c r="J250" s="296" t="n"/>
      <c r="L250" s="94" t="n"/>
      <c r="M250" s="95" t="n"/>
      <c r="N250" s="96" t="n"/>
      <c r="O250" s="294" t="n"/>
      <c r="P250" s="3" t="n"/>
    </row>
    <row r="251">
      <c r="B251" s="122" t="n"/>
      <c r="C251" s="130" t="n"/>
      <c r="D251" s="295" t="n"/>
      <c r="E251" s="294" t="n"/>
      <c r="F251" s="122" t="n"/>
      <c r="G251" s="130" t="n"/>
      <c r="H251" s="295" t="n"/>
      <c r="I251" s="9" t="n"/>
      <c r="J251" s="296" t="n"/>
      <c r="L251" s="94" t="n"/>
      <c r="M251" s="95" t="n"/>
      <c r="N251" s="96" t="n"/>
      <c r="O251" s="294" t="n"/>
      <c r="P251" s="3" t="n"/>
    </row>
    <row r="252">
      <c r="B252" s="122" t="n"/>
      <c r="C252" s="130" t="n"/>
      <c r="D252" s="295" t="n"/>
      <c r="E252" s="294" t="n"/>
      <c r="F252" s="122" t="n"/>
      <c r="G252" s="130" t="n"/>
      <c r="H252" s="295" t="n"/>
      <c r="I252" s="9" t="n"/>
      <c r="J252" s="296" t="n"/>
      <c r="L252" s="94" t="n"/>
      <c r="M252" s="95" t="n"/>
      <c r="N252" s="96" t="n"/>
      <c r="O252" s="294" t="n"/>
      <c r="P252" s="296" t="n"/>
    </row>
    <row r="253" ht="18" customHeight="1" s="256" thickBot="1">
      <c r="B253" s="122" t="n"/>
      <c r="C253" s="130" t="n"/>
      <c r="D253" s="295" t="n"/>
      <c r="E253" s="294" t="n"/>
      <c r="F253" s="122" t="n"/>
      <c r="G253" s="130" t="n"/>
      <c r="H253" s="295" t="n"/>
      <c r="I253" s="9" t="n"/>
      <c r="J253" s="296" t="n"/>
      <c r="L253" s="94" t="n"/>
      <c r="M253" s="95" t="n"/>
      <c r="N253" s="96" t="n"/>
      <c r="O253" s="294" t="n"/>
      <c r="P253" s="299" t="n"/>
    </row>
    <row r="254">
      <c r="B254" s="109" t="n"/>
      <c r="C254" s="110" t="n"/>
      <c r="D254" s="300" t="n"/>
      <c r="F254" s="109" t="n"/>
      <c r="G254" s="110" t="n"/>
      <c r="H254" s="300" t="n"/>
      <c r="J254" s="98" t="n"/>
      <c r="L254" s="99" t="n"/>
      <c r="M254" s="100" t="n"/>
      <c r="N254" s="101" t="n"/>
      <c r="O254" s="294" t="n"/>
      <c r="P254" s="264" t="n"/>
    </row>
    <row r="255" ht="18" customHeight="1" s="256" thickBot="1">
      <c r="B255" s="89" t="n"/>
      <c r="C255" s="92" t="n"/>
      <c r="D255" s="301" t="n"/>
      <c r="E255" s="294" t="n"/>
      <c r="F255" s="89" t="n"/>
      <c r="G255" s="92" t="n"/>
      <c r="H255" s="301" t="n"/>
      <c r="I255" s="9" t="n"/>
      <c r="J255" s="102" t="n"/>
      <c r="L255" s="103" t="n"/>
      <c r="M255" s="104" t="n"/>
      <c r="N255" s="97" t="n"/>
      <c r="O255" s="294" t="n"/>
      <c r="P255" s="5" t="n"/>
    </row>
    <row r="256" ht="18" customHeight="1" s="256" thickBot="1"/>
    <row r="257">
      <c r="B257" s="261" t="n"/>
      <c r="C257" s="262" t="n"/>
      <c r="D257" s="263" t="n"/>
      <c r="E257" s="2" t="n"/>
      <c r="F257" s="261" t="n"/>
      <c r="G257" s="262" t="n"/>
      <c r="H257" s="263" t="n"/>
      <c r="I257" s="2" t="n"/>
      <c r="J257" s="264" t="n"/>
      <c r="L257" s="264" t="n"/>
      <c r="M257" s="262" t="n"/>
      <c r="N257" s="263" t="n"/>
      <c r="O257" s="195" t="n"/>
      <c r="P257" s="264" t="n"/>
    </row>
    <row r="258">
      <c r="B258" s="259" t="n"/>
      <c r="D258" s="87" t="n"/>
      <c r="E258" s="294" t="n"/>
      <c r="F258" s="259" t="n"/>
      <c r="H258" s="87" t="n"/>
      <c r="I258" s="9" t="n"/>
      <c r="J258" s="257" t="n"/>
      <c r="L258" s="257" t="n"/>
      <c r="N258" s="258" t="n"/>
      <c r="O258" s="85" t="n"/>
      <c r="P258" s="3" t="n"/>
    </row>
    <row r="259">
      <c r="B259" s="191" t="n"/>
      <c r="C259" s="130" t="n"/>
      <c r="D259" s="86" t="n"/>
      <c r="E259" s="294" t="n"/>
      <c r="F259" s="191" t="n"/>
      <c r="G259" s="130" t="n"/>
      <c r="H259" s="86" t="n"/>
      <c r="I259" s="9" t="n"/>
      <c r="J259" s="93" t="n"/>
      <c r="L259" s="192" t="n"/>
      <c r="M259" s="193" t="n"/>
      <c r="N259" s="194" t="n"/>
      <c r="O259" s="2" t="n"/>
      <c r="P259" s="3" t="n"/>
    </row>
    <row r="260">
      <c r="B260" s="122" t="n"/>
      <c r="C260" s="130" t="n"/>
      <c r="D260" s="295" t="n"/>
      <c r="E260" s="294" t="n"/>
      <c r="F260" s="122" t="n"/>
      <c r="G260" s="130" t="n"/>
      <c r="H260" s="295" t="n"/>
      <c r="I260" s="9" t="n"/>
      <c r="J260" s="296" t="n"/>
      <c r="L260" s="94" t="n"/>
      <c r="M260" s="95" t="n"/>
      <c r="N260" s="96" t="n"/>
      <c r="O260" s="294" t="n"/>
      <c r="P260" s="296" t="n"/>
    </row>
    <row r="261">
      <c r="B261" s="122" t="n"/>
      <c r="C261" s="130" t="n"/>
      <c r="D261" s="295" t="n"/>
      <c r="E261" s="294" t="n"/>
      <c r="F261" s="122" t="n"/>
      <c r="G261" s="130" t="n"/>
      <c r="H261" s="295" t="n"/>
      <c r="I261" s="9" t="n"/>
      <c r="J261" s="296" t="n"/>
      <c r="L261" s="94" t="n"/>
      <c r="M261" s="95" t="n"/>
      <c r="N261" s="96" t="n"/>
      <c r="O261" s="294" t="n"/>
      <c r="P261" s="3" t="n"/>
    </row>
    <row r="262">
      <c r="B262" s="122" t="n"/>
      <c r="C262" s="130" t="n"/>
      <c r="D262" s="295" t="n"/>
      <c r="E262" s="294" t="n"/>
      <c r="F262" s="122" t="n"/>
      <c r="G262" s="130" t="n"/>
      <c r="H262" s="295" t="n"/>
      <c r="I262" s="9" t="n"/>
      <c r="J262" s="296" t="n"/>
      <c r="L262" s="94" t="n"/>
      <c r="M262" s="95" t="n"/>
      <c r="N262" s="96" t="n"/>
      <c r="O262" s="294" t="n"/>
      <c r="P262" s="3" t="n"/>
    </row>
    <row r="263">
      <c r="B263" s="122" t="n"/>
      <c r="C263" s="130" t="n"/>
      <c r="D263" s="295" t="n"/>
      <c r="E263" s="294" t="n"/>
      <c r="F263" s="122" t="n"/>
      <c r="G263" s="130" t="n"/>
      <c r="H263" s="295" t="n"/>
      <c r="I263" s="9" t="n"/>
      <c r="J263" s="296" t="n"/>
      <c r="L263" s="94" t="n"/>
      <c r="M263" s="95" t="n"/>
      <c r="N263" s="96" t="n"/>
      <c r="O263" s="294" t="n"/>
      <c r="P263" s="296" t="n"/>
    </row>
    <row r="264" ht="18" customHeight="1" s="256" thickBot="1">
      <c r="B264" s="122" t="n"/>
      <c r="C264" s="130" t="n"/>
      <c r="D264" s="295" t="n"/>
      <c r="E264" s="294" t="n"/>
      <c r="F264" s="122" t="n"/>
      <c r="G264" s="130" t="n"/>
      <c r="H264" s="295" t="n"/>
      <c r="I264" s="9" t="n"/>
      <c r="J264" s="296" t="n"/>
      <c r="L264" s="94" t="n"/>
      <c r="M264" s="95" t="n"/>
      <c r="N264" s="96" t="n"/>
      <c r="O264" s="294" t="n"/>
      <c r="P264" s="299" t="n"/>
    </row>
    <row r="265">
      <c r="B265" s="109" t="n"/>
      <c r="C265" s="110" t="n"/>
      <c r="D265" s="300" t="n"/>
      <c r="F265" s="109" t="n"/>
      <c r="G265" s="110" t="n"/>
      <c r="H265" s="300" t="n"/>
      <c r="J265" s="98" t="n"/>
      <c r="L265" s="99" t="n"/>
      <c r="M265" s="100" t="n"/>
      <c r="N265" s="101" t="n"/>
      <c r="O265" s="294" t="n"/>
      <c r="P265" s="264" t="n"/>
    </row>
    <row r="266" ht="18" customHeight="1" s="256" thickBot="1">
      <c r="B266" s="89" t="n"/>
      <c r="C266" s="92" t="n"/>
      <c r="D266" s="301" t="n"/>
      <c r="E266" s="294" t="n"/>
      <c r="F266" s="89" t="n"/>
      <c r="G266" s="92" t="n"/>
      <c r="H266" s="301" t="n"/>
      <c r="I266" s="9" t="n"/>
      <c r="J266" s="102" t="n"/>
      <c r="L266" s="103" t="n"/>
      <c r="M266" s="104" t="n"/>
      <c r="N266" s="97" t="n"/>
      <c r="O266" s="294" t="n"/>
      <c r="P266" s="5" t="n"/>
    </row>
    <row r="267" ht="18" customHeight="1" s="256" thickBot="1"/>
    <row r="268">
      <c r="B268" s="223" t="n"/>
      <c r="C268" s="224" t="n"/>
      <c r="D268" s="225" t="n"/>
      <c r="E268" s="2" t="n"/>
      <c r="F268" s="223" t="n"/>
      <c r="G268" s="224" t="n"/>
      <c r="H268" s="225" t="n"/>
      <c r="I268" s="2" t="n"/>
      <c r="J268" s="264" t="n"/>
      <c r="L268" s="264" t="n"/>
      <c r="M268" s="226" t="n"/>
      <c r="N268" s="227" t="n"/>
      <c r="O268" s="195" t="n"/>
      <c r="P268" s="264" t="n"/>
    </row>
    <row r="269">
      <c r="B269" s="259" t="n"/>
      <c r="C269" s="114" t="n"/>
      <c r="D269" s="87" t="n"/>
      <c r="E269" s="294" t="n"/>
      <c r="F269" s="259" t="n"/>
      <c r="G269" s="114" t="n"/>
      <c r="H269" s="87" t="n"/>
      <c r="I269" s="9" t="n"/>
      <c r="J269" s="257" t="n"/>
      <c r="L269" s="257" t="n"/>
      <c r="M269" s="265" t="n"/>
      <c r="N269" s="229" t="n"/>
      <c r="O269" s="85" t="n"/>
      <c r="P269" s="3" t="n"/>
    </row>
    <row r="270">
      <c r="B270" s="191" t="n"/>
      <c r="C270" s="130" t="n"/>
      <c r="D270" s="86" t="n"/>
      <c r="E270" s="294" t="n"/>
      <c r="F270" s="191" t="n"/>
      <c r="G270" s="130" t="n"/>
      <c r="H270" s="86" t="n"/>
      <c r="I270" s="9" t="n"/>
      <c r="J270" s="93" t="n"/>
      <c r="L270" s="192" t="n"/>
      <c r="M270" s="193" t="n"/>
      <c r="N270" s="194" t="n"/>
      <c r="O270" s="2" t="n"/>
      <c r="P270" s="3" t="n"/>
    </row>
    <row r="271">
      <c r="B271" s="122" t="n"/>
      <c r="C271" s="130" t="n"/>
      <c r="D271" s="295" t="n"/>
      <c r="E271" s="294" t="n"/>
      <c r="F271" s="122" t="n"/>
      <c r="G271" s="130" t="n"/>
      <c r="H271" s="295" t="n"/>
      <c r="I271" s="9" t="n"/>
      <c r="J271" s="296" t="n"/>
      <c r="L271" s="94" t="n"/>
      <c r="M271" s="95" t="n"/>
      <c r="N271" s="96" t="n"/>
      <c r="O271" s="294" t="n"/>
      <c r="P271" s="296" t="n"/>
    </row>
    <row r="272">
      <c r="B272" s="122" t="n"/>
      <c r="C272" s="130" t="n"/>
      <c r="D272" s="295" t="n"/>
      <c r="E272" s="294" t="n"/>
      <c r="F272" s="122" t="n"/>
      <c r="G272" s="130" t="n"/>
      <c r="H272" s="295" t="n"/>
      <c r="I272" s="9" t="n"/>
      <c r="J272" s="296" t="n"/>
      <c r="L272" s="94" t="n"/>
      <c r="M272" s="95" t="n"/>
      <c r="N272" s="96" t="n"/>
      <c r="O272" s="294" t="n"/>
      <c r="P272" s="3" t="n"/>
    </row>
    <row r="273">
      <c r="B273" s="122" t="n"/>
      <c r="C273" s="130" t="n"/>
      <c r="D273" s="295" t="n"/>
      <c r="E273" s="294" t="n"/>
      <c r="F273" s="122" t="n"/>
      <c r="G273" s="130" t="n"/>
      <c r="H273" s="295" t="n"/>
      <c r="I273" s="9" t="n"/>
      <c r="J273" s="296" t="n"/>
      <c r="L273" s="94" t="n"/>
      <c r="M273" s="95" t="n"/>
      <c r="N273" s="96" t="n"/>
      <c r="O273" s="294" t="n"/>
      <c r="P273" s="3" t="n"/>
    </row>
    <row r="274">
      <c r="B274" s="122" t="n"/>
      <c r="C274" s="130" t="n"/>
      <c r="D274" s="295" t="n"/>
      <c r="E274" s="294" t="n"/>
      <c r="F274" s="122" t="n"/>
      <c r="G274" s="130" t="n"/>
      <c r="H274" s="295" t="n"/>
      <c r="I274" s="9" t="n"/>
      <c r="J274" s="296" t="n"/>
      <c r="L274" s="94" t="n"/>
      <c r="M274" s="95" t="n"/>
      <c r="N274" s="96" t="n"/>
      <c r="O274" s="294" t="n"/>
      <c r="P274" s="296" t="n"/>
    </row>
    <row r="275" ht="18" customHeight="1" s="256" thickBot="1">
      <c r="B275" s="122" t="n"/>
      <c r="C275" s="130" t="n"/>
      <c r="D275" s="295" t="n"/>
      <c r="E275" s="294" t="n"/>
      <c r="F275" s="122" t="n"/>
      <c r="G275" s="130" t="n"/>
      <c r="H275" s="295" t="n"/>
      <c r="I275" s="9" t="n"/>
      <c r="J275" s="296" t="n"/>
      <c r="L275" s="94" t="n"/>
      <c r="M275" s="95" t="n"/>
      <c r="N275" s="96" t="n"/>
      <c r="O275" s="294" t="n"/>
      <c r="P275" s="299" t="n"/>
    </row>
    <row r="276">
      <c r="B276" s="109" t="n"/>
      <c r="C276" s="110" t="n"/>
      <c r="D276" s="300" t="n"/>
      <c r="F276" s="109" t="n"/>
      <c r="G276" s="110" t="n"/>
      <c r="H276" s="300" t="n"/>
      <c r="J276" s="98" t="n"/>
      <c r="L276" s="99" t="n"/>
      <c r="M276" s="100" t="n"/>
      <c r="N276" s="101" t="n"/>
      <c r="O276" s="294" t="n"/>
      <c r="P276" s="264" t="n"/>
    </row>
    <row r="277" ht="18" customHeight="1" s="256" thickBot="1">
      <c r="B277" s="89" t="n"/>
      <c r="C277" s="92" t="n"/>
      <c r="D277" s="301" t="n"/>
      <c r="E277" s="294" t="n"/>
      <c r="F277" s="89" t="n"/>
      <c r="G277" s="92" t="n"/>
      <c r="H277" s="301" t="n"/>
      <c r="I277" s="9" t="n"/>
      <c r="J277" s="102" t="n"/>
      <c r="L277" s="103" t="n"/>
      <c r="M277" s="104" t="n"/>
      <c r="N277" s="97" t="n"/>
      <c r="O277" s="294" t="n"/>
      <c r="P277" s="5" t="n"/>
    </row>
  </sheetData>
  <mergeCells count="177">
    <mergeCell ref="L93:N93"/>
    <mergeCell ref="L213:N213"/>
    <mergeCell ref="F16:G16"/>
    <mergeCell ref="R27:T27"/>
    <mergeCell ref="L126:N126"/>
    <mergeCell ref="B115:C115"/>
    <mergeCell ref="F2:H2"/>
    <mergeCell ref="B93:C93"/>
    <mergeCell ref="B247:C247"/>
    <mergeCell ref="F236:G236"/>
    <mergeCell ref="F180:H180"/>
    <mergeCell ref="B37:D37"/>
    <mergeCell ref="X5:Z5"/>
    <mergeCell ref="B257:D257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F247:G247"/>
    <mergeCell ref="L191:N191"/>
    <mergeCell ref="L169:N169"/>
    <mergeCell ref="R5:T5"/>
    <mergeCell ref="B4:D4"/>
    <mergeCell ref="L257:N257"/>
    <mergeCell ref="F257:H257"/>
    <mergeCell ref="L48:N48"/>
    <mergeCell ref="F191:H191"/>
    <mergeCell ref="B49:C49"/>
    <mergeCell ref="F71:G71"/>
    <mergeCell ref="B125:D125"/>
    <mergeCell ref="R38:T38"/>
    <mergeCell ref="F170:G170"/>
    <mergeCell ref="L125:N125"/>
    <mergeCell ref="L103:N103"/>
    <mergeCell ref="B104:C104"/>
    <mergeCell ref="F202:H202"/>
    <mergeCell ref="B70:D70"/>
    <mergeCell ref="L258:N258"/>
    <mergeCell ref="R49:T49"/>
    <mergeCell ref="F148:G148"/>
    <mergeCell ref="X16:Z16"/>
    <mergeCell ref="F235:H235"/>
    <mergeCell ref="L15:N15"/>
    <mergeCell ref="L71:N71"/>
    <mergeCell ref="B16:C16"/>
    <mergeCell ref="R104:T104"/>
    <mergeCell ref="F114:H114"/>
    <mergeCell ref="X49:Z49"/>
    <mergeCell ref="B236:C236"/>
    <mergeCell ref="B147:D147"/>
    <mergeCell ref="B27:C27"/>
    <mergeCell ref="L26:N26"/>
    <mergeCell ref="X104:Z104"/>
    <mergeCell ref="L114:N114"/>
    <mergeCell ref="F214:G214"/>
    <mergeCell ref="L181:N181"/>
    <mergeCell ref="F5:G5"/>
    <mergeCell ref="X93:Z93"/>
    <mergeCell ref="F126:G126"/>
    <mergeCell ref="L49:N49"/>
    <mergeCell ref="L115:N115"/>
    <mergeCell ref="L247:N247"/>
    <mergeCell ref="X27:Z27"/>
    <mergeCell ref="L170:N170"/>
    <mergeCell ref="F103:H103"/>
    <mergeCell ref="B59:D59"/>
    <mergeCell ref="L246:N246"/>
    <mergeCell ref="B202:D202"/>
    <mergeCell ref="F246:H246"/>
    <mergeCell ref="L37:N37"/>
    <mergeCell ref="F158:H158"/>
    <mergeCell ref="F225:G225"/>
    <mergeCell ref="F59:H59"/>
    <mergeCell ref="F15:H15"/>
    <mergeCell ref="B235:D235"/>
    <mergeCell ref="B48:D48"/>
    <mergeCell ref="X103:Z103"/>
    <mergeCell ref="L235:N235"/>
    <mergeCell ref="B136:D136"/>
    <mergeCell ref="L180:N180"/>
    <mergeCell ref="F169:H169"/>
    <mergeCell ref="L225:N225"/>
    <mergeCell ref="F26:H26"/>
    <mergeCell ref="F137:G137"/>
    <mergeCell ref="F224:H224"/>
    <mergeCell ref="B191:D191"/>
    <mergeCell ref="B71:C71"/>
    <mergeCell ref="L4:N4"/>
    <mergeCell ref="X15:Z15"/>
    <mergeCell ref="L104:N104"/>
    <mergeCell ref="B214:C214"/>
    <mergeCell ref="F81:H81"/>
    <mergeCell ref="F192:G192"/>
    <mergeCell ref="L147:N147"/>
    <mergeCell ref="X38:Z38"/>
    <mergeCell ref="L236:N236"/>
    <mergeCell ref="L159:N159"/>
    <mergeCell ref="B60:C60"/>
    <mergeCell ref="X26:Z26"/>
    <mergeCell ref="B170:C170"/>
    <mergeCell ref="F203:G203"/>
    <mergeCell ref="L81:N81"/>
    <mergeCell ref="F37:H37"/>
    <mergeCell ref="B82:C82"/>
    <mergeCell ref="F181:G181"/>
    <mergeCell ref="L148:N148"/>
    <mergeCell ref="B148:C148"/>
    <mergeCell ref="X81:Z81"/>
    <mergeCell ref="B114:D114"/>
    <mergeCell ref="R93:T93"/>
    <mergeCell ref="L27:N27"/>
    <mergeCell ref="X71:Z71"/>
    <mergeCell ref="L203:N203"/>
    <mergeCell ref="F115:G115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B246:D246"/>
    <mergeCell ref="B2:D2"/>
    <mergeCell ref="L202:N202"/>
    <mergeCell ref="X4:Z4"/>
    <mergeCell ref="L158:N158"/>
    <mergeCell ref="B225:C225"/>
    <mergeCell ref="B181:C181"/>
    <mergeCell ref="F48:H48"/>
    <mergeCell ref="B15:D15"/>
    <mergeCell ref="F159:G159"/>
    <mergeCell ref="L192:N192"/>
    <mergeCell ref="B258:C258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F258:G258"/>
    <mergeCell ref="F27:G27"/>
    <mergeCell ref="X70:Z70"/>
    <mergeCell ref="X48:Z4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X82:Z82"/>
    <mergeCell ref="R16:T16"/>
  </mergeCells>
  <conditionalFormatting sqref="U19:U22">
    <cfRule type="dataBar" priority="1895">
      <dataBar>
        <cfvo type="min"/>
        <cfvo type="max"/>
        <color rgb="FF008AEF"/>
      </dataBar>
    </cfRule>
  </conditionalFormatting>
  <conditionalFormatting sqref="Z23:Z24">
    <cfRule type="cellIs" priority="1871" operator="lessThan" dxfId="1" stopIfTrue="1">
      <formula>-0.01</formula>
    </cfRule>
    <cfRule type="cellIs" priority="1872" operator="greaterThan" dxfId="0" stopIfTrue="1">
      <formula>0.01</formula>
    </cfRule>
  </conditionalFormatting>
  <conditionalFormatting sqref="R23:T24">
    <cfRule type="dataBar" priority="1869">
      <dataBar>
        <cfvo type="min"/>
        <cfvo type="max"/>
        <color rgb="FF008AEF"/>
      </dataBar>
    </cfRule>
  </conditionalFormatting>
  <conditionalFormatting sqref="U23:U24">
    <cfRule type="dataBar" priority="1873">
      <dataBar>
        <cfvo type="min"/>
        <cfvo type="max"/>
        <color rgb="FF008AEF"/>
      </dataBar>
    </cfRule>
  </conditionalFormatting>
  <conditionalFormatting sqref="AB18">
    <cfRule type="cellIs" priority="1866" operator="greaterThan" dxfId="1">
      <formula>0.03</formula>
    </cfRule>
    <cfRule type="cellIs" priority="1867" operator="lessThan" dxfId="0" stopIfTrue="1">
      <formula>-0.03</formula>
    </cfRule>
  </conditionalFormatting>
  <conditionalFormatting sqref="AB22">
    <cfRule type="cellIs" priority="1864" operator="lessThan" dxfId="1">
      <formula>-0.03</formula>
    </cfRule>
    <cfRule type="cellIs" priority="1865" operator="greaterThan" dxfId="0" stopIfTrue="1">
      <formula>0.03</formula>
    </cfRule>
  </conditionalFormatting>
  <conditionalFormatting sqref="Z18">
    <cfRule type="cellIs" priority="1861" operator="lessThan" dxfId="1" stopIfTrue="1">
      <formula>-0.01</formula>
    </cfRule>
    <cfRule type="cellIs" priority="1862" operator="greaterThan" dxfId="0" stopIfTrue="1">
      <formula>0.01</formula>
    </cfRule>
  </conditionalFormatting>
  <conditionalFormatting sqref="Z19">
    <cfRule type="cellIs" priority="1859" operator="lessThan" dxfId="1" stopIfTrue="1">
      <formula>-0.01</formula>
    </cfRule>
    <cfRule type="cellIs" priority="1860" operator="greaterThan" dxfId="0" stopIfTrue="1">
      <formula>0.01</formula>
    </cfRule>
  </conditionalFormatting>
  <conditionalFormatting sqref="Z20:Z21">
    <cfRule type="cellIs" priority="1857" operator="lessThan" dxfId="1" stopIfTrue="1">
      <formula>-0.01</formula>
    </cfRule>
    <cfRule type="cellIs" priority="1858" operator="greaterThan" dxfId="0" stopIfTrue="1">
      <formula>0.01</formula>
    </cfRule>
  </conditionalFormatting>
  <conditionalFormatting sqref="Z22">
    <cfRule type="cellIs" priority="1855" operator="lessThan" dxfId="1" stopIfTrue="1">
      <formula>-0.01</formula>
    </cfRule>
    <cfRule type="cellIs" priority="1856" operator="greaterThan" dxfId="0" stopIfTrue="1">
      <formula>0.01</formula>
    </cfRule>
  </conditionalFormatting>
  <conditionalFormatting sqref="V18:V22">
    <cfRule type="cellIs" priority="1853" operator="greaterThan" dxfId="1">
      <formula>0.03</formula>
    </cfRule>
    <cfRule type="cellIs" priority="1854" operator="lessThan" dxfId="0" stopIfTrue="1">
      <formula>-0.03</formula>
    </cfRule>
  </conditionalFormatting>
  <conditionalFormatting sqref="R19:T19">
    <cfRule type="dataBar" priority="1849">
      <dataBar>
        <cfvo type="min"/>
        <cfvo type="max"/>
        <color rgb="FF008AEF"/>
      </dataBar>
    </cfRule>
  </conditionalFormatting>
  <conditionalFormatting sqref="R20:T21">
    <cfRule type="dataBar" priority="1848">
      <dataBar>
        <cfvo type="min"/>
        <cfvo type="max"/>
        <color rgb="FF008AEF"/>
      </dataBar>
    </cfRule>
  </conditionalFormatting>
  <conditionalFormatting sqref="R22:T22">
    <cfRule type="dataBar" priority="1847">
      <dataBar>
        <cfvo type="min"/>
        <cfvo type="max"/>
        <color rgb="FF008AEF"/>
      </dataBar>
    </cfRule>
  </conditionalFormatting>
  <conditionalFormatting sqref="R18:U18">
    <cfRule type="dataBar" priority="1868">
      <dataBar>
        <cfvo type="min"/>
        <cfvo type="max"/>
        <color rgb="FF008AEF"/>
      </dataBar>
    </cfRule>
  </conditionalFormatting>
  <conditionalFormatting sqref="Z34:Z35">
    <cfRule type="cellIs" priority="1844" operator="lessThan" dxfId="1" stopIfTrue="1">
      <formula>-0.01</formula>
    </cfRule>
    <cfRule type="cellIs" priority="1845" operator="greaterThan" dxfId="0" stopIfTrue="1">
      <formula>0.01</formula>
    </cfRule>
  </conditionalFormatting>
  <conditionalFormatting sqref="R34:T35">
    <cfRule type="dataBar" priority="1843">
      <dataBar>
        <cfvo type="min"/>
        <cfvo type="max"/>
        <color rgb="FF008AEF"/>
      </dataBar>
    </cfRule>
  </conditionalFormatting>
  <conditionalFormatting sqref="U34:U35">
    <cfRule type="dataBar" priority="1846">
      <dataBar>
        <cfvo type="min"/>
        <cfvo type="max"/>
        <color rgb="FF008AEF"/>
      </dataBar>
    </cfRule>
  </conditionalFormatting>
  <conditionalFormatting sqref="AB29">
    <cfRule type="cellIs" priority="1840" operator="greaterThan" dxfId="1">
      <formula>0.03</formula>
    </cfRule>
    <cfRule type="cellIs" priority="1841" operator="lessThan" dxfId="0" stopIfTrue="1">
      <formula>-0.03</formula>
    </cfRule>
  </conditionalFormatting>
  <conditionalFormatting sqref="AB33">
    <cfRule type="cellIs" priority="1838" operator="lessThan" dxfId="1">
      <formula>-0.03</formula>
    </cfRule>
    <cfRule type="cellIs" priority="1839" operator="greaterThan" dxfId="0" stopIfTrue="1">
      <formula>0.03</formula>
    </cfRule>
  </conditionalFormatting>
  <conditionalFormatting sqref="Z29">
    <cfRule type="cellIs" priority="1836" operator="lessThan" dxfId="1" stopIfTrue="1">
      <formula>-0.01</formula>
    </cfRule>
    <cfRule type="cellIs" priority="1837" operator="greaterThan" dxfId="0" stopIfTrue="1">
      <formula>0.01</formula>
    </cfRule>
  </conditionalFormatting>
  <conditionalFormatting sqref="Z30">
    <cfRule type="cellIs" priority="1834" operator="lessThan" dxfId="1" stopIfTrue="1">
      <formula>-0.01</formula>
    </cfRule>
    <cfRule type="cellIs" priority="1835" operator="greaterThan" dxfId="0" stopIfTrue="1">
      <formula>0.01</formula>
    </cfRule>
  </conditionalFormatting>
  <conditionalFormatting sqref="Z31:Z32">
    <cfRule type="cellIs" priority="1832" operator="lessThan" dxfId="1" stopIfTrue="1">
      <formula>-0.01</formula>
    </cfRule>
    <cfRule type="cellIs" priority="1833" operator="greaterThan" dxfId="0" stopIfTrue="1">
      <formula>0.01</formula>
    </cfRule>
  </conditionalFormatting>
  <conditionalFormatting sqref="Z33">
    <cfRule type="cellIs" priority="1830" operator="lessThan" dxfId="1" stopIfTrue="1">
      <formula>-0.01</formula>
    </cfRule>
    <cfRule type="cellIs" priority="1831" operator="greaterThan" dxfId="0" stopIfTrue="1">
      <formula>0.01</formula>
    </cfRule>
  </conditionalFormatting>
  <conditionalFormatting sqref="V29:V33">
    <cfRule type="cellIs" priority="1828" operator="greaterThan" dxfId="1">
      <formula>0.03</formula>
    </cfRule>
    <cfRule type="cellIs" priority="1829" operator="lessThan" dxfId="0" stopIfTrue="1">
      <formula>-0.03</formula>
    </cfRule>
  </conditionalFormatting>
  <conditionalFormatting sqref="R30:T30">
    <cfRule type="dataBar" priority="1827">
      <dataBar>
        <cfvo type="min"/>
        <cfvo type="max"/>
        <color rgb="FF008AEF"/>
      </dataBar>
    </cfRule>
  </conditionalFormatting>
  <conditionalFormatting sqref="R31:T32">
    <cfRule type="dataBar" priority="1826">
      <dataBar>
        <cfvo type="min"/>
        <cfvo type="max"/>
        <color rgb="FF008AEF"/>
      </dataBar>
    </cfRule>
  </conditionalFormatting>
  <conditionalFormatting sqref="R33:T33">
    <cfRule type="dataBar" priority="1825">
      <dataBar>
        <cfvo type="min"/>
        <cfvo type="max"/>
        <color rgb="FF008AEF"/>
      </dataBar>
    </cfRule>
  </conditionalFormatting>
  <conditionalFormatting sqref="R29:U29 U30:U33">
    <cfRule type="dataBar" priority="1842">
      <dataBar>
        <cfvo type="min"/>
        <cfvo type="max"/>
        <color rgb="FF008AEF"/>
      </dataBar>
    </cfRule>
  </conditionalFormatting>
  <conditionalFormatting sqref="Z45:Z46">
    <cfRule type="cellIs" priority="1822" operator="lessThan" dxfId="1" stopIfTrue="1">
      <formula>-0.01</formula>
    </cfRule>
    <cfRule type="cellIs" priority="1823" operator="greaterThan" dxfId="0" stopIfTrue="1">
      <formula>0.01</formula>
    </cfRule>
  </conditionalFormatting>
  <conditionalFormatting sqref="R45:T46">
    <cfRule type="dataBar" priority="1821">
      <dataBar>
        <cfvo type="min"/>
        <cfvo type="max"/>
        <color rgb="FF008AEF"/>
      </dataBar>
    </cfRule>
  </conditionalFormatting>
  <conditionalFormatting sqref="U45:U46">
    <cfRule type="dataBar" priority="1824">
      <dataBar>
        <cfvo type="min"/>
        <cfvo type="max"/>
        <color rgb="FF008AEF"/>
      </dataBar>
    </cfRule>
  </conditionalFormatting>
  <conditionalFormatting sqref="AB40">
    <cfRule type="cellIs" priority="1818" operator="greaterThan" dxfId="1">
      <formula>0.03</formula>
    </cfRule>
    <cfRule type="cellIs" priority="1819" operator="lessThan" dxfId="0" stopIfTrue="1">
      <formula>-0.03</formula>
    </cfRule>
  </conditionalFormatting>
  <conditionalFormatting sqref="AB44">
    <cfRule type="cellIs" priority="1816" operator="lessThan" dxfId="1">
      <formula>-0.03</formula>
    </cfRule>
    <cfRule type="cellIs" priority="1817" operator="greaterThan" dxfId="0" stopIfTrue="1">
      <formula>0.03</formula>
    </cfRule>
  </conditionalFormatting>
  <conditionalFormatting sqref="Z40">
    <cfRule type="cellIs" priority="1814" operator="lessThan" dxfId="1" stopIfTrue="1">
      <formula>-0.01</formula>
    </cfRule>
    <cfRule type="cellIs" priority="1815" operator="greaterThan" dxfId="0" stopIfTrue="1">
      <formula>0.01</formula>
    </cfRule>
  </conditionalFormatting>
  <conditionalFormatting sqref="Z41">
    <cfRule type="cellIs" priority="1812" operator="lessThan" dxfId="1" stopIfTrue="1">
      <formula>-0.01</formula>
    </cfRule>
    <cfRule type="cellIs" priority="1813" operator="greaterThan" dxfId="0" stopIfTrue="1">
      <formula>0.01</formula>
    </cfRule>
  </conditionalFormatting>
  <conditionalFormatting sqref="Z42:Z43">
    <cfRule type="cellIs" priority="1810" operator="lessThan" dxfId="1" stopIfTrue="1">
      <formula>-0.01</formula>
    </cfRule>
    <cfRule type="cellIs" priority="1811" operator="greaterThan" dxfId="0" stopIfTrue="1">
      <formula>0.01</formula>
    </cfRule>
  </conditionalFormatting>
  <conditionalFormatting sqref="Z44">
    <cfRule type="cellIs" priority="1808" operator="lessThan" dxfId="1" stopIfTrue="1">
      <formula>-0.01</formula>
    </cfRule>
    <cfRule type="cellIs" priority="1809" operator="greaterThan" dxfId="0" stopIfTrue="1">
      <formula>0.01</formula>
    </cfRule>
  </conditionalFormatting>
  <conditionalFormatting sqref="V40:V44">
    <cfRule type="cellIs" priority="1806" operator="greaterThan" dxfId="1">
      <formula>0.03</formula>
    </cfRule>
    <cfRule type="cellIs" priority="1807" operator="lessThan" dxfId="0" stopIfTrue="1">
      <formula>-0.03</formula>
    </cfRule>
  </conditionalFormatting>
  <conditionalFormatting sqref="R41:T41">
    <cfRule type="dataBar" priority="1805">
      <dataBar>
        <cfvo type="min"/>
        <cfvo type="max"/>
        <color rgb="FF008AEF"/>
      </dataBar>
    </cfRule>
  </conditionalFormatting>
  <conditionalFormatting sqref="R42:T43">
    <cfRule type="dataBar" priority="1804">
      <dataBar>
        <cfvo type="min"/>
        <cfvo type="max"/>
        <color rgb="FF008AEF"/>
      </dataBar>
    </cfRule>
  </conditionalFormatting>
  <conditionalFormatting sqref="R44:T44">
    <cfRule type="dataBar" priority="1803">
      <dataBar>
        <cfvo type="min"/>
        <cfvo type="max"/>
        <color rgb="FF008AEF"/>
      </dataBar>
    </cfRule>
  </conditionalFormatting>
  <conditionalFormatting sqref="R40:U40 U41:U44">
    <cfRule type="dataBar" priority="1820">
      <dataBar>
        <cfvo type="min"/>
        <cfvo type="max"/>
        <color rgb="FF008AEF"/>
      </dataBar>
    </cfRule>
  </conditionalFormatting>
  <conditionalFormatting sqref="Z56:Z57">
    <cfRule type="cellIs" priority="1800" operator="lessThan" dxfId="1" stopIfTrue="1">
      <formula>-0.01</formula>
    </cfRule>
    <cfRule type="cellIs" priority="1801" operator="greaterThan" dxfId="0" stopIfTrue="1">
      <formula>0.01</formula>
    </cfRule>
  </conditionalFormatting>
  <conditionalFormatting sqref="R56:T57">
    <cfRule type="dataBar" priority="1799">
      <dataBar>
        <cfvo type="min"/>
        <cfvo type="max"/>
        <color rgb="FF008AEF"/>
      </dataBar>
    </cfRule>
  </conditionalFormatting>
  <conditionalFormatting sqref="U56:U57">
    <cfRule type="dataBar" priority="1802">
      <dataBar>
        <cfvo type="min"/>
        <cfvo type="max"/>
        <color rgb="FF008AEF"/>
      </dataBar>
    </cfRule>
  </conditionalFormatting>
  <conditionalFormatting sqref="AB51">
    <cfRule type="cellIs" priority="1796" operator="greaterThan" dxfId="1">
      <formula>0.03</formula>
    </cfRule>
    <cfRule type="cellIs" priority="1797" operator="lessThan" dxfId="0" stopIfTrue="1">
      <formula>-0.03</formula>
    </cfRule>
  </conditionalFormatting>
  <conditionalFormatting sqref="AB55">
    <cfRule type="cellIs" priority="1794" operator="lessThan" dxfId="1">
      <formula>-0.03</formula>
    </cfRule>
    <cfRule type="cellIs" priority="1795" operator="greaterThan" dxfId="0" stopIfTrue="1">
      <formula>0.03</formula>
    </cfRule>
  </conditionalFormatting>
  <conditionalFormatting sqref="Z51">
    <cfRule type="cellIs" priority="1792" operator="lessThan" dxfId="1" stopIfTrue="1">
      <formula>-0.01</formula>
    </cfRule>
    <cfRule type="cellIs" priority="1793" operator="greaterThan" dxfId="0" stopIfTrue="1">
      <formula>0.01</formula>
    </cfRule>
  </conditionalFormatting>
  <conditionalFormatting sqref="Z52">
    <cfRule type="cellIs" priority="1790" operator="lessThan" dxfId="1" stopIfTrue="1">
      <formula>-0.01</formula>
    </cfRule>
    <cfRule type="cellIs" priority="1791" operator="greaterThan" dxfId="0" stopIfTrue="1">
      <formula>0.01</formula>
    </cfRule>
  </conditionalFormatting>
  <conditionalFormatting sqref="Z53:Z54">
    <cfRule type="cellIs" priority="1788" operator="lessThan" dxfId="1" stopIfTrue="1">
      <formula>-0.01</formula>
    </cfRule>
    <cfRule type="cellIs" priority="1789" operator="greaterThan" dxfId="0" stopIfTrue="1">
      <formula>0.01</formula>
    </cfRule>
  </conditionalFormatting>
  <conditionalFormatting sqref="Z55">
    <cfRule type="cellIs" priority="1786" operator="lessThan" dxfId="1" stopIfTrue="1">
      <formula>-0.01</formula>
    </cfRule>
    <cfRule type="cellIs" priority="1787" operator="greaterThan" dxfId="0" stopIfTrue="1">
      <formula>0.01</formula>
    </cfRule>
  </conditionalFormatting>
  <conditionalFormatting sqref="V51:V55">
    <cfRule type="cellIs" priority="1784" operator="greaterThan" dxfId="1">
      <formula>0.03</formula>
    </cfRule>
    <cfRule type="cellIs" priority="1785" operator="lessThan" dxfId="0" stopIfTrue="1">
      <formula>-0.03</formula>
    </cfRule>
  </conditionalFormatting>
  <conditionalFormatting sqref="R52:T52">
    <cfRule type="dataBar" priority="1783">
      <dataBar>
        <cfvo type="min"/>
        <cfvo type="max"/>
        <color rgb="FF008AEF"/>
      </dataBar>
    </cfRule>
  </conditionalFormatting>
  <conditionalFormatting sqref="R53:T54">
    <cfRule type="dataBar" priority="1782">
      <dataBar>
        <cfvo type="min"/>
        <cfvo type="max"/>
        <color rgb="FF008AEF"/>
      </dataBar>
    </cfRule>
  </conditionalFormatting>
  <conditionalFormatting sqref="R55:T55">
    <cfRule type="dataBar" priority="1781">
      <dataBar>
        <cfvo type="min"/>
        <cfvo type="max"/>
        <color rgb="FF008AEF"/>
      </dataBar>
    </cfRule>
  </conditionalFormatting>
  <conditionalFormatting sqref="R51:U51 U52:U55">
    <cfRule type="dataBar" priority="1798">
      <dataBar>
        <cfvo type="min"/>
        <cfvo type="max"/>
        <color rgb="FF008AEF"/>
      </dataBar>
    </cfRule>
  </conditionalFormatting>
  <conditionalFormatting sqref="Z67:Z68">
    <cfRule type="cellIs" priority="1778" operator="lessThan" dxfId="1" stopIfTrue="1">
      <formula>-0.01</formula>
    </cfRule>
    <cfRule type="cellIs" priority="1779" operator="greaterThan" dxfId="0" stopIfTrue="1">
      <formula>0.01</formula>
    </cfRule>
  </conditionalFormatting>
  <conditionalFormatting sqref="AB62">
    <cfRule type="cellIs" priority="1774" operator="greaterThan" dxfId="1">
      <formula>0.03</formula>
    </cfRule>
    <cfRule type="cellIs" priority="1775" operator="lessThan" dxfId="0" stopIfTrue="1">
      <formula>-0.03</formula>
    </cfRule>
  </conditionalFormatting>
  <conditionalFormatting sqref="AB66">
    <cfRule type="cellIs" priority="1772" operator="lessThan" dxfId="1">
      <formula>-0.03</formula>
    </cfRule>
    <cfRule type="cellIs" priority="1773" operator="greaterThan" dxfId="0" stopIfTrue="1">
      <formula>0.03</formula>
    </cfRule>
  </conditionalFormatting>
  <conditionalFormatting sqref="Z62">
    <cfRule type="cellIs" priority="1770" operator="lessThan" dxfId="1" stopIfTrue="1">
      <formula>-0.01</formula>
    </cfRule>
    <cfRule type="cellIs" priority="1771" operator="greaterThan" dxfId="0" stopIfTrue="1">
      <formula>0.01</formula>
    </cfRule>
  </conditionalFormatting>
  <conditionalFormatting sqref="Z63">
    <cfRule type="cellIs" priority="1768" operator="lessThan" dxfId="1" stopIfTrue="1">
      <formula>-0.01</formula>
    </cfRule>
    <cfRule type="cellIs" priority="1769" operator="greaterThan" dxfId="0" stopIfTrue="1">
      <formula>0.01</formula>
    </cfRule>
  </conditionalFormatting>
  <conditionalFormatting sqref="Z64:Z65">
    <cfRule type="cellIs" priority="1766" operator="lessThan" dxfId="1" stopIfTrue="1">
      <formula>-0.01</formula>
    </cfRule>
    <cfRule type="cellIs" priority="1767" operator="greaterThan" dxfId="0" stopIfTrue="1">
      <formula>0.01</formula>
    </cfRule>
  </conditionalFormatting>
  <conditionalFormatting sqref="Z66">
    <cfRule type="cellIs" priority="1764" operator="lessThan" dxfId="1" stopIfTrue="1">
      <formula>-0.01</formula>
    </cfRule>
    <cfRule type="cellIs" priority="1765" operator="greaterThan" dxfId="0" stopIfTrue="1">
      <formula>0.01</formula>
    </cfRule>
  </conditionalFormatting>
  <conditionalFormatting sqref="V62:V66">
    <cfRule type="cellIs" priority="1762" operator="greaterThan" dxfId="1">
      <formula>0.03</formula>
    </cfRule>
    <cfRule type="cellIs" priority="1763" operator="lessThan" dxfId="0" stopIfTrue="1">
      <formula>-0.03</formula>
    </cfRule>
  </conditionalFormatting>
  <conditionalFormatting sqref="R63:T63">
    <cfRule type="dataBar" priority="1761">
      <dataBar>
        <cfvo type="min"/>
        <cfvo type="max"/>
        <color rgb="FF008AEF"/>
      </dataBar>
    </cfRule>
  </conditionalFormatting>
  <conditionalFormatting sqref="R64:T65">
    <cfRule type="dataBar" priority="1760">
      <dataBar>
        <cfvo type="min"/>
        <cfvo type="max"/>
        <color rgb="FF008AEF"/>
      </dataBar>
    </cfRule>
  </conditionalFormatting>
  <conditionalFormatting sqref="R66:T66">
    <cfRule type="dataBar" priority="1759">
      <dataBar>
        <cfvo type="min"/>
        <cfvo type="max"/>
        <color rgb="FF008AEF"/>
      </dataBar>
    </cfRule>
  </conditionalFormatting>
  <conditionalFormatting sqref="R62:U62 U63:U66">
    <cfRule type="dataBar" priority="1776">
      <dataBar>
        <cfvo type="min"/>
        <cfvo type="max"/>
        <color rgb="FF008AEF"/>
      </dataBar>
    </cfRule>
  </conditionalFormatting>
  <conditionalFormatting sqref="AB113">
    <cfRule type="cellIs" priority="1657" operator="greaterThan" dxfId="1">
      <formula>0.03</formula>
    </cfRule>
    <cfRule type="cellIs" priority="1658" operator="lessThan" dxfId="0" stopIfTrue="1">
      <formula>-0.03</formula>
    </cfRule>
  </conditionalFormatting>
  <conditionalFormatting sqref="AB116">
    <cfRule type="cellIs" priority="1655" operator="lessThan" dxfId="1">
      <formula>-0.03</formula>
    </cfRule>
    <cfRule type="cellIs" priority="1656" operator="greaterThan" dxfId="0" stopIfTrue="1">
      <formula>0.03</formula>
    </cfRule>
  </conditionalFormatting>
  <conditionalFormatting sqref="AB123">
    <cfRule type="cellIs" priority="1653" operator="greaterThan" dxfId="1">
      <formula>0.03</formula>
    </cfRule>
    <cfRule type="cellIs" priority="1654" operator="lessThan" dxfId="0" stopIfTrue="1">
      <formula>-0.03</formula>
    </cfRule>
  </conditionalFormatting>
  <conditionalFormatting sqref="AB126">
    <cfRule type="cellIs" priority="1651" operator="lessThan" dxfId="1">
      <formula>-0.03</formula>
    </cfRule>
    <cfRule type="cellIs" priority="1652" operator="greaterThan" dxfId="0" stopIfTrue="1">
      <formula>0.03</formula>
    </cfRule>
  </conditionalFormatting>
  <conditionalFormatting sqref="AB133">
    <cfRule type="cellIs" priority="1649" operator="greaterThan" dxfId="1">
      <formula>0.03</formula>
    </cfRule>
    <cfRule type="cellIs" priority="1650" operator="lessThan" dxfId="0" stopIfTrue="1">
      <formula>-0.03</formula>
    </cfRule>
  </conditionalFormatting>
  <conditionalFormatting sqref="AB136">
    <cfRule type="cellIs" priority="1647" operator="lessThan" dxfId="1">
      <formula>-0.03</formula>
    </cfRule>
    <cfRule type="cellIs" priority="1648" operator="greaterThan" dxfId="0" stopIfTrue="1">
      <formula>0.03</formula>
    </cfRule>
  </conditionalFormatting>
  <conditionalFormatting sqref="AB143">
    <cfRule type="cellIs" priority="1645" operator="greaterThan" dxfId="1">
      <formula>0.03</formula>
    </cfRule>
    <cfRule type="cellIs" priority="1646" operator="lessThan" dxfId="0" stopIfTrue="1">
      <formula>-0.03</formula>
    </cfRule>
  </conditionalFormatting>
  <conditionalFormatting sqref="AB146">
    <cfRule type="cellIs" priority="1643" operator="lessThan" dxfId="1">
      <formula>-0.03</formula>
    </cfRule>
    <cfRule type="cellIs" priority="1644" operator="greaterThan" dxfId="0" stopIfTrue="1">
      <formula>0.03</formula>
    </cfRule>
  </conditionalFormatting>
  <conditionalFormatting sqref="AB153">
    <cfRule type="cellIs" priority="1641" operator="greaterThan" dxfId="1">
      <formula>0.03</formula>
    </cfRule>
    <cfRule type="cellIs" priority="1642" operator="lessThan" dxfId="0" stopIfTrue="1">
      <formula>-0.03</formula>
    </cfRule>
  </conditionalFormatting>
  <conditionalFormatting sqref="AB156">
    <cfRule type="cellIs" priority="1639" operator="lessThan" dxfId="1">
      <formula>-0.03</formula>
    </cfRule>
    <cfRule type="cellIs" priority="1640" operator="greaterThan" dxfId="0" stopIfTrue="1">
      <formula>0.03</formula>
    </cfRule>
  </conditionalFormatting>
  <conditionalFormatting sqref="AB163">
    <cfRule type="cellIs" priority="1637" operator="greaterThan" dxfId="1">
      <formula>0.03</formula>
    </cfRule>
    <cfRule type="cellIs" priority="1638" operator="lessThan" dxfId="0" stopIfTrue="1">
      <formula>-0.03</formula>
    </cfRule>
  </conditionalFormatting>
  <conditionalFormatting sqref="AB166">
    <cfRule type="cellIs" priority="1635" operator="lessThan" dxfId="1">
      <formula>-0.03</formula>
    </cfRule>
    <cfRule type="cellIs" priority="1636" operator="greaterThan" dxfId="0" stopIfTrue="1">
      <formula>0.03</formula>
    </cfRule>
  </conditionalFormatting>
  <conditionalFormatting sqref="AB173">
    <cfRule type="cellIs" priority="1633" operator="greaterThan" dxfId="1">
      <formula>0.03</formula>
    </cfRule>
    <cfRule type="cellIs" priority="1634" operator="lessThan" dxfId="0" stopIfTrue="1">
      <formula>-0.03</formula>
    </cfRule>
  </conditionalFormatting>
  <conditionalFormatting sqref="AB176">
    <cfRule type="cellIs" priority="1631" operator="lessThan" dxfId="1">
      <formula>-0.03</formula>
    </cfRule>
    <cfRule type="cellIs" priority="1632" operator="greaterThan" dxfId="0" stopIfTrue="1">
      <formula>0.03</formula>
    </cfRule>
  </conditionalFormatting>
  <conditionalFormatting sqref="Z187:Z188">
    <cfRule type="cellIs" priority="1628" operator="lessThan" dxfId="1" stopIfTrue="1">
      <formula>-0.01</formula>
    </cfRule>
    <cfRule type="cellIs" priority="1629" operator="greaterThan" dxfId="0" stopIfTrue="1">
      <formula>0.01</formula>
    </cfRule>
  </conditionalFormatting>
  <conditionalFormatting sqref="R187:T188">
    <cfRule type="dataBar" priority="1626">
      <dataBar>
        <cfvo type="min"/>
        <cfvo type="max"/>
        <color rgb="FF008AEF"/>
      </dataBar>
    </cfRule>
  </conditionalFormatting>
  <conditionalFormatting sqref="U187:U188">
    <cfRule type="dataBar" priority="1630">
      <dataBar>
        <cfvo type="min"/>
        <cfvo type="max"/>
        <color rgb="FF008AEF"/>
      </dataBar>
    </cfRule>
  </conditionalFormatting>
  <conditionalFormatting sqref="AB183">
    <cfRule type="cellIs" priority="1623" operator="greaterThan" dxfId="1">
      <formula>0.03</formula>
    </cfRule>
    <cfRule type="cellIs" priority="1624" operator="lessThan" dxfId="0" stopIfTrue="1">
      <formula>-0.03</formula>
    </cfRule>
  </conditionalFormatting>
  <conditionalFormatting sqref="AB186">
    <cfRule type="cellIs" priority="1621" operator="lessThan" dxfId="1">
      <formula>-0.03</formula>
    </cfRule>
    <cfRule type="cellIs" priority="1622" operator="greaterThan" dxfId="0" stopIfTrue="1">
      <formula>0.03</formula>
    </cfRule>
  </conditionalFormatting>
  <conditionalFormatting sqref="Z183">
    <cfRule type="cellIs" priority="1618" operator="lessThan" dxfId="1" stopIfTrue="1">
      <formula>-0.01</formula>
    </cfRule>
    <cfRule type="cellIs" priority="1619" operator="greaterThan" dxfId="0" stopIfTrue="1">
      <formula>0.01</formula>
    </cfRule>
  </conditionalFormatting>
  <conditionalFormatting sqref="Z184">
    <cfRule type="cellIs" priority="1616" operator="lessThan" dxfId="1" stopIfTrue="1">
      <formula>-0.01</formula>
    </cfRule>
    <cfRule type="cellIs" priority="1617" operator="greaterThan" dxfId="0" stopIfTrue="1">
      <formula>0.01</formula>
    </cfRule>
  </conditionalFormatting>
  <conditionalFormatting sqref="Z185">
    <cfRule type="cellIs" priority="1614" operator="lessThan" dxfId="1" stopIfTrue="1">
      <formula>-0.01</formula>
    </cfRule>
    <cfRule type="cellIs" priority="1615" operator="greaterThan" dxfId="0" stopIfTrue="1">
      <formula>0.01</formula>
    </cfRule>
  </conditionalFormatting>
  <conditionalFormatting sqref="Z186">
    <cfRule type="cellIs" priority="1612" operator="lessThan" dxfId="1" stopIfTrue="1">
      <formula>-0.01</formula>
    </cfRule>
    <cfRule type="cellIs" priority="1613" operator="greaterThan" dxfId="0" stopIfTrue="1">
      <formula>0.01</formula>
    </cfRule>
  </conditionalFormatting>
  <conditionalFormatting sqref="V183:V186">
    <cfRule type="cellIs" priority="1610" operator="greaterThan" dxfId="1">
      <formula>0.03</formula>
    </cfRule>
    <cfRule type="cellIs" priority="1611" operator="lessThan" dxfId="0" stopIfTrue="1">
      <formula>-0.03</formula>
    </cfRule>
  </conditionalFormatting>
  <conditionalFormatting sqref="R184:T184">
    <cfRule type="dataBar" priority="1606">
      <dataBar>
        <cfvo type="min"/>
        <cfvo type="max"/>
        <color rgb="FF008AEF"/>
      </dataBar>
    </cfRule>
  </conditionalFormatting>
  <conditionalFormatting sqref="R185:T185">
    <cfRule type="dataBar" priority="1605">
      <dataBar>
        <cfvo type="min"/>
        <cfvo type="max"/>
        <color rgb="FF008AEF"/>
      </dataBar>
    </cfRule>
  </conditionalFormatting>
  <conditionalFormatting sqref="R186:T186">
    <cfRule type="dataBar" priority="1604">
      <dataBar>
        <cfvo type="min"/>
        <cfvo type="max"/>
        <color rgb="FF008AEF"/>
      </dataBar>
    </cfRule>
  </conditionalFormatting>
  <conditionalFormatting sqref="R183:U183 U184:U186">
    <cfRule type="dataBar" priority="1625">
      <dataBar>
        <cfvo type="min"/>
        <cfvo type="max"/>
        <color rgb="FF008AEF"/>
      </dataBar>
    </cfRule>
  </conditionalFormatting>
  <conditionalFormatting sqref="R67:T68">
    <cfRule type="dataBar" priority="1896">
      <dataBar>
        <cfvo type="min"/>
        <cfvo type="max"/>
        <color rgb="FF008AEF"/>
      </dataBar>
    </cfRule>
  </conditionalFormatting>
  <conditionalFormatting sqref="U67:U68">
    <cfRule type="dataBar" priority="1897">
      <dataBar>
        <cfvo type="min"/>
        <cfvo type="max"/>
        <color rgb="FF008AEF"/>
      </dataBar>
    </cfRule>
  </conditionalFormatting>
  <conditionalFormatting sqref="Z78:Z79">
    <cfRule type="cellIs" priority="1040" operator="lessThan" dxfId="1" stopIfTrue="1">
      <formula>-0.01</formula>
    </cfRule>
    <cfRule type="cellIs" priority="1041" operator="greaterThan" dxfId="0" stopIfTrue="1">
      <formula>0.01</formula>
    </cfRule>
  </conditionalFormatting>
  <conditionalFormatting sqref="AB73">
    <cfRule type="cellIs" priority="1037" operator="greaterThan" dxfId="1">
      <formula>0.03</formula>
    </cfRule>
    <cfRule type="cellIs" priority="1038" operator="lessThan" dxfId="0" stopIfTrue="1">
      <formula>-0.03</formula>
    </cfRule>
  </conditionalFormatting>
  <conditionalFormatting sqref="AB77">
    <cfRule type="cellIs" priority="1035" operator="lessThan" dxfId="1">
      <formula>-0.03</formula>
    </cfRule>
    <cfRule type="cellIs" priority="1036" operator="greaterThan" dxfId="0" stopIfTrue="1">
      <formula>0.03</formula>
    </cfRule>
  </conditionalFormatting>
  <conditionalFormatting sqref="Z73">
    <cfRule type="cellIs" priority="1033" operator="lessThan" dxfId="1" stopIfTrue="1">
      <formula>-0.01</formula>
    </cfRule>
    <cfRule type="cellIs" priority="1034" operator="greaterThan" dxfId="0" stopIfTrue="1">
      <formula>0.01</formula>
    </cfRule>
  </conditionalFormatting>
  <conditionalFormatting sqref="Z74">
    <cfRule type="cellIs" priority="1031" operator="lessThan" dxfId="1" stopIfTrue="1">
      <formula>-0.01</formula>
    </cfRule>
    <cfRule type="cellIs" priority="1032" operator="greaterThan" dxfId="0" stopIfTrue="1">
      <formula>0.01</formula>
    </cfRule>
  </conditionalFormatting>
  <conditionalFormatting sqref="Z75:Z76">
    <cfRule type="cellIs" priority="1029" operator="lessThan" dxfId="1" stopIfTrue="1">
      <formula>-0.01</formula>
    </cfRule>
    <cfRule type="cellIs" priority="1030" operator="greaterThan" dxfId="0" stopIfTrue="1">
      <formula>0.01</formula>
    </cfRule>
  </conditionalFormatting>
  <conditionalFormatting sqref="Z77">
    <cfRule type="cellIs" priority="1027" operator="lessThan" dxfId="1" stopIfTrue="1">
      <formula>-0.01</formula>
    </cfRule>
    <cfRule type="cellIs" priority="1028" operator="greaterThan" dxfId="0" stopIfTrue="1">
      <formula>0.01</formula>
    </cfRule>
  </conditionalFormatting>
  <conditionalFormatting sqref="V73:V77">
    <cfRule type="cellIs" priority="1025" operator="greaterThan" dxfId="1">
      <formula>0.03</formula>
    </cfRule>
    <cfRule type="cellIs" priority="1026" operator="lessThan" dxfId="0" stopIfTrue="1">
      <formula>-0.03</formula>
    </cfRule>
  </conditionalFormatting>
  <conditionalFormatting sqref="R74:T74">
    <cfRule type="dataBar" priority="1024">
      <dataBar>
        <cfvo type="min"/>
        <cfvo type="max"/>
        <color rgb="FF008AEF"/>
      </dataBar>
    </cfRule>
  </conditionalFormatting>
  <conditionalFormatting sqref="R75:T76">
    <cfRule type="dataBar" priority="1023">
      <dataBar>
        <cfvo type="min"/>
        <cfvo type="max"/>
        <color rgb="FF008AEF"/>
      </dataBar>
    </cfRule>
  </conditionalFormatting>
  <conditionalFormatting sqref="R77:T77">
    <cfRule type="dataBar" priority="1022">
      <dataBar>
        <cfvo type="min"/>
        <cfvo type="max"/>
        <color rgb="FF008AEF"/>
      </dataBar>
    </cfRule>
  </conditionalFormatting>
  <conditionalFormatting sqref="R73:U73 U74:U77">
    <cfRule type="dataBar" priority="1039">
      <dataBar>
        <cfvo type="min"/>
        <cfvo type="max"/>
        <color rgb="FF008AEF"/>
      </dataBar>
    </cfRule>
  </conditionalFormatting>
  <conditionalFormatting sqref="R78:T79">
    <cfRule type="dataBar" priority="1042">
      <dataBar>
        <cfvo type="min"/>
        <cfvo type="max"/>
        <color rgb="FF008AEF"/>
      </dataBar>
    </cfRule>
  </conditionalFormatting>
  <conditionalFormatting sqref="U78:U79">
    <cfRule type="dataBar" priority="1043">
      <dataBar>
        <cfvo type="min"/>
        <cfvo type="max"/>
        <color rgb="FF008AEF"/>
      </dataBar>
    </cfRule>
  </conditionalFormatting>
  <conditionalFormatting sqref="Z89:Z90">
    <cfRule type="cellIs" priority="989" operator="lessThan" dxfId="1" stopIfTrue="1">
      <formula>-0.01</formula>
    </cfRule>
    <cfRule type="cellIs" priority="990" operator="greaterThan" dxfId="0" stopIfTrue="1">
      <formula>0.01</formula>
    </cfRule>
  </conditionalFormatting>
  <conditionalFormatting sqref="AB84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88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84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85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86:Z87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88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84:V88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85:T85">
    <cfRule type="dataBar" priority="973">
      <dataBar>
        <cfvo type="min"/>
        <cfvo type="max"/>
        <color rgb="FF008AEF"/>
      </dataBar>
    </cfRule>
  </conditionalFormatting>
  <conditionalFormatting sqref="R86:T87">
    <cfRule type="dataBar" priority="972">
      <dataBar>
        <cfvo type="min"/>
        <cfvo type="max"/>
        <color rgb="FF008AEF"/>
      </dataBar>
    </cfRule>
  </conditionalFormatting>
  <conditionalFormatting sqref="R88:T88">
    <cfRule type="dataBar" priority="971">
      <dataBar>
        <cfvo type="min"/>
        <cfvo type="max"/>
        <color rgb="FF008AEF"/>
      </dataBar>
    </cfRule>
  </conditionalFormatting>
  <conditionalFormatting sqref="R84:U84 U85:U88">
    <cfRule type="dataBar" priority="988">
      <dataBar>
        <cfvo type="min"/>
        <cfvo type="max"/>
        <color rgb="FF008AEF"/>
      </dataBar>
    </cfRule>
  </conditionalFormatting>
  <conditionalFormatting sqref="R89:T90">
    <cfRule type="dataBar" priority="991">
      <dataBar>
        <cfvo type="min"/>
        <cfvo type="max"/>
        <color rgb="FF008AEF"/>
      </dataBar>
    </cfRule>
  </conditionalFormatting>
  <conditionalFormatting sqref="U89:U90">
    <cfRule type="dataBar" priority="992">
      <dataBar>
        <cfvo type="min"/>
        <cfvo type="max"/>
        <color rgb="FF008AEF"/>
      </dataBar>
    </cfRule>
  </conditionalFormatting>
  <conditionalFormatting sqref="Z100:Z101">
    <cfRule type="cellIs" priority="938" operator="lessThan" dxfId="1" stopIfTrue="1">
      <formula>-0.01</formula>
    </cfRule>
    <cfRule type="cellIs" priority="939" operator="greaterThan" dxfId="0" stopIfTrue="1">
      <formula>0.01</formula>
    </cfRule>
  </conditionalFormatting>
  <conditionalFormatting sqref="AB95">
    <cfRule type="cellIs" priority="935" operator="greaterThan" dxfId="1">
      <formula>0.03</formula>
    </cfRule>
    <cfRule type="cellIs" priority="936" operator="lessThan" dxfId="0" stopIfTrue="1">
      <formula>-0.03</formula>
    </cfRule>
  </conditionalFormatting>
  <conditionalFormatting sqref="AB99">
    <cfRule type="cellIs" priority="933" operator="lessThan" dxfId="1">
      <formula>-0.03</formula>
    </cfRule>
    <cfRule type="cellIs" priority="934" operator="greaterThan" dxfId="0" stopIfTrue="1">
      <formula>0.03</formula>
    </cfRule>
  </conditionalFormatting>
  <conditionalFormatting sqref="Z95">
    <cfRule type="cellIs" priority="931" operator="lessThan" dxfId="1" stopIfTrue="1">
      <formula>-0.01</formula>
    </cfRule>
    <cfRule type="cellIs" priority="932" operator="greaterThan" dxfId="0" stopIfTrue="1">
      <formula>0.01</formula>
    </cfRule>
  </conditionalFormatting>
  <conditionalFormatting sqref="Z96">
    <cfRule type="cellIs" priority="929" operator="lessThan" dxfId="1" stopIfTrue="1">
      <formula>-0.01</formula>
    </cfRule>
    <cfRule type="cellIs" priority="930" operator="greaterThan" dxfId="0" stopIfTrue="1">
      <formula>0.01</formula>
    </cfRule>
  </conditionalFormatting>
  <conditionalFormatting sqref="Z97:Z98">
    <cfRule type="cellIs" priority="927" operator="lessThan" dxfId="1" stopIfTrue="1">
      <formula>-0.01</formula>
    </cfRule>
    <cfRule type="cellIs" priority="928" operator="greaterThan" dxfId="0" stopIfTrue="1">
      <formula>0.01</formula>
    </cfRule>
  </conditionalFormatting>
  <conditionalFormatting sqref="Z99">
    <cfRule type="cellIs" priority="925" operator="lessThan" dxfId="1" stopIfTrue="1">
      <formula>-0.01</formula>
    </cfRule>
    <cfRule type="cellIs" priority="926" operator="greaterThan" dxfId="0" stopIfTrue="1">
      <formula>0.01</formula>
    </cfRule>
  </conditionalFormatting>
  <conditionalFormatting sqref="V95:V99">
    <cfRule type="cellIs" priority="923" operator="greaterThan" dxfId="1">
      <formula>0.03</formula>
    </cfRule>
    <cfRule type="cellIs" priority="924" operator="lessThan" dxfId="0" stopIfTrue="1">
      <formula>-0.03</formula>
    </cfRule>
  </conditionalFormatting>
  <conditionalFormatting sqref="R96:T96">
    <cfRule type="dataBar" priority="922">
      <dataBar>
        <cfvo type="min"/>
        <cfvo type="max"/>
        <color rgb="FF008AEF"/>
      </dataBar>
    </cfRule>
  </conditionalFormatting>
  <conditionalFormatting sqref="R97:T98">
    <cfRule type="dataBar" priority="921">
      <dataBar>
        <cfvo type="min"/>
        <cfvo type="max"/>
        <color rgb="FF008AEF"/>
      </dataBar>
    </cfRule>
  </conditionalFormatting>
  <conditionalFormatting sqref="R99:T99">
    <cfRule type="dataBar" priority="920">
      <dataBar>
        <cfvo type="min"/>
        <cfvo type="max"/>
        <color rgb="FF008AEF"/>
      </dataBar>
    </cfRule>
  </conditionalFormatting>
  <conditionalFormatting sqref="R95:U95 U96:U99">
    <cfRule type="dataBar" priority="937">
      <dataBar>
        <cfvo type="min"/>
        <cfvo type="max"/>
        <color rgb="FF008AEF"/>
      </dataBar>
    </cfRule>
  </conditionalFormatting>
  <conditionalFormatting sqref="R100:T101">
    <cfRule type="dataBar" priority="940">
      <dataBar>
        <cfvo type="min"/>
        <cfvo type="max"/>
        <color rgb="FF008AEF"/>
      </dataBar>
    </cfRule>
  </conditionalFormatting>
  <conditionalFormatting sqref="U100:U101">
    <cfRule type="dataBar" priority="941">
      <dataBar>
        <cfvo type="min"/>
        <cfvo type="max"/>
        <color rgb="FF008AEF"/>
      </dataBar>
    </cfRule>
  </conditionalFormatting>
  <conditionalFormatting sqref="Z111:Z112">
    <cfRule type="cellIs" priority="887" operator="lessThan" dxfId="1" stopIfTrue="1">
      <formula>-0.01</formula>
    </cfRule>
    <cfRule type="cellIs" priority="888" operator="greaterThan" dxfId="0" stopIfTrue="1">
      <formula>0.01</formula>
    </cfRule>
  </conditionalFormatting>
  <conditionalFormatting sqref="AB106">
    <cfRule type="cellIs" priority="884" operator="greaterThan" dxfId="1">
      <formula>0.03</formula>
    </cfRule>
    <cfRule type="cellIs" priority="885" operator="lessThan" dxfId="0" stopIfTrue="1">
      <formula>-0.03</formula>
    </cfRule>
  </conditionalFormatting>
  <conditionalFormatting sqref="AB110">
    <cfRule type="cellIs" priority="882" operator="lessThan" dxfId="1">
      <formula>-0.03</formula>
    </cfRule>
    <cfRule type="cellIs" priority="883" operator="greaterThan" dxfId="0" stopIfTrue="1">
      <formula>0.03</formula>
    </cfRule>
  </conditionalFormatting>
  <conditionalFormatting sqref="Z106">
    <cfRule type="cellIs" priority="880" operator="lessThan" dxfId="1" stopIfTrue="1">
      <formula>-0.01</formula>
    </cfRule>
    <cfRule type="cellIs" priority="881" operator="greaterThan" dxfId="0" stopIfTrue="1">
      <formula>0.01</formula>
    </cfRule>
  </conditionalFormatting>
  <conditionalFormatting sqref="Z107">
    <cfRule type="cellIs" priority="878" operator="lessThan" dxfId="1" stopIfTrue="1">
      <formula>-0.01</formula>
    </cfRule>
    <cfRule type="cellIs" priority="879" operator="greaterThan" dxfId="0" stopIfTrue="1">
      <formula>0.01</formula>
    </cfRule>
  </conditionalFormatting>
  <conditionalFormatting sqref="Z108:Z109">
    <cfRule type="cellIs" priority="876" operator="lessThan" dxfId="1" stopIfTrue="1">
      <formula>-0.01</formula>
    </cfRule>
    <cfRule type="cellIs" priority="877" operator="greaterThan" dxfId="0" stopIfTrue="1">
      <formula>0.01</formula>
    </cfRule>
  </conditionalFormatting>
  <conditionalFormatting sqref="Z110">
    <cfRule type="cellIs" priority="874" operator="lessThan" dxfId="1" stopIfTrue="1">
      <formula>-0.01</formula>
    </cfRule>
    <cfRule type="cellIs" priority="875" operator="greaterThan" dxfId="0" stopIfTrue="1">
      <formula>0.01</formula>
    </cfRule>
  </conditionalFormatting>
  <conditionalFormatting sqref="V106:V110">
    <cfRule type="cellIs" priority="872" operator="greaterThan" dxfId="1">
      <formula>0.03</formula>
    </cfRule>
    <cfRule type="cellIs" priority="873" operator="lessThan" dxfId="0" stopIfTrue="1">
      <formula>-0.03</formula>
    </cfRule>
  </conditionalFormatting>
  <conditionalFormatting sqref="R107:T107">
    <cfRule type="dataBar" priority="871">
      <dataBar>
        <cfvo type="min"/>
        <cfvo type="max"/>
        <color rgb="FF008AEF"/>
      </dataBar>
    </cfRule>
  </conditionalFormatting>
  <conditionalFormatting sqref="R108:T109">
    <cfRule type="dataBar" priority="870">
      <dataBar>
        <cfvo type="min"/>
        <cfvo type="max"/>
        <color rgb="FF008AEF"/>
      </dataBar>
    </cfRule>
  </conditionalFormatting>
  <conditionalFormatting sqref="R110:T110">
    <cfRule type="dataBar" priority="869">
      <dataBar>
        <cfvo type="min"/>
        <cfvo type="max"/>
        <color rgb="FF008AEF"/>
      </dataBar>
    </cfRule>
  </conditionalFormatting>
  <conditionalFormatting sqref="R106:U106 U107:U110">
    <cfRule type="dataBar" priority="886">
      <dataBar>
        <cfvo type="min"/>
        <cfvo type="max"/>
        <color rgb="FF008AEF"/>
      </dataBar>
    </cfRule>
  </conditionalFormatting>
  <conditionalFormatting sqref="R111:T112">
    <cfRule type="dataBar" priority="889">
      <dataBar>
        <cfvo type="min"/>
        <cfvo type="max"/>
        <color rgb="FF008AEF"/>
      </dataBar>
    </cfRule>
  </conditionalFormatting>
  <conditionalFormatting sqref="U111:U112">
    <cfRule type="dataBar" priority="890">
      <dataBar>
        <cfvo type="min"/>
        <cfvo type="max"/>
        <color rgb="FF008AEF"/>
      </dataBar>
    </cfRule>
  </conditionalFormatting>
  <conditionalFormatting sqref="U8:U11">
    <cfRule type="dataBar" priority="840">
      <dataBar>
        <cfvo type="min"/>
        <cfvo type="max"/>
        <color rgb="FF008AEF"/>
      </dataBar>
    </cfRule>
  </conditionalFormatting>
  <conditionalFormatting sqref="Z12:Z14">
    <cfRule type="cellIs" priority="837" operator="lessThan" dxfId="1" stopIfTrue="1">
      <formula>-0.01</formula>
    </cfRule>
    <cfRule type="cellIs" priority="838" operator="greaterThan" dxfId="0" stopIfTrue="1">
      <formula>0.01</formula>
    </cfRule>
  </conditionalFormatting>
  <conditionalFormatting sqref="I14">
    <cfRule type="dataBar" priority="836">
      <dataBar>
        <cfvo type="min"/>
        <cfvo type="max"/>
        <color rgb="FF008AEF"/>
      </dataBar>
    </cfRule>
  </conditionalFormatting>
  <conditionalFormatting sqref="R12:T14">
    <cfRule type="dataBar" priority="835">
      <dataBar>
        <cfvo type="min"/>
        <cfvo type="max"/>
        <color rgb="FF008AEF"/>
      </dataBar>
    </cfRule>
  </conditionalFormatting>
  <conditionalFormatting sqref="U12:U14">
    <cfRule type="dataBar" priority="839">
      <dataBar>
        <cfvo type="min"/>
        <cfvo type="max"/>
        <color rgb="FF008AEF"/>
      </dataBar>
    </cfRule>
  </conditionalFormatting>
  <conditionalFormatting sqref="AB7">
    <cfRule type="cellIs" priority="832" operator="greaterThan" dxfId="1">
      <formula>0.03</formula>
    </cfRule>
    <cfRule type="cellIs" priority="833" operator="lessThan" dxfId="0" stopIfTrue="1">
      <formula>-0.03</formula>
    </cfRule>
  </conditionalFormatting>
  <conditionalFormatting sqref="AB11">
    <cfRule type="cellIs" priority="830" operator="lessThan" dxfId="1">
      <formula>-0.03</formula>
    </cfRule>
    <cfRule type="cellIs" priority="831" operator="greaterThan" dxfId="0" stopIfTrue="1">
      <formula>0.03</formula>
    </cfRule>
  </conditionalFormatting>
  <conditionalFormatting sqref="Z7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8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9:Z10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Z11">
    <cfRule type="cellIs" priority="822" operator="lessThan" dxfId="1" stopIfTrue="1">
      <formula>-0.01</formula>
    </cfRule>
    <cfRule type="cellIs" priority="823" operator="greaterThan" dxfId="0" stopIfTrue="1">
      <formula>0.01</formula>
    </cfRule>
  </conditionalFormatting>
  <conditionalFormatting sqref="V7:V11">
    <cfRule type="cellIs" priority="820" operator="greaterThan" dxfId="1">
      <formula>0.03</formula>
    </cfRule>
    <cfRule type="cellIs" priority="821" operator="lessThan" dxfId="0" stopIfTrue="1">
      <formula>-0.03</formula>
    </cfRule>
  </conditionalFormatting>
  <conditionalFormatting sqref="R8:T8">
    <cfRule type="dataBar" priority="819">
      <dataBar>
        <cfvo type="min"/>
        <cfvo type="max"/>
        <color rgb="FF008AEF"/>
      </dataBar>
    </cfRule>
  </conditionalFormatting>
  <conditionalFormatting sqref="R9:T10">
    <cfRule type="dataBar" priority="818">
      <dataBar>
        <cfvo type="min"/>
        <cfvo type="max"/>
        <color rgb="FF008AEF"/>
      </dataBar>
    </cfRule>
  </conditionalFormatting>
  <conditionalFormatting sqref="R11:T11">
    <cfRule type="dataBar" priority="817">
      <dataBar>
        <cfvo type="min"/>
        <cfvo type="max"/>
        <color rgb="FF008AEF"/>
      </dataBar>
    </cfRule>
  </conditionalFormatting>
  <conditionalFormatting sqref="R7:U7">
    <cfRule type="dataBar" priority="834">
      <dataBar>
        <cfvo type="min"/>
        <cfvo type="max"/>
        <color rgb="FF008AEF"/>
      </dataBar>
    </cfRule>
  </conditionalFormatting>
  <conditionalFormatting sqref="N14">
    <cfRule type="cellIs" priority="813" operator="lessThan" dxfId="1" stopIfTrue="1">
      <formula>-0.01</formula>
    </cfRule>
    <cfRule type="cellIs" priority="814" operator="greaterThan" dxfId="0" stopIfTrue="1">
      <formula>0.01</formula>
    </cfRule>
  </conditionalFormatting>
  <conditionalFormatting sqref="I5">
    <cfRule type="dataBar" priority="787">
      <dataBar>
        <cfvo type="min"/>
        <cfvo type="max"/>
        <color rgb="FF008AEF"/>
      </dataBar>
    </cfRule>
  </conditionalFormatting>
  <conditionalFormatting sqref="I6">
    <cfRule type="dataBar" priority="786">
      <dataBar>
        <cfvo type="min"/>
        <cfvo type="max"/>
        <color rgb="FF008AEF"/>
      </dataBar>
    </cfRule>
  </conditionalFormatting>
  <conditionalFormatting sqref="N13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I12">
    <cfRule type="dataBar" priority="783">
      <dataBar>
        <cfvo type="min"/>
        <cfvo type="max"/>
        <color rgb="FF008AEF"/>
      </dataBar>
    </cfRule>
  </conditionalFormatting>
  <conditionalFormatting sqref="I7">
    <cfRule type="dataBar" priority="782">
      <dataBar>
        <cfvo type="min"/>
        <cfvo type="max"/>
        <color rgb="FF008AEF"/>
      </dataBar>
    </cfRule>
    <cfRule type="dataBar" priority="777">
      <dataBar>
        <cfvo type="min"/>
        <cfvo type="max"/>
        <color rgb="FF008AEF"/>
      </dataBar>
    </cfRule>
  </conditionalFormatting>
  <conditionalFormatting sqref="I8">
    <cfRule type="dataBar" priority="781">
      <dataBar>
        <cfvo type="min"/>
        <cfvo type="max"/>
        <color rgb="FF008AEF"/>
      </dataBar>
    </cfRule>
    <cfRule type="dataBar" priority="776">
      <dataBar>
        <cfvo type="min"/>
        <cfvo type="max"/>
        <color rgb="FF008AEF"/>
      </dataBar>
    </cfRule>
  </conditionalFormatting>
  <conditionalFormatting sqref="I9:I10">
    <cfRule type="dataBar" priority="780">
      <dataBar>
        <cfvo type="min"/>
        <cfvo type="max"/>
        <color rgb="FF008AEF"/>
      </dataBar>
    </cfRule>
  </conditionalFormatting>
  <conditionalFormatting sqref="I11">
    <cfRule type="dataBar" priority="779">
      <dataBar>
        <cfvo type="min"/>
        <cfvo type="max"/>
        <color rgb="FF008AEF"/>
      </dataBar>
    </cfRule>
  </conditionalFormatting>
  <conditionalFormatting sqref="I9:I11">
    <cfRule type="dataBar" priority="778">
      <dataBar>
        <cfvo type="min"/>
        <cfvo type="max"/>
        <color rgb="FF008AEF"/>
      </dataBar>
    </cfRule>
  </conditionalFormatting>
  <conditionalFormatting sqref="J7:J11">
    <cfRule type="cellIs" priority="774" operator="greaterThan" dxfId="1">
      <formula>0.03</formula>
    </cfRule>
    <cfRule type="cellIs" priority="775" operator="lessThan" dxfId="0" stopIfTrue="1">
      <formula>-0.03</formula>
    </cfRule>
  </conditionalFormatting>
  <conditionalFormatting sqref="N12">
    <cfRule type="cellIs" priority="772" operator="lessThan" dxfId="1" stopIfTrue="1">
      <formula>-0.01</formula>
    </cfRule>
    <cfRule type="cellIs" priority="773" operator="greaterThan" dxfId="0" stopIfTrue="1">
      <formula>0.01</formula>
    </cfRule>
  </conditionalFormatting>
  <conditionalFormatting sqref="N7">
    <cfRule type="cellIs" priority="770" operator="lessThan" dxfId="1" stopIfTrue="1">
      <formula>-0.01</formula>
    </cfRule>
    <cfRule type="cellIs" priority="771" operator="greaterThan" dxfId="0" stopIfTrue="1">
      <formula>0.01</formula>
    </cfRule>
  </conditionalFormatting>
  <conditionalFormatting sqref="N8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N9:N11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P7">
    <cfRule type="cellIs" priority="762" operator="greaterThan" dxfId="1">
      <formula>0.03</formula>
    </cfRule>
    <cfRule type="cellIs" priority="763" operator="lessThan" dxfId="0" stopIfTrue="1">
      <formula>-0.03</formula>
    </cfRule>
  </conditionalFormatting>
  <conditionalFormatting sqref="P11">
    <cfRule type="cellIs" priority="760" operator="lessThan" dxfId="1">
      <formula>-0.03</formula>
    </cfRule>
    <cfRule type="cellIs" priority="761" operator="greaterThan" dxfId="0" stopIfTrue="1">
      <formula>0.03</formula>
    </cfRule>
  </conditionalFormatting>
  <conditionalFormatting sqref="I13">
    <cfRule type="dataBar" priority="788">
      <dataBar>
        <cfvo type="min"/>
        <cfvo type="max"/>
        <color rgb="FF008AEF"/>
      </dataBar>
    </cfRule>
  </conditionalFormatting>
  <conditionalFormatting sqref="P10">
    <cfRule type="cellIs" priority="729" operator="greaterThan" dxfId="1">
      <formula>0.03</formula>
    </cfRule>
    <cfRule type="cellIs" priority="730" operator="lessThan" dxfId="0" stopIfTrue="1">
      <formula>-0.03</formula>
    </cfRule>
  </conditionalFormatting>
  <conditionalFormatting sqref="I16">
    <cfRule type="dataBar" priority="727">
      <dataBar>
        <cfvo type="min"/>
        <cfvo type="max"/>
        <color rgb="FF008AEF"/>
      </dataBar>
    </cfRule>
  </conditionalFormatting>
  <conditionalFormatting sqref="I17">
    <cfRule type="dataBar" priority="726">
      <dataBar>
        <cfvo type="min"/>
        <cfvo type="max"/>
        <color rgb="FF008AEF"/>
      </dataBar>
    </cfRule>
  </conditionalFormatting>
  <conditionalFormatting sqref="N24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I23">
    <cfRule type="dataBar" priority="723">
      <dataBar>
        <cfvo type="min"/>
        <cfvo type="max"/>
        <color rgb="FF008AEF"/>
      </dataBar>
    </cfRule>
  </conditionalFormatting>
  <conditionalFormatting sqref="I18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19">
    <cfRule type="dataBar" priority="721">
      <dataBar>
        <cfvo type="min"/>
        <cfvo type="max"/>
        <color rgb="FF008AEF"/>
      </dataBar>
    </cfRule>
    <cfRule type="dataBar" priority="716">
      <dataBar>
        <cfvo type="min"/>
        <cfvo type="max"/>
        <color rgb="FF008AEF"/>
      </dataBar>
    </cfRule>
  </conditionalFormatting>
  <conditionalFormatting sqref="I20:I21">
    <cfRule type="dataBar" priority="720">
      <dataBar>
        <cfvo type="min"/>
        <cfvo type="max"/>
        <color rgb="FF008AEF"/>
      </dataBar>
    </cfRule>
  </conditionalFormatting>
  <conditionalFormatting sqref="I22">
    <cfRule type="dataBar" priority="719">
      <dataBar>
        <cfvo type="min"/>
        <cfvo type="max"/>
        <color rgb="FF008AEF"/>
      </dataBar>
    </cfRule>
  </conditionalFormatting>
  <conditionalFormatting sqref="I20:I22">
    <cfRule type="dataBar" priority="718">
      <dataBar>
        <cfvo type="min"/>
        <cfvo type="max"/>
        <color rgb="FF008AEF"/>
      </dataBar>
    </cfRule>
  </conditionalFormatting>
  <conditionalFormatting sqref="J18:J22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N23">
    <cfRule type="cellIs" priority="712" operator="lessThan" dxfId="1" stopIfTrue="1">
      <formula>-0.01</formula>
    </cfRule>
    <cfRule type="cellIs" priority="713" operator="greaterThan" dxfId="0" stopIfTrue="1">
      <formula>0.01</formula>
    </cfRule>
  </conditionalFormatting>
  <conditionalFormatting sqref="N1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N19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N20:N22">
    <cfRule type="cellIs" priority="706" operator="lessThan" dxfId="1" stopIfTrue="1">
      <formula>-0.01</formula>
    </cfRule>
    <cfRule type="cellIs" priority="707" operator="greaterThan" dxfId="0" stopIfTrue="1">
      <formula>0.01</formula>
    </cfRule>
  </conditionalFormatting>
  <conditionalFormatting sqref="P18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P22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I24">
    <cfRule type="dataBar" priority="728">
      <dataBar>
        <cfvo type="min"/>
        <cfvo type="max"/>
        <color rgb="FF008AEF"/>
      </dataBar>
    </cfRule>
  </conditionalFormatting>
  <conditionalFormatting sqref="P21">
    <cfRule type="cellIs" priority="700" operator="greaterThan" dxfId="1">
      <formula>0.03</formula>
    </cfRule>
    <cfRule type="cellIs" priority="701" operator="lessThan" dxfId="0" stopIfTrue="1">
      <formula>-0.03</formula>
    </cfRule>
  </conditionalFormatting>
  <conditionalFormatting sqref="I27">
    <cfRule type="dataBar" priority="698">
      <dataBar>
        <cfvo type="min"/>
        <cfvo type="max"/>
        <color rgb="FF008AEF"/>
      </dataBar>
    </cfRule>
  </conditionalFormatting>
  <conditionalFormatting sqref="I28">
    <cfRule type="dataBar" priority="697">
      <dataBar>
        <cfvo type="min"/>
        <cfvo type="max"/>
        <color rgb="FF008AEF"/>
      </dataBar>
    </cfRule>
  </conditionalFormatting>
  <conditionalFormatting sqref="N35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I34">
    <cfRule type="dataBar" priority="694">
      <dataBar>
        <cfvo type="min"/>
        <cfvo type="max"/>
        <color rgb="FF008AEF"/>
      </dataBar>
    </cfRule>
  </conditionalFormatting>
  <conditionalFormatting sqref="I29">
    <cfRule type="dataBar" priority="693">
      <dataBar>
        <cfvo type="min"/>
        <cfvo type="max"/>
        <color rgb="FF008AEF"/>
      </dataBar>
    </cfRule>
    <cfRule type="dataBar" priority="688">
      <dataBar>
        <cfvo type="min"/>
        <cfvo type="max"/>
        <color rgb="FF008AEF"/>
      </dataBar>
    </cfRule>
  </conditionalFormatting>
  <conditionalFormatting sqref="I30">
    <cfRule type="dataBar" priority="692">
      <dataBar>
        <cfvo type="min"/>
        <cfvo type="max"/>
        <color rgb="FF008AEF"/>
      </dataBar>
    </cfRule>
    <cfRule type="dataBar" priority="687">
      <dataBar>
        <cfvo type="min"/>
        <cfvo type="max"/>
        <color rgb="FF008AEF"/>
      </dataBar>
    </cfRule>
  </conditionalFormatting>
  <conditionalFormatting sqref="I31:I32">
    <cfRule type="dataBar" priority="691">
      <dataBar>
        <cfvo type="min"/>
        <cfvo type="max"/>
        <color rgb="FF008AEF"/>
      </dataBar>
    </cfRule>
  </conditionalFormatting>
  <conditionalFormatting sqref="I33">
    <cfRule type="dataBar" priority="690">
      <dataBar>
        <cfvo type="min"/>
        <cfvo type="max"/>
        <color rgb="FF008AEF"/>
      </dataBar>
    </cfRule>
  </conditionalFormatting>
  <conditionalFormatting sqref="I31:I33">
    <cfRule type="dataBar" priority="689">
      <dataBar>
        <cfvo type="min"/>
        <cfvo type="max"/>
        <color rgb="FF008AEF"/>
      </dataBar>
    </cfRule>
  </conditionalFormatting>
  <conditionalFormatting sqref="J29:J33">
    <cfRule type="cellIs" priority="685" operator="greaterThan" dxfId="1">
      <formula>0.03</formula>
    </cfRule>
    <cfRule type="cellIs" priority="686" operator="lessThan" dxfId="0" stopIfTrue="1">
      <formula>-0.03</formula>
    </cfRule>
  </conditionalFormatting>
  <conditionalFormatting sqref="N34">
    <cfRule type="cellIs" priority="683" operator="lessThan" dxfId="1" stopIfTrue="1">
      <formula>-0.01</formula>
    </cfRule>
    <cfRule type="cellIs" priority="684" operator="greaterThan" dxfId="0" stopIfTrue="1">
      <formula>0.01</formula>
    </cfRule>
  </conditionalFormatting>
  <conditionalFormatting sqref="N29">
    <cfRule type="cellIs" priority="681" operator="lessThan" dxfId="1" stopIfTrue="1">
      <formula>-0.01</formula>
    </cfRule>
    <cfRule type="cellIs" priority="682" operator="greaterThan" dxfId="0" stopIfTrue="1">
      <formula>0.01</formula>
    </cfRule>
  </conditionalFormatting>
  <conditionalFormatting sqref="N30">
    <cfRule type="cellIs" priority="679" operator="lessThan" dxfId="1" stopIfTrue="1">
      <formula>-0.01</formula>
    </cfRule>
    <cfRule type="cellIs" priority="680" operator="greaterThan" dxfId="0" stopIfTrue="1">
      <formula>0.01</formula>
    </cfRule>
  </conditionalFormatting>
  <conditionalFormatting sqref="N31:N33">
    <cfRule type="cellIs" priority="677" operator="lessThan" dxfId="1" stopIfTrue="1">
      <formula>-0.01</formula>
    </cfRule>
    <cfRule type="cellIs" priority="678" operator="greaterThan" dxfId="0" stopIfTrue="1">
      <formula>0.01</formula>
    </cfRule>
  </conditionalFormatting>
  <conditionalFormatting sqref="P29">
    <cfRule type="cellIs" priority="675" operator="greaterThan" dxfId="1">
      <formula>0.03</formula>
    </cfRule>
    <cfRule type="cellIs" priority="676" operator="lessThan" dxfId="0" stopIfTrue="1">
      <formula>-0.03</formula>
    </cfRule>
  </conditionalFormatting>
  <conditionalFormatting sqref="P33">
    <cfRule type="cellIs" priority="673" operator="lessThan" dxfId="1">
      <formula>-0.03</formula>
    </cfRule>
    <cfRule type="cellIs" priority="674" operator="greaterThan" dxfId="0" stopIfTrue="1">
      <formula>0.03</formula>
    </cfRule>
  </conditionalFormatting>
  <conditionalFormatting sqref="I35">
    <cfRule type="dataBar" priority="699">
      <dataBar>
        <cfvo type="min"/>
        <cfvo type="max"/>
        <color rgb="FF008AEF"/>
      </dataBar>
    </cfRule>
  </conditionalFormatting>
  <conditionalFormatting sqref="P32">
    <cfRule type="cellIs" priority="671" operator="greaterThan" dxfId="1">
      <formula>0.03</formula>
    </cfRule>
    <cfRule type="cellIs" priority="672" operator="lessThan" dxfId="0" stopIfTrue="1">
      <formula>-0.03</formula>
    </cfRule>
  </conditionalFormatting>
  <conditionalFormatting sqref="I38">
    <cfRule type="dataBar" priority="669">
      <dataBar>
        <cfvo type="min"/>
        <cfvo type="max"/>
        <color rgb="FF008AEF"/>
      </dataBar>
    </cfRule>
  </conditionalFormatting>
  <conditionalFormatting sqref="I39">
    <cfRule type="dataBar" priority="668">
      <dataBar>
        <cfvo type="min"/>
        <cfvo type="max"/>
        <color rgb="FF008AEF"/>
      </dataBar>
    </cfRule>
  </conditionalFormatting>
  <conditionalFormatting sqref="N46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I45">
    <cfRule type="dataBar" priority="665">
      <dataBar>
        <cfvo type="min"/>
        <cfvo type="max"/>
        <color rgb="FF008AEF"/>
      </dataBar>
    </cfRule>
  </conditionalFormatting>
  <conditionalFormatting sqref="I40">
    <cfRule type="dataBar" priority="664">
      <dataBar>
        <cfvo type="min"/>
        <cfvo type="max"/>
        <color rgb="FF008AEF"/>
      </dataBar>
    </cfRule>
    <cfRule type="dataBar" priority="659">
      <dataBar>
        <cfvo type="min"/>
        <cfvo type="max"/>
        <color rgb="FF008AEF"/>
      </dataBar>
    </cfRule>
  </conditionalFormatting>
  <conditionalFormatting sqref="I41">
    <cfRule type="dataBar" priority="663">
      <dataBar>
        <cfvo type="min"/>
        <cfvo type="max"/>
        <color rgb="FF008AEF"/>
      </dataBar>
    </cfRule>
    <cfRule type="dataBar" priority="658">
      <dataBar>
        <cfvo type="min"/>
        <cfvo type="max"/>
        <color rgb="FF008AEF"/>
      </dataBar>
    </cfRule>
  </conditionalFormatting>
  <conditionalFormatting sqref="I42:I43">
    <cfRule type="dataBar" priority="662">
      <dataBar>
        <cfvo type="min"/>
        <cfvo type="max"/>
        <color rgb="FF008AEF"/>
      </dataBar>
    </cfRule>
  </conditionalFormatting>
  <conditionalFormatting sqref="I44">
    <cfRule type="dataBar" priority="661">
      <dataBar>
        <cfvo type="min"/>
        <cfvo type="max"/>
        <color rgb="FF008AEF"/>
      </dataBar>
    </cfRule>
  </conditionalFormatting>
  <conditionalFormatting sqref="I42:I44">
    <cfRule type="dataBar" priority="660">
      <dataBar>
        <cfvo type="min"/>
        <cfvo type="max"/>
        <color rgb="FF008AEF"/>
      </dataBar>
    </cfRule>
  </conditionalFormatting>
  <conditionalFormatting sqref="J40:J44">
    <cfRule type="cellIs" priority="656" operator="greaterThan" dxfId="1">
      <formula>0.03</formula>
    </cfRule>
    <cfRule type="cellIs" priority="657" operator="lessThan" dxfId="0" stopIfTrue="1">
      <formula>-0.03</formula>
    </cfRule>
  </conditionalFormatting>
  <conditionalFormatting sqref="N45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N40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N41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N42:N44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P40">
    <cfRule type="cellIs" priority="646" operator="greaterThan" dxfId="1">
      <formula>0.03</formula>
    </cfRule>
    <cfRule type="cellIs" priority="647" operator="lessThan" dxfId="0" stopIfTrue="1">
      <formula>-0.03</formula>
    </cfRule>
  </conditionalFormatting>
  <conditionalFormatting sqref="P44">
    <cfRule type="cellIs" priority="644" operator="lessThan" dxfId="1">
      <formula>-0.03</formula>
    </cfRule>
    <cfRule type="cellIs" priority="645" operator="greaterThan" dxfId="0" stopIfTrue="1">
      <formula>0.03</formula>
    </cfRule>
  </conditionalFormatting>
  <conditionalFormatting sqref="I46">
    <cfRule type="dataBar" priority="670">
      <dataBar>
        <cfvo type="min"/>
        <cfvo type="max"/>
        <color rgb="FF008AEF"/>
      </dataBar>
    </cfRule>
  </conditionalFormatting>
  <conditionalFormatting sqref="P43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I49">
    <cfRule type="dataBar" priority="640">
      <dataBar>
        <cfvo type="min"/>
        <cfvo type="max"/>
        <color rgb="FF008AEF"/>
      </dataBar>
    </cfRule>
  </conditionalFormatting>
  <conditionalFormatting sqref="I50">
    <cfRule type="dataBar" priority="639">
      <dataBar>
        <cfvo type="min"/>
        <cfvo type="max"/>
        <color rgb="FF008AEF"/>
      </dataBar>
    </cfRule>
  </conditionalFormatting>
  <conditionalFormatting sqref="N57">
    <cfRule type="cellIs" priority="637" operator="lessThan" dxfId="1" stopIfTrue="1">
      <formula>-0.01</formula>
    </cfRule>
    <cfRule type="cellIs" priority="638" operator="greaterThan" dxfId="0" stopIfTrue="1">
      <formula>0.01</formula>
    </cfRule>
  </conditionalFormatting>
  <conditionalFormatting sqref="I56">
    <cfRule type="dataBar" priority="636">
      <dataBar>
        <cfvo type="min"/>
        <cfvo type="max"/>
        <color rgb="FF008AEF"/>
      </dataBar>
    </cfRule>
  </conditionalFormatting>
  <conditionalFormatting sqref="I51">
    <cfRule type="dataBar" priority="635">
      <dataBar>
        <cfvo type="min"/>
        <cfvo type="max"/>
        <color rgb="FF008AEF"/>
      </dataBar>
    </cfRule>
    <cfRule type="dataBar" priority="630">
      <dataBar>
        <cfvo type="min"/>
        <cfvo type="max"/>
        <color rgb="FF008AEF"/>
      </dataBar>
    </cfRule>
  </conditionalFormatting>
  <conditionalFormatting sqref="I52">
    <cfRule type="dataBar" priority="634">
      <dataBar>
        <cfvo type="min"/>
        <cfvo type="max"/>
        <color rgb="FF008AEF"/>
      </dataBar>
    </cfRule>
    <cfRule type="dataBar" priority="629">
      <dataBar>
        <cfvo type="min"/>
        <cfvo type="max"/>
        <color rgb="FF008AEF"/>
      </dataBar>
    </cfRule>
  </conditionalFormatting>
  <conditionalFormatting sqref="I53:I54">
    <cfRule type="dataBar" priority="633">
      <dataBar>
        <cfvo type="min"/>
        <cfvo type="max"/>
        <color rgb="FF008AEF"/>
      </dataBar>
    </cfRule>
  </conditionalFormatting>
  <conditionalFormatting sqref="I55">
    <cfRule type="dataBar" priority="632">
      <dataBar>
        <cfvo type="min"/>
        <cfvo type="max"/>
        <color rgb="FF008AEF"/>
      </dataBar>
    </cfRule>
  </conditionalFormatting>
  <conditionalFormatting sqref="I53:I55">
    <cfRule type="dataBar" priority="631">
      <dataBar>
        <cfvo type="min"/>
        <cfvo type="max"/>
        <color rgb="FF008AEF"/>
      </dataBar>
    </cfRule>
  </conditionalFormatting>
  <conditionalFormatting sqref="J51:J55">
    <cfRule type="cellIs" priority="627" operator="greaterThan" dxfId="1">
      <formula>0.03</formula>
    </cfRule>
    <cfRule type="cellIs" priority="628" operator="lessThan" dxfId="0" stopIfTrue="1">
      <formula>-0.03</formula>
    </cfRule>
  </conditionalFormatting>
  <conditionalFormatting sqref="N56">
    <cfRule type="cellIs" priority="625" operator="lessThan" dxfId="1" stopIfTrue="1">
      <formula>-0.01</formula>
    </cfRule>
    <cfRule type="cellIs" priority="626" operator="greaterThan" dxfId="0" stopIfTrue="1">
      <formula>0.01</formula>
    </cfRule>
  </conditionalFormatting>
  <conditionalFormatting sqref="N51">
    <cfRule type="cellIs" priority="623" operator="lessThan" dxfId="1" stopIfTrue="1">
      <formula>-0.01</formula>
    </cfRule>
    <cfRule type="cellIs" priority="624" operator="greaterThan" dxfId="0" stopIfTrue="1">
      <formula>0.01</formula>
    </cfRule>
  </conditionalFormatting>
  <conditionalFormatting sqref="N52">
    <cfRule type="cellIs" priority="621" operator="lessThan" dxfId="1" stopIfTrue="1">
      <formula>-0.01</formula>
    </cfRule>
    <cfRule type="cellIs" priority="622" operator="greaterThan" dxfId="0" stopIfTrue="1">
      <formula>0.01</formula>
    </cfRule>
  </conditionalFormatting>
  <conditionalFormatting sqref="N53:N55">
    <cfRule type="cellIs" priority="619" operator="lessThan" dxfId="1" stopIfTrue="1">
      <formula>-0.01</formula>
    </cfRule>
    <cfRule type="cellIs" priority="620" operator="greaterThan" dxfId="0" stopIfTrue="1">
      <formula>0.01</formula>
    </cfRule>
  </conditionalFormatting>
  <conditionalFormatting sqref="P51">
    <cfRule type="cellIs" priority="617" operator="greaterThan" dxfId="1">
      <formula>0.03</formula>
    </cfRule>
    <cfRule type="cellIs" priority="618" operator="lessThan" dxfId="0" stopIfTrue="1">
      <formula>-0.03</formula>
    </cfRule>
  </conditionalFormatting>
  <conditionalFormatting sqref="P55">
    <cfRule type="cellIs" priority="615" operator="lessThan" dxfId="1">
      <formula>-0.03</formula>
    </cfRule>
    <cfRule type="cellIs" priority="616" operator="greaterThan" dxfId="0" stopIfTrue="1">
      <formula>0.03</formula>
    </cfRule>
  </conditionalFormatting>
  <conditionalFormatting sqref="I57">
    <cfRule type="dataBar" priority="641">
      <dataBar>
        <cfvo type="min"/>
        <cfvo type="max"/>
        <color rgb="FF008AEF"/>
      </dataBar>
    </cfRule>
  </conditionalFormatting>
  <conditionalFormatting sqref="P54">
    <cfRule type="cellIs" priority="613" operator="greaterThan" dxfId="1">
      <formula>0.03</formula>
    </cfRule>
    <cfRule type="cellIs" priority="614" operator="lessThan" dxfId="0" stopIfTrue="1">
      <formula>-0.03</formula>
    </cfRule>
  </conditionalFormatting>
  <conditionalFormatting sqref="I60">
    <cfRule type="dataBar" priority="611">
      <dataBar>
        <cfvo type="min"/>
        <cfvo type="max"/>
        <color rgb="FF008AEF"/>
      </dataBar>
    </cfRule>
  </conditionalFormatting>
  <conditionalFormatting sqref="I61">
    <cfRule type="dataBar" priority="610">
      <dataBar>
        <cfvo type="min"/>
        <cfvo type="max"/>
        <color rgb="FF008AEF"/>
      </dataBar>
    </cfRule>
  </conditionalFormatting>
  <conditionalFormatting sqref="N68">
    <cfRule type="cellIs" priority="608" operator="lessThan" dxfId="1" stopIfTrue="1">
      <formula>-0.01</formula>
    </cfRule>
    <cfRule type="cellIs" priority="609" operator="greaterThan" dxfId="0" stopIfTrue="1">
      <formula>0.01</formula>
    </cfRule>
  </conditionalFormatting>
  <conditionalFormatting sqref="I67">
    <cfRule type="dataBar" priority="607">
      <dataBar>
        <cfvo type="min"/>
        <cfvo type="max"/>
        <color rgb="FF008AEF"/>
      </dataBar>
    </cfRule>
  </conditionalFormatting>
  <conditionalFormatting sqref="I62">
    <cfRule type="dataBar" priority="606">
      <dataBar>
        <cfvo type="min"/>
        <cfvo type="max"/>
        <color rgb="FF008AEF"/>
      </dataBar>
    </cfRule>
    <cfRule type="dataBar" priority="601">
      <dataBar>
        <cfvo type="min"/>
        <cfvo type="max"/>
        <color rgb="FF008AEF"/>
      </dataBar>
    </cfRule>
  </conditionalFormatting>
  <conditionalFormatting sqref="I63">
    <cfRule type="dataBar" priority="605">
      <dataBar>
        <cfvo type="min"/>
        <cfvo type="max"/>
        <color rgb="FF008AEF"/>
      </dataBar>
    </cfRule>
    <cfRule type="dataBar" priority="600">
      <dataBar>
        <cfvo type="min"/>
        <cfvo type="max"/>
        <color rgb="FF008AEF"/>
      </dataBar>
    </cfRule>
  </conditionalFormatting>
  <conditionalFormatting sqref="I64:I65">
    <cfRule type="dataBar" priority="604">
      <dataBar>
        <cfvo type="min"/>
        <cfvo type="max"/>
        <color rgb="FF008AEF"/>
      </dataBar>
    </cfRule>
  </conditionalFormatting>
  <conditionalFormatting sqref="I66">
    <cfRule type="dataBar" priority="603">
      <dataBar>
        <cfvo type="min"/>
        <cfvo type="max"/>
        <color rgb="FF008AEF"/>
      </dataBar>
    </cfRule>
  </conditionalFormatting>
  <conditionalFormatting sqref="I64:I66">
    <cfRule type="dataBar" priority="602">
      <dataBar>
        <cfvo type="min"/>
        <cfvo type="max"/>
        <color rgb="FF008AEF"/>
      </dataBar>
    </cfRule>
  </conditionalFormatting>
  <conditionalFormatting sqref="J62:J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N67">
    <cfRule type="cellIs" priority="596" operator="lessThan" dxfId="1" stopIfTrue="1">
      <formula>-0.01</formula>
    </cfRule>
    <cfRule type="cellIs" priority="597" operator="greaterThan" dxfId="0" stopIfTrue="1">
      <formula>0.01</formula>
    </cfRule>
  </conditionalFormatting>
  <conditionalFormatting sqref="N62">
    <cfRule type="cellIs" priority="594" operator="lessThan" dxfId="1" stopIfTrue="1">
      <formula>-0.01</formula>
    </cfRule>
    <cfRule type="cellIs" priority="595" operator="greaterThan" dxfId="0" stopIfTrue="1">
      <formula>0.01</formula>
    </cfRule>
  </conditionalFormatting>
  <conditionalFormatting sqref="N63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N64:N66">
    <cfRule type="cellIs" priority="590" operator="lessThan" dxfId="1" stopIfTrue="1">
      <formula>-0.01</formula>
    </cfRule>
    <cfRule type="cellIs" priority="591" operator="greaterThan" dxfId="0" stopIfTrue="1">
      <formula>0.01</formula>
    </cfRule>
  </conditionalFormatting>
  <conditionalFormatting sqref="P62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P66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I68">
    <cfRule type="dataBar" priority="612">
      <dataBar>
        <cfvo type="min"/>
        <cfvo type="max"/>
        <color rgb="FF008AEF"/>
      </dataBar>
    </cfRule>
  </conditionalFormatting>
  <conditionalFormatting sqref="P65">
    <cfRule type="cellIs" priority="584" operator="greaterThan" dxfId="1">
      <formula>0.03</formula>
    </cfRule>
    <cfRule type="cellIs" priority="585" operator="lessThan" dxfId="0" stopIfTrue="1">
      <formula>-0.03</formula>
    </cfRule>
  </conditionalFormatting>
  <conditionalFormatting sqref="I71">
    <cfRule type="dataBar" priority="582">
      <dataBar>
        <cfvo type="min"/>
        <cfvo type="max"/>
        <color rgb="FF008AEF"/>
      </dataBar>
    </cfRule>
  </conditionalFormatting>
  <conditionalFormatting sqref="I72">
    <cfRule type="dataBar" priority="581">
      <dataBar>
        <cfvo type="min"/>
        <cfvo type="max"/>
        <color rgb="FF008AEF"/>
      </dataBar>
    </cfRule>
  </conditionalFormatting>
  <conditionalFormatting sqref="N79">
    <cfRule type="cellIs" priority="579" operator="lessThan" dxfId="1" stopIfTrue="1">
      <formula>-0.01</formula>
    </cfRule>
    <cfRule type="cellIs" priority="580" operator="greaterThan" dxfId="0" stopIfTrue="1">
      <formula>0.01</formula>
    </cfRule>
  </conditionalFormatting>
  <conditionalFormatting sqref="I78">
    <cfRule type="dataBar" priority="578">
      <dataBar>
        <cfvo type="min"/>
        <cfvo type="max"/>
        <color rgb="FF008AEF"/>
      </dataBar>
    </cfRule>
  </conditionalFormatting>
  <conditionalFormatting sqref="I73">
    <cfRule type="dataBar" priority="577">
      <dataBar>
        <cfvo type="min"/>
        <cfvo type="max"/>
        <color rgb="FF008AEF"/>
      </dataBar>
    </cfRule>
    <cfRule type="dataBar" priority="572">
      <dataBar>
        <cfvo type="min"/>
        <cfvo type="max"/>
        <color rgb="FF008AEF"/>
      </dataBar>
    </cfRule>
  </conditionalFormatting>
  <conditionalFormatting sqref="I74">
    <cfRule type="dataBar" priority="576">
      <dataBar>
        <cfvo type="min"/>
        <cfvo type="max"/>
        <color rgb="FF008AEF"/>
      </dataBar>
    </cfRule>
    <cfRule type="dataBar" priority="571">
      <dataBar>
        <cfvo type="min"/>
        <cfvo type="max"/>
        <color rgb="FF008AEF"/>
      </dataBar>
    </cfRule>
  </conditionalFormatting>
  <conditionalFormatting sqref="I75:I76">
    <cfRule type="dataBar" priority="575">
      <dataBar>
        <cfvo type="min"/>
        <cfvo type="max"/>
        <color rgb="FF008AEF"/>
      </dataBar>
    </cfRule>
  </conditionalFormatting>
  <conditionalFormatting sqref="I77">
    <cfRule type="dataBar" priority="574">
      <dataBar>
        <cfvo type="min"/>
        <cfvo type="max"/>
        <color rgb="FF008AEF"/>
      </dataBar>
    </cfRule>
  </conditionalFormatting>
  <conditionalFormatting sqref="I75:I77">
    <cfRule type="dataBar" priority="573">
      <dataBar>
        <cfvo type="min"/>
        <cfvo type="max"/>
        <color rgb="FF008AEF"/>
      </dataBar>
    </cfRule>
  </conditionalFormatting>
  <conditionalFormatting sqref="J73:J77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78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73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7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75:N77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73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77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79">
    <cfRule type="dataBar" priority="583">
      <dataBar>
        <cfvo type="min"/>
        <cfvo type="max"/>
        <color rgb="FF008AEF"/>
      </dataBar>
    </cfRule>
  </conditionalFormatting>
  <conditionalFormatting sqref="P76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I82">
    <cfRule type="dataBar" priority="553">
      <dataBar>
        <cfvo type="min"/>
        <cfvo type="max"/>
        <color rgb="FF008AEF"/>
      </dataBar>
    </cfRule>
  </conditionalFormatting>
  <conditionalFormatting sqref="I83">
    <cfRule type="dataBar" priority="552">
      <dataBar>
        <cfvo type="min"/>
        <cfvo type="max"/>
        <color rgb="FF008AEF"/>
      </dataBar>
    </cfRule>
  </conditionalFormatting>
  <conditionalFormatting sqref="N90">
    <cfRule type="cellIs" priority="550" operator="lessThan" dxfId="1" stopIfTrue="1">
      <formula>-0.01</formula>
    </cfRule>
    <cfRule type="cellIs" priority="551" operator="greaterThan" dxfId="0" stopIfTrue="1">
      <formula>0.01</formula>
    </cfRule>
  </conditionalFormatting>
  <conditionalFormatting sqref="I89">
    <cfRule type="dataBar" priority="549">
      <dataBar>
        <cfvo type="min"/>
        <cfvo type="max"/>
        <color rgb="FF008AEF"/>
      </dataBar>
    </cfRule>
  </conditionalFormatting>
  <conditionalFormatting sqref="I84">
    <cfRule type="dataBar" priority="548">
      <dataBar>
        <cfvo type="min"/>
        <cfvo type="max"/>
        <color rgb="FF008AEF"/>
      </dataBar>
    </cfRule>
    <cfRule type="dataBar" priority="543">
      <dataBar>
        <cfvo type="min"/>
        <cfvo type="max"/>
        <color rgb="FF008AEF"/>
      </dataBar>
    </cfRule>
  </conditionalFormatting>
  <conditionalFormatting sqref="I85">
    <cfRule type="dataBar" priority="547">
      <dataBar>
        <cfvo type="min"/>
        <cfvo type="max"/>
        <color rgb="FF008AEF"/>
      </dataBar>
    </cfRule>
    <cfRule type="dataBar" priority="542">
      <dataBar>
        <cfvo type="min"/>
        <cfvo type="max"/>
        <color rgb="FF008AEF"/>
      </dataBar>
    </cfRule>
  </conditionalFormatting>
  <conditionalFormatting sqref="I86:I87">
    <cfRule type="dataBar" priority="546">
      <dataBar>
        <cfvo type="min"/>
        <cfvo type="max"/>
        <color rgb="FF008AEF"/>
      </dataBar>
    </cfRule>
  </conditionalFormatting>
  <conditionalFormatting sqref="I88">
    <cfRule type="dataBar" priority="545">
      <dataBar>
        <cfvo type="min"/>
        <cfvo type="max"/>
        <color rgb="FF008AEF"/>
      </dataBar>
    </cfRule>
  </conditionalFormatting>
  <conditionalFormatting sqref="I86:I88">
    <cfRule type="dataBar" priority="544">
      <dataBar>
        <cfvo type="min"/>
        <cfvo type="max"/>
        <color rgb="FF008AEF"/>
      </dataBar>
    </cfRule>
  </conditionalFormatting>
  <conditionalFormatting sqref="J84:J88">
    <cfRule type="cellIs" priority="540" operator="greaterThan" dxfId="1">
      <formula>0.03</formula>
    </cfRule>
    <cfRule type="cellIs" priority="541" operator="lessThan" dxfId="0" stopIfTrue="1">
      <formula>-0.03</formula>
    </cfRule>
  </conditionalFormatting>
  <conditionalFormatting sqref="N89">
    <cfRule type="cellIs" priority="538" operator="lessThan" dxfId="1" stopIfTrue="1">
      <formula>-0.01</formula>
    </cfRule>
    <cfRule type="cellIs" priority="539" operator="greaterThan" dxfId="0" stopIfTrue="1">
      <formula>0.01</formula>
    </cfRule>
  </conditionalFormatting>
  <conditionalFormatting sqref="N84">
    <cfRule type="cellIs" priority="536" operator="lessThan" dxfId="1" stopIfTrue="1">
      <formula>-0.01</formula>
    </cfRule>
    <cfRule type="cellIs" priority="537" operator="greaterThan" dxfId="0" stopIfTrue="1">
      <formula>0.01</formula>
    </cfRule>
  </conditionalFormatting>
  <conditionalFormatting sqref="N85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N86:N88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P84">
    <cfRule type="cellIs" priority="530" operator="greaterThan" dxfId="1">
      <formula>0.03</formula>
    </cfRule>
    <cfRule type="cellIs" priority="531" operator="lessThan" dxfId="0" stopIfTrue="1">
      <formula>-0.03</formula>
    </cfRule>
  </conditionalFormatting>
  <conditionalFormatting sqref="P88">
    <cfRule type="cellIs" priority="528" operator="lessThan" dxfId="1">
      <formula>-0.03</formula>
    </cfRule>
    <cfRule type="cellIs" priority="529" operator="greaterThan" dxfId="0" stopIfTrue="1">
      <formula>0.03</formula>
    </cfRule>
  </conditionalFormatting>
  <conditionalFormatting sqref="I90">
    <cfRule type="dataBar" priority="554">
      <dataBar>
        <cfvo type="min"/>
        <cfvo type="max"/>
        <color rgb="FF008AEF"/>
      </dataBar>
    </cfRule>
  </conditionalFormatting>
  <conditionalFormatting sqref="P87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I93">
    <cfRule type="dataBar" priority="524">
      <dataBar>
        <cfvo type="min"/>
        <cfvo type="max"/>
        <color rgb="FF008AEF"/>
      </dataBar>
    </cfRule>
  </conditionalFormatting>
  <conditionalFormatting sqref="I94">
    <cfRule type="dataBar" priority="523">
      <dataBar>
        <cfvo type="min"/>
        <cfvo type="max"/>
        <color rgb="FF008AEF"/>
      </dataBar>
    </cfRule>
  </conditionalFormatting>
  <conditionalFormatting sqref="N101">
    <cfRule type="cellIs" priority="521" operator="lessThan" dxfId="1" stopIfTrue="1">
      <formula>-0.01</formula>
    </cfRule>
    <cfRule type="cellIs" priority="522" operator="greaterThan" dxfId="0" stopIfTrue="1">
      <formula>0.01</formula>
    </cfRule>
  </conditionalFormatting>
  <conditionalFormatting sqref="I100">
    <cfRule type="dataBar" priority="520">
      <dataBar>
        <cfvo type="min"/>
        <cfvo type="max"/>
        <color rgb="FF008AEF"/>
      </dataBar>
    </cfRule>
  </conditionalFormatting>
  <conditionalFormatting sqref="I95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96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97:I98">
    <cfRule type="dataBar" priority="517">
      <dataBar>
        <cfvo type="min"/>
        <cfvo type="max"/>
        <color rgb="FF008AEF"/>
      </dataBar>
    </cfRule>
  </conditionalFormatting>
  <conditionalFormatting sqref="I99">
    <cfRule type="dataBar" priority="516">
      <dataBar>
        <cfvo type="min"/>
        <cfvo type="max"/>
        <color rgb="FF008AEF"/>
      </dataBar>
    </cfRule>
  </conditionalFormatting>
  <conditionalFormatting sqref="I97:I99">
    <cfRule type="dataBar" priority="515">
      <dataBar>
        <cfvo type="min"/>
        <cfvo type="max"/>
        <color rgb="FF008AEF"/>
      </dataBar>
    </cfRule>
  </conditionalFormatting>
  <conditionalFormatting sqref="J95:J99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N100">
    <cfRule type="cellIs" priority="509" operator="lessThan" dxfId="1" stopIfTrue="1">
      <formula>-0.01</formula>
    </cfRule>
    <cfRule type="cellIs" priority="510" operator="greaterThan" dxfId="0" stopIfTrue="1">
      <formula>0.01</formula>
    </cfRule>
  </conditionalFormatting>
  <conditionalFormatting sqref="N95">
    <cfRule type="cellIs" priority="507" operator="lessThan" dxfId="1" stopIfTrue="1">
      <formula>-0.01</formula>
    </cfRule>
    <cfRule type="cellIs" priority="508" operator="greaterThan" dxfId="0" stopIfTrue="1">
      <formula>0.01</formula>
    </cfRule>
  </conditionalFormatting>
  <conditionalFormatting sqref="N96">
    <cfRule type="cellIs" priority="505" operator="lessThan" dxfId="1" stopIfTrue="1">
      <formula>-0.01</formula>
    </cfRule>
    <cfRule type="cellIs" priority="506" operator="greaterThan" dxfId="0" stopIfTrue="1">
      <formula>0.01</formula>
    </cfRule>
  </conditionalFormatting>
  <conditionalFormatting sqref="N97:N99">
    <cfRule type="cellIs" priority="503" operator="lessThan" dxfId="1" stopIfTrue="1">
      <formula>-0.01</formula>
    </cfRule>
    <cfRule type="cellIs" priority="504" operator="greaterThan" dxfId="0" stopIfTrue="1">
      <formula>0.01</formula>
    </cfRule>
  </conditionalFormatting>
  <conditionalFormatting sqref="P9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P9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I101">
    <cfRule type="dataBar" priority="525">
      <dataBar>
        <cfvo type="min"/>
        <cfvo type="max"/>
        <color rgb="FF008AEF"/>
      </dataBar>
    </cfRule>
  </conditionalFormatting>
  <conditionalFormatting sqref="P98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I104">
    <cfRule type="dataBar" priority="495">
      <dataBar>
        <cfvo type="min"/>
        <cfvo type="max"/>
        <color rgb="FF008AEF"/>
      </dataBar>
    </cfRule>
  </conditionalFormatting>
  <conditionalFormatting sqref="I105">
    <cfRule type="dataBar" priority="494">
      <dataBar>
        <cfvo type="min"/>
        <cfvo type="max"/>
        <color rgb="FF008AEF"/>
      </dataBar>
    </cfRule>
  </conditionalFormatting>
  <conditionalFormatting sqref="N112">
    <cfRule type="cellIs" priority="492" operator="lessThan" dxfId="1" stopIfTrue="1">
      <formula>-0.01</formula>
    </cfRule>
    <cfRule type="cellIs" priority="493" operator="greaterThan" dxfId="0" stopIfTrue="1">
      <formula>0.01</formula>
    </cfRule>
  </conditionalFormatting>
  <conditionalFormatting sqref="I111">
    <cfRule type="dataBar" priority="491">
      <dataBar>
        <cfvo type="min"/>
        <cfvo type="max"/>
        <color rgb="FF008AEF"/>
      </dataBar>
    </cfRule>
  </conditionalFormatting>
  <conditionalFormatting sqref="I106">
    <cfRule type="dataBar" priority="490">
      <dataBar>
        <cfvo type="min"/>
        <cfvo type="max"/>
        <color rgb="FF008AEF"/>
      </dataBar>
    </cfRule>
    <cfRule type="dataBar" priority="485">
      <dataBar>
        <cfvo type="min"/>
        <cfvo type="max"/>
        <color rgb="FF008AEF"/>
      </dataBar>
    </cfRule>
  </conditionalFormatting>
  <conditionalFormatting sqref="I107">
    <cfRule type="dataBar" priority="489">
      <dataBar>
        <cfvo type="min"/>
        <cfvo type="max"/>
        <color rgb="FF008AEF"/>
      </dataBar>
    </cfRule>
    <cfRule type="dataBar" priority="484">
      <dataBar>
        <cfvo type="min"/>
        <cfvo type="max"/>
        <color rgb="FF008AEF"/>
      </dataBar>
    </cfRule>
  </conditionalFormatting>
  <conditionalFormatting sqref="I108:I109">
    <cfRule type="dataBar" priority="488">
      <dataBar>
        <cfvo type="min"/>
        <cfvo type="max"/>
        <color rgb="FF008AEF"/>
      </dataBar>
    </cfRule>
  </conditionalFormatting>
  <conditionalFormatting sqref="I110">
    <cfRule type="dataBar" priority="487">
      <dataBar>
        <cfvo type="min"/>
        <cfvo type="max"/>
        <color rgb="FF008AEF"/>
      </dataBar>
    </cfRule>
  </conditionalFormatting>
  <conditionalFormatting sqref="I108:I110">
    <cfRule type="dataBar" priority="486">
      <dataBar>
        <cfvo type="min"/>
        <cfvo type="max"/>
        <color rgb="FF008AEF"/>
      </dataBar>
    </cfRule>
  </conditionalFormatting>
  <conditionalFormatting sqref="J106:J110">
    <cfRule type="cellIs" priority="482" operator="greaterThan" dxfId="1">
      <formula>0.03</formula>
    </cfRule>
    <cfRule type="cellIs" priority="483" operator="lessThan" dxfId="0" stopIfTrue="1">
      <formula>-0.03</formula>
    </cfRule>
  </conditionalFormatting>
  <conditionalFormatting sqref="N111">
    <cfRule type="cellIs" priority="480" operator="lessThan" dxfId="1" stopIfTrue="1">
      <formula>-0.01</formula>
    </cfRule>
    <cfRule type="cellIs" priority="481" operator="greaterThan" dxfId="0" stopIfTrue="1">
      <formula>0.01</formula>
    </cfRule>
  </conditionalFormatting>
  <conditionalFormatting sqref="N106">
    <cfRule type="cellIs" priority="478" operator="lessThan" dxfId="1" stopIfTrue="1">
      <formula>-0.01</formula>
    </cfRule>
    <cfRule type="cellIs" priority="479" operator="greaterThan" dxfId="0" stopIfTrue="1">
      <formula>0.01</formula>
    </cfRule>
  </conditionalFormatting>
  <conditionalFormatting sqref="N107">
    <cfRule type="cellIs" priority="476" operator="lessThan" dxfId="1" stopIfTrue="1">
      <formula>-0.01</formula>
    </cfRule>
    <cfRule type="cellIs" priority="477" operator="greaterThan" dxfId="0" stopIfTrue="1">
      <formula>0.01</formula>
    </cfRule>
  </conditionalFormatting>
  <conditionalFormatting sqref="N108:N110">
    <cfRule type="cellIs" priority="474" operator="lessThan" dxfId="1" stopIfTrue="1">
      <formula>-0.01</formula>
    </cfRule>
    <cfRule type="cellIs" priority="475" operator="greaterThan" dxfId="0" stopIfTrue="1">
      <formula>0.01</formula>
    </cfRule>
  </conditionalFormatting>
  <conditionalFormatting sqref="P106">
    <cfRule type="cellIs" priority="472" operator="greaterThan" dxfId="1">
      <formula>0.03</formula>
    </cfRule>
    <cfRule type="cellIs" priority="473" operator="lessThan" dxfId="0" stopIfTrue="1">
      <formula>-0.03</formula>
    </cfRule>
  </conditionalFormatting>
  <conditionalFormatting sqref="P110">
    <cfRule type="cellIs" priority="470" operator="lessThan" dxfId="1">
      <formula>-0.03</formula>
    </cfRule>
    <cfRule type="cellIs" priority="471" operator="greaterThan" dxfId="0" stopIfTrue="1">
      <formula>0.03</formula>
    </cfRule>
  </conditionalFormatting>
  <conditionalFormatting sqref="I112">
    <cfRule type="dataBar" priority="496">
      <dataBar>
        <cfvo type="min"/>
        <cfvo type="max"/>
        <color rgb="FF008AEF"/>
      </dataBar>
    </cfRule>
  </conditionalFormatting>
  <conditionalFormatting sqref="P109">
    <cfRule type="cellIs" priority="468" operator="greaterThan" dxfId="1">
      <formula>0.03</formula>
    </cfRule>
    <cfRule type="cellIs" priority="469" operator="lessThan" dxfId="0" stopIfTrue="1">
      <formula>-0.03</formula>
    </cfRule>
  </conditionalFormatting>
  <conditionalFormatting sqref="I115">
    <cfRule type="dataBar" priority="466">
      <dataBar>
        <cfvo type="min"/>
        <cfvo type="max"/>
        <color rgb="FF008AEF"/>
      </dataBar>
    </cfRule>
  </conditionalFormatting>
  <conditionalFormatting sqref="I116">
    <cfRule type="dataBar" priority="465">
      <dataBar>
        <cfvo type="min"/>
        <cfvo type="max"/>
        <color rgb="FF008AEF"/>
      </dataBar>
    </cfRule>
  </conditionalFormatting>
  <conditionalFormatting sqref="N123">
    <cfRule type="cellIs" priority="463" operator="lessThan" dxfId="1" stopIfTrue="1">
      <formula>-0.01</formula>
    </cfRule>
    <cfRule type="cellIs" priority="464" operator="greaterThan" dxfId="0" stopIfTrue="1">
      <formula>0.01</formula>
    </cfRule>
  </conditionalFormatting>
  <conditionalFormatting sqref="I122">
    <cfRule type="dataBar" priority="462">
      <dataBar>
        <cfvo type="min"/>
        <cfvo type="max"/>
        <color rgb="FF008AEF"/>
      </dataBar>
    </cfRule>
  </conditionalFormatting>
  <conditionalFormatting sqref="I117">
    <cfRule type="dataBar" priority="461">
      <dataBar>
        <cfvo type="min"/>
        <cfvo type="max"/>
        <color rgb="FF008AEF"/>
      </dataBar>
    </cfRule>
    <cfRule type="dataBar" priority="456">
      <dataBar>
        <cfvo type="min"/>
        <cfvo type="max"/>
        <color rgb="FF008AEF"/>
      </dataBar>
    </cfRule>
  </conditionalFormatting>
  <conditionalFormatting sqref="I118">
    <cfRule type="dataBar" priority="460">
      <dataBar>
        <cfvo type="min"/>
        <cfvo type="max"/>
        <color rgb="FF008AEF"/>
      </dataBar>
    </cfRule>
    <cfRule type="dataBar" priority="455">
      <dataBar>
        <cfvo type="min"/>
        <cfvo type="max"/>
        <color rgb="FF008AEF"/>
      </dataBar>
    </cfRule>
  </conditionalFormatting>
  <conditionalFormatting sqref="I119:I120">
    <cfRule type="dataBar" priority="459">
      <dataBar>
        <cfvo type="min"/>
        <cfvo type="max"/>
        <color rgb="FF008AEF"/>
      </dataBar>
    </cfRule>
  </conditionalFormatting>
  <conditionalFormatting sqref="I121">
    <cfRule type="dataBar" priority="458">
      <dataBar>
        <cfvo type="min"/>
        <cfvo type="max"/>
        <color rgb="FF008AEF"/>
      </dataBar>
    </cfRule>
  </conditionalFormatting>
  <conditionalFormatting sqref="I119:I121">
    <cfRule type="dataBar" priority="457">
      <dataBar>
        <cfvo type="min"/>
        <cfvo type="max"/>
        <color rgb="FF008AEF"/>
      </dataBar>
    </cfRule>
  </conditionalFormatting>
  <conditionalFormatting sqref="J117:J121">
    <cfRule type="cellIs" priority="453" operator="greaterThan" dxfId="1">
      <formula>0.03</formula>
    </cfRule>
    <cfRule type="cellIs" priority="454" operator="lessThan" dxfId="0" stopIfTrue="1">
      <formula>-0.03</formula>
    </cfRule>
  </conditionalFormatting>
  <conditionalFormatting sqref="N122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117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118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N119:N121">
    <cfRule type="cellIs" priority="445" operator="lessThan" dxfId="1" stopIfTrue="1">
      <formula>-0.01</formula>
    </cfRule>
    <cfRule type="cellIs" priority="446" operator="greaterThan" dxfId="0" stopIfTrue="1">
      <formula>0.01</formula>
    </cfRule>
  </conditionalFormatting>
  <conditionalFormatting sqref="P117">
    <cfRule type="cellIs" priority="443" operator="greaterThan" dxfId="1">
      <formula>0.03</formula>
    </cfRule>
    <cfRule type="cellIs" priority="444" operator="lessThan" dxfId="0" stopIfTrue="1">
      <formula>-0.03</formula>
    </cfRule>
  </conditionalFormatting>
  <conditionalFormatting sqref="P121">
    <cfRule type="cellIs" priority="441" operator="lessThan" dxfId="1">
      <formula>-0.03</formula>
    </cfRule>
    <cfRule type="cellIs" priority="442" operator="greaterThan" dxfId="0" stopIfTrue="1">
      <formula>0.03</formula>
    </cfRule>
  </conditionalFormatting>
  <conditionalFormatting sqref="I123">
    <cfRule type="dataBar" priority="467">
      <dataBar>
        <cfvo type="min"/>
        <cfvo type="max"/>
        <color rgb="FF008AEF"/>
      </dataBar>
    </cfRule>
  </conditionalFormatting>
  <conditionalFormatting sqref="P120">
    <cfRule type="cellIs" priority="439" operator="greaterThan" dxfId="1">
      <formula>0.03</formula>
    </cfRule>
    <cfRule type="cellIs" priority="440" operator="lessThan" dxfId="0" stopIfTrue="1">
      <formula>-0.03</formula>
    </cfRule>
  </conditionalFormatting>
  <conditionalFormatting sqref="I126">
    <cfRule type="dataBar" priority="437">
      <dataBar>
        <cfvo type="min"/>
        <cfvo type="max"/>
        <color rgb="FF008AEF"/>
      </dataBar>
    </cfRule>
  </conditionalFormatting>
  <conditionalFormatting sqref="I127">
    <cfRule type="dataBar" priority="436">
      <dataBar>
        <cfvo type="min"/>
        <cfvo type="max"/>
        <color rgb="FF008AEF"/>
      </dataBar>
    </cfRule>
  </conditionalFormatting>
  <conditionalFormatting sqref="N13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133">
    <cfRule type="dataBar" priority="433">
      <dataBar>
        <cfvo type="min"/>
        <cfvo type="max"/>
        <color rgb="FF008AEF"/>
      </dataBar>
    </cfRule>
  </conditionalFormatting>
  <conditionalFormatting sqref="I128">
    <cfRule type="dataBar" priority="432">
      <dataBar>
        <cfvo type="min"/>
        <cfvo type="max"/>
        <color rgb="FF008AEF"/>
      </dataBar>
    </cfRule>
    <cfRule type="dataBar" priority="427">
      <dataBar>
        <cfvo type="min"/>
        <cfvo type="max"/>
        <color rgb="FF008AEF"/>
      </dataBar>
    </cfRule>
  </conditionalFormatting>
  <conditionalFormatting sqref="I129">
    <cfRule type="dataBar" priority="431">
      <dataBar>
        <cfvo type="min"/>
        <cfvo type="max"/>
        <color rgb="FF008AEF"/>
      </dataBar>
    </cfRule>
    <cfRule type="dataBar" priority="426">
      <dataBar>
        <cfvo type="min"/>
        <cfvo type="max"/>
        <color rgb="FF008AEF"/>
      </dataBar>
    </cfRule>
  </conditionalFormatting>
  <conditionalFormatting sqref="I130:I131">
    <cfRule type="dataBar" priority="430">
      <dataBar>
        <cfvo type="min"/>
        <cfvo type="max"/>
        <color rgb="FF008AEF"/>
      </dataBar>
    </cfRule>
  </conditionalFormatting>
  <conditionalFormatting sqref="I132">
    <cfRule type="dataBar" priority="429">
      <dataBar>
        <cfvo type="min"/>
        <cfvo type="max"/>
        <color rgb="FF008AEF"/>
      </dataBar>
    </cfRule>
  </conditionalFormatting>
  <conditionalFormatting sqref="I130:I132">
    <cfRule type="dataBar" priority="428">
      <dataBar>
        <cfvo type="min"/>
        <cfvo type="max"/>
        <color rgb="FF008AEF"/>
      </dataBar>
    </cfRule>
  </conditionalFormatting>
  <conditionalFormatting sqref="J128:J132">
    <cfRule type="cellIs" priority="424" operator="greaterThan" dxfId="1">
      <formula>0.03</formula>
    </cfRule>
    <cfRule type="cellIs" priority="425" operator="lessThan" dxfId="0" stopIfTrue="1">
      <formula>-0.03</formula>
    </cfRule>
  </conditionalFormatting>
  <conditionalFormatting sqref="N133">
    <cfRule type="cellIs" priority="422" operator="lessThan" dxfId="1" stopIfTrue="1">
      <formula>-0.01</formula>
    </cfRule>
    <cfRule type="cellIs" priority="423" operator="greaterThan" dxfId="0" stopIfTrue="1">
      <formula>0.01</formula>
    </cfRule>
  </conditionalFormatting>
  <conditionalFormatting sqref="N128">
    <cfRule type="cellIs" priority="420" operator="lessThan" dxfId="1" stopIfTrue="1">
      <formula>-0.01</formula>
    </cfRule>
    <cfRule type="cellIs" priority="421" operator="greaterThan" dxfId="0" stopIfTrue="1">
      <formula>0.01</formula>
    </cfRule>
  </conditionalFormatting>
  <conditionalFormatting sqref="N129">
    <cfRule type="cellIs" priority="418" operator="lessThan" dxfId="1" stopIfTrue="1">
      <formula>-0.01</formula>
    </cfRule>
    <cfRule type="cellIs" priority="419" operator="greaterThan" dxfId="0" stopIfTrue="1">
      <formula>0.01</formula>
    </cfRule>
  </conditionalFormatting>
  <conditionalFormatting sqref="N130:N132">
    <cfRule type="cellIs" priority="416" operator="lessThan" dxfId="1" stopIfTrue="1">
      <formula>-0.01</formula>
    </cfRule>
    <cfRule type="cellIs" priority="417" operator="greaterThan" dxfId="0" stopIfTrue="1">
      <formula>0.01</formula>
    </cfRule>
  </conditionalFormatting>
  <conditionalFormatting sqref="P128">
    <cfRule type="cellIs" priority="414" operator="greaterThan" dxfId="1">
      <formula>0.03</formula>
    </cfRule>
    <cfRule type="cellIs" priority="415" operator="lessThan" dxfId="0" stopIfTrue="1">
      <formula>-0.03</formula>
    </cfRule>
  </conditionalFormatting>
  <conditionalFormatting sqref="P132">
    <cfRule type="cellIs" priority="412" operator="lessThan" dxfId="1">
      <formula>-0.03</formula>
    </cfRule>
    <cfRule type="cellIs" priority="413" operator="greaterThan" dxfId="0" stopIfTrue="1">
      <formula>0.03</formula>
    </cfRule>
  </conditionalFormatting>
  <conditionalFormatting sqref="I134">
    <cfRule type="dataBar" priority="438">
      <dataBar>
        <cfvo type="min"/>
        <cfvo type="max"/>
        <color rgb="FF008AEF"/>
      </dataBar>
    </cfRule>
  </conditionalFormatting>
  <conditionalFormatting sqref="P131">
    <cfRule type="cellIs" priority="410" operator="greaterThan" dxfId="1">
      <formula>0.03</formula>
    </cfRule>
    <cfRule type="cellIs" priority="411" operator="lessThan" dxfId="0" stopIfTrue="1">
      <formula>-0.03</formula>
    </cfRule>
  </conditionalFormatting>
  <conditionalFormatting sqref="I137">
    <cfRule type="dataBar" priority="408">
      <dataBar>
        <cfvo type="min"/>
        <cfvo type="max"/>
        <color rgb="FF008AEF"/>
      </dataBar>
    </cfRule>
    <cfRule type="dataBar" priority="377">
      <dataBar>
        <cfvo type="min"/>
        <cfvo type="max"/>
        <color rgb="FF008AEF"/>
      </dataBar>
    </cfRule>
  </conditionalFormatting>
  <conditionalFormatting sqref="I138">
    <cfRule type="dataBar" priority="407">
      <dataBar>
        <cfvo type="min"/>
        <cfvo type="max"/>
        <color rgb="FF008AEF"/>
      </dataBar>
    </cfRule>
    <cfRule type="dataBar" priority="376">
      <dataBar>
        <cfvo type="min"/>
        <cfvo type="max"/>
        <color rgb="FF008AEF"/>
      </dataBar>
    </cfRule>
  </conditionalFormatting>
  <conditionalFormatting sqref="N145">
    <cfRule type="cellIs" priority="405" operator="lessThan" dxfId="1" stopIfTrue="1">
      <formula>-0.01</formula>
    </cfRule>
    <cfRule type="cellIs" priority="406" operator="greaterThan" dxfId="0" stopIfTrue="1">
      <formula>0.01</formula>
    </cfRule>
    <cfRule type="cellIs" priority="374" operator="lessThan" dxfId="1" stopIfTrue="1">
      <formula>-0.01</formula>
    </cfRule>
    <cfRule type="cellIs" priority="374" operator="greaterThan" dxfId="0" stopIfTrue="1">
      <formula>0.01</formula>
    </cfRule>
  </conditionalFormatting>
  <conditionalFormatting sqref="I144">
    <cfRule type="dataBar" priority="404">
      <dataBar>
        <cfvo type="min"/>
        <cfvo type="max"/>
        <color rgb="FF008AEF"/>
      </dataBar>
    </cfRule>
    <cfRule type="dataBar" priority="373">
      <dataBar>
        <cfvo type="min"/>
        <cfvo type="max"/>
        <color rgb="FF008AEF"/>
      </dataBar>
    </cfRule>
  </conditionalFormatting>
  <conditionalFormatting sqref="I139">
    <cfRule type="dataBar" priority="403">
      <dataBar>
        <cfvo type="min"/>
        <cfvo type="max"/>
        <color rgb="FF008AEF"/>
      </dataBar>
    </cfRule>
    <cfRule type="dataBar" priority="398">
      <dataBar>
        <cfvo type="min"/>
        <cfvo type="max"/>
        <color rgb="FF008AEF"/>
      </dataBar>
    </cfRule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140">
    <cfRule type="dataBar" priority="402">
      <dataBar>
        <cfvo type="min"/>
        <cfvo type="max"/>
        <color rgb="FF008AEF"/>
      </dataBar>
    </cfRule>
    <cfRule type="dataBar" priority="397">
      <dataBar>
        <cfvo type="min"/>
        <cfvo type="max"/>
        <color rgb="FF008AEF"/>
      </dataBar>
    </cfRule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141:I142">
    <cfRule type="dataBar" priority="401">
      <dataBar>
        <cfvo type="min"/>
        <cfvo type="max"/>
        <color rgb="FF008AEF"/>
      </dataBar>
    </cfRule>
    <cfRule type="dataBar" priority="370">
      <dataBar>
        <cfvo type="min"/>
        <cfvo type="max"/>
        <color rgb="FF008AEF"/>
      </dataBar>
    </cfRule>
  </conditionalFormatting>
  <conditionalFormatting sqref="I143">
    <cfRule type="dataBar" priority="400">
      <dataBar>
        <cfvo type="min"/>
        <cfvo type="max"/>
        <color rgb="FF008AEF"/>
      </dataBar>
    </cfRule>
    <cfRule type="dataBar" priority="369">
      <dataBar>
        <cfvo type="min"/>
        <cfvo type="max"/>
        <color rgb="FF008AEF"/>
      </dataBar>
    </cfRule>
  </conditionalFormatting>
  <conditionalFormatting sqref="I141:I143">
    <cfRule type="dataBar" priority="399">
      <dataBar>
        <cfvo type="min"/>
        <cfvo type="max"/>
        <color rgb="FF008AEF"/>
      </dataBar>
    </cfRule>
    <cfRule type="dataBar" priority="368">
      <dataBar>
        <cfvo type="min"/>
        <cfvo type="max"/>
        <color rgb="FF008AEF"/>
      </dataBar>
    </cfRule>
  </conditionalFormatting>
  <conditionalFormatting sqref="J139:J143">
    <cfRule type="cellIs" priority="395" operator="greaterThan" dxfId="1">
      <formula>0.03</formula>
    </cfRule>
    <cfRule type="cellIs" priority="396" operator="lessThan" dxfId="0" stopIfTrue="1">
      <formula>-0.03</formula>
    </cfRule>
    <cfRule type="cellIs" priority="364" operator="greaterThan" dxfId="1">
      <formula>0.03</formula>
    </cfRule>
    <cfRule type="cellIs" priority="364" operator="lessThan" dxfId="0" stopIfTrue="1">
      <formula>-0.03</formula>
    </cfRule>
  </conditionalFormatting>
  <conditionalFormatting sqref="N144">
    <cfRule type="cellIs" priority="393" operator="lessThan" dxfId="1" stopIfTrue="1">
      <formula>-0.01</formula>
    </cfRule>
    <cfRule type="cellIs" priority="394" operator="greaterThan" dxfId="0" stopIfTrue="1">
      <formula>0.01</formula>
    </cfRule>
    <cfRule type="cellIs" priority="362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N139">
    <cfRule type="cellIs" priority="391" operator="lessThan" dxfId="1" stopIfTrue="1">
      <formula>-0.01</formula>
    </cfRule>
    <cfRule type="cellIs" priority="392" operator="greaterThan" dxfId="0" stopIfTrue="1">
      <formula>0.01</formula>
    </cfRule>
    <cfRule type="cellIs" priority="360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140">
    <cfRule type="cellIs" priority="389" operator="lessThan" dxfId="1" stopIfTrue="1">
      <formula>-0.01</formula>
    </cfRule>
    <cfRule type="cellIs" priority="390" operator="greaterThan" dxfId="0" stopIfTrue="1">
      <formula>0.01</formula>
    </cfRule>
    <cfRule type="cellIs" priority="358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141:N143">
    <cfRule type="cellIs" priority="387" operator="lessThan" dxfId="1" stopIfTrue="1">
      <formula>-0.01</formula>
    </cfRule>
    <cfRule type="cellIs" priority="388" operator="greaterThan" dxfId="0" stopIfTrue="1">
      <formula>0.01</formula>
    </cfRule>
    <cfRule type="cellIs" priority="356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P139">
    <cfRule type="cellIs" priority="385" operator="greaterThan" dxfId="1">
      <formula>0.03</formula>
    </cfRule>
    <cfRule type="cellIs" priority="386" operator="lessThan" dxfId="0" stopIfTrue="1">
      <formula>-0.03</formula>
    </cfRule>
    <cfRule type="cellIs" priority="354" operator="greaterThan" dxfId="1">
      <formula>0.03</formula>
    </cfRule>
    <cfRule type="cellIs" priority="354" operator="lessThan" dxfId="0" stopIfTrue="1">
      <formula>-0.03</formula>
    </cfRule>
  </conditionalFormatting>
  <conditionalFormatting sqref="P143">
    <cfRule type="cellIs" priority="383" operator="lessThan" dxfId="1">
      <formula>-0.03</formula>
    </cfRule>
    <cfRule type="cellIs" priority="384" operator="greaterThan" dxfId="0" stopIfTrue="1">
      <formula>0.03</formula>
    </cfRule>
    <cfRule type="cellIs" priority="352" operator="lessThan" dxfId="1">
      <formula>-0.03</formula>
    </cfRule>
    <cfRule type="cellIs" priority="352" operator="greaterThan" dxfId="0" stopIfTrue="1">
      <formula>0.03</formula>
    </cfRule>
  </conditionalFormatting>
  <conditionalFormatting sqref="I145">
    <cfRule type="dataBar" priority="409">
      <dataBar>
        <cfvo type="min"/>
        <cfvo type="max"/>
        <color rgb="FF008AEF"/>
      </dataBar>
    </cfRule>
    <cfRule type="dataBar" priority="1898">
      <dataBar>
        <cfvo type="min"/>
        <cfvo type="max"/>
        <color rgb="FF008AEF"/>
      </dataBar>
    </cfRule>
  </conditionalFormatting>
  <conditionalFormatting sqref="P142">
    <cfRule type="cellIs" priority="381" operator="greaterThan" dxfId="1">
      <formula>0.03</formula>
    </cfRule>
    <cfRule type="cellIs" priority="382" operator="lessThan" dxfId="0" stopIfTrue="1">
      <formula>-0.03</formula>
    </cfRule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I146">
    <cfRule type="dataBar" priority="380">
      <dataBar>
        <cfvo type="min"/>
        <cfvo type="max"/>
        <color rgb="FF008AEF"/>
      </dataBar>
    </cfRule>
  </conditionalFormatting>
  <conditionalFormatting sqref="N146">
    <cfRule type="cellIs" priority="378" operator="lessThan" dxfId="1" stopIfTrue="1">
      <formula>-0.01</formula>
    </cfRule>
    <cfRule type="cellIs" priority="379" operator="greaterThan" dxfId="0" stopIfTrue="1">
      <formula>0.01</formula>
    </cfRule>
  </conditionalFormatting>
  <conditionalFormatting sqref="I148">
    <cfRule type="dataBar" priority="348">
      <dataBar>
        <cfvo type="min"/>
        <cfvo type="max"/>
        <color rgb="FF008AEF"/>
      </dataBar>
    </cfRule>
  </conditionalFormatting>
  <conditionalFormatting sqref="I149">
    <cfRule type="dataBar" priority="347">
      <dataBar>
        <cfvo type="min"/>
        <cfvo type="max"/>
        <color rgb="FF008AEF"/>
      </dataBar>
    </cfRule>
  </conditionalFormatting>
  <conditionalFormatting sqref="N156">
    <cfRule type="cellIs" priority="345" operator="lessThan" dxfId="1" stopIfTrue="1">
      <formula>-0.01</formula>
    </cfRule>
    <cfRule type="cellIs" priority="345" operator="greaterThan" dxfId="0" stopIfTrue="1">
      <formula>0.01</formula>
    </cfRule>
  </conditionalFormatting>
  <conditionalFormatting sqref="I155">
    <cfRule type="dataBar" priority="344">
      <dataBar>
        <cfvo type="min"/>
        <cfvo type="max"/>
        <color rgb="FF008AEF"/>
      </dataBar>
    </cfRule>
  </conditionalFormatting>
  <conditionalFormatting sqref="I150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51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152:I153">
    <cfRule type="dataBar" priority="341">
      <dataBar>
        <cfvo type="min"/>
        <cfvo type="max"/>
        <color rgb="FF008AEF"/>
      </dataBar>
    </cfRule>
  </conditionalFormatting>
  <conditionalFormatting sqref="I154">
    <cfRule type="dataBar" priority="340">
      <dataBar>
        <cfvo type="min"/>
        <cfvo type="max"/>
        <color rgb="FF008AEF"/>
      </dataBar>
    </cfRule>
  </conditionalFormatting>
  <conditionalFormatting sqref="I152:I154">
    <cfRule type="dataBar" priority="339">
      <dataBar>
        <cfvo type="min"/>
        <cfvo type="max"/>
        <color rgb="FF008AEF"/>
      </dataBar>
    </cfRule>
  </conditionalFormatting>
  <conditionalFormatting sqref="J150:J154">
    <cfRule type="cellIs" priority="335" operator="greaterThan" dxfId="1">
      <formula>0.03</formula>
    </cfRule>
    <cfRule type="cellIs" priority="335" operator="lessThan" dxfId="0" stopIfTrue="1">
      <formula>-0.03</formula>
    </cfRule>
  </conditionalFormatting>
  <conditionalFormatting sqref="N155">
    <cfRule type="cellIs" priority="333" operator="lessThan" dxfId="1" stopIfTrue="1">
      <formula>-0.01</formula>
    </cfRule>
    <cfRule type="cellIs" priority="333" operator="greaterThan" dxfId="0" stopIfTrue="1">
      <formula>0.01</formula>
    </cfRule>
  </conditionalFormatting>
  <conditionalFormatting sqref="N150">
    <cfRule type="cellIs" priority="331" operator="lessThan" dxfId="1" stopIfTrue="1">
      <formula>-0.01</formula>
    </cfRule>
    <cfRule type="cellIs" priority="331" operator="greaterThan" dxfId="0" stopIfTrue="1">
      <formula>0.01</formula>
    </cfRule>
  </conditionalFormatting>
  <conditionalFormatting sqref="N151">
    <cfRule type="cellIs" priority="329" operator="lessThan" dxfId="1" stopIfTrue="1">
      <formula>-0.01</formula>
    </cfRule>
    <cfRule type="cellIs" priority="329" operator="greaterThan" dxfId="0" stopIfTrue="1">
      <formula>0.01</formula>
    </cfRule>
  </conditionalFormatting>
  <conditionalFormatting sqref="N152:N154">
    <cfRule type="cellIs" priority="327" operator="lessThan" dxfId="1" stopIfTrue="1">
      <formula>-0.01</formula>
    </cfRule>
    <cfRule type="cellIs" priority="327" operator="greaterThan" dxfId="0" stopIfTrue="1">
      <formula>0.01</formula>
    </cfRule>
  </conditionalFormatting>
  <conditionalFormatting sqref="P150">
    <cfRule type="cellIs" priority="325" operator="greaterThan" dxfId="1">
      <formula>0.03</formula>
    </cfRule>
    <cfRule type="cellIs" priority="325" operator="lessThan" dxfId="0" stopIfTrue="1">
      <formula>-0.03</formula>
    </cfRule>
  </conditionalFormatting>
  <conditionalFormatting sqref="P154">
    <cfRule type="cellIs" priority="323" operator="lessThan" dxfId="1">
      <formula>-0.03</formula>
    </cfRule>
    <cfRule type="cellIs" priority="323" operator="greaterThan" dxfId="0" stopIfTrue="1">
      <formula>0.03</formula>
    </cfRule>
  </conditionalFormatting>
  <conditionalFormatting sqref="I156">
    <cfRule type="dataBar" priority="1899">
      <dataBar>
        <cfvo type="min"/>
        <cfvo type="max"/>
        <color rgb="FF008AEF"/>
      </dataBar>
    </cfRule>
  </conditionalFormatting>
  <conditionalFormatting sqref="P153">
    <cfRule type="cellIs" priority="320" operator="greaterThan" dxfId="1">
      <formula>0.03</formula>
    </cfRule>
    <cfRule type="cellIs" priority="321" operator="lessThan" dxfId="0" stopIfTrue="1">
      <formula>-0.03</formula>
    </cfRule>
  </conditionalFormatting>
  <conditionalFormatting sqref="I159">
    <cfRule type="dataBar" priority="319">
      <dataBar>
        <cfvo type="min"/>
        <cfvo type="max"/>
        <color rgb="FF008AEF"/>
      </dataBar>
    </cfRule>
  </conditionalFormatting>
  <conditionalFormatting sqref="I160">
    <cfRule type="dataBar" priority="318">
      <dataBar>
        <cfvo type="min"/>
        <cfvo type="max"/>
        <color rgb="FF008AEF"/>
      </dataBar>
    </cfRule>
  </conditionalFormatting>
  <conditionalFormatting sqref="N167">
    <cfRule type="cellIs" priority="316" operator="lessThan" dxfId="1" stopIfTrue="1">
      <formula>-0.01</formula>
    </cfRule>
    <cfRule type="cellIs" priority="316" operator="greaterThan" dxfId="0" stopIfTrue="1">
      <formula>0.01</formula>
    </cfRule>
  </conditionalFormatting>
  <conditionalFormatting sqref="I166">
    <cfRule type="dataBar" priority="315">
      <dataBar>
        <cfvo type="min"/>
        <cfvo type="max"/>
        <color rgb="FF008AEF"/>
      </dataBar>
    </cfRule>
  </conditionalFormatting>
  <conditionalFormatting sqref="I161">
    <cfRule type="dataBar" priority="314">
      <dataBar>
        <cfvo type="min"/>
        <cfvo type="max"/>
        <color rgb="FF008AEF"/>
      </dataBar>
    </cfRule>
    <cfRule type="dataBar" priority="309">
      <dataBar>
        <cfvo type="min"/>
        <cfvo type="max"/>
        <color rgb="FF008AEF"/>
      </dataBar>
    </cfRule>
  </conditionalFormatting>
  <conditionalFormatting sqref="I162">
    <cfRule type="dataBar" priority="313">
      <dataBar>
        <cfvo type="min"/>
        <cfvo type="max"/>
        <color rgb="FF008AEF"/>
      </dataBar>
    </cfRule>
    <cfRule type="dataBar" priority="308">
      <dataBar>
        <cfvo type="min"/>
        <cfvo type="max"/>
        <color rgb="FF008AEF"/>
      </dataBar>
    </cfRule>
  </conditionalFormatting>
  <conditionalFormatting sqref="I163:I164">
    <cfRule type="dataBar" priority="312">
      <dataBar>
        <cfvo type="min"/>
        <cfvo type="max"/>
        <color rgb="FF008AEF"/>
      </dataBar>
    </cfRule>
  </conditionalFormatting>
  <conditionalFormatting sqref="I165">
    <cfRule type="dataBar" priority="311">
      <dataBar>
        <cfvo type="min"/>
        <cfvo type="max"/>
        <color rgb="FF008AEF"/>
      </dataBar>
    </cfRule>
  </conditionalFormatting>
  <conditionalFormatting sqref="I163:I165">
    <cfRule type="dataBar" priority="310">
      <dataBar>
        <cfvo type="min"/>
        <cfvo type="max"/>
        <color rgb="FF008AEF"/>
      </dataBar>
    </cfRule>
  </conditionalFormatting>
  <conditionalFormatting sqref="J161:J165">
    <cfRule type="cellIs" priority="306" operator="greaterThan" dxfId="1">
      <formula>0.03</formula>
    </cfRule>
    <cfRule type="cellIs" priority="306" operator="lessThan" dxfId="0" stopIfTrue="1">
      <formula>-0.03</formula>
    </cfRule>
  </conditionalFormatting>
  <conditionalFormatting sqref="N166">
    <cfRule type="cellIs" priority="304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N161">
    <cfRule type="cellIs" priority="302" operator="lessThan" dxfId="1" stopIfTrue="1">
      <formula>-0.01</formula>
    </cfRule>
    <cfRule type="cellIs" priority="302" operator="greaterThan" dxfId="0" stopIfTrue="1">
      <formula>0.01</formula>
    </cfRule>
  </conditionalFormatting>
  <conditionalFormatting sqref="N162">
    <cfRule type="cellIs" priority="300" operator="lessThan" dxfId="1" stopIfTrue="1">
      <formula>-0.01</formula>
    </cfRule>
    <cfRule type="cellIs" priority="300" operator="greaterThan" dxfId="0" stopIfTrue="1">
      <formula>0.01</formula>
    </cfRule>
  </conditionalFormatting>
  <conditionalFormatting sqref="N163:N165">
    <cfRule type="cellIs" priority="298" operator="lessThan" dxfId="1" stopIfTrue="1">
      <formula>-0.01</formula>
    </cfRule>
    <cfRule type="cellIs" priority="298" operator="greaterThan" dxfId="0" stopIfTrue="1">
      <formula>0.01</formula>
    </cfRule>
  </conditionalFormatting>
  <conditionalFormatting sqref="P161">
    <cfRule type="cellIs" priority="296" operator="greaterThan" dxfId="1">
      <formula>0.03</formula>
    </cfRule>
    <cfRule type="cellIs" priority="296" operator="lessThan" dxfId="0" stopIfTrue="1">
      <formula>-0.03</formula>
    </cfRule>
  </conditionalFormatting>
  <conditionalFormatting sqref="P165">
    <cfRule type="cellIs" priority="294" operator="lessThan" dxfId="1">
      <formula>-0.03</formula>
    </cfRule>
    <cfRule type="cellIs" priority="294" operator="greaterThan" dxfId="0" stopIfTrue="1">
      <formula>0.03</formula>
    </cfRule>
  </conditionalFormatting>
  <conditionalFormatting sqref="I167">
    <cfRule type="dataBar" priority="1900">
      <dataBar>
        <cfvo type="min"/>
        <cfvo type="max"/>
        <color rgb="FF008AEF"/>
      </dataBar>
    </cfRule>
  </conditionalFormatting>
  <conditionalFormatting sqref="P164">
    <cfRule type="cellIs" priority="291" operator="greaterThan" dxfId="1">
      <formula>0.03</formula>
    </cfRule>
    <cfRule type="cellIs" priority="292" operator="lessThan" dxfId="0" stopIfTrue="1">
      <formula>-0.03</formula>
    </cfRule>
  </conditionalFormatting>
  <conditionalFormatting sqref="I170">
    <cfRule type="dataBar" priority="290">
      <dataBar>
        <cfvo type="min"/>
        <cfvo type="max"/>
        <color rgb="FF008AEF"/>
      </dataBar>
    </cfRule>
  </conditionalFormatting>
  <conditionalFormatting sqref="I171">
    <cfRule type="dataBar" priority="289">
      <dataBar>
        <cfvo type="min"/>
        <cfvo type="max"/>
        <color rgb="FF008AEF"/>
      </dataBar>
    </cfRule>
  </conditionalFormatting>
  <conditionalFormatting sqref="N178">
    <cfRule type="cellIs" priority="287" operator="lessThan" dxfId="1" stopIfTrue="1">
      <formula>-0.01</formula>
    </cfRule>
    <cfRule type="cellIs" priority="287" operator="greaterThan" dxfId="0" stopIfTrue="1">
      <formula>0.01</formula>
    </cfRule>
  </conditionalFormatting>
  <conditionalFormatting sqref="I177">
    <cfRule type="dataBar" priority="286">
      <dataBar>
        <cfvo type="min"/>
        <cfvo type="max"/>
        <color rgb="FF008AEF"/>
      </dataBar>
    </cfRule>
  </conditionalFormatting>
  <conditionalFormatting sqref="I172">
    <cfRule type="dataBar" priority="285">
      <dataBar>
        <cfvo type="min"/>
        <cfvo type="max"/>
        <color rgb="FF008AEF"/>
      </dataBar>
    </cfRule>
    <cfRule type="dataBar" priority="280">
      <dataBar>
        <cfvo type="min"/>
        <cfvo type="max"/>
        <color rgb="FF008AEF"/>
      </dataBar>
    </cfRule>
  </conditionalFormatting>
  <conditionalFormatting sqref="I173">
    <cfRule type="dataBar" priority="284">
      <dataBar>
        <cfvo type="min"/>
        <cfvo type="max"/>
        <color rgb="FF008AEF"/>
      </dataBar>
    </cfRule>
    <cfRule type="dataBar" priority="279">
      <dataBar>
        <cfvo type="min"/>
        <cfvo type="max"/>
        <color rgb="FF008AEF"/>
      </dataBar>
    </cfRule>
  </conditionalFormatting>
  <conditionalFormatting sqref="I174:I175">
    <cfRule type="dataBar" priority="283">
      <dataBar>
        <cfvo type="min"/>
        <cfvo type="max"/>
        <color rgb="FF008AEF"/>
      </dataBar>
    </cfRule>
  </conditionalFormatting>
  <conditionalFormatting sqref="I176">
    <cfRule type="dataBar" priority="282">
      <dataBar>
        <cfvo type="min"/>
        <cfvo type="max"/>
        <color rgb="FF008AEF"/>
      </dataBar>
    </cfRule>
  </conditionalFormatting>
  <conditionalFormatting sqref="I174:I176">
    <cfRule type="dataBar" priority="281">
      <dataBar>
        <cfvo type="min"/>
        <cfvo type="max"/>
        <color rgb="FF008AEF"/>
      </dataBar>
    </cfRule>
  </conditionalFormatting>
  <conditionalFormatting sqref="J172:J176">
    <cfRule type="cellIs" priority="277" operator="greaterThan" dxfId="1">
      <formula>0.03</formula>
    </cfRule>
    <cfRule type="cellIs" priority="277" operator="lessThan" dxfId="0" stopIfTrue="1">
      <formula>-0.03</formula>
    </cfRule>
  </conditionalFormatting>
  <conditionalFormatting sqref="N177">
    <cfRule type="cellIs" priority="275" operator="lessThan" dxfId="1" stopIfTrue="1">
      <formula>-0.01</formula>
    </cfRule>
    <cfRule type="cellIs" priority="275" operator="greaterThan" dxfId="0" stopIfTrue="1">
      <formula>0.01</formula>
    </cfRule>
  </conditionalFormatting>
  <conditionalFormatting sqref="N172">
    <cfRule type="cellIs" priority="273" operator="lessThan" dxfId="1" stopIfTrue="1">
      <formula>-0.01</formula>
    </cfRule>
    <cfRule type="cellIs" priority="273" operator="greaterThan" dxfId="0" stopIfTrue="1">
      <formula>0.01</formula>
    </cfRule>
  </conditionalFormatting>
  <conditionalFormatting sqref="N173">
    <cfRule type="cellIs" priority="271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N174:N176">
    <cfRule type="cellIs" priority="269" operator="lessThan" dxfId="1" stopIfTrue="1">
      <formula>-0.01</formula>
    </cfRule>
    <cfRule type="cellIs" priority="269" operator="greaterThan" dxfId="0" stopIfTrue="1">
      <formula>0.01</formula>
    </cfRule>
  </conditionalFormatting>
  <conditionalFormatting sqref="P172">
    <cfRule type="cellIs" priority="267" operator="greaterThan" dxfId="1">
      <formula>0.03</formula>
    </cfRule>
    <cfRule type="cellIs" priority="267" operator="lessThan" dxfId="0" stopIfTrue="1">
      <formula>-0.03</formula>
    </cfRule>
  </conditionalFormatting>
  <conditionalFormatting sqref="P176">
    <cfRule type="cellIs" priority="265" operator="lessThan" dxfId="1">
      <formula>-0.03</formula>
    </cfRule>
    <cfRule type="cellIs" priority="265" operator="greaterThan" dxfId="0" stopIfTrue="1">
      <formula>0.03</formula>
    </cfRule>
  </conditionalFormatting>
  <conditionalFormatting sqref="I178">
    <cfRule type="dataBar" priority="1901">
      <dataBar>
        <cfvo type="min"/>
        <cfvo type="max"/>
        <color rgb="FF008AEF"/>
      </dataBar>
    </cfRule>
  </conditionalFormatting>
  <conditionalFormatting sqref="P175">
    <cfRule type="cellIs" priority="262" operator="greaterThan" dxfId="1">
      <formula>0.03</formula>
    </cfRule>
    <cfRule type="cellIs" priority="263" operator="lessThan" dxfId="0" stopIfTrue="1">
      <formula>-0.03</formula>
    </cfRule>
  </conditionalFormatting>
  <conditionalFormatting sqref="I181">
    <cfRule type="dataBar" priority="261">
      <dataBar>
        <cfvo type="min"/>
        <cfvo type="max"/>
        <color rgb="FF008AEF"/>
      </dataBar>
    </cfRule>
  </conditionalFormatting>
  <conditionalFormatting sqref="I182">
    <cfRule type="dataBar" priority="260">
      <dataBar>
        <cfvo type="min"/>
        <cfvo type="max"/>
        <color rgb="FF008AEF"/>
      </dataBar>
    </cfRule>
  </conditionalFormatting>
  <conditionalFormatting sqref="N189">
    <cfRule type="cellIs" priority="258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188">
    <cfRule type="cellIs" priority="246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N183">
    <cfRule type="cellIs" priority="244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N184">
    <cfRule type="cellIs" priority="242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N185:N187">
    <cfRule type="cellIs" priority="240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P183">
    <cfRule type="cellIs" priority="238" operator="greaterThan" dxfId="1">
      <formula>0.03</formula>
    </cfRule>
    <cfRule type="cellIs" priority="238" operator="lessThan" dxfId="0" stopIfTrue="1">
      <formula>-0.03</formula>
    </cfRule>
  </conditionalFormatting>
  <conditionalFormatting sqref="P187">
    <cfRule type="cellIs" priority="236" operator="lessThan" dxfId="1">
      <formula>-0.03</formula>
    </cfRule>
    <cfRule type="cellIs" priority="236" operator="greaterThan" dxfId="0" stopIfTrue="1">
      <formula>0.03</formula>
    </cfRule>
  </conditionalFormatting>
  <conditionalFormatting sqref="I189">
    <cfRule type="dataBar" priority="1902">
      <dataBar>
        <cfvo type="min"/>
        <cfvo type="max"/>
        <color rgb="FF008AEF"/>
      </dataBar>
    </cfRule>
  </conditionalFormatting>
  <conditionalFormatting sqref="P186">
    <cfRule type="cellIs" priority="233" operator="greaterThan" dxfId="1">
      <formula>0.03</formula>
    </cfRule>
    <cfRule type="cellIs" priority="234" operator="lessThan" dxfId="0" stopIfTrue="1">
      <formula>-0.03</formula>
    </cfRule>
  </conditionalFormatting>
  <conditionalFormatting sqref="I192">
    <cfRule type="dataBar" priority="232">
      <dataBar>
        <cfvo type="min"/>
        <cfvo type="max"/>
        <color rgb="FF008AEF"/>
      </dataBar>
    </cfRule>
  </conditionalFormatting>
  <conditionalFormatting sqref="I193">
    <cfRule type="dataBar" priority="231">
      <dataBar>
        <cfvo type="min"/>
        <cfvo type="max"/>
        <color rgb="FF008AEF"/>
      </dataBar>
    </cfRule>
  </conditionalFormatting>
  <conditionalFormatting sqref="N200">
    <cfRule type="cellIs" priority="229" operator="lessThan" dxfId="1" stopIfTrue="1">
      <formula>-0.01</formula>
    </cfRule>
    <cfRule type="cellIs" priority="229" operator="greaterThan" dxfId="0" stopIfTrue="1">
      <formula>0.01</formula>
    </cfRule>
  </conditionalFormatting>
  <conditionalFormatting sqref="I199">
    <cfRule type="dataBar" priority="228">
      <dataBar>
        <cfvo type="min"/>
        <cfvo type="max"/>
        <color rgb="FF008AEF"/>
      </dataBar>
    </cfRule>
  </conditionalFormatting>
  <conditionalFormatting sqref="I19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195">
    <cfRule type="dataBar" priority="226">
      <dataBar>
        <cfvo type="min"/>
        <cfvo type="max"/>
        <color rgb="FF008AEF"/>
      </dataBar>
    </cfRule>
    <cfRule type="dataBar" priority="221">
      <dataBar>
        <cfvo type="min"/>
        <cfvo type="max"/>
        <color rgb="FF008AEF"/>
      </dataBar>
    </cfRule>
  </conditionalFormatting>
  <conditionalFormatting sqref="I196:I197">
    <cfRule type="dataBar" priority="225">
      <dataBar>
        <cfvo type="min"/>
        <cfvo type="max"/>
        <color rgb="FF008AEF"/>
      </dataBar>
    </cfRule>
  </conditionalFormatting>
  <conditionalFormatting sqref="I198">
    <cfRule type="dataBar" priority="224">
      <dataBar>
        <cfvo type="min"/>
        <cfvo type="max"/>
        <color rgb="FF008AEF"/>
      </dataBar>
    </cfRule>
  </conditionalFormatting>
  <conditionalFormatting sqref="I196:I198">
    <cfRule type="dataBar" priority="223">
      <dataBar>
        <cfvo type="min"/>
        <cfvo type="max"/>
        <color rgb="FF008AEF"/>
      </dataBar>
    </cfRule>
  </conditionalFormatting>
  <conditionalFormatting sqref="J194:J198">
    <cfRule type="cellIs" priority="219" operator="greaterThan" dxfId="1">
      <formula>0.03</formula>
    </cfRule>
    <cfRule type="cellIs" priority="219" operator="lessThan" dxfId="0" stopIfTrue="1">
      <formula>-0.03</formula>
    </cfRule>
  </conditionalFormatting>
  <conditionalFormatting sqref="N199">
    <cfRule type="cellIs" priority="217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194">
    <cfRule type="cellIs" priority="215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195">
    <cfRule type="cellIs" priority="213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196:N198">
    <cfRule type="cellIs" priority="211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194">
    <cfRule type="cellIs" priority="209" operator="greaterThan" dxfId="1">
      <formula>0.03</formula>
    </cfRule>
    <cfRule type="cellIs" priority="209" operator="lessThan" dxfId="0" stopIfTrue="1">
      <formula>-0.03</formula>
    </cfRule>
  </conditionalFormatting>
  <conditionalFormatting sqref="P198">
    <cfRule type="cellIs" priority="207" operator="lessThan" dxfId="1">
      <formula>-0.03</formula>
    </cfRule>
    <cfRule type="cellIs" priority="207" operator="greaterThan" dxfId="0" stopIfTrue="1">
      <formula>0.03</formula>
    </cfRule>
  </conditionalFormatting>
  <conditionalFormatting sqref="I200">
    <cfRule type="dataBar" priority="1903">
      <dataBar>
        <cfvo type="min"/>
        <cfvo type="max"/>
        <color rgb="FF008AEF"/>
      </dataBar>
    </cfRule>
  </conditionalFormatting>
  <conditionalFormatting sqref="P197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I203">
    <cfRule type="dataBar" priority="203">
      <dataBar>
        <cfvo type="min"/>
        <cfvo type="max"/>
        <color rgb="FF008AEF"/>
      </dataBar>
    </cfRule>
  </conditionalFormatting>
  <conditionalFormatting sqref="I204">
    <cfRule type="dataBar" priority="202">
      <dataBar>
        <cfvo type="min"/>
        <cfvo type="max"/>
        <color rgb="FF008AEF"/>
      </dataBar>
    </cfRule>
  </conditionalFormatting>
  <conditionalFormatting sqref="N211">
    <cfRule type="cellIs" priority="200" operator="lessThan" dxfId="1" stopIfTrue="1">
      <formula>-0.01</formula>
    </cfRule>
    <cfRule type="cellIs" priority="200" operator="greaterThan" dxfId="0" stopIfTrue="1">
      <formula>0.01</formula>
    </cfRule>
  </conditionalFormatting>
  <conditionalFormatting sqref="I210">
    <cfRule type="dataBar" priority="199">
      <dataBar>
        <cfvo type="min"/>
        <cfvo type="max"/>
        <color rgb="FF008AEF"/>
      </dataBar>
    </cfRule>
  </conditionalFormatting>
  <conditionalFormatting sqref="I205">
    <cfRule type="dataBar" priority="198">
      <dataBar>
        <cfvo type="min"/>
        <cfvo type="max"/>
        <color rgb="FF008AEF"/>
      </dataBar>
    </cfRule>
    <cfRule type="dataBar" priority="193">
      <dataBar>
        <cfvo type="min"/>
        <cfvo type="max"/>
        <color rgb="FF008AEF"/>
      </dataBar>
    </cfRule>
  </conditionalFormatting>
  <conditionalFormatting sqref="I206">
    <cfRule type="dataBar" priority="197">
      <dataBar>
        <cfvo type="min"/>
        <cfvo type="max"/>
        <color rgb="FF008AEF"/>
      </dataBar>
    </cfRule>
    <cfRule type="dataBar" priority="192">
      <dataBar>
        <cfvo type="min"/>
        <cfvo type="max"/>
        <color rgb="FF008AEF"/>
      </dataBar>
    </cfRule>
  </conditionalFormatting>
  <conditionalFormatting sqref="I207:I208">
    <cfRule type="dataBar" priority="196">
      <dataBar>
        <cfvo type="min"/>
        <cfvo type="max"/>
        <color rgb="FF008AEF"/>
      </dataBar>
    </cfRule>
  </conditionalFormatting>
  <conditionalFormatting sqref="I209">
    <cfRule type="dataBar" priority="195">
      <dataBar>
        <cfvo type="min"/>
        <cfvo type="max"/>
        <color rgb="FF008AEF"/>
      </dataBar>
    </cfRule>
  </conditionalFormatting>
  <conditionalFormatting sqref="I207:I209">
    <cfRule type="dataBar" priority="194">
      <dataBar>
        <cfvo type="min"/>
        <cfvo type="max"/>
        <color rgb="FF008AEF"/>
      </dataBar>
    </cfRule>
  </conditionalFormatting>
  <conditionalFormatting sqref="J205:J209">
    <cfRule type="cellIs" priority="190" operator="greaterThan" dxfId="1">
      <formula>0.03</formula>
    </cfRule>
    <cfRule type="cellIs" priority="190" operator="lessThan" dxfId="0" stopIfTrue="1">
      <formula>-0.03</formula>
    </cfRule>
  </conditionalFormatting>
  <conditionalFormatting sqref="N210">
    <cfRule type="cellIs" priority="188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205">
    <cfRule type="cellIs" priority="186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206">
    <cfRule type="cellIs" priority="184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N207:N209">
    <cfRule type="cellIs" priority="182" operator="lessThan" dxfId="1" stopIfTrue="1">
      <formula>-0.01</formula>
    </cfRule>
    <cfRule type="cellIs" priority="182" operator="greaterThan" dxfId="0" stopIfTrue="1">
      <formula>0.01</formula>
    </cfRule>
  </conditionalFormatting>
  <conditionalFormatting sqref="P205">
    <cfRule type="cellIs" priority="180" operator="greaterThan" dxfId="1">
      <formula>0.03</formula>
    </cfRule>
    <cfRule type="cellIs" priority="180" operator="lessThan" dxfId="0" stopIfTrue="1">
      <formula>-0.03</formula>
    </cfRule>
  </conditionalFormatting>
  <conditionalFormatting sqref="P209">
    <cfRule type="cellIs" priority="178" operator="lessThan" dxfId="1">
      <formula>-0.03</formula>
    </cfRule>
    <cfRule type="cellIs" priority="178" operator="greaterThan" dxfId="0" stopIfTrue="1">
      <formula>0.03</formula>
    </cfRule>
  </conditionalFormatting>
  <conditionalFormatting sqref="I211">
    <cfRule type="dataBar" priority="1904">
      <dataBar>
        <cfvo type="min"/>
        <cfvo type="max"/>
        <color rgb="FF008AEF"/>
      </dataBar>
    </cfRule>
  </conditionalFormatting>
  <conditionalFormatting sqref="P208">
    <cfRule type="cellIs" priority="175" operator="greaterThan" dxfId="1">
      <formula>0.03</formula>
    </cfRule>
    <cfRule type="cellIs" priority="176" operator="lessThan" dxfId="0" stopIfTrue="1">
      <formula>-0.03</formula>
    </cfRule>
  </conditionalFormatting>
  <conditionalFormatting sqref="I214">
    <cfRule type="dataBar" priority="174">
      <dataBar>
        <cfvo type="min"/>
        <cfvo type="max"/>
        <color rgb="FF008AEF"/>
      </dataBar>
    </cfRule>
  </conditionalFormatting>
  <conditionalFormatting sqref="I215">
    <cfRule type="dataBar" priority="173">
      <dataBar>
        <cfvo type="min"/>
        <cfvo type="max"/>
        <color rgb="FF008AEF"/>
      </dataBar>
    </cfRule>
  </conditionalFormatting>
  <conditionalFormatting sqref="N222">
    <cfRule type="cellIs" priority="171" operator="lessThan" dxfId="1" stopIfTrue="1">
      <formula>-0.01</formula>
    </cfRule>
    <cfRule type="cellIs" priority="171" operator="greaterThan" dxfId="0" stopIfTrue="1">
      <formula>0.01</formula>
    </cfRule>
  </conditionalFormatting>
  <conditionalFormatting sqref="I221">
    <cfRule type="dataBar" priority="170">
      <dataBar>
        <cfvo type="min"/>
        <cfvo type="max"/>
        <color rgb="FF008AEF"/>
      </dataBar>
    </cfRule>
  </conditionalFormatting>
  <conditionalFormatting sqref="I216">
    <cfRule type="dataBar" priority="169">
      <dataBar>
        <cfvo type="min"/>
        <cfvo type="max"/>
        <color rgb="FF008AEF"/>
      </dataBar>
    </cfRule>
    <cfRule type="dataBar" priority="164">
      <dataBar>
        <cfvo type="min"/>
        <cfvo type="max"/>
        <color rgb="FF008AEF"/>
      </dataBar>
    </cfRule>
  </conditionalFormatting>
  <conditionalFormatting sqref="I217">
    <cfRule type="dataBar" priority="168">
      <dataBar>
        <cfvo type="min"/>
        <cfvo type="max"/>
        <color rgb="FF008AEF"/>
      </dataBar>
    </cfRule>
    <cfRule type="dataBar" priority="163">
      <dataBar>
        <cfvo type="min"/>
        <cfvo type="max"/>
        <color rgb="FF008AEF"/>
      </dataBar>
    </cfRule>
  </conditionalFormatting>
  <conditionalFormatting sqref="I218:I219">
    <cfRule type="dataBar" priority="167">
      <dataBar>
        <cfvo type="min"/>
        <cfvo type="max"/>
        <color rgb="FF008AEF"/>
      </dataBar>
    </cfRule>
  </conditionalFormatting>
  <conditionalFormatting sqref="I220">
    <cfRule type="dataBar" priority="166">
      <dataBar>
        <cfvo type="min"/>
        <cfvo type="max"/>
        <color rgb="FF008AEF"/>
      </dataBar>
    </cfRule>
  </conditionalFormatting>
  <conditionalFormatting sqref="I218:I220">
    <cfRule type="dataBar" priority="165">
      <dataBar>
        <cfvo type="min"/>
        <cfvo type="max"/>
        <color rgb="FF008AEF"/>
      </dataBar>
    </cfRule>
  </conditionalFormatting>
  <conditionalFormatting sqref="J216:J220">
    <cfRule type="cellIs" priority="161" operator="greaterThan" dxfId="1">
      <formula>0.03</formula>
    </cfRule>
    <cfRule type="cellIs" priority="161" operator="lessThan" dxfId="0" stopIfTrue="1">
      <formula>-0.03</formula>
    </cfRule>
  </conditionalFormatting>
  <conditionalFormatting sqref="N221">
    <cfRule type="cellIs" priority="159" operator="lessThan" dxfId="1" stopIfTrue="1">
      <formula>-0.01</formula>
    </cfRule>
    <cfRule type="cellIs" priority="159" operator="greaterThan" dxfId="0" stopIfTrue="1">
      <formula>0.01</formula>
    </cfRule>
  </conditionalFormatting>
  <conditionalFormatting sqref="N216">
    <cfRule type="cellIs" priority="157" operator="lessThan" dxfId="1" stopIfTrue="1">
      <formula>-0.01</formula>
    </cfRule>
    <cfRule type="cellIs" priority="157" operator="greaterThan" dxfId="0" stopIfTrue="1">
      <formula>0.01</formula>
    </cfRule>
  </conditionalFormatting>
  <conditionalFormatting sqref="N217">
    <cfRule type="cellIs" priority="155" operator="lessThan" dxfId="1" stopIfTrue="1">
      <formula>-0.01</formula>
    </cfRule>
    <cfRule type="cellIs" priority="155" operator="greaterThan" dxfId="0" stopIfTrue="1">
      <formula>0.01</formula>
    </cfRule>
  </conditionalFormatting>
  <conditionalFormatting sqref="N218:N220">
    <cfRule type="cellIs" priority="153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P216">
    <cfRule type="cellIs" priority="151" operator="greaterThan" dxfId="1">
      <formula>0.03</formula>
    </cfRule>
    <cfRule type="cellIs" priority="151" operator="lessThan" dxfId="0" stopIfTrue="1">
      <formula>-0.03</formula>
    </cfRule>
  </conditionalFormatting>
  <conditionalFormatting sqref="P220">
    <cfRule type="cellIs" priority="149" operator="lessThan" dxfId="1">
      <formula>-0.03</formula>
    </cfRule>
    <cfRule type="cellIs" priority="149" operator="greaterThan" dxfId="0" stopIfTrue="1">
      <formula>0.03</formula>
    </cfRule>
  </conditionalFormatting>
  <conditionalFormatting sqref="I222">
    <cfRule type="dataBar" priority="1905">
      <dataBar>
        <cfvo type="min"/>
        <cfvo type="max"/>
        <color rgb="FF008AEF"/>
      </dataBar>
    </cfRule>
  </conditionalFormatting>
  <conditionalFormatting sqref="P219">
    <cfRule type="cellIs" priority="146" operator="greaterThan" dxfId="1">
      <formula>0.03</formula>
    </cfRule>
    <cfRule type="cellIs" priority="147" operator="lessThan" dxfId="0" stopIfTrue="1">
      <formula>-0.03</formula>
    </cfRule>
  </conditionalFormatting>
  <conditionalFormatting sqref="I225">
    <cfRule type="dataBar" priority="145">
      <dataBar>
        <cfvo type="min"/>
        <cfvo type="max"/>
        <color rgb="FF008AEF"/>
      </dataBar>
    </cfRule>
  </conditionalFormatting>
  <conditionalFormatting sqref="I226">
    <cfRule type="dataBar" priority="144">
      <dataBar>
        <cfvo type="min"/>
        <cfvo type="max"/>
        <color rgb="FF008AEF"/>
      </dataBar>
    </cfRule>
  </conditionalFormatting>
  <conditionalFormatting sqref="N233">
    <cfRule type="cellIs" priority="142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I232">
    <cfRule type="dataBar" priority="141">
      <dataBar>
        <cfvo type="min"/>
        <cfvo type="max"/>
        <color rgb="FF008AEF"/>
      </dataBar>
    </cfRule>
  </conditionalFormatting>
  <conditionalFormatting sqref="I227">
    <cfRule type="dataBar" priority="140">
      <dataBar>
        <cfvo type="min"/>
        <cfvo type="max"/>
        <color rgb="FF008AEF"/>
      </dataBar>
    </cfRule>
    <cfRule type="dataBar" priority="135">
      <dataBar>
        <cfvo type="min"/>
        <cfvo type="max"/>
        <color rgb="FF008AEF"/>
      </dataBar>
    </cfRule>
  </conditionalFormatting>
  <conditionalFormatting sqref="I228">
    <cfRule type="dataBar" priority="139">
      <dataBar>
        <cfvo type="min"/>
        <cfvo type="max"/>
        <color rgb="FF008AEF"/>
      </dataBar>
    </cfRule>
    <cfRule type="dataBar" priority="134">
      <dataBar>
        <cfvo type="min"/>
        <cfvo type="max"/>
        <color rgb="FF008AEF"/>
      </dataBar>
    </cfRule>
  </conditionalFormatting>
  <conditionalFormatting sqref="I229:I230">
    <cfRule type="dataBar" priority="138">
      <dataBar>
        <cfvo type="min"/>
        <cfvo type="max"/>
        <color rgb="FF008AEF"/>
      </dataBar>
    </cfRule>
  </conditionalFormatting>
  <conditionalFormatting sqref="I231">
    <cfRule type="dataBar" priority="137">
      <dataBar>
        <cfvo type="min"/>
        <cfvo type="max"/>
        <color rgb="FF008AEF"/>
      </dataBar>
    </cfRule>
  </conditionalFormatting>
  <conditionalFormatting sqref="I229:I231">
    <cfRule type="dataBar" priority="136">
      <dataBar>
        <cfvo type="min"/>
        <cfvo type="max"/>
        <color rgb="FF008AEF"/>
      </dataBar>
    </cfRule>
  </conditionalFormatting>
  <conditionalFormatting sqref="J227:J231">
    <cfRule type="cellIs" priority="132" operator="greaterThan" dxfId="1">
      <formula>0.03</formula>
    </cfRule>
    <cfRule type="cellIs" priority="132" operator="lessThan" dxfId="0" stopIfTrue="1">
      <formula>-0.03</formula>
    </cfRule>
  </conditionalFormatting>
  <conditionalFormatting sqref="N232">
    <cfRule type="cellIs" priority="130" operator="lessThan" dxfId="1" stopIfTrue="1">
      <formula>-0.01</formula>
    </cfRule>
    <cfRule type="cellIs" priority="130" operator="greaterThan" dxfId="0" stopIfTrue="1">
      <formula>0.01</formula>
    </cfRule>
  </conditionalFormatting>
  <conditionalFormatting sqref="N227">
    <cfRule type="cellIs" priority="128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N228">
    <cfRule type="cellIs" priority="126" operator="lessThan" dxfId="1" stopIfTrue="1">
      <formula>-0.01</formula>
    </cfRule>
    <cfRule type="cellIs" priority="126" operator="greaterThan" dxfId="0" stopIfTrue="1">
      <formula>0.01</formula>
    </cfRule>
  </conditionalFormatting>
  <conditionalFormatting sqref="N229:N231">
    <cfRule type="cellIs" priority="124" operator="lessThan" dxfId="1" stopIfTrue="1">
      <formula>-0.01</formula>
    </cfRule>
    <cfRule type="cellIs" priority="124" operator="greaterThan" dxfId="0" stopIfTrue="1">
      <formula>0.01</formula>
    </cfRule>
  </conditionalFormatting>
  <conditionalFormatting sqref="P227">
    <cfRule type="cellIs" priority="122" operator="greaterThan" dxfId="1">
      <formula>0.03</formula>
    </cfRule>
    <cfRule type="cellIs" priority="122" operator="lessThan" dxfId="0" stopIfTrue="1">
      <formula>-0.03</formula>
    </cfRule>
  </conditionalFormatting>
  <conditionalFormatting sqref="P231">
    <cfRule type="cellIs" priority="120" operator="lessThan" dxfId="1">
      <formula>-0.03</formula>
    </cfRule>
    <cfRule type="cellIs" priority="120" operator="greaterThan" dxfId="0" stopIfTrue="1">
      <formula>0.03</formula>
    </cfRule>
  </conditionalFormatting>
  <conditionalFormatting sqref="I233">
    <cfRule type="dataBar" priority="1906">
      <dataBar>
        <cfvo type="min"/>
        <cfvo type="max"/>
        <color rgb="FF008AEF"/>
      </dataBar>
    </cfRule>
  </conditionalFormatting>
  <conditionalFormatting sqref="P23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I236">
    <cfRule type="dataBar" priority="116">
      <dataBar>
        <cfvo type="min"/>
        <cfvo type="max"/>
        <color rgb="FF008AEF"/>
      </dataBar>
    </cfRule>
  </conditionalFormatting>
  <conditionalFormatting sqref="I237">
    <cfRule type="dataBar" priority="115">
      <dataBar>
        <cfvo type="min"/>
        <cfvo type="max"/>
        <color rgb="FF008AEF"/>
      </dataBar>
    </cfRule>
  </conditionalFormatting>
  <conditionalFormatting sqref="N244">
    <cfRule type="cellIs" priority="113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I243">
    <cfRule type="dataBar" priority="112">
      <dataBar>
        <cfvo type="min"/>
        <cfvo type="max"/>
        <color rgb="FF008AEF"/>
      </dataBar>
    </cfRule>
  </conditionalFormatting>
  <conditionalFormatting sqref="I238">
    <cfRule type="dataBar" priority="111">
      <dataBar>
        <cfvo type="min"/>
        <cfvo type="max"/>
        <color rgb="FF008AEF"/>
      </dataBar>
    </cfRule>
    <cfRule type="dataBar" priority="106">
      <dataBar>
        <cfvo type="min"/>
        <cfvo type="max"/>
        <color rgb="FF008AEF"/>
      </dataBar>
    </cfRule>
  </conditionalFormatting>
  <conditionalFormatting sqref="I239">
    <cfRule type="dataBar" priority="110">
      <dataBar>
        <cfvo type="min"/>
        <cfvo type="max"/>
        <color rgb="FF008AEF"/>
      </dataBar>
    </cfRule>
    <cfRule type="dataBar" priority="105">
      <dataBar>
        <cfvo type="min"/>
        <cfvo type="max"/>
        <color rgb="FF008AEF"/>
      </dataBar>
    </cfRule>
  </conditionalFormatting>
  <conditionalFormatting sqref="I240:I241">
    <cfRule type="dataBar" priority="109">
      <dataBar>
        <cfvo type="min"/>
        <cfvo type="max"/>
        <color rgb="FF008AEF"/>
      </dataBar>
    </cfRule>
  </conditionalFormatting>
  <conditionalFormatting sqref="I242">
    <cfRule type="dataBar" priority="108">
      <dataBar>
        <cfvo type="min"/>
        <cfvo type="max"/>
        <color rgb="FF008AEF"/>
      </dataBar>
    </cfRule>
  </conditionalFormatting>
  <conditionalFormatting sqref="I240:I242">
    <cfRule type="dataBar" priority="107">
      <dataBar>
        <cfvo type="min"/>
        <cfvo type="max"/>
        <color rgb="FF008AEF"/>
      </dataBar>
    </cfRule>
  </conditionalFormatting>
  <conditionalFormatting sqref="J238:J242">
    <cfRule type="cellIs" priority="103" operator="greaterThan" dxfId="1">
      <formula>0.03</formula>
    </cfRule>
    <cfRule type="cellIs" priority="103" operator="lessThan" dxfId="0" stopIfTrue="1">
      <formula>-0.03</formula>
    </cfRule>
  </conditionalFormatting>
  <conditionalFormatting sqref="N243">
    <cfRule type="cellIs" priority="101" operator="lessThan" dxfId="1" stopIfTrue="1">
      <formula>-0.01</formula>
    </cfRule>
    <cfRule type="cellIs" priority="101" operator="greaterThan" dxfId="0" stopIfTrue="1">
      <formula>0.01</formula>
    </cfRule>
  </conditionalFormatting>
  <conditionalFormatting sqref="N238">
    <cfRule type="cellIs" priority="99" operator="lessThan" dxfId="1" stopIfTrue="1">
      <formula>-0.01</formula>
    </cfRule>
    <cfRule type="cellIs" priority="99" operator="greaterThan" dxfId="0" stopIfTrue="1">
      <formula>0.01</formula>
    </cfRule>
  </conditionalFormatting>
  <conditionalFormatting sqref="N239">
    <cfRule type="cellIs" priority="97" operator="lessThan" dxfId="1" stopIfTrue="1">
      <formula>-0.01</formula>
    </cfRule>
    <cfRule type="cellIs" priority="97" operator="greaterThan" dxfId="0" stopIfTrue="1">
      <formula>0.01</formula>
    </cfRule>
  </conditionalFormatting>
  <conditionalFormatting sqref="N240:N242">
    <cfRule type="cellIs" priority="95" operator="lessThan" dxfId="1" stopIfTrue="1">
      <formula>-0.01</formula>
    </cfRule>
    <cfRule type="cellIs" priority="95" operator="greaterThan" dxfId="0" stopIfTrue="1">
      <formula>0.01</formula>
    </cfRule>
  </conditionalFormatting>
  <conditionalFormatting sqref="P238">
    <cfRule type="cellIs" priority="93" operator="greaterThan" dxfId="1">
      <formula>0.03</formula>
    </cfRule>
    <cfRule type="cellIs" priority="93" operator="lessThan" dxfId="0" stopIfTrue="1">
      <formula>-0.03</formula>
    </cfRule>
  </conditionalFormatting>
  <conditionalFormatting sqref="P242">
    <cfRule type="cellIs" priority="91" operator="lessThan" dxfId="1">
      <formula>-0.03</formula>
    </cfRule>
    <cfRule type="cellIs" priority="91" operator="greaterThan" dxfId="0" stopIfTrue="1">
      <formula>0.03</formula>
    </cfRule>
  </conditionalFormatting>
  <conditionalFormatting sqref="I244">
    <cfRule type="dataBar" priority="1907">
      <dataBar>
        <cfvo type="min"/>
        <cfvo type="max"/>
        <color rgb="FF008AEF"/>
      </dataBar>
    </cfRule>
  </conditionalFormatting>
  <conditionalFormatting sqref="P241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I247">
    <cfRule type="dataBar" priority="87">
      <dataBar>
        <cfvo type="min"/>
        <cfvo type="max"/>
        <color rgb="FF008AEF"/>
      </dataBar>
    </cfRule>
  </conditionalFormatting>
  <conditionalFormatting sqref="I248">
    <cfRule type="dataBar" priority="86">
      <dataBar>
        <cfvo type="min"/>
        <cfvo type="max"/>
        <color rgb="FF008AEF"/>
      </dataBar>
    </cfRule>
  </conditionalFormatting>
  <conditionalFormatting sqref="N255">
    <cfRule type="cellIs" priority="84" operator="lessThan" dxfId="1" stopIfTrue="1">
      <formula>-0.01</formula>
    </cfRule>
    <cfRule type="cellIs" priority="84" operator="greaterThan" dxfId="0" stopIfTrue="1">
      <formula>0.01</formula>
    </cfRule>
  </conditionalFormatting>
  <conditionalFormatting sqref="I254">
    <cfRule type="dataBar" priority="83">
      <dataBar>
        <cfvo type="min"/>
        <cfvo type="max"/>
        <color rgb="FF008AEF"/>
      </dataBar>
    </cfRule>
  </conditionalFormatting>
  <conditionalFormatting sqref="I249">
    <cfRule type="dataBar" priority="82">
      <dataBar>
        <cfvo type="min"/>
        <cfvo type="max"/>
        <color rgb="FF008AEF"/>
      </dataBar>
    </cfRule>
    <cfRule type="dataBar" priority="77">
      <dataBar>
        <cfvo type="min"/>
        <cfvo type="max"/>
        <color rgb="FF008AEF"/>
      </dataBar>
    </cfRule>
  </conditionalFormatting>
  <conditionalFormatting sqref="I250">
    <cfRule type="dataBar" priority="81">
      <dataBar>
        <cfvo type="min"/>
        <cfvo type="max"/>
        <color rgb="FF008AEF"/>
      </dataBar>
    </cfRule>
    <cfRule type="dataBar" priority="76">
      <dataBar>
        <cfvo type="min"/>
        <cfvo type="max"/>
        <color rgb="FF008AEF"/>
      </dataBar>
    </cfRule>
  </conditionalFormatting>
  <conditionalFormatting sqref="I251:I252">
    <cfRule type="dataBar" priority="80">
      <dataBar>
        <cfvo type="min"/>
        <cfvo type="max"/>
        <color rgb="FF008AEF"/>
      </dataBar>
    </cfRule>
  </conditionalFormatting>
  <conditionalFormatting sqref="I253">
    <cfRule type="dataBar" priority="79">
      <dataBar>
        <cfvo type="min"/>
        <cfvo type="max"/>
        <color rgb="FF008AEF"/>
      </dataBar>
    </cfRule>
  </conditionalFormatting>
  <conditionalFormatting sqref="I251:I253">
    <cfRule type="dataBar" priority="78">
      <dataBar>
        <cfvo type="min"/>
        <cfvo type="max"/>
        <color rgb="FF008AEF"/>
      </dataBar>
    </cfRule>
  </conditionalFormatting>
  <conditionalFormatting sqref="J249:J253">
    <cfRule type="cellIs" priority="74" operator="greaterThan" dxfId="1">
      <formula>0.03</formula>
    </cfRule>
    <cfRule type="cellIs" priority="74" operator="lessThan" dxfId="0" stopIfTrue="1">
      <formula>-0.03</formula>
    </cfRule>
  </conditionalFormatting>
  <conditionalFormatting sqref="N254">
    <cfRule type="cellIs" priority="72" operator="lessThan" dxfId="1" stopIfTrue="1">
      <formula>-0.01</formula>
    </cfRule>
    <cfRule type="cellIs" priority="72" operator="greaterThan" dxfId="0" stopIfTrue="1">
      <formula>0.01</formula>
    </cfRule>
  </conditionalFormatting>
  <conditionalFormatting sqref="N249">
    <cfRule type="cellIs" priority="70" operator="lessThan" dxfId="1" stopIfTrue="1">
      <formula>-0.01</formula>
    </cfRule>
    <cfRule type="cellIs" priority="70" operator="greaterThan" dxfId="0" stopIfTrue="1">
      <formula>0.01</formula>
    </cfRule>
  </conditionalFormatting>
  <conditionalFormatting sqref="N250">
    <cfRule type="cellIs" priority="68" operator="lessThan" dxfId="1" stopIfTrue="1">
      <formula>-0.01</formula>
    </cfRule>
    <cfRule type="cellIs" priority="68" operator="greaterThan" dxfId="0" stopIfTrue="1">
      <formula>0.01</formula>
    </cfRule>
  </conditionalFormatting>
  <conditionalFormatting sqref="N251:N253">
    <cfRule type="cellIs" priority="66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P249">
    <cfRule type="cellIs" priority="64" operator="greaterThan" dxfId="1">
      <formula>0.03</formula>
    </cfRule>
    <cfRule type="cellIs" priority="64" operator="lessThan" dxfId="0" stopIfTrue="1">
      <formula>-0.03</formula>
    </cfRule>
  </conditionalFormatting>
  <conditionalFormatting sqref="P253">
    <cfRule type="cellIs" priority="62" operator="lessThan" dxfId="1">
      <formula>-0.03</formula>
    </cfRule>
    <cfRule type="cellIs" priority="62" operator="greaterThan" dxfId="0" stopIfTrue="1">
      <formula>0.03</formula>
    </cfRule>
  </conditionalFormatting>
  <conditionalFormatting sqref="I255">
    <cfRule type="dataBar" priority="1908">
      <dataBar>
        <cfvo type="min"/>
        <cfvo type="max"/>
        <color rgb="FF008AEF"/>
      </dataBar>
    </cfRule>
  </conditionalFormatting>
  <conditionalFormatting sqref="P252">
    <cfRule type="cellIs" priority="59" operator="greaterThan" dxfId="1">
      <formula>0.03</formula>
    </cfRule>
    <cfRule type="cellIs" priority="60" operator="lessThan" dxfId="0" stopIfTrue="1">
      <formula>-0.03</formula>
    </cfRule>
  </conditionalFormatting>
  <conditionalFormatting sqref="I258">
    <cfRule type="dataBar" priority="58">
      <dataBar>
        <cfvo type="min"/>
        <cfvo type="max"/>
        <color rgb="FF008AEF"/>
      </dataBar>
    </cfRule>
  </conditionalFormatting>
  <conditionalFormatting sqref="I259">
    <cfRule type="dataBar" priority="57">
      <dataBar>
        <cfvo type="min"/>
        <cfvo type="max"/>
        <color rgb="FF008AEF"/>
      </dataBar>
    </cfRule>
  </conditionalFormatting>
  <conditionalFormatting sqref="N266">
    <cfRule type="cellIs" priority="55" operator="lessThan" dxfId="1" stopIfTrue="1">
      <formula>-0.01</formula>
    </cfRule>
    <cfRule type="cellIs" priority="55" operator="greaterThan" dxfId="0" stopIfTrue="1">
      <formula>0.01</formula>
    </cfRule>
  </conditionalFormatting>
  <conditionalFormatting sqref="I265">
    <cfRule type="dataBar" priority="54">
      <dataBar>
        <cfvo type="min"/>
        <cfvo type="max"/>
        <color rgb="FF008AEF"/>
      </dataBar>
    </cfRule>
  </conditionalFormatting>
  <conditionalFormatting sqref="I260">
    <cfRule type="dataBar" priority="53">
      <dataBar>
        <cfvo type="min"/>
        <cfvo type="max"/>
        <color rgb="FF008AEF"/>
      </dataBar>
    </cfRule>
    <cfRule type="dataBar" priority="48">
      <dataBar>
        <cfvo type="min"/>
        <cfvo type="max"/>
        <color rgb="FF008AEF"/>
      </dataBar>
    </cfRule>
  </conditionalFormatting>
  <conditionalFormatting sqref="I261">
    <cfRule type="dataBar" priority="52">
      <dataBar>
        <cfvo type="min"/>
        <cfvo type="max"/>
        <color rgb="FF008AEF"/>
      </dataBar>
    </cfRule>
    <cfRule type="dataBar" priority="47">
      <dataBar>
        <cfvo type="min"/>
        <cfvo type="max"/>
        <color rgb="FF008AEF"/>
      </dataBar>
    </cfRule>
  </conditionalFormatting>
  <conditionalFormatting sqref="I262:I263">
    <cfRule type="dataBar" priority="51">
      <dataBar>
        <cfvo type="min"/>
        <cfvo type="max"/>
        <color rgb="FF008AEF"/>
      </dataBar>
    </cfRule>
  </conditionalFormatting>
  <conditionalFormatting sqref="I264">
    <cfRule type="dataBar" priority="50">
      <dataBar>
        <cfvo type="min"/>
        <cfvo type="max"/>
        <color rgb="FF008AEF"/>
      </dataBar>
    </cfRule>
  </conditionalFormatting>
  <conditionalFormatting sqref="I262:I264">
    <cfRule type="dataBar" priority="49">
      <dataBar>
        <cfvo type="min"/>
        <cfvo type="max"/>
        <color rgb="FF008AEF"/>
      </dataBar>
    </cfRule>
  </conditionalFormatting>
  <conditionalFormatting sqref="J260:J264">
    <cfRule type="cellIs" priority="45" operator="greaterThan" dxfId="1">
      <formula>0.03</formula>
    </cfRule>
    <cfRule type="cellIs" priority="45" operator="lessThan" dxfId="0" stopIfTrue="1">
      <formula>-0.03</formula>
    </cfRule>
  </conditionalFormatting>
  <conditionalFormatting sqref="N265">
    <cfRule type="cellIs" priority="43" operator="lessThan" dxfId="1" stopIfTrue="1">
      <formula>-0.01</formula>
    </cfRule>
    <cfRule type="cellIs" priority="43" operator="greaterThan" dxfId="0" stopIfTrue="1">
      <formula>0.01</formula>
    </cfRule>
  </conditionalFormatting>
  <conditionalFormatting sqref="N260">
    <cfRule type="cellIs" priority="41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N261">
    <cfRule type="cellIs" priority="39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N262:N264">
    <cfRule type="cellIs" priority="37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P260">
    <cfRule type="cellIs" priority="35" operator="greaterThan" dxfId="1">
      <formula>0.03</formula>
    </cfRule>
    <cfRule type="cellIs" priority="35" operator="lessThan" dxfId="0" stopIfTrue="1">
      <formula>-0.03</formula>
    </cfRule>
  </conditionalFormatting>
  <conditionalFormatting sqref="P264">
    <cfRule type="cellIs" priority="33" operator="lessThan" dxfId="1">
      <formula>-0.03</formula>
    </cfRule>
    <cfRule type="cellIs" priority="33" operator="greaterThan" dxfId="0" stopIfTrue="1">
      <formula>0.03</formula>
    </cfRule>
  </conditionalFormatting>
  <conditionalFormatting sqref="I266">
    <cfRule type="dataBar" priority="1909">
      <dataBar>
        <cfvo type="min"/>
        <cfvo type="max"/>
        <color rgb="FF008AEF"/>
      </dataBar>
    </cfRule>
  </conditionalFormatting>
  <conditionalFormatting sqref="P263">
    <cfRule type="cellIs" priority="30" operator="greaterThan" dxfId="1">
      <formula>0.03</formula>
    </cfRule>
    <cfRule type="cellIs" priority="31" operator="lessThan" dxfId="0" stopIfTrue="1">
      <formula>-0.03</formula>
    </cfRule>
  </conditionalFormatting>
  <conditionalFormatting sqref="I269">
    <cfRule type="dataBar" priority="29">
      <dataBar>
        <cfvo type="min"/>
        <cfvo type="max"/>
        <color rgb="FF008AEF"/>
      </dataBar>
    </cfRule>
  </conditionalFormatting>
  <conditionalFormatting sqref="I270">
    <cfRule type="dataBar" priority="28">
      <dataBar>
        <cfvo type="min"/>
        <cfvo type="max"/>
        <color rgb="FF008AEF"/>
      </dataBar>
    </cfRule>
  </conditionalFormatting>
  <conditionalFormatting sqref="N277">
    <cfRule type="cellIs" priority="26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276">
    <cfRule type="dataBar" priority="25">
      <dataBar>
        <cfvo type="min"/>
        <cfvo type="max"/>
        <color rgb="FF008AEF"/>
      </dataBar>
    </cfRule>
  </conditionalFormatting>
  <conditionalFormatting sqref="I271">
    <cfRule type="dataBar" priority="24">
      <dataBar>
        <cfvo type="min"/>
        <cfvo type="max"/>
        <color rgb="FF008AEF"/>
      </dataBar>
    </cfRule>
    <cfRule type="dataBar" priority="19">
      <dataBar>
        <cfvo type="min"/>
        <cfvo type="max"/>
        <color rgb="FF008AEF"/>
      </dataBar>
    </cfRule>
  </conditionalFormatting>
  <conditionalFormatting sqref="I272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273:I274">
    <cfRule type="dataBar" priority="22">
      <dataBar>
        <cfvo type="min"/>
        <cfvo type="max"/>
        <color rgb="FF008AEF"/>
      </dataBar>
    </cfRule>
  </conditionalFormatting>
  <conditionalFormatting sqref="I275">
    <cfRule type="dataBar" priority="21">
      <dataBar>
        <cfvo type="min"/>
        <cfvo type="max"/>
        <color rgb="FF008AEF"/>
      </dataBar>
    </cfRule>
  </conditionalFormatting>
  <conditionalFormatting sqref="I273:I275">
    <cfRule type="dataBar" priority="20">
      <dataBar>
        <cfvo type="min"/>
        <cfvo type="max"/>
        <color rgb="FF008AEF"/>
      </dataBar>
    </cfRule>
  </conditionalFormatting>
  <conditionalFormatting sqref="J271:J275">
    <cfRule type="cellIs" priority="16" operator="greaterThan" dxfId="1">
      <formula>0.03</formula>
    </cfRule>
    <cfRule type="cellIs" priority="16" operator="lessThan" dxfId="0" stopIfTrue="1">
      <formula>-0.03</formula>
    </cfRule>
  </conditionalFormatting>
  <conditionalFormatting sqref="N276">
    <cfRule type="cellIs" priority="14" operator="lessThan" dxfId="1" stopIfTrue="1">
      <formula>-0.01</formula>
    </cfRule>
    <cfRule type="cellIs" priority="14" operator="greaterThan" dxfId="0" stopIfTrue="1">
      <formula>0.01</formula>
    </cfRule>
  </conditionalFormatting>
  <conditionalFormatting sqref="N271">
    <cfRule type="cellIs" priority="12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272">
    <cfRule type="cellIs" priority="10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273:N275">
    <cfRule type="cellIs" priority="8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P271">
    <cfRule type="cellIs" priority="6" operator="greaterThan" dxfId="1">
      <formula>0.03</formula>
    </cfRule>
    <cfRule type="cellIs" priority="6" operator="lessThan" dxfId="0" stopIfTrue="1">
      <formula>-0.03</formula>
    </cfRule>
  </conditionalFormatting>
  <conditionalFormatting sqref="P275">
    <cfRule type="cellIs" priority="4" operator="lessThan" dxfId="1">
      <formula>-0.03</formula>
    </cfRule>
    <cfRule type="cellIs" priority="4" operator="greaterThan" dxfId="0" stopIfTrue="1">
      <formula>0.03</formula>
    </cfRule>
  </conditionalFormatting>
  <conditionalFormatting sqref="I277">
    <cfRule type="dataBar" priority="1910">
      <dataBar>
        <cfvo type="min"/>
        <cfvo type="max"/>
        <color rgb="FF008AEF"/>
      </dataBar>
    </cfRule>
  </conditionalFormatting>
  <conditionalFormatting sqref="P274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21">
    <outlinePr summaryBelow="1" summaryRight="1"/>
    <pageSetUpPr/>
  </sheetPr>
  <dimension ref="A1:AF233"/>
  <sheetViews>
    <sheetView workbookViewId="0">
      <selection activeCell="Q18" sqref="Q18"/>
    </sheetView>
  </sheetViews>
  <sheetFormatPr baseColWidth="8" defaultColWidth="9" defaultRowHeight="15.6" outlineLevelCol="0"/>
  <cols>
    <col width="1.69921875" bestFit="1" customWidth="1" style="256" min="1" max="1"/>
    <col width="6.69921875" customWidth="1" style="256" min="2" max="2"/>
    <col width="9.296875" customWidth="1" style="256" min="3" max="3"/>
    <col width="14.296875" customWidth="1" style="256" min="4" max="4"/>
    <col width="4.69921875" customWidth="1" style="256" min="5" max="5"/>
    <col width="6.69921875" customWidth="1" style="256" min="6" max="6"/>
    <col width="9.296875" customWidth="1" style="256" min="7" max="7"/>
    <col width="14.296875" customWidth="1" style="256" min="8" max="8"/>
    <col width="4.69921875" customWidth="1" style="256" min="9" max="9"/>
    <col width="9.69921875" customWidth="1" style="256" min="10" max="10"/>
    <col width="4.69921875" customWidth="1" style="256" min="11" max="11"/>
    <col width="14.296875" bestFit="1" customWidth="1" style="256" min="12" max="12"/>
    <col width="16.09765625" bestFit="1" customWidth="1" style="256" min="13" max="13"/>
    <col width="7.69921875" bestFit="1" customWidth="1" style="256" min="14" max="14"/>
    <col width="4.69921875" customWidth="1" style="256" min="15" max="15"/>
    <col width="9.69921875" bestFit="1" customWidth="1" style="256" min="16" max="16"/>
    <col width="4.69921875" customWidth="1" style="256" min="17" max="17"/>
    <col width="84.69921875" customWidth="1" style="256" min="18" max="18"/>
    <col width="6.3984375" bestFit="1" customWidth="1" style="256" min="19" max="19"/>
    <col width="9.69921875" bestFit="1" customWidth="1" style="256" min="20" max="20"/>
    <col width="1.69921875" bestFit="1" customWidth="1" style="256" min="21" max="21"/>
    <col width="7.69921875" bestFit="1" customWidth="1" style="256" min="22" max="22"/>
    <col width="1.69921875" bestFit="1" customWidth="1" style="256" min="23" max="23"/>
    <col width="14.296875" bestFit="1" customWidth="1" style="256" min="24" max="24"/>
    <col width="16.09765625" bestFit="1" customWidth="1" style="256" min="25" max="25"/>
    <col width="5.09765625" bestFit="1" customWidth="1" style="256" min="26" max="26"/>
    <col width="1.69921875" bestFit="1" customWidth="1" style="256" min="27" max="27"/>
    <col width="8.09765625" bestFit="1" customWidth="1" style="265" min="28" max="28"/>
    <col width="9" customWidth="1" style="256" min="29" max="29"/>
    <col width="1.296875" bestFit="1" customWidth="1" style="256" min="30" max="30"/>
    <col width="80.69921875" customWidth="1" style="256" min="31" max="31"/>
    <col width="1.296875" bestFit="1" customWidth="1" style="256" min="32" max="32"/>
    <col width="9" customWidth="1" style="256" min="33" max="38"/>
  </cols>
  <sheetData>
    <row r="1">
      <c r="AD1" s="10" t="inlineStr"/>
      <c r="AF1" s="10" t="inlineStr"/>
    </row>
    <row r="2">
      <c r="B2" s="260">
        <f>'Summary (auto)'!C3</f>
        <v/>
      </c>
      <c r="E2" s="114" t="n"/>
      <c r="F2" s="260">
        <f>'Summary (auto)'!C4</f>
        <v/>
      </c>
      <c r="I2" s="265" t="n"/>
      <c r="J2" s="255" t="inlineStr">
        <is>
          <t>Rate</t>
        </is>
      </c>
      <c r="K2" s="265" t="n"/>
      <c r="L2" s="255" t="inlineStr">
        <is>
          <t>Distortion</t>
        </is>
      </c>
      <c r="O2" s="265" t="n"/>
      <c r="P2" s="255" t="inlineStr">
        <is>
          <t>BD-rate</t>
        </is>
      </c>
      <c r="U2" s="255" t="n"/>
      <c r="V2" s="255" t="n"/>
    </row>
    <row r="3" ht="16.5" customHeight="1" s="256" thickBot="1">
      <c r="A3" s="189" t="inlineStr"/>
      <c r="B3" s="114" t="n"/>
      <c r="C3" s="114" t="n"/>
      <c r="D3" s="114" t="n"/>
      <c r="E3" s="114" t="n"/>
      <c r="F3" s="114" t="n"/>
      <c r="G3" s="114" t="n"/>
      <c r="H3" s="114" t="n"/>
      <c r="I3" s="265" t="n"/>
      <c r="J3" s="265" t="n"/>
      <c r="K3" s="190" t="inlineStr"/>
      <c r="L3" s="105" t="inlineStr">
        <is>
          <t>G</t>
        </is>
      </c>
      <c r="M3" s="105" t="inlineStr">
        <is>
          <t>AE</t>
        </is>
      </c>
      <c r="N3" s="265" t="n"/>
      <c r="O3" s="190" t="inlineStr"/>
      <c r="P3" s="265" t="n"/>
      <c r="U3" s="189" t="inlineStr"/>
      <c r="W3" s="189" t="inlineStr"/>
    </row>
    <row r="4">
      <c r="B4" s="261" t="inlineStr">
        <is>
          <t>bartender_track</t>
        </is>
      </c>
      <c r="C4" s="262" t="n"/>
      <c r="D4" s="263" t="n"/>
      <c r="E4" s="2" t="n"/>
      <c r="F4" s="261">
        <f>B4</f>
        <v/>
      </c>
      <c r="G4" s="262" t="n"/>
      <c r="H4" s="263" t="n"/>
      <c r="I4" s="2" t="n"/>
      <c r="J4" s="264" t="n"/>
      <c r="L4" s="264">
        <f>F4</f>
        <v/>
      </c>
      <c r="M4" s="262" t="n"/>
      <c r="N4" s="263" t="n"/>
      <c r="O4" s="195" t="n"/>
      <c r="P4" s="264" t="n"/>
      <c r="Q4" s="195" t="n"/>
      <c r="R4" s="195" t="n"/>
      <c r="S4" s="195" t="n"/>
      <c r="T4" s="195" t="n"/>
      <c r="U4" s="265" t="n"/>
      <c r="V4" s="265" t="n"/>
      <c r="X4" s="265" t="n"/>
    </row>
    <row r="5">
      <c r="B5" s="259" t="inlineStr">
        <is>
          <t>Test</t>
        </is>
      </c>
      <c r="D5" s="87" t="inlineStr">
        <is>
          <t>Bitstream (MB)</t>
        </is>
      </c>
      <c r="E5" s="294" t="n"/>
      <c r="F5" s="259" t="inlineStr">
        <is>
          <t>Test</t>
        </is>
      </c>
      <c r="H5" s="87" t="inlineStr">
        <is>
          <t>Bitstream (MB)</t>
        </is>
      </c>
      <c r="I5" s="9" t="n"/>
      <c r="J5" s="257" t="inlineStr">
        <is>
          <t>%</t>
        </is>
      </c>
      <c r="L5" s="257" t="inlineStr">
        <is>
          <t>YUV-PSNR</t>
        </is>
      </c>
      <c r="N5" s="258" t="n"/>
      <c r="O5" s="85" t="n"/>
      <c r="P5" s="3" t="n"/>
      <c r="Q5" s="85" t="n"/>
      <c r="R5" s="255" t="n"/>
      <c r="U5" s="255" t="n"/>
      <c r="V5" s="255" t="n"/>
      <c r="X5" s="255" t="n"/>
    </row>
    <row r="6">
      <c r="B6" s="191" t="inlineStr">
        <is>
          <t>Anchor</t>
        </is>
      </c>
      <c r="C6" s="130" t="inlineStr">
        <is>
          <t>Test point</t>
        </is>
      </c>
      <c r="D6" s="86" t="inlineStr">
        <is>
          <t>Total</t>
        </is>
      </c>
      <c r="E6" s="294" t="n"/>
      <c r="F6" s="191" t="inlineStr">
        <is>
          <t>Anchor</t>
        </is>
      </c>
      <c r="G6" s="130" t="inlineStr">
        <is>
          <t>Test point</t>
        </is>
      </c>
      <c r="H6" s="86" t="inlineStr">
        <is>
          <t>Total</t>
        </is>
      </c>
      <c r="I6" s="9" t="n"/>
      <c r="J6" s="93" t="n"/>
      <c r="L6" s="192">
        <f>CONCATENATE(B$2," ",L4)</f>
        <v/>
      </c>
      <c r="M6" s="193">
        <f>CONCATENATE(F$2," ",L4)</f>
        <v/>
      </c>
      <c r="N6" s="194" t="inlineStr">
        <is>
          <t>Delta</t>
        </is>
      </c>
      <c r="O6" s="2" t="n"/>
      <c r="P6" s="3" t="inlineStr">
        <is>
          <t>BD-rate</t>
        </is>
      </c>
      <c r="Q6" s="2" t="n"/>
      <c r="R6" s="2" t="n"/>
      <c r="S6" s="2" t="n"/>
      <c r="T6" s="2" t="n"/>
      <c r="U6" s="2" t="n"/>
      <c r="V6" s="2" t="n"/>
      <c r="X6" s="195" t="n"/>
      <c r="Y6" s="195" t="n"/>
      <c r="Z6" s="195" t="n"/>
    </row>
    <row r="7">
      <c r="B7" s="122">
        <f>B4</f>
        <v/>
      </c>
      <c r="C7" s="130" t="inlineStr">
        <is>
          <t>r01</t>
        </is>
      </c>
      <c r="D7" s="295">
        <f>0.000001*INDIRECT($B7&amp;"!E5")</f>
        <v/>
      </c>
      <c r="E7" s="294" t="n"/>
      <c r="F7" s="122">
        <f>F4</f>
        <v/>
      </c>
      <c r="G7" s="130" t="inlineStr">
        <is>
          <t>r01</t>
        </is>
      </c>
      <c r="H7" s="295">
        <f>0.000001*INDIRECT($B7&amp;"!AC5")</f>
        <v/>
      </c>
      <c r="I7" s="9" t="n"/>
      <c r="J7" s="296">
        <f>H7/D7-1</f>
        <v/>
      </c>
      <c r="L7" s="94">
        <f>INDIRECT($B7&amp;"!"&amp;L$3&amp;"5")</f>
        <v/>
      </c>
      <c r="M7" s="95">
        <f>INDIRECT($B7&amp;"!"&amp;M$3&amp;"5")</f>
        <v/>
      </c>
      <c r="N7" s="96">
        <f>M7-L7</f>
        <v/>
      </c>
      <c r="O7" s="294" t="n"/>
      <c r="P7" s="296">
        <f>bdRateExtend(D7:D11,L7:L11,H7:H11,M7:M11)</f>
        <v/>
      </c>
      <c r="Q7" s="294" t="n"/>
      <c r="R7" s="9" t="n"/>
      <c r="S7" s="9" t="n"/>
      <c r="T7" s="9" t="n"/>
      <c r="U7" s="9" t="n"/>
      <c r="V7" s="297" t="n"/>
      <c r="X7" s="6" t="n"/>
      <c r="Y7" s="6" t="n"/>
      <c r="Z7" s="81" t="n"/>
      <c r="AB7" s="298" t="n"/>
    </row>
    <row r="8">
      <c r="B8" s="122">
        <f>B7</f>
        <v/>
      </c>
      <c r="C8" s="130" t="inlineStr">
        <is>
          <t>r02</t>
        </is>
      </c>
      <c r="D8" s="295">
        <f>0.000001*INDIRECT($B8&amp;"!E6")</f>
        <v/>
      </c>
      <c r="E8" s="294" t="n"/>
      <c r="F8" s="122">
        <f>F7</f>
        <v/>
      </c>
      <c r="G8" s="130" t="inlineStr">
        <is>
          <t>r02</t>
        </is>
      </c>
      <c r="H8" s="295">
        <f>0.000001*INDIRECT($B8&amp;"!AC6")</f>
        <v/>
      </c>
      <c r="I8" s="9" t="n"/>
      <c r="J8" s="296">
        <f>H8/D8-1</f>
        <v/>
      </c>
      <c r="L8" s="94">
        <f>INDIRECT($B8&amp;"!"&amp;L$3&amp;"6")</f>
        <v/>
      </c>
      <c r="M8" s="95">
        <f>INDIRECT($B8&amp;"!"&amp;M$3&amp;"6")</f>
        <v/>
      </c>
      <c r="N8" s="96">
        <f>M8-L8</f>
        <v/>
      </c>
      <c r="O8" s="294" t="n"/>
      <c r="P8" s="3" t="n"/>
      <c r="Q8" s="294" t="n"/>
      <c r="R8" s="9" t="n"/>
      <c r="S8" s="9" t="n"/>
      <c r="T8" s="9" t="n"/>
      <c r="U8" s="9" t="n"/>
      <c r="V8" s="297" t="n"/>
      <c r="X8" s="6" t="n"/>
      <c r="Y8" s="6" t="n"/>
      <c r="Z8" s="81" t="n"/>
    </row>
    <row r="9">
      <c r="B9" s="122">
        <f>B8</f>
        <v/>
      </c>
      <c r="C9" s="130" t="inlineStr">
        <is>
          <t>r03</t>
        </is>
      </c>
      <c r="D9" s="295">
        <f>0.000001*INDIRECT($B9&amp;"!E7")</f>
        <v/>
      </c>
      <c r="E9" s="294" t="n"/>
      <c r="F9" s="122">
        <f>F8</f>
        <v/>
      </c>
      <c r="G9" s="130" t="inlineStr">
        <is>
          <t>r03</t>
        </is>
      </c>
      <c r="H9" s="295">
        <f>0.000001*INDIRECT($B9&amp;"!AC7")</f>
        <v/>
      </c>
      <c r="I9" s="9" t="n"/>
      <c r="J9" s="296">
        <f>H9/D9-1</f>
        <v/>
      </c>
      <c r="L9" s="94">
        <f>INDIRECT($B9&amp;"!"&amp;L$3&amp;"7")</f>
        <v/>
      </c>
      <c r="M9" s="95">
        <f>INDIRECT($B9&amp;"!"&amp;M$3&amp;"7")</f>
        <v/>
      </c>
      <c r="N9" s="96">
        <f>M9-L9</f>
        <v/>
      </c>
      <c r="O9" s="294" t="n"/>
      <c r="P9" s="3" t="n"/>
      <c r="Q9" s="294" t="n"/>
      <c r="R9" s="9" t="n"/>
      <c r="S9" s="9" t="n"/>
      <c r="T9" s="9" t="n"/>
      <c r="U9" s="9" t="n"/>
      <c r="V9" s="297" t="n"/>
      <c r="X9" s="6" t="n"/>
      <c r="Y9" s="6" t="n"/>
      <c r="Z9" s="81" t="n"/>
    </row>
    <row r="10">
      <c r="B10" s="122">
        <f>B9</f>
        <v/>
      </c>
      <c r="C10" s="130" t="inlineStr">
        <is>
          <t>r04</t>
        </is>
      </c>
      <c r="D10" s="295">
        <f>0.000001*INDIRECT($B10&amp;"!E8")</f>
        <v/>
      </c>
      <c r="E10" s="294" t="n"/>
      <c r="F10" s="122">
        <f>F9</f>
        <v/>
      </c>
      <c r="G10" s="130" t="inlineStr">
        <is>
          <t>r04</t>
        </is>
      </c>
      <c r="H10" s="295">
        <f>0.000001*INDIRECT($B10&amp;"!AC8")</f>
        <v/>
      </c>
      <c r="I10" s="9" t="n"/>
      <c r="J10" s="296">
        <f>H10/D10-1</f>
        <v/>
      </c>
      <c r="L10" s="94">
        <f>INDIRECT($B10&amp;"!"&amp;L$3&amp;"8")</f>
        <v/>
      </c>
      <c r="M10" s="95">
        <f>INDIRECT($B10&amp;"!"&amp;M$3&amp;"8")</f>
        <v/>
      </c>
      <c r="N10" s="96">
        <f>M10-L10</f>
        <v/>
      </c>
      <c r="O10" s="294" t="n"/>
      <c r="P10" s="303" t="n"/>
      <c r="Q10" s="294" t="n"/>
      <c r="R10" s="9" t="n"/>
      <c r="S10" s="9" t="n"/>
      <c r="T10" s="9" t="n"/>
      <c r="U10" s="9" t="n"/>
      <c r="V10" s="297" t="n"/>
      <c r="X10" s="6" t="n"/>
      <c r="Y10" s="6" t="n"/>
      <c r="Z10" s="81" t="n"/>
    </row>
    <row r="11" ht="16.5" customHeight="1" s="256" thickBot="1">
      <c r="B11" s="122">
        <f>B10</f>
        <v/>
      </c>
      <c r="C11" s="130" t="inlineStr">
        <is>
          <t>r05</t>
        </is>
      </c>
      <c r="D11" s="295">
        <f>0.000001*INDIRECT($B11&amp;"!E9")</f>
        <v/>
      </c>
      <c r="E11" s="294" t="n"/>
      <c r="F11" s="122">
        <f>F10</f>
        <v/>
      </c>
      <c r="G11" s="130" t="inlineStr">
        <is>
          <t>r05</t>
        </is>
      </c>
      <c r="H11" s="295">
        <f>0.000001*INDIRECT($B11&amp;"!AC9")</f>
        <v/>
      </c>
      <c r="I11" s="9" t="n"/>
      <c r="J11" s="296">
        <f>H11/D11-1</f>
        <v/>
      </c>
      <c r="L11" s="94">
        <f>INDIRECT($B11&amp;"!"&amp;L$3&amp;"9")</f>
        <v/>
      </c>
      <c r="M11" s="95">
        <f>INDIRECT($B11&amp;"!"&amp;M$3&amp;"9")</f>
        <v/>
      </c>
      <c r="N11" s="96">
        <f>M11-L11</f>
        <v/>
      </c>
      <c r="O11" s="294" t="n"/>
      <c r="P11" s="299" t="n"/>
      <c r="Q11" s="294" t="n"/>
      <c r="R11" s="9" t="n"/>
      <c r="S11" s="9" t="n"/>
      <c r="T11" s="9" t="n"/>
      <c r="U11" s="9" t="n"/>
      <c r="V11" s="297" t="n"/>
      <c r="X11" s="6" t="n"/>
      <c r="Y11" s="6" t="n"/>
      <c r="Z11" s="81" t="n"/>
      <c r="AB11" s="298" t="n"/>
    </row>
    <row r="12" ht="16.5" customHeight="1" s="256">
      <c r="B12" s="109" t="n"/>
      <c r="C12" s="110" t="n"/>
      <c r="D12" s="300" t="n"/>
      <c r="F12" s="109" t="n"/>
      <c r="G12" s="110" t="n"/>
      <c r="H12" s="300" t="n"/>
      <c r="J12" s="98">
        <f>MIN(D7:D11,H7:H11)</f>
        <v/>
      </c>
      <c r="L12" s="99" t="n"/>
      <c r="M12" s="100" t="n"/>
      <c r="N12" s="101" t="n"/>
      <c r="O12" s="294" t="n"/>
      <c r="P12" s="264" t="n"/>
      <c r="Q12" s="294" t="n"/>
      <c r="R12" s="9" t="n"/>
      <c r="S12" s="9" t="n"/>
      <c r="T12" s="9" t="n"/>
      <c r="U12" s="9" t="n"/>
      <c r="V12" s="83" t="n"/>
      <c r="X12" s="6" t="n"/>
      <c r="Y12" s="6" t="n"/>
      <c r="Z12" s="81" t="n"/>
    </row>
    <row r="13" ht="16.5" customHeight="1" s="256" thickBot="1">
      <c r="B13" s="89" t="n"/>
      <c r="C13" s="92" t="n"/>
      <c r="D13" s="301" t="n"/>
      <c r="E13" s="294" t="n"/>
      <c r="F13" s="89" t="n"/>
      <c r="G13" s="92" t="n"/>
      <c r="H13" s="301" t="n"/>
      <c r="I13" s="9" t="n"/>
      <c r="J13" s="102">
        <f>MAX(D7:D11,H7:H11)</f>
        <v/>
      </c>
      <c r="L13" s="103">
        <f>L12</f>
        <v/>
      </c>
      <c r="M13" s="104">
        <f>M12</f>
        <v/>
      </c>
      <c r="N13" s="97" t="n"/>
      <c r="O13" s="294" t="n"/>
      <c r="P13" s="5" t="n"/>
      <c r="Q13" s="294" t="n"/>
      <c r="R13" s="9" t="n"/>
      <c r="S13" s="9" t="n"/>
      <c r="T13" s="9" t="n"/>
      <c r="U13" s="9" t="n"/>
      <c r="V13" s="83" t="n"/>
      <c r="X13" s="84" t="n"/>
      <c r="Y13" s="84" t="n"/>
      <c r="Z13" s="81" t="n"/>
    </row>
    <row r="14" ht="16.5" customHeight="1" s="256" thickBot="1">
      <c r="B14" s="114" t="n"/>
      <c r="C14" s="114" t="n"/>
      <c r="D14" s="302" t="n"/>
      <c r="E14" s="294" t="n"/>
      <c r="F14" s="114" t="n"/>
      <c r="G14" s="114" t="n"/>
      <c r="H14" s="302" t="n"/>
    </row>
    <row r="15">
      <c r="B15" s="261" t="inlineStr">
        <is>
          <t>breakfast_track</t>
        </is>
      </c>
      <c r="C15" s="262" t="n"/>
      <c r="D15" s="263" t="n"/>
      <c r="E15" s="2" t="n"/>
      <c r="F15" s="261">
        <f>B15</f>
        <v/>
      </c>
      <c r="G15" s="262" t="n"/>
      <c r="H15" s="263" t="n"/>
      <c r="I15" s="2" t="n"/>
      <c r="J15" s="264" t="n"/>
      <c r="L15" s="264">
        <f>F15</f>
        <v/>
      </c>
      <c r="M15" s="262" t="n"/>
      <c r="N15" s="263" t="n"/>
      <c r="O15" s="195" t="n"/>
      <c r="P15" s="264" t="n"/>
      <c r="Q15" s="195" t="n"/>
      <c r="R15" s="195" t="n"/>
      <c r="S15" s="195" t="n"/>
      <c r="T15" s="195" t="n"/>
      <c r="U15" s="265" t="n"/>
      <c r="V15" s="265" t="n"/>
      <c r="X15" s="265" t="n"/>
    </row>
    <row r="16">
      <c r="B16" s="259" t="inlineStr">
        <is>
          <t>Test</t>
        </is>
      </c>
      <c r="D16" s="87" t="inlineStr">
        <is>
          <t>Bitstream (MB)</t>
        </is>
      </c>
      <c r="E16" s="294" t="n"/>
      <c r="F16" s="259" t="inlineStr">
        <is>
          <t>Test</t>
        </is>
      </c>
      <c r="H16" s="87" t="inlineStr">
        <is>
          <t>Bitstream (MB)</t>
        </is>
      </c>
      <c r="I16" s="9" t="n"/>
      <c r="J16" s="257" t="inlineStr">
        <is>
          <t>%</t>
        </is>
      </c>
      <c r="L16" s="257" t="inlineStr">
        <is>
          <t>YUV-PSNR</t>
        </is>
      </c>
      <c r="N16" s="258" t="n"/>
      <c r="O16" s="85" t="n"/>
      <c r="P16" s="3" t="n"/>
      <c r="Q16" s="85" t="n"/>
      <c r="R16" s="255" t="n"/>
      <c r="U16" s="255" t="n"/>
      <c r="V16" s="255" t="n"/>
      <c r="X16" s="255" t="n"/>
    </row>
    <row r="17">
      <c r="B17" s="191" t="inlineStr">
        <is>
          <t>Anchor</t>
        </is>
      </c>
      <c r="C17" s="130" t="inlineStr">
        <is>
          <t>Test point</t>
        </is>
      </c>
      <c r="D17" s="86" t="inlineStr">
        <is>
          <t>Total</t>
        </is>
      </c>
      <c r="E17" s="294" t="n"/>
      <c r="F17" s="191" t="inlineStr">
        <is>
          <t>Anchor</t>
        </is>
      </c>
      <c r="G17" s="130" t="inlineStr">
        <is>
          <t>Test point</t>
        </is>
      </c>
      <c r="H17" s="86" t="inlineStr">
        <is>
          <t>Total</t>
        </is>
      </c>
      <c r="I17" s="9" t="n"/>
      <c r="J17" s="93" t="n"/>
      <c r="L17" s="192">
        <f>CONCATENATE(B$2," ",L15)</f>
        <v/>
      </c>
      <c r="M17" s="193">
        <f>CONCATENATE(F$2," ",L15)</f>
        <v/>
      </c>
      <c r="N17" s="194" t="inlineStr">
        <is>
          <t>Delta</t>
        </is>
      </c>
      <c r="O17" s="2" t="n"/>
      <c r="P17" s="3" t="inlineStr">
        <is>
          <t>BD-rate</t>
        </is>
      </c>
      <c r="Q17" s="2" t="n"/>
      <c r="R17" s="2" t="n"/>
      <c r="S17" s="2" t="n"/>
      <c r="T17" s="2" t="n"/>
      <c r="U17" s="2" t="n"/>
      <c r="V17" s="2" t="n"/>
      <c r="X17" s="195" t="n"/>
      <c r="Y17" s="195" t="n"/>
      <c r="Z17" s="195" t="n"/>
    </row>
    <row r="18">
      <c r="B18" s="122">
        <f>B15</f>
        <v/>
      </c>
      <c r="C18" s="130" t="inlineStr">
        <is>
          <t>r01</t>
        </is>
      </c>
      <c r="D18" s="295">
        <f>0.000001*INDIRECT($B18&amp;"!E5")</f>
        <v/>
      </c>
      <c r="E18" s="294" t="n"/>
      <c r="F18" s="122">
        <f>F15</f>
        <v/>
      </c>
      <c r="G18" s="130" t="inlineStr">
        <is>
          <t>r01</t>
        </is>
      </c>
      <c r="H18" s="295">
        <f>0.000001*INDIRECT($B18&amp;"!AC5")</f>
        <v/>
      </c>
      <c r="I18" s="9" t="n"/>
      <c r="J18" s="296">
        <f>H18/D18-1</f>
        <v/>
      </c>
      <c r="L18" s="94">
        <f>INDIRECT($B18&amp;"!"&amp;L$3&amp;"5")</f>
        <v/>
      </c>
      <c r="M18" s="95">
        <f>INDIRECT($B18&amp;"!"&amp;M$3&amp;"5")</f>
        <v/>
      </c>
      <c r="N18" s="96">
        <f>M18-L18</f>
        <v/>
      </c>
      <c r="O18" s="294" t="n"/>
      <c r="P18" s="296">
        <f>bdRateExtend(D18:D22,L18:L22,H18:H22,M18:M22)</f>
        <v/>
      </c>
      <c r="Q18" s="294" t="n"/>
      <c r="R18" s="9" t="n"/>
      <c r="S18" s="9" t="n"/>
      <c r="T18" s="9" t="n"/>
      <c r="U18" s="9" t="n"/>
      <c r="V18" s="297" t="n"/>
      <c r="X18" s="6" t="n"/>
      <c r="Y18" s="6" t="n"/>
      <c r="Z18" s="81" t="n"/>
      <c r="AB18" s="298" t="n"/>
    </row>
    <row r="19">
      <c r="B19" s="122">
        <f>B18</f>
        <v/>
      </c>
      <c r="C19" s="130" t="inlineStr">
        <is>
          <t>r02</t>
        </is>
      </c>
      <c r="D19" s="295">
        <f>0.000001*INDIRECT($B19&amp;"!E6")</f>
        <v/>
      </c>
      <c r="E19" s="294" t="n"/>
      <c r="F19" s="122">
        <f>F18</f>
        <v/>
      </c>
      <c r="G19" s="130" t="inlineStr">
        <is>
          <t>r02</t>
        </is>
      </c>
      <c r="H19" s="295">
        <f>0.000001*INDIRECT($B19&amp;"!AC6")</f>
        <v/>
      </c>
      <c r="I19" s="9" t="n"/>
      <c r="J19" s="296">
        <f>H19/D19-1</f>
        <v/>
      </c>
      <c r="L19" s="94">
        <f>INDIRECT($B19&amp;"!"&amp;L$3&amp;"6")</f>
        <v/>
      </c>
      <c r="M19" s="95">
        <f>INDIRECT($B19&amp;"!"&amp;M$3&amp;"6")</f>
        <v/>
      </c>
      <c r="N19" s="96">
        <f>M19-L19</f>
        <v/>
      </c>
      <c r="O19" s="294" t="n"/>
      <c r="P19" s="3" t="n"/>
      <c r="Q19" s="294" t="n"/>
      <c r="R19" s="9" t="n"/>
      <c r="S19" s="9" t="n"/>
      <c r="T19" s="9" t="n"/>
      <c r="U19" s="9" t="n"/>
      <c r="V19" s="297" t="n"/>
      <c r="X19" s="6" t="n"/>
      <c r="Y19" s="6" t="n"/>
      <c r="Z19" s="81" t="n"/>
    </row>
    <row r="20">
      <c r="B20" s="122">
        <f>B19</f>
        <v/>
      </c>
      <c r="C20" s="130" t="inlineStr">
        <is>
          <t>r03</t>
        </is>
      </c>
      <c r="D20" s="295">
        <f>0.000001*INDIRECT($B20&amp;"!E7")</f>
        <v/>
      </c>
      <c r="E20" s="294" t="n"/>
      <c r="F20" s="122">
        <f>F19</f>
        <v/>
      </c>
      <c r="G20" s="130" t="inlineStr">
        <is>
          <t>r03</t>
        </is>
      </c>
      <c r="H20" s="295">
        <f>0.000001*INDIRECT($B20&amp;"!AC7")</f>
        <v/>
      </c>
      <c r="I20" s="9" t="n"/>
      <c r="J20" s="296">
        <f>H20/D20-1</f>
        <v/>
      </c>
      <c r="L20" s="94">
        <f>INDIRECT($B20&amp;"!"&amp;L$3&amp;"7")</f>
        <v/>
      </c>
      <c r="M20" s="95">
        <f>INDIRECT($B20&amp;"!"&amp;M$3&amp;"7")</f>
        <v/>
      </c>
      <c r="N20" s="96">
        <f>M20-L20</f>
        <v/>
      </c>
      <c r="O20" s="294" t="n"/>
      <c r="P20" s="3" t="n"/>
      <c r="Q20" s="294" t="n"/>
      <c r="R20" s="9" t="n"/>
      <c r="S20" s="9" t="n"/>
      <c r="T20" s="9" t="n"/>
      <c r="U20" s="9" t="n"/>
      <c r="V20" s="297" t="n"/>
      <c r="X20" s="6" t="n"/>
      <c r="Y20" s="6" t="n"/>
      <c r="Z20" s="81" t="n"/>
    </row>
    <row r="21">
      <c r="B21" s="122">
        <f>B20</f>
        <v/>
      </c>
      <c r="C21" s="130" t="inlineStr">
        <is>
          <t>r04</t>
        </is>
      </c>
      <c r="D21" s="295">
        <f>0.000001*INDIRECT($B21&amp;"!E8")</f>
        <v/>
      </c>
      <c r="E21" s="294" t="n"/>
      <c r="F21" s="122">
        <f>F20</f>
        <v/>
      </c>
      <c r="G21" s="130" t="inlineStr">
        <is>
          <t>r04</t>
        </is>
      </c>
      <c r="H21" s="295">
        <f>0.000001*INDIRECT($B21&amp;"!AC8")</f>
        <v/>
      </c>
      <c r="I21" s="9" t="n"/>
      <c r="J21" s="296">
        <f>H21/D21-1</f>
        <v/>
      </c>
      <c r="L21" s="94">
        <f>INDIRECT($B21&amp;"!"&amp;L$3&amp;"8")</f>
        <v/>
      </c>
      <c r="M21" s="95">
        <f>INDIRECT($B21&amp;"!"&amp;M$3&amp;"8")</f>
        <v/>
      </c>
      <c r="N21" s="96">
        <f>M21-L21</f>
        <v/>
      </c>
      <c r="O21" s="294" t="n"/>
      <c r="P21" s="303" t="n"/>
      <c r="Q21" s="294" t="n"/>
      <c r="R21" s="9" t="n"/>
      <c r="S21" s="9" t="n"/>
      <c r="T21" s="9" t="n"/>
      <c r="U21" s="9" t="n"/>
      <c r="V21" s="297" t="n"/>
      <c r="X21" s="6" t="n"/>
      <c r="Y21" s="6" t="n"/>
      <c r="Z21" s="81" t="n"/>
    </row>
    <row r="22" ht="16.5" customHeight="1" s="256" thickBot="1">
      <c r="B22" s="122">
        <f>B21</f>
        <v/>
      </c>
      <c r="C22" s="130" t="inlineStr">
        <is>
          <t>r05</t>
        </is>
      </c>
      <c r="D22" s="295">
        <f>0.000001*INDIRECT($B22&amp;"!E9")</f>
        <v/>
      </c>
      <c r="E22" s="294" t="n"/>
      <c r="F22" s="122">
        <f>F21</f>
        <v/>
      </c>
      <c r="G22" s="130" t="inlineStr">
        <is>
          <t>r05</t>
        </is>
      </c>
      <c r="H22" s="295">
        <f>0.000001*INDIRECT($B22&amp;"!AC9")</f>
        <v/>
      </c>
      <c r="I22" s="9" t="n"/>
      <c r="J22" s="296">
        <f>H22/D22-1</f>
        <v/>
      </c>
      <c r="L22" s="94">
        <f>INDIRECT($B22&amp;"!"&amp;L$3&amp;"9")</f>
        <v/>
      </c>
      <c r="M22" s="95">
        <f>INDIRECT($B22&amp;"!"&amp;M$3&amp;"9")</f>
        <v/>
      </c>
      <c r="N22" s="96">
        <f>M22-L22</f>
        <v/>
      </c>
      <c r="O22" s="294" t="n"/>
      <c r="P22" s="299" t="n"/>
      <c r="Q22" s="294" t="n"/>
      <c r="R22" s="9" t="n"/>
      <c r="S22" s="9" t="n"/>
      <c r="T22" s="9" t="n"/>
      <c r="U22" s="9" t="n"/>
      <c r="V22" s="297" t="n"/>
      <c r="X22" s="6" t="n"/>
      <c r="Y22" s="6" t="n"/>
      <c r="Z22" s="81" t="n"/>
      <c r="AB22" s="298" t="n"/>
    </row>
    <row r="23" ht="16.5" customHeight="1" s="256">
      <c r="B23" s="109" t="n"/>
      <c r="C23" s="110" t="n"/>
      <c r="D23" s="300" t="n"/>
      <c r="F23" s="109" t="n"/>
      <c r="G23" s="110" t="n"/>
      <c r="H23" s="300" t="n"/>
      <c r="J23" s="98">
        <f>MIN(D18:D22,H18:H22)</f>
        <v/>
      </c>
      <c r="L23" s="99" t="n"/>
      <c r="M23" s="100" t="n"/>
      <c r="N23" s="101" t="n"/>
      <c r="O23" s="294" t="n"/>
      <c r="P23" s="264" t="n"/>
      <c r="Q23" s="294" t="n"/>
      <c r="R23" s="9" t="n"/>
      <c r="S23" s="9" t="n"/>
      <c r="T23" s="9" t="n"/>
      <c r="U23" s="9" t="n"/>
      <c r="V23" s="83" t="n"/>
      <c r="X23" s="6" t="n"/>
      <c r="Y23" s="6" t="n"/>
      <c r="Z23" s="81" t="n"/>
    </row>
    <row r="24" ht="16.5" customHeight="1" s="256" thickBot="1">
      <c r="B24" s="89" t="n"/>
      <c r="C24" s="92" t="n"/>
      <c r="D24" s="301" t="n"/>
      <c r="E24" s="294" t="n"/>
      <c r="F24" s="89" t="n"/>
      <c r="G24" s="92" t="n"/>
      <c r="H24" s="301" t="n"/>
      <c r="I24" s="9" t="n"/>
      <c r="J24" s="102">
        <f>MAX(D18:D22,H18:H22)</f>
        <v/>
      </c>
      <c r="L24" s="103">
        <f>L23</f>
        <v/>
      </c>
      <c r="M24" s="104">
        <f>M23</f>
        <v/>
      </c>
      <c r="N24" s="97" t="n"/>
      <c r="O24" s="294" t="n"/>
      <c r="P24" s="5" t="n"/>
      <c r="Q24" s="294" t="n"/>
      <c r="R24" s="9" t="n"/>
      <c r="S24" s="9" t="n"/>
      <c r="T24" s="9" t="n"/>
      <c r="U24" s="9" t="n"/>
      <c r="V24" s="83" t="n"/>
      <c r="X24" s="84" t="n"/>
      <c r="Y24" s="84" t="n"/>
      <c r="Z24" s="81" t="n"/>
    </row>
    <row r="25" ht="16.5" customHeight="1" s="256" thickBot="1"/>
    <row r="26">
      <c r="B26" s="261" t="inlineStr">
        <is>
          <t>cinema_track</t>
        </is>
      </c>
      <c r="C26" s="262" t="n"/>
      <c r="D26" s="263" t="n"/>
      <c r="E26" s="2" t="n"/>
      <c r="F26" s="261">
        <f>B26</f>
        <v/>
      </c>
      <c r="G26" s="262" t="n"/>
      <c r="H26" s="263" t="n"/>
      <c r="I26" s="2" t="n"/>
      <c r="J26" s="264" t="n"/>
      <c r="L26" s="264">
        <f>F26</f>
        <v/>
      </c>
      <c r="M26" s="262" t="n"/>
      <c r="N26" s="263" t="n"/>
      <c r="O26" s="195" t="n"/>
      <c r="P26" s="264" t="n"/>
      <c r="U26" s="265" t="n"/>
      <c r="V26" s="265" t="n"/>
      <c r="X26" s="265" t="n"/>
    </row>
    <row r="27">
      <c r="B27" s="259" t="inlineStr">
        <is>
          <t>Test</t>
        </is>
      </c>
      <c r="D27" s="87" t="inlineStr">
        <is>
          <t>Bitstream (MB)</t>
        </is>
      </c>
      <c r="E27" s="294" t="n"/>
      <c r="F27" s="259" t="inlineStr">
        <is>
          <t>Test</t>
        </is>
      </c>
      <c r="H27" s="87" t="inlineStr">
        <is>
          <t>Bitstream (MB)</t>
        </is>
      </c>
      <c r="I27" s="9" t="n"/>
      <c r="J27" s="257" t="inlineStr">
        <is>
          <t>%</t>
        </is>
      </c>
      <c r="L27" s="257" t="inlineStr">
        <is>
          <t>YUV-PSNR</t>
        </is>
      </c>
      <c r="N27" s="258" t="n"/>
      <c r="O27" s="85" t="n"/>
      <c r="P27" s="3" t="n"/>
      <c r="R27" s="255" t="n"/>
      <c r="U27" s="255" t="n"/>
      <c r="V27" s="255" t="n"/>
      <c r="X27" s="255" t="n"/>
    </row>
    <row r="28">
      <c r="B28" s="191" t="inlineStr">
        <is>
          <t>Anchor</t>
        </is>
      </c>
      <c r="C28" s="130" t="inlineStr">
        <is>
          <t>Test point</t>
        </is>
      </c>
      <c r="D28" s="86" t="inlineStr">
        <is>
          <t>Total</t>
        </is>
      </c>
      <c r="E28" s="294" t="n"/>
      <c r="F28" s="191" t="inlineStr">
        <is>
          <t>Anchor</t>
        </is>
      </c>
      <c r="G28" s="130" t="inlineStr">
        <is>
          <t>Test point</t>
        </is>
      </c>
      <c r="H28" s="86" t="inlineStr">
        <is>
          <t>Total</t>
        </is>
      </c>
      <c r="I28" s="9" t="n"/>
      <c r="J28" s="93" t="n"/>
      <c r="L28" s="192">
        <f>CONCATENATE(B$2," ",L26)</f>
        <v/>
      </c>
      <c r="M28" s="193">
        <f>CONCATENATE(F$2," ",L26)</f>
        <v/>
      </c>
      <c r="N28" s="194" t="inlineStr">
        <is>
          <t>Delta</t>
        </is>
      </c>
      <c r="O28" s="2" t="n"/>
      <c r="P28" s="3" t="inlineStr">
        <is>
          <t>BD-rate</t>
        </is>
      </c>
      <c r="Q28" s="2" t="n"/>
      <c r="R28" s="2" t="n"/>
      <c r="S28" s="2" t="n"/>
      <c r="T28" s="2" t="n"/>
      <c r="U28" s="2" t="n"/>
      <c r="V28" s="2" t="n"/>
      <c r="X28" s="195" t="n"/>
      <c r="Y28" s="195" t="n"/>
      <c r="Z28" s="195" t="n"/>
    </row>
    <row r="29">
      <c r="B29" s="122">
        <f>B26</f>
        <v/>
      </c>
      <c r="C29" s="130" t="inlineStr">
        <is>
          <t>r01</t>
        </is>
      </c>
      <c r="D29" s="295">
        <f>0.000001*INDIRECT($B29&amp;"!E5")</f>
        <v/>
      </c>
      <c r="E29" s="294" t="n"/>
      <c r="F29" s="122">
        <f>F26</f>
        <v/>
      </c>
      <c r="G29" s="130" t="inlineStr">
        <is>
          <t>r01</t>
        </is>
      </c>
      <c r="H29" s="295">
        <f>0.000001*INDIRECT($B29&amp;"!AC5")</f>
        <v/>
      </c>
      <c r="I29" s="9" t="n"/>
      <c r="J29" s="296">
        <f>H29/D29-1</f>
        <v/>
      </c>
      <c r="L29" s="94">
        <f>INDIRECT($B29&amp;"!"&amp;L$3&amp;"5")</f>
        <v/>
      </c>
      <c r="M29" s="95">
        <f>INDIRECT($B29&amp;"!"&amp;M$3&amp;"5")</f>
        <v/>
      </c>
      <c r="N29" s="96">
        <f>M29-L29</f>
        <v/>
      </c>
      <c r="O29" s="294" t="n"/>
      <c r="P29" s="296">
        <f>bdRateExtend(D29:D33,L29:L33,H29:H33,M29:M33)</f>
        <v/>
      </c>
      <c r="Q29" s="294" t="n"/>
      <c r="R29" s="9" t="n"/>
      <c r="S29" s="9" t="n"/>
      <c r="T29" s="9" t="n"/>
      <c r="U29" s="9" t="n"/>
      <c r="V29" s="297" t="n"/>
      <c r="X29" s="6" t="n"/>
      <c r="Y29" s="6" t="n"/>
      <c r="Z29" s="81" t="n"/>
      <c r="AB29" s="298" t="n"/>
    </row>
    <row r="30">
      <c r="B30" s="122">
        <f>B29</f>
        <v/>
      </c>
      <c r="C30" s="130" t="inlineStr">
        <is>
          <t>r02</t>
        </is>
      </c>
      <c r="D30" s="295">
        <f>0.000001*INDIRECT($B30&amp;"!E6")</f>
        <v/>
      </c>
      <c r="E30" s="294" t="n"/>
      <c r="F30" s="122">
        <f>F29</f>
        <v/>
      </c>
      <c r="G30" s="130" t="inlineStr">
        <is>
          <t>r02</t>
        </is>
      </c>
      <c r="H30" s="295">
        <f>0.000001*INDIRECT($B30&amp;"!AC6")</f>
        <v/>
      </c>
      <c r="I30" s="9" t="n"/>
      <c r="J30" s="296">
        <f>H30/D30-1</f>
        <v/>
      </c>
      <c r="L30" s="94">
        <f>INDIRECT($B30&amp;"!"&amp;L$3&amp;"6")</f>
        <v/>
      </c>
      <c r="M30" s="95">
        <f>INDIRECT($B30&amp;"!"&amp;M$3&amp;"6")</f>
        <v/>
      </c>
      <c r="N30" s="96">
        <f>M30-L30</f>
        <v/>
      </c>
      <c r="O30" s="294" t="n"/>
      <c r="P30" s="3" t="n"/>
      <c r="Q30" s="294" t="n"/>
      <c r="R30" s="9" t="n"/>
      <c r="S30" s="9" t="n"/>
      <c r="T30" s="9" t="n"/>
      <c r="U30" s="9" t="n"/>
      <c r="V30" s="297" t="n"/>
      <c r="X30" s="6" t="n"/>
      <c r="Y30" s="6" t="n"/>
      <c r="Z30" s="81" t="n"/>
    </row>
    <row r="31">
      <c r="B31" s="122">
        <f>B30</f>
        <v/>
      </c>
      <c r="C31" s="130" t="inlineStr">
        <is>
          <t>r03</t>
        </is>
      </c>
      <c r="D31" s="295">
        <f>0.000001*INDIRECT($B31&amp;"!E7")</f>
        <v/>
      </c>
      <c r="E31" s="294" t="n"/>
      <c r="F31" s="122">
        <f>F30</f>
        <v/>
      </c>
      <c r="G31" s="130" t="inlineStr">
        <is>
          <t>r03</t>
        </is>
      </c>
      <c r="H31" s="295">
        <f>0.000001*INDIRECT($B31&amp;"!AC7")</f>
        <v/>
      </c>
      <c r="I31" s="9" t="n"/>
      <c r="J31" s="296">
        <f>H31/D31-1</f>
        <v/>
      </c>
      <c r="L31" s="94">
        <f>INDIRECT($B31&amp;"!"&amp;L$3&amp;"7")</f>
        <v/>
      </c>
      <c r="M31" s="95">
        <f>INDIRECT($B31&amp;"!"&amp;M$3&amp;"7")</f>
        <v/>
      </c>
      <c r="N31" s="96">
        <f>M31-L31</f>
        <v/>
      </c>
      <c r="O31" s="294" t="n"/>
      <c r="P31" s="3" t="n"/>
      <c r="Q31" s="294" t="n"/>
      <c r="R31" s="9" t="n"/>
      <c r="S31" s="9" t="n"/>
      <c r="T31" s="9" t="n"/>
      <c r="U31" s="9" t="n"/>
      <c r="V31" s="297" t="n"/>
      <c r="X31" s="6" t="n"/>
      <c r="Y31" s="6" t="n"/>
      <c r="Z31" s="81" t="n"/>
    </row>
    <row r="32">
      <c r="B32" s="122">
        <f>B31</f>
        <v/>
      </c>
      <c r="C32" s="130" t="inlineStr">
        <is>
          <t>r04</t>
        </is>
      </c>
      <c r="D32" s="295">
        <f>0.000001*INDIRECT($B32&amp;"!E8")</f>
        <v/>
      </c>
      <c r="E32" s="294" t="n"/>
      <c r="F32" s="122">
        <f>F31</f>
        <v/>
      </c>
      <c r="G32" s="130" t="inlineStr">
        <is>
          <t>r04</t>
        </is>
      </c>
      <c r="H32" s="295">
        <f>0.000001*INDIRECT($B32&amp;"!AC8")</f>
        <v/>
      </c>
      <c r="I32" s="9" t="n"/>
      <c r="J32" s="296">
        <f>H32/D32-1</f>
        <v/>
      </c>
      <c r="L32" s="94">
        <f>INDIRECT($B32&amp;"!"&amp;L$3&amp;"8")</f>
        <v/>
      </c>
      <c r="M32" s="95">
        <f>INDIRECT($B32&amp;"!"&amp;M$3&amp;"8")</f>
        <v/>
      </c>
      <c r="N32" s="96">
        <f>M32-L32</f>
        <v/>
      </c>
      <c r="O32" s="294" t="n"/>
      <c r="P32" s="303" t="n"/>
      <c r="Q32" s="294" t="n"/>
      <c r="R32" s="9" t="n"/>
      <c r="S32" s="9" t="n"/>
      <c r="T32" s="9" t="n"/>
      <c r="U32" s="9" t="n"/>
      <c r="V32" s="297" t="n"/>
      <c r="X32" s="6" t="n"/>
      <c r="Y32" s="6" t="n"/>
      <c r="Z32" s="81" t="n"/>
    </row>
    <row r="33" ht="16.5" customHeight="1" s="256" thickBot="1">
      <c r="B33" s="122">
        <f>B32</f>
        <v/>
      </c>
      <c r="C33" s="130" t="inlineStr">
        <is>
          <t>r05</t>
        </is>
      </c>
      <c r="D33" s="295">
        <f>0.000001*INDIRECT($B33&amp;"!E9")</f>
        <v/>
      </c>
      <c r="E33" s="294" t="n"/>
      <c r="F33" s="122">
        <f>F32</f>
        <v/>
      </c>
      <c r="G33" s="130" t="inlineStr">
        <is>
          <t>r05</t>
        </is>
      </c>
      <c r="H33" s="295">
        <f>0.000001*INDIRECT($B33&amp;"!AC9")</f>
        <v/>
      </c>
      <c r="I33" s="9" t="n"/>
      <c r="J33" s="296">
        <f>H33/D33-1</f>
        <v/>
      </c>
      <c r="L33" s="94">
        <f>INDIRECT($B33&amp;"!"&amp;L$3&amp;"9")</f>
        <v/>
      </c>
      <c r="M33" s="95">
        <f>INDIRECT($B33&amp;"!"&amp;M$3&amp;"9")</f>
        <v/>
      </c>
      <c r="N33" s="96">
        <f>M33-L33</f>
        <v/>
      </c>
      <c r="O33" s="294" t="n"/>
      <c r="P33" s="299" t="n"/>
      <c r="Q33" s="294" t="n"/>
      <c r="R33" s="9" t="n"/>
      <c r="S33" s="9" t="n"/>
      <c r="T33" s="9" t="n"/>
      <c r="U33" s="9" t="n"/>
      <c r="V33" s="297" t="n"/>
      <c r="X33" s="6" t="n"/>
      <c r="Y33" s="6" t="n"/>
      <c r="Z33" s="81" t="n"/>
      <c r="AB33" s="298" t="n"/>
    </row>
    <row r="34" ht="16.5" customHeight="1" s="256">
      <c r="B34" s="109" t="n"/>
      <c r="C34" s="110" t="n"/>
      <c r="D34" s="300" t="n"/>
      <c r="F34" s="109" t="n"/>
      <c r="G34" s="110" t="n"/>
      <c r="H34" s="300" t="n"/>
      <c r="J34" s="98">
        <f>MIN(D29:D33,H29:H33)</f>
        <v/>
      </c>
      <c r="L34" s="99" t="n"/>
      <c r="M34" s="100" t="n"/>
      <c r="N34" s="101" t="n"/>
      <c r="O34" s="294" t="n"/>
      <c r="P34" s="264" t="n"/>
      <c r="Q34" s="294" t="n"/>
      <c r="R34" s="9" t="n"/>
      <c r="S34" s="9" t="n"/>
      <c r="T34" s="9" t="n"/>
      <c r="U34" s="9" t="n"/>
      <c r="V34" s="83" t="n"/>
      <c r="X34" s="6" t="n"/>
      <c r="Y34" s="6" t="n"/>
      <c r="Z34" s="81" t="n"/>
    </row>
    <row r="35" ht="16.5" customHeight="1" s="256" thickBot="1">
      <c r="B35" s="89" t="n"/>
      <c r="C35" s="92" t="n"/>
      <c r="D35" s="301" t="n"/>
      <c r="E35" s="294" t="n"/>
      <c r="F35" s="89" t="n"/>
      <c r="G35" s="92" t="n"/>
      <c r="H35" s="301" t="n"/>
      <c r="I35" s="9" t="n"/>
      <c r="J35" s="102">
        <f>MAX(D29:D33,H29:H33)</f>
        <v/>
      </c>
      <c r="L35" s="103">
        <f>L34</f>
        <v/>
      </c>
      <c r="M35" s="104">
        <f>M34</f>
        <v/>
      </c>
      <c r="N35" s="97" t="n"/>
      <c r="O35" s="294" t="n"/>
      <c r="P35" s="5" t="n"/>
      <c r="Q35" s="294" t="n"/>
      <c r="R35" s="9" t="n"/>
      <c r="S35" s="9" t="n"/>
      <c r="T35" s="9" t="n"/>
      <c r="U35" s="9" t="n"/>
      <c r="V35" s="83" t="n"/>
      <c r="X35" s="84" t="n"/>
      <c r="Y35" s="84" t="n"/>
      <c r="Z35" s="81" t="n"/>
    </row>
    <row r="36" ht="16.5" customHeight="1" s="256" thickBot="1"/>
    <row r="37">
      <c r="B37" s="261" t="inlineStr">
        <is>
          <t>ManWithFruit</t>
        </is>
      </c>
      <c r="C37" s="262" t="n"/>
      <c r="D37" s="263" t="n"/>
      <c r="E37" s="2" t="n"/>
      <c r="F37" s="261">
        <f>B37</f>
        <v/>
      </c>
      <c r="G37" s="262" t="n"/>
      <c r="H37" s="263" t="n"/>
      <c r="I37" s="2" t="n"/>
      <c r="J37" s="264" t="n"/>
      <c r="L37" s="264">
        <f>F37</f>
        <v/>
      </c>
      <c r="M37" s="262" t="n"/>
      <c r="N37" s="263" t="n"/>
      <c r="O37" s="195" t="n"/>
      <c r="P37" s="264" t="n"/>
      <c r="U37" s="265" t="n"/>
      <c r="V37" s="265" t="n"/>
      <c r="X37" s="265" t="n"/>
    </row>
    <row r="38">
      <c r="B38" s="259" t="inlineStr">
        <is>
          <t>Test</t>
        </is>
      </c>
      <c r="D38" s="87" t="inlineStr">
        <is>
          <t>Bitstream (MB)</t>
        </is>
      </c>
      <c r="E38" s="294" t="n"/>
      <c r="F38" s="259" t="inlineStr">
        <is>
          <t>Test</t>
        </is>
      </c>
      <c r="H38" s="87" t="inlineStr">
        <is>
          <t>Bitstream (MB)</t>
        </is>
      </c>
      <c r="I38" s="9" t="n"/>
      <c r="J38" s="257" t="inlineStr">
        <is>
          <t>%</t>
        </is>
      </c>
      <c r="L38" s="257" t="inlineStr">
        <is>
          <t>YUV-PSNR</t>
        </is>
      </c>
      <c r="N38" s="258" t="n"/>
      <c r="O38" s="85" t="n"/>
      <c r="P38" s="3" t="n"/>
      <c r="R38" s="255" t="n"/>
      <c r="U38" s="255" t="n"/>
      <c r="V38" s="255" t="n"/>
      <c r="X38" s="255" t="n"/>
    </row>
    <row r="39">
      <c r="B39" s="191" t="inlineStr">
        <is>
          <t>Anchor</t>
        </is>
      </c>
      <c r="C39" s="130" t="inlineStr">
        <is>
          <t>Test point</t>
        </is>
      </c>
      <c r="D39" s="86" t="inlineStr">
        <is>
          <t>Total</t>
        </is>
      </c>
      <c r="E39" s="294" t="n"/>
      <c r="F39" s="191" t="inlineStr">
        <is>
          <t>Anchor</t>
        </is>
      </c>
      <c r="G39" s="130" t="inlineStr">
        <is>
          <t>Test point</t>
        </is>
      </c>
      <c r="H39" s="86" t="inlineStr">
        <is>
          <t>Total</t>
        </is>
      </c>
      <c r="I39" s="9" t="n"/>
      <c r="J39" s="93" t="n"/>
      <c r="L39" s="192">
        <f>CONCATENATE(B$2," ",L37)</f>
        <v/>
      </c>
      <c r="M39" s="193">
        <f>CONCATENATE(F$2," ",L37)</f>
        <v/>
      </c>
      <c r="N39" s="194" t="inlineStr">
        <is>
          <t>Delta</t>
        </is>
      </c>
      <c r="O39" s="2" t="n"/>
      <c r="P39" s="3" t="inlineStr">
        <is>
          <t>BD-rate</t>
        </is>
      </c>
      <c r="Q39" s="2" t="n"/>
      <c r="R39" s="2" t="n"/>
      <c r="S39" s="2" t="n"/>
      <c r="T39" s="2" t="n"/>
      <c r="U39" s="2" t="n"/>
      <c r="V39" s="2" t="n"/>
      <c r="X39" s="195" t="n"/>
      <c r="Y39" s="195" t="n"/>
      <c r="Z39" s="195" t="n"/>
    </row>
    <row r="40">
      <c r="B40" s="122">
        <f>B37</f>
        <v/>
      </c>
      <c r="C40" s="130" t="inlineStr">
        <is>
          <t>r01</t>
        </is>
      </c>
      <c r="D40" s="295">
        <f>0.000001*INDIRECT($B40&amp;"!E5")</f>
        <v/>
      </c>
      <c r="E40" s="294" t="n"/>
      <c r="F40" s="122">
        <f>F37</f>
        <v/>
      </c>
      <c r="G40" s="130" t="inlineStr">
        <is>
          <t>r01</t>
        </is>
      </c>
      <c r="H40" s="295">
        <f>0.000001*INDIRECT($B40&amp;"!AC5")</f>
        <v/>
      </c>
      <c r="I40" s="9" t="n"/>
      <c r="J40" s="296">
        <f>H40/D40-1</f>
        <v/>
      </c>
      <c r="L40" s="94">
        <f>INDIRECT($B40&amp;"!"&amp;L$3&amp;"5")</f>
        <v/>
      </c>
      <c r="M40" s="95">
        <f>INDIRECT($B40&amp;"!"&amp;M$3&amp;"5")</f>
        <v/>
      </c>
      <c r="N40" s="96">
        <f>M40-L40</f>
        <v/>
      </c>
      <c r="O40" s="294" t="n"/>
      <c r="P40" s="296">
        <f>bdRateExtend(D40:D44,L40:L44,H40:H44,M40:M44)</f>
        <v/>
      </c>
      <c r="Q40" s="294" t="n"/>
      <c r="R40" s="9" t="n"/>
      <c r="S40" s="9" t="n"/>
      <c r="T40" s="9" t="n"/>
      <c r="U40" s="9" t="n"/>
      <c r="V40" s="297" t="n"/>
      <c r="X40" s="6" t="n"/>
      <c r="Y40" s="6" t="n"/>
      <c r="Z40" s="81" t="n"/>
      <c r="AB40" s="298" t="n"/>
    </row>
    <row r="41">
      <c r="B41" s="122">
        <f>B40</f>
        <v/>
      </c>
      <c r="C41" s="130" t="inlineStr">
        <is>
          <t>r02</t>
        </is>
      </c>
      <c r="D41" s="295">
        <f>0.000001*INDIRECT($B41&amp;"!E6")</f>
        <v/>
      </c>
      <c r="E41" s="294" t="n"/>
      <c r="F41" s="122">
        <f>F40</f>
        <v/>
      </c>
      <c r="G41" s="130" t="inlineStr">
        <is>
          <t>r02</t>
        </is>
      </c>
      <c r="H41" s="295">
        <f>0.000001*INDIRECT($B41&amp;"!AC6")</f>
        <v/>
      </c>
      <c r="I41" s="9" t="n"/>
      <c r="J41" s="296">
        <f>H41/D41-1</f>
        <v/>
      </c>
      <c r="L41" s="94">
        <f>INDIRECT($B41&amp;"!"&amp;L$3&amp;"6")</f>
        <v/>
      </c>
      <c r="M41" s="95">
        <f>INDIRECT($B41&amp;"!"&amp;M$3&amp;"6")</f>
        <v/>
      </c>
      <c r="N41" s="96">
        <f>M41-L41</f>
        <v/>
      </c>
      <c r="O41" s="294" t="n"/>
      <c r="P41" s="3" t="n"/>
      <c r="Q41" s="294" t="n"/>
      <c r="R41" s="9" t="n"/>
      <c r="S41" s="9" t="n"/>
      <c r="T41" s="9" t="n"/>
      <c r="U41" s="9" t="n"/>
      <c r="V41" s="297" t="n"/>
      <c r="X41" s="6" t="n"/>
      <c r="Y41" s="6" t="n"/>
      <c r="Z41" s="81" t="n"/>
    </row>
    <row r="42">
      <c r="B42" s="122">
        <f>B41</f>
        <v/>
      </c>
      <c r="C42" s="130" t="inlineStr">
        <is>
          <t>r03</t>
        </is>
      </c>
      <c r="D42" s="295">
        <f>0.000001*INDIRECT($B42&amp;"!E7")</f>
        <v/>
      </c>
      <c r="E42" s="294" t="n"/>
      <c r="F42" s="122">
        <f>F41</f>
        <v/>
      </c>
      <c r="G42" s="130" t="inlineStr">
        <is>
          <t>r03</t>
        </is>
      </c>
      <c r="H42" s="295">
        <f>0.000001*INDIRECT($B42&amp;"!AC7")</f>
        <v/>
      </c>
      <c r="I42" s="9" t="n"/>
      <c r="J42" s="296">
        <f>H42/D42-1</f>
        <v/>
      </c>
      <c r="L42" s="94">
        <f>INDIRECT($B42&amp;"!"&amp;L$3&amp;"7")</f>
        <v/>
      </c>
      <c r="M42" s="95">
        <f>INDIRECT($B42&amp;"!"&amp;M$3&amp;"7")</f>
        <v/>
      </c>
      <c r="N42" s="96">
        <f>M42-L42</f>
        <v/>
      </c>
      <c r="O42" s="294" t="n"/>
      <c r="P42" s="3" t="n"/>
      <c r="Q42" s="294" t="n"/>
      <c r="R42" s="9" t="n"/>
      <c r="S42" s="9" t="n"/>
      <c r="T42" s="9" t="n"/>
      <c r="U42" s="9" t="n"/>
      <c r="V42" s="297" t="n"/>
      <c r="X42" s="6" t="n"/>
      <c r="Y42" s="6" t="n"/>
      <c r="Z42" s="81" t="n"/>
    </row>
    <row r="43">
      <c r="B43" s="122">
        <f>B42</f>
        <v/>
      </c>
      <c r="C43" s="130" t="inlineStr">
        <is>
          <t>r04</t>
        </is>
      </c>
      <c r="D43" s="295">
        <f>0.000001*INDIRECT($B43&amp;"!E8")</f>
        <v/>
      </c>
      <c r="E43" s="294" t="n"/>
      <c r="F43" s="122">
        <f>F42</f>
        <v/>
      </c>
      <c r="G43" s="130" t="inlineStr">
        <is>
          <t>r04</t>
        </is>
      </c>
      <c r="H43" s="295">
        <f>0.000001*INDIRECT($B43&amp;"!AC8")</f>
        <v/>
      </c>
      <c r="I43" s="9" t="n"/>
      <c r="J43" s="296">
        <f>H43/D43-1</f>
        <v/>
      </c>
      <c r="L43" s="94">
        <f>INDIRECT($B43&amp;"!"&amp;L$3&amp;"8")</f>
        <v/>
      </c>
      <c r="M43" s="95">
        <f>INDIRECT($B43&amp;"!"&amp;M$3&amp;"8")</f>
        <v/>
      </c>
      <c r="N43" s="96">
        <f>M43-L43</f>
        <v/>
      </c>
      <c r="O43" s="294" t="n"/>
      <c r="P43" s="303" t="n"/>
      <c r="Q43" s="294" t="n"/>
      <c r="R43" s="9" t="n"/>
      <c r="S43" s="9" t="n"/>
      <c r="T43" s="9" t="n"/>
      <c r="U43" s="9" t="n"/>
      <c r="V43" s="297" t="n"/>
      <c r="X43" s="6" t="n"/>
      <c r="Y43" s="6" t="n"/>
      <c r="Z43" s="81" t="n"/>
    </row>
    <row r="44" ht="16.5" customHeight="1" s="256" thickBot="1">
      <c r="B44" s="122">
        <f>B43</f>
        <v/>
      </c>
      <c r="C44" s="130" t="inlineStr">
        <is>
          <t>r05</t>
        </is>
      </c>
      <c r="D44" s="295">
        <f>0.000001*INDIRECT($B44&amp;"!E9")</f>
        <v/>
      </c>
      <c r="E44" s="294" t="n"/>
      <c r="F44" s="122">
        <f>F43</f>
        <v/>
      </c>
      <c r="G44" s="130" t="inlineStr">
        <is>
          <t>r05</t>
        </is>
      </c>
      <c r="H44" s="295">
        <f>0.000001*INDIRECT($B44&amp;"!AC9")</f>
        <v/>
      </c>
      <c r="I44" s="9" t="n"/>
      <c r="J44" s="296">
        <f>H44/D44-1</f>
        <v/>
      </c>
      <c r="L44" s="94">
        <f>INDIRECT($B44&amp;"!"&amp;L$3&amp;"9")</f>
        <v/>
      </c>
      <c r="M44" s="95">
        <f>INDIRECT($B44&amp;"!"&amp;M$3&amp;"9")</f>
        <v/>
      </c>
      <c r="N44" s="96">
        <f>M44-L44</f>
        <v/>
      </c>
      <c r="O44" s="294" t="n"/>
      <c r="P44" s="299" t="n"/>
      <c r="Q44" s="294" t="n"/>
      <c r="R44" s="9" t="n"/>
      <c r="S44" s="9" t="n"/>
      <c r="T44" s="9" t="n"/>
      <c r="U44" s="9" t="n"/>
      <c r="V44" s="297" t="n"/>
      <c r="X44" s="6" t="n"/>
      <c r="Y44" s="6" t="n"/>
      <c r="Z44" s="81" t="n"/>
      <c r="AB44" s="298" t="n"/>
    </row>
    <row r="45" ht="16.5" customHeight="1" s="256">
      <c r="B45" s="109" t="n"/>
      <c r="C45" s="110" t="n"/>
      <c r="D45" s="300" t="n"/>
      <c r="F45" s="109" t="n"/>
      <c r="G45" s="110" t="n"/>
      <c r="H45" s="300" t="n"/>
      <c r="J45" s="98">
        <f>MIN(D40:D44,H40:H44)</f>
        <v/>
      </c>
      <c r="L45" s="99" t="n"/>
      <c r="M45" s="100" t="n"/>
      <c r="N45" s="101" t="n"/>
      <c r="O45" s="294" t="n"/>
      <c r="P45" s="264" t="n"/>
      <c r="Q45" s="294" t="n"/>
      <c r="R45" s="9" t="n"/>
      <c r="S45" s="9" t="n"/>
      <c r="T45" s="9" t="n"/>
      <c r="U45" s="9" t="n"/>
      <c r="V45" s="83" t="n"/>
      <c r="X45" s="6" t="n"/>
      <c r="Y45" s="6" t="n"/>
      <c r="Z45" s="81" t="n"/>
    </row>
    <row r="46" ht="16.5" customHeight="1" s="256" thickBot="1">
      <c r="B46" s="89" t="n"/>
      <c r="C46" s="92" t="n"/>
      <c r="D46" s="301" t="n"/>
      <c r="E46" s="294" t="n"/>
      <c r="F46" s="89" t="n"/>
      <c r="G46" s="92" t="n"/>
      <c r="H46" s="301" t="n"/>
      <c r="I46" s="9" t="n"/>
      <c r="J46" s="102">
        <f>MAX(D40:D44,H40:H44)</f>
        <v/>
      </c>
      <c r="L46" s="103">
        <f>L45</f>
        <v/>
      </c>
      <c r="M46" s="104">
        <f>M45</f>
        <v/>
      </c>
      <c r="N46" s="97" t="n"/>
      <c r="O46" s="294" t="n"/>
      <c r="P46" s="5" t="n"/>
      <c r="Q46" s="294" t="n"/>
      <c r="R46" s="9" t="n"/>
      <c r="S46" s="9" t="n"/>
      <c r="T46" s="9" t="n"/>
      <c r="U46" s="9" t="n"/>
      <c r="V46" s="83" t="n"/>
      <c r="X46" s="84" t="n"/>
      <c r="Y46" s="84" t="n"/>
      <c r="Z46" s="81" t="n"/>
    </row>
    <row r="47" ht="16.5" customHeight="1" s="256" thickBot="1"/>
    <row r="48">
      <c r="B48" s="261" t="inlineStr">
        <is>
          <t>LEGO_Ferrari</t>
        </is>
      </c>
      <c r="C48" s="262" t="n"/>
      <c r="D48" s="263" t="n"/>
      <c r="E48" s="2" t="n"/>
      <c r="F48" s="261">
        <f>B48</f>
        <v/>
      </c>
      <c r="G48" s="262" t="n"/>
      <c r="H48" s="263" t="n"/>
      <c r="I48" s="2" t="n"/>
      <c r="J48" s="264" t="n"/>
      <c r="L48" s="264">
        <f>F48</f>
        <v/>
      </c>
      <c r="M48" s="262" t="n"/>
      <c r="N48" s="263" t="n"/>
      <c r="O48" s="195" t="n"/>
      <c r="P48" s="264" t="n"/>
      <c r="U48" s="265" t="n"/>
      <c r="V48" s="265" t="n"/>
      <c r="X48" s="265" t="n"/>
    </row>
    <row r="49">
      <c r="B49" s="259" t="inlineStr">
        <is>
          <t>Test</t>
        </is>
      </c>
      <c r="D49" s="87" t="inlineStr">
        <is>
          <t>Bitstream (MB)</t>
        </is>
      </c>
      <c r="E49" s="294" t="n"/>
      <c r="F49" s="259" t="inlineStr">
        <is>
          <t>Test</t>
        </is>
      </c>
      <c r="H49" s="87" t="inlineStr">
        <is>
          <t>Bitstream (MB)</t>
        </is>
      </c>
      <c r="I49" s="9" t="n"/>
      <c r="J49" s="257" t="inlineStr">
        <is>
          <t>%</t>
        </is>
      </c>
      <c r="L49" s="257" t="inlineStr">
        <is>
          <t>YUV-PSNR</t>
        </is>
      </c>
      <c r="N49" s="258" t="n"/>
      <c r="O49" s="85" t="n"/>
      <c r="P49" s="3" t="n"/>
      <c r="R49" s="255" t="n"/>
      <c r="U49" s="255" t="n"/>
      <c r="V49" s="255" t="n"/>
      <c r="X49" s="255" t="n"/>
    </row>
    <row r="50">
      <c r="B50" s="191" t="inlineStr">
        <is>
          <t>Anchor</t>
        </is>
      </c>
      <c r="C50" s="130" t="inlineStr">
        <is>
          <t>Test point</t>
        </is>
      </c>
      <c r="D50" s="86" t="inlineStr">
        <is>
          <t>Total</t>
        </is>
      </c>
      <c r="E50" s="294" t="n"/>
      <c r="F50" s="191" t="inlineStr">
        <is>
          <t>Anchor</t>
        </is>
      </c>
      <c r="G50" s="130" t="inlineStr">
        <is>
          <t>Test point</t>
        </is>
      </c>
      <c r="H50" s="86" t="inlineStr">
        <is>
          <t>Total</t>
        </is>
      </c>
      <c r="I50" s="9" t="n"/>
      <c r="J50" s="93" t="n"/>
      <c r="L50" s="192">
        <f>CONCATENATE(B$2," ",L48)</f>
        <v/>
      </c>
      <c r="M50" s="193">
        <f>CONCATENATE(F$2," ",L48)</f>
        <v/>
      </c>
      <c r="N50" s="194" t="inlineStr">
        <is>
          <t>Delta</t>
        </is>
      </c>
      <c r="O50" s="2" t="n"/>
      <c r="P50" s="3" t="inlineStr">
        <is>
          <t>BD-rate</t>
        </is>
      </c>
      <c r="Q50" s="2" t="n"/>
      <c r="R50" s="2" t="n"/>
      <c r="S50" s="2" t="n"/>
      <c r="T50" s="2" t="n"/>
      <c r="U50" s="2" t="n"/>
      <c r="V50" s="2" t="n"/>
      <c r="X50" s="195" t="n"/>
      <c r="Y50" s="195" t="n"/>
      <c r="Z50" s="195" t="n"/>
    </row>
    <row r="51">
      <c r="B51" s="122">
        <f>B48</f>
        <v/>
      </c>
      <c r="C51" s="130" t="inlineStr">
        <is>
          <t>r01</t>
        </is>
      </c>
      <c r="D51" s="295">
        <f>0.000001*INDIRECT($B51&amp;"!E5")</f>
        <v/>
      </c>
      <c r="E51" s="294" t="n"/>
      <c r="F51" s="122">
        <f>F48</f>
        <v/>
      </c>
      <c r="G51" s="130" t="inlineStr">
        <is>
          <t>r01</t>
        </is>
      </c>
      <c r="H51" s="295">
        <f>0.000001*INDIRECT($B51&amp;"!AC5")</f>
        <v/>
      </c>
      <c r="I51" s="9" t="n"/>
      <c r="J51" s="296">
        <f>H51/D51-1</f>
        <v/>
      </c>
      <c r="L51" s="94">
        <f>INDIRECT($B51&amp;"!"&amp;L$3&amp;"5")</f>
        <v/>
      </c>
      <c r="M51" s="95">
        <f>INDIRECT($B51&amp;"!"&amp;M$3&amp;"5")</f>
        <v/>
      </c>
      <c r="N51" s="96">
        <f>M51-L51</f>
        <v/>
      </c>
      <c r="O51" s="294" t="n"/>
      <c r="P51" s="296">
        <f>bdRateExtend(D51:D55,L51:L55,H51:H55,M51:M55)</f>
        <v/>
      </c>
      <c r="Q51" s="294" t="n"/>
      <c r="R51" s="9" t="n"/>
      <c r="S51" s="9" t="n"/>
      <c r="T51" s="9" t="n"/>
      <c r="U51" s="9" t="n"/>
      <c r="V51" s="297" t="n"/>
      <c r="X51" s="6" t="n"/>
      <c r="Y51" s="6" t="n"/>
      <c r="Z51" s="81" t="n"/>
      <c r="AB51" s="298" t="n"/>
    </row>
    <row r="52">
      <c r="B52" s="122">
        <f>B51</f>
        <v/>
      </c>
      <c r="C52" s="130" t="inlineStr">
        <is>
          <t>r02</t>
        </is>
      </c>
      <c r="D52" s="295">
        <f>0.000001*INDIRECT($B52&amp;"!E6")</f>
        <v/>
      </c>
      <c r="E52" s="294" t="n"/>
      <c r="F52" s="122">
        <f>F51</f>
        <v/>
      </c>
      <c r="G52" s="130" t="inlineStr">
        <is>
          <t>r02</t>
        </is>
      </c>
      <c r="H52" s="295">
        <f>0.000001*INDIRECT($B52&amp;"!AC6")</f>
        <v/>
      </c>
      <c r="I52" s="9" t="n"/>
      <c r="J52" s="296">
        <f>H52/D52-1</f>
        <v/>
      </c>
      <c r="L52" s="94">
        <f>INDIRECT($B52&amp;"!"&amp;L$3&amp;"6")</f>
        <v/>
      </c>
      <c r="M52" s="95">
        <f>INDIRECT($B52&amp;"!"&amp;M$3&amp;"6")</f>
        <v/>
      </c>
      <c r="N52" s="96">
        <f>M52-L52</f>
        <v/>
      </c>
      <c r="O52" s="294" t="n"/>
      <c r="P52" s="3" t="n"/>
      <c r="Q52" s="294" t="n"/>
      <c r="R52" s="9" t="n"/>
      <c r="S52" s="9" t="n"/>
      <c r="T52" s="9" t="n"/>
      <c r="U52" s="9" t="n"/>
      <c r="V52" s="297" t="n"/>
      <c r="X52" s="6" t="n"/>
      <c r="Y52" s="6" t="n"/>
      <c r="Z52" s="81" t="n"/>
    </row>
    <row r="53">
      <c r="B53" s="122">
        <f>B52</f>
        <v/>
      </c>
      <c r="C53" s="130" t="inlineStr">
        <is>
          <t>r03</t>
        </is>
      </c>
      <c r="D53" s="295">
        <f>0.000001*INDIRECT($B53&amp;"!E7")</f>
        <v/>
      </c>
      <c r="E53" s="294" t="n"/>
      <c r="F53" s="122">
        <f>F52</f>
        <v/>
      </c>
      <c r="G53" s="130" t="inlineStr">
        <is>
          <t>r03</t>
        </is>
      </c>
      <c r="H53" s="295">
        <f>0.000001*INDIRECT($B53&amp;"!AC7")</f>
        <v/>
      </c>
      <c r="I53" s="9" t="n"/>
      <c r="J53" s="296">
        <f>H53/D53-1</f>
        <v/>
      </c>
      <c r="L53" s="94">
        <f>INDIRECT($B53&amp;"!"&amp;L$3&amp;"7")</f>
        <v/>
      </c>
      <c r="M53" s="95">
        <f>INDIRECT($B53&amp;"!"&amp;M$3&amp;"7")</f>
        <v/>
      </c>
      <c r="N53" s="96">
        <f>M53-L53</f>
        <v/>
      </c>
      <c r="O53" s="294" t="n"/>
      <c r="P53" s="3" t="n"/>
      <c r="Q53" s="294" t="n"/>
      <c r="R53" s="9" t="n"/>
      <c r="S53" s="9" t="n"/>
      <c r="T53" s="9" t="n"/>
      <c r="U53" s="9" t="n"/>
      <c r="V53" s="297" t="n"/>
      <c r="X53" s="6" t="n"/>
      <c r="Y53" s="6" t="n"/>
      <c r="Z53" s="81" t="n"/>
    </row>
    <row r="54">
      <c r="B54" s="122">
        <f>B53</f>
        <v/>
      </c>
      <c r="C54" s="130" t="inlineStr">
        <is>
          <t>r04</t>
        </is>
      </c>
      <c r="D54" s="295">
        <f>0.000001*INDIRECT($B54&amp;"!E8")</f>
        <v/>
      </c>
      <c r="E54" s="294" t="n"/>
      <c r="F54" s="122">
        <f>F53</f>
        <v/>
      </c>
      <c r="G54" s="130" t="inlineStr">
        <is>
          <t>r04</t>
        </is>
      </c>
      <c r="H54" s="295">
        <f>0.000001*INDIRECT($B54&amp;"!AC8")</f>
        <v/>
      </c>
      <c r="I54" s="9" t="n"/>
      <c r="J54" s="296">
        <f>H54/D54-1</f>
        <v/>
      </c>
      <c r="L54" s="94">
        <f>INDIRECT($B54&amp;"!"&amp;L$3&amp;"8")</f>
        <v/>
      </c>
      <c r="M54" s="95">
        <f>INDIRECT($B54&amp;"!"&amp;M$3&amp;"8")</f>
        <v/>
      </c>
      <c r="N54" s="96">
        <f>M54-L54</f>
        <v/>
      </c>
      <c r="O54" s="294" t="n"/>
      <c r="P54" s="303" t="n"/>
      <c r="Q54" s="294" t="n"/>
      <c r="R54" s="9" t="n"/>
      <c r="S54" s="9" t="n"/>
      <c r="T54" s="9" t="n"/>
      <c r="U54" s="9" t="n"/>
      <c r="V54" s="297" t="n"/>
      <c r="X54" s="6" t="n"/>
      <c r="Y54" s="6" t="n"/>
      <c r="Z54" s="81" t="n"/>
    </row>
    <row r="55" ht="16.5" customHeight="1" s="256" thickBot="1">
      <c r="B55" s="122">
        <f>B54</f>
        <v/>
      </c>
      <c r="C55" s="130" t="inlineStr">
        <is>
          <t>r05</t>
        </is>
      </c>
      <c r="D55" s="295">
        <f>0.000001*INDIRECT($B55&amp;"!E9")</f>
        <v/>
      </c>
      <c r="E55" s="294" t="n"/>
      <c r="F55" s="122">
        <f>F54</f>
        <v/>
      </c>
      <c r="G55" s="130" t="inlineStr">
        <is>
          <t>r05</t>
        </is>
      </c>
      <c r="H55" s="295">
        <f>0.000001*INDIRECT($B55&amp;"!AC9")</f>
        <v/>
      </c>
      <c r="I55" s="9" t="n"/>
      <c r="J55" s="296">
        <f>H55/D55-1</f>
        <v/>
      </c>
      <c r="L55" s="94">
        <f>INDIRECT($B55&amp;"!"&amp;L$3&amp;"9")</f>
        <v/>
      </c>
      <c r="M55" s="95">
        <f>INDIRECT($B55&amp;"!"&amp;M$3&amp;"9")</f>
        <v/>
      </c>
      <c r="N55" s="96">
        <f>M55-L55</f>
        <v/>
      </c>
      <c r="O55" s="294" t="n"/>
      <c r="P55" s="299" t="n"/>
      <c r="Q55" s="294" t="n"/>
      <c r="R55" s="9" t="n"/>
      <c r="S55" s="9" t="n"/>
      <c r="T55" s="9" t="n"/>
      <c r="U55" s="9" t="n"/>
      <c r="V55" s="297" t="n"/>
      <c r="X55" s="6" t="n"/>
      <c r="Y55" s="6" t="n"/>
      <c r="Z55" s="81" t="n"/>
      <c r="AB55" s="298" t="n"/>
    </row>
    <row r="56" ht="16.5" customHeight="1" s="256">
      <c r="B56" s="109" t="n"/>
      <c r="C56" s="110" t="n"/>
      <c r="D56" s="300" t="n"/>
      <c r="F56" s="109" t="n"/>
      <c r="G56" s="110" t="n"/>
      <c r="H56" s="300" t="n"/>
      <c r="J56" s="98">
        <f>MIN(D51:D55,H51:H55)</f>
        <v/>
      </c>
      <c r="L56" s="99" t="n"/>
      <c r="M56" s="100" t="n"/>
      <c r="N56" s="101" t="n"/>
      <c r="O56" s="294" t="n"/>
      <c r="P56" s="264" t="n"/>
      <c r="Q56" s="294" t="n"/>
      <c r="R56" s="9" t="n"/>
      <c r="S56" s="9" t="n"/>
      <c r="T56" s="9" t="n"/>
      <c r="U56" s="9" t="n"/>
      <c r="V56" s="83" t="n"/>
      <c r="X56" s="6" t="n"/>
      <c r="Y56" s="6" t="n"/>
      <c r="Z56" s="81" t="n"/>
    </row>
    <row r="57" ht="16.5" customHeight="1" s="256" thickBot="1">
      <c r="B57" s="89" t="n"/>
      <c r="C57" s="92" t="n"/>
      <c r="D57" s="301" t="n"/>
      <c r="E57" s="294" t="n"/>
      <c r="F57" s="89" t="n"/>
      <c r="G57" s="92" t="n"/>
      <c r="H57" s="301" t="n"/>
      <c r="I57" s="9" t="n"/>
      <c r="J57" s="102">
        <f>MAX(D51:D55,H51:H55)</f>
        <v/>
      </c>
      <c r="L57" s="103">
        <f>L56</f>
        <v/>
      </c>
      <c r="M57" s="104">
        <f>M56</f>
        <v/>
      </c>
      <c r="N57" s="97" t="n"/>
      <c r="O57" s="294" t="n"/>
      <c r="P57" s="5" t="n"/>
      <c r="Q57" s="294" t="n"/>
      <c r="R57" s="9" t="n"/>
      <c r="S57" s="9" t="n"/>
      <c r="T57" s="9" t="n"/>
      <c r="U57" s="9" t="n"/>
      <c r="V57" s="83" t="n"/>
      <c r="X57" s="84" t="n"/>
      <c r="Y57" s="84" t="n"/>
      <c r="Z57" s="81" t="n"/>
    </row>
    <row r="58" ht="16.5" customHeight="1" s="256" thickBot="1"/>
    <row r="59">
      <c r="B59" s="261" t="inlineStr">
        <is>
          <t>LEGO_Bugatti</t>
        </is>
      </c>
      <c r="C59" s="262" t="n"/>
      <c r="D59" s="263" t="n"/>
      <c r="E59" s="2" t="n"/>
      <c r="F59" s="261">
        <f>B59</f>
        <v/>
      </c>
      <c r="G59" s="262" t="n"/>
      <c r="H59" s="263" t="n"/>
      <c r="I59" s="2" t="n"/>
      <c r="J59" s="264" t="n"/>
      <c r="L59" s="264">
        <f>F59</f>
        <v/>
      </c>
      <c r="M59" s="262" t="n"/>
      <c r="N59" s="263" t="n"/>
      <c r="O59" s="195" t="n"/>
      <c r="P59" s="264" t="n"/>
      <c r="U59" s="265" t="n"/>
      <c r="V59" s="265" t="n"/>
      <c r="X59" s="265" t="n"/>
    </row>
    <row r="60">
      <c r="B60" s="259" t="inlineStr">
        <is>
          <t>Test</t>
        </is>
      </c>
      <c r="D60" s="87" t="inlineStr">
        <is>
          <t>Bitstream (MB)</t>
        </is>
      </c>
      <c r="E60" s="294" t="n"/>
      <c r="F60" s="259" t="inlineStr">
        <is>
          <t>Test</t>
        </is>
      </c>
      <c r="H60" s="87" t="inlineStr">
        <is>
          <t>Bitstream (MB)</t>
        </is>
      </c>
      <c r="I60" s="9" t="n"/>
      <c r="J60" s="257" t="inlineStr">
        <is>
          <t>%</t>
        </is>
      </c>
      <c r="L60" s="257" t="inlineStr">
        <is>
          <t>YUV-PSNR</t>
        </is>
      </c>
      <c r="N60" s="258" t="n"/>
      <c r="O60" s="85" t="n"/>
      <c r="P60" s="3" t="n"/>
      <c r="R60" s="255" t="n"/>
      <c r="U60" s="255" t="n"/>
      <c r="V60" s="255" t="n"/>
      <c r="X60" s="255" t="n"/>
    </row>
    <row r="61">
      <c r="B61" s="191" t="inlineStr">
        <is>
          <t>Anchor</t>
        </is>
      </c>
      <c r="C61" s="130" t="inlineStr">
        <is>
          <t>Test point</t>
        </is>
      </c>
      <c r="D61" s="86" t="inlineStr">
        <is>
          <t>Total</t>
        </is>
      </c>
      <c r="E61" s="294" t="n"/>
      <c r="F61" s="191" t="inlineStr">
        <is>
          <t>Anchor</t>
        </is>
      </c>
      <c r="G61" s="130" t="inlineStr">
        <is>
          <t>Test point</t>
        </is>
      </c>
      <c r="H61" s="86" t="inlineStr">
        <is>
          <t>Total</t>
        </is>
      </c>
      <c r="I61" s="9" t="n"/>
      <c r="J61" s="93" t="n"/>
      <c r="L61" s="192">
        <f>CONCATENATE(B$2," ",L59)</f>
        <v/>
      </c>
      <c r="M61" s="193">
        <f>CONCATENATE(F$2," ",L59)</f>
        <v/>
      </c>
      <c r="N61" s="194" t="inlineStr">
        <is>
          <t>Delta</t>
        </is>
      </c>
      <c r="O61" s="2" t="n"/>
      <c r="P61" s="3" t="inlineStr">
        <is>
          <t>BD-rate</t>
        </is>
      </c>
      <c r="Q61" s="2" t="n"/>
      <c r="R61" s="2" t="n"/>
      <c r="S61" s="2" t="n"/>
      <c r="T61" s="2" t="n"/>
      <c r="U61" s="2" t="n"/>
      <c r="V61" s="2" t="n"/>
      <c r="X61" s="195" t="n"/>
      <c r="Y61" s="195" t="n"/>
      <c r="Z61" s="195" t="n"/>
    </row>
    <row r="62">
      <c r="B62" s="122">
        <f>B59</f>
        <v/>
      </c>
      <c r="C62" s="130" t="inlineStr">
        <is>
          <t>r01</t>
        </is>
      </c>
      <c r="D62" s="295">
        <f>0.000001*INDIRECT($B62&amp;"!E5")</f>
        <v/>
      </c>
      <c r="E62" s="294" t="n"/>
      <c r="F62" s="122">
        <f>F59</f>
        <v/>
      </c>
      <c r="G62" s="130" t="inlineStr">
        <is>
          <t>r01</t>
        </is>
      </c>
      <c r="H62" s="295">
        <f>0.000001*INDIRECT($B62&amp;"!AC5")</f>
        <v/>
      </c>
      <c r="I62" s="9" t="n"/>
      <c r="J62" s="296">
        <f>H62/D62-1</f>
        <v/>
      </c>
      <c r="L62" s="94">
        <f>INDIRECT($B62&amp;"!"&amp;L$3&amp;"5")</f>
        <v/>
      </c>
      <c r="M62" s="95">
        <f>INDIRECT($B62&amp;"!"&amp;M$3&amp;"5")</f>
        <v/>
      </c>
      <c r="N62" s="96">
        <f>M62-L62</f>
        <v/>
      </c>
      <c r="O62" s="294" t="n"/>
      <c r="P62" s="296">
        <f>bdRateExtend(D62:D66,L62:L66,H62:H66,M62:M66)</f>
        <v/>
      </c>
      <c r="Q62" s="294" t="n"/>
      <c r="R62" s="9" t="n"/>
      <c r="S62" s="9" t="n"/>
      <c r="T62" s="9" t="n"/>
      <c r="U62" s="9" t="n"/>
      <c r="V62" s="297" t="n"/>
      <c r="X62" s="6" t="n"/>
      <c r="Y62" s="6" t="n"/>
      <c r="Z62" s="81" t="n"/>
      <c r="AB62" s="298" t="n"/>
    </row>
    <row r="63">
      <c r="B63" s="122">
        <f>B62</f>
        <v/>
      </c>
      <c r="C63" s="130" t="inlineStr">
        <is>
          <t>r02</t>
        </is>
      </c>
      <c r="D63" s="295">
        <f>0.000001*INDIRECT($B63&amp;"!E6")</f>
        <v/>
      </c>
      <c r="E63" s="294" t="n"/>
      <c r="F63" s="122">
        <f>F62</f>
        <v/>
      </c>
      <c r="G63" s="130" t="inlineStr">
        <is>
          <t>r02</t>
        </is>
      </c>
      <c r="H63" s="295">
        <f>0.000001*INDIRECT($B63&amp;"!AC6")</f>
        <v/>
      </c>
      <c r="I63" s="9" t="n"/>
      <c r="J63" s="296">
        <f>H63/D63-1</f>
        <v/>
      </c>
      <c r="L63" s="94">
        <f>INDIRECT($B63&amp;"!"&amp;L$3&amp;"6")</f>
        <v/>
      </c>
      <c r="M63" s="95">
        <f>INDIRECT($B63&amp;"!"&amp;M$3&amp;"6")</f>
        <v/>
      </c>
      <c r="N63" s="96">
        <f>M63-L63</f>
        <v/>
      </c>
      <c r="O63" s="294" t="n"/>
      <c r="P63" s="3" t="n"/>
      <c r="Q63" s="294" t="n"/>
      <c r="R63" s="9" t="n"/>
      <c r="S63" s="9" t="n"/>
      <c r="T63" s="9" t="n"/>
      <c r="U63" s="9" t="n"/>
      <c r="V63" s="297" t="n"/>
      <c r="X63" s="6" t="n"/>
      <c r="Y63" s="6" t="n"/>
      <c r="Z63" s="81" t="n"/>
    </row>
    <row r="64">
      <c r="B64" s="122">
        <f>B63</f>
        <v/>
      </c>
      <c r="C64" s="130" t="inlineStr">
        <is>
          <t>r03</t>
        </is>
      </c>
      <c r="D64" s="295">
        <f>0.000001*INDIRECT($B64&amp;"!E7")</f>
        <v/>
      </c>
      <c r="E64" s="294" t="n"/>
      <c r="F64" s="122">
        <f>F63</f>
        <v/>
      </c>
      <c r="G64" s="130" t="inlineStr">
        <is>
          <t>r03</t>
        </is>
      </c>
      <c r="H64" s="295">
        <f>0.000001*INDIRECT($B64&amp;"!AC7")</f>
        <v/>
      </c>
      <c r="I64" s="9" t="n"/>
      <c r="J64" s="296">
        <f>H64/D64-1</f>
        <v/>
      </c>
      <c r="L64" s="94">
        <f>INDIRECT($B64&amp;"!"&amp;L$3&amp;"7")</f>
        <v/>
      </c>
      <c r="M64" s="95">
        <f>INDIRECT($B64&amp;"!"&amp;M$3&amp;"7")</f>
        <v/>
      </c>
      <c r="N64" s="96">
        <f>M64-L64</f>
        <v/>
      </c>
      <c r="O64" s="294" t="n"/>
      <c r="P64" s="3" t="n"/>
      <c r="Q64" s="294" t="n"/>
      <c r="R64" s="9" t="n"/>
      <c r="S64" s="9" t="n"/>
      <c r="T64" s="9" t="n"/>
      <c r="U64" s="9" t="n"/>
      <c r="V64" s="297" t="n"/>
      <c r="X64" s="6" t="n"/>
      <c r="Y64" s="6" t="n"/>
      <c r="Z64" s="81" t="n"/>
    </row>
    <row r="65">
      <c r="B65" s="122">
        <f>B64</f>
        <v/>
      </c>
      <c r="C65" s="130" t="inlineStr">
        <is>
          <t>r04</t>
        </is>
      </c>
      <c r="D65" s="295">
        <f>0.000001*INDIRECT($B65&amp;"!E8")</f>
        <v/>
      </c>
      <c r="E65" s="294" t="n"/>
      <c r="F65" s="122">
        <f>F64</f>
        <v/>
      </c>
      <c r="G65" s="130" t="inlineStr">
        <is>
          <t>r04</t>
        </is>
      </c>
      <c r="H65" s="295">
        <f>0.000001*INDIRECT($B65&amp;"!AC8")</f>
        <v/>
      </c>
      <c r="I65" s="9" t="n"/>
      <c r="J65" s="296">
        <f>H65/D65-1</f>
        <v/>
      </c>
      <c r="L65" s="94">
        <f>INDIRECT($B65&amp;"!"&amp;L$3&amp;"8")</f>
        <v/>
      </c>
      <c r="M65" s="95">
        <f>INDIRECT($B65&amp;"!"&amp;M$3&amp;"8")</f>
        <v/>
      </c>
      <c r="N65" s="96">
        <f>M65-L65</f>
        <v/>
      </c>
      <c r="O65" s="294" t="n"/>
      <c r="P65" s="303" t="n"/>
      <c r="Q65" s="294" t="n"/>
      <c r="R65" s="9" t="n"/>
      <c r="S65" s="9" t="n"/>
      <c r="T65" s="9" t="n"/>
      <c r="U65" s="9" t="n"/>
      <c r="V65" s="297" t="n"/>
      <c r="X65" s="6" t="n"/>
      <c r="Y65" s="6" t="n"/>
      <c r="Z65" s="81" t="n"/>
    </row>
    <row r="66" ht="16.5" customHeight="1" s="256" thickBot="1">
      <c r="B66" s="122">
        <f>B65</f>
        <v/>
      </c>
      <c r="C66" s="130" t="inlineStr">
        <is>
          <t>r05</t>
        </is>
      </c>
      <c r="D66" s="295">
        <f>0.000001*INDIRECT($B66&amp;"!E9")</f>
        <v/>
      </c>
      <c r="E66" s="294" t="n"/>
      <c r="F66" s="122">
        <f>F65</f>
        <v/>
      </c>
      <c r="G66" s="130" t="inlineStr">
        <is>
          <t>r05</t>
        </is>
      </c>
      <c r="H66" s="295">
        <f>0.000001*INDIRECT($B66&amp;"!AC9")</f>
        <v/>
      </c>
      <c r="I66" s="9" t="n"/>
      <c r="J66" s="296">
        <f>H66/D66-1</f>
        <v/>
      </c>
      <c r="L66" s="94">
        <f>INDIRECT($B66&amp;"!"&amp;L$3&amp;"9")</f>
        <v/>
      </c>
      <c r="M66" s="95">
        <f>INDIRECT($B66&amp;"!"&amp;M$3&amp;"9")</f>
        <v/>
      </c>
      <c r="N66" s="96">
        <f>M66-L66</f>
        <v/>
      </c>
      <c r="O66" s="294" t="n"/>
      <c r="P66" s="299" t="n"/>
      <c r="Q66" s="294" t="n"/>
      <c r="R66" s="9" t="n"/>
      <c r="S66" s="9" t="n"/>
      <c r="T66" s="9" t="n"/>
      <c r="U66" s="9" t="n"/>
      <c r="V66" s="297" t="n"/>
      <c r="X66" s="6" t="n"/>
      <c r="Y66" s="6" t="n"/>
      <c r="Z66" s="81" t="n"/>
      <c r="AB66" s="298" t="n"/>
    </row>
    <row r="67" ht="16.5" customHeight="1" s="256">
      <c r="B67" s="109" t="n"/>
      <c r="C67" s="110" t="n"/>
      <c r="D67" s="300" t="n"/>
      <c r="F67" s="109" t="n"/>
      <c r="G67" s="110" t="n"/>
      <c r="H67" s="300" t="n"/>
      <c r="J67" s="98">
        <f>MIN(D62:D66,H62:H66)</f>
        <v/>
      </c>
      <c r="L67" s="99" t="n"/>
      <c r="M67" s="100" t="n"/>
      <c r="N67" s="101" t="n"/>
      <c r="O67" s="294" t="n"/>
      <c r="P67" s="264" t="n"/>
      <c r="Q67" s="294" t="n"/>
      <c r="R67" s="9" t="n"/>
      <c r="S67" s="9" t="n"/>
      <c r="T67" s="9" t="n"/>
      <c r="U67" s="9" t="n"/>
      <c r="V67" s="83" t="n"/>
      <c r="X67" s="6" t="n"/>
      <c r="Y67" s="6" t="n"/>
      <c r="Z67" s="81" t="n"/>
    </row>
    <row r="68" ht="16.5" customHeight="1" s="256" thickBot="1">
      <c r="B68" s="89" t="n"/>
      <c r="C68" s="92" t="n"/>
      <c r="D68" s="301" t="n"/>
      <c r="E68" s="294" t="n"/>
      <c r="F68" s="89" t="n"/>
      <c r="G68" s="92" t="n"/>
      <c r="H68" s="301" t="n"/>
      <c r="I68" s="9" t="n"/>
      <c r="J68" s="102">
        <f>MAX(D62:D66,H62:H66)</f>
        <v/>
      </c>
      <c r="L68" s="103">
        <f>L67</f>
        <v/>
      </c>
      <c r="M68" s="104">
        <f>M67</f>
        <v/>
      </c>
      <c r="N68" s="97" t="n"/>
      <c r="O68" s="294" t="n"/>
      <c r="P68" s="5" t="n"/>
      <c r="Q68" s="294" t="n"/>
      <c r="R68" s="9" t="n"/>
      <c r="S68" s="9" t="n"/>
      <c r="T68" s="9" t="n"/>
      <c r="U68" s="9" t="n"/>
      <c r="V68" s="83" t="n"/>
      <c r="X68" s="84" t="n"/>
      <c r="Y68" s="84" t="n"/>
      <c r="Z68" s="81" t="n"/>
    </row>
    <row r="69" ht="16.5" customHeight="1" s="256" thickBot="1"/>
    <row r="70">
      <c r="B70" s="261" t="inlineStr">
        <is>
          <t>Plant</t>
        </is>
      </c>
      <c r="C70" s="262" t="n"/>
      <c r="D70" s="263" t="n"/>
      <c r="E70" s="2" t="n"/>
      <c r="F70" s="261">
        <f>B70</f>
        <v/>
      </c>
      <c r="G70" s="262" t="n"/>
      <c r="H70" s="263" t="n"/>
      <c r="I70" s="2" t="n"/>
      <c r="J70" s="264" t="n"/>
      <c r="L70" s="264">
        <f>F70</f>
        <v/>
      </c>
      <c r="M70" s="262" t="n"/>
      <c r="N70" s="263" t="n"/>
      <c r="O70" s="195" t="n"/>
      <c r="P70" s="264" t="n"/>
      <c r="U70" s="265" t="n"/>
      <c r="V70" s="265" t="n"/>
      <c r="X70" s="265" t="n"/>
    </row>
    <row r="71">
      <c r="B71" s="259" t="inlineStr">
        <is>
          <t>Test</t>
        </is>
      </c>
      <c r="D71" s="87" t="inlineStr">
        <is>
          <t>Bitstream (MB)</t>
        </is>
      </c>
      <c r="E71" s="294" t="n"/>
      <c r="F71" s="259" t="inlineStr">
        <is>
          <t>Test</t>
        </is>
      </c>
      <c r="H71" s="87" t="inlineStr">
        <is>
          <t>Bitstream (MB)</t>
        </is>
      </c>
      <c r="I71" s="9" t="n"/>
      <c r="J71" s="257" t="inlineStr">
        <is>
          <t>%</t>
        </is>
      </c>
      <c r="L71" s="257" t="inlineStr">
        <is>
          <t>YUV-PSNR</t>
        </is>
      </c>
      <c r="N71" s="258" t="n"/>
      <c r="O71" s="85" t="n"/>
      <c r="P71" s="3" t="n"/>
      <c r="R71" s="255" t="n"/>
      <c r="U71" s="255" t="n"/>
      <c r="V71" s="255" t="n"/>
      <c r="X71" s="255" t="n"/>
    </row>
    <row r="72">
      <c r="B72" s="191" t="inlineStr">
        <is>
          <t>Anchor</t>
        </is>
      </c>
      <c r="C72" s="130" t="inlineStr">
        <is>
          <t>Test point</t>
        </is>
      </c>
      <c r="D72" s="86" t="inlineStr">
        <is>
          <t>Total</t>
        </is>
      </c>
      <c r="E72" s="294" t="n"/>
      <c r="F72" s="191" t="inlineStr">
        <is>
          <t>Anchor</t>
        </is>
      </c>
      <c r="G72" s="130" t="inlineStr">
        <is>
          <t>Test point</t>
        </is>
      </c>
      <c r="H72" s="86" t="inlineStr">
        <is>
          <t>Total</t>
        </is>
      </c>
      <c r="I72" s="9" t="n"/>
      <c r="J72" s="93" t="n"/>
      <c r="L72" s="192">
        <f>CONCATENATE(B$2," ",L70)</f>
        <v/>
      </c>
      <c r="M72" s="193">
        <f>CONCATENATE(F$2," ",L70)</f>
        <v/>
      </c>
      <c r="N72" s="194" t="inlineStr">
        <is>
          <t>Delta</t>
        </is>
      </c>
      <c r="O72" s="2" t="n"/>
      <c r="P72" s="3" t="inlineStr">
        <is>
          <t>BD-rate</t>
        </is>
      </c>
      <c r="Q72" s="2" t="n"/>
      <c r="R72" s="2" t="n"/>
      <c r="S72" s="2" t="n"/>
      <c r="T72" s="2" t="n"/>
      <c r="U72" s="2" t="n"/>
      <c r="V72" s="2" t="n"/>
      <c r="X72" s="195" t="n"/>
      <c r="Y72" s="195" t="n"/>
      <c r="Z72" s="195" t="n"/>
    </row>
    <row r="73">
      <c r="B73" s="122">
        <f>B70</f>
        <v/>
      </c>
      <c r="C73" s="130" t="inlineStr">
        <is>
          <t>r01</t>
        </is>
      </c>
      <c r="D73" s="295">
        <f>0.000001*INDIRECT($B73&amp;"!E5")</f>
        <v/>
      </c>
      <c r="E73" s="294" t="n"/>
      <c r="F73" s="122">
        <f>F70</f>
        <v/>
      </c>
      <c r="G73" s="130" t="inlineStr">
        <is>
          <t>r01</t>
        </is>
      </c>
      <c r="H73" s="295">
        <f>0.000001*INDIRECT($B73&amp;"!AC5")</f>
        <v/>
      </c>
      <c r="I73" s="9" t="n"/>
      <c r="J73" s="296">
        <f>H73/D73-1</f>
        <v/>
      </c>
      <c r="L73" s="94">
        <f>INDIRECT($B73&amp;"!"&amp;L$3&amp;"5")</f>
        <v/>
      </c>
      <c r="M73" s="95">
        <f>INDIRECT($B73&amp;"!"&amp;M$3&amp;"5")</f>
        <v/>
      </c>
      <c r="N73" s="96">
        <f>M73-L73</f>
        <v/>
      </c>
      <c r="O73" s="294" t="n"/>
      <c r="P73" s="296">
        <f>bdRateExtend(D73:D77,L73:L77,H73:H77,M73:M77)</f>
        <v/>
      </c>
      <c r="Q73" s="294" t="n"/>
      <c r="R73" s="9" t="n"/>
      <c r="S73" s="9" t="n"/>
      <c r="T73" s="9" t="n"/>
      <c r="U73" s="9" t="n"/>
      <c r="V73" s="297" t="n"/>
      <c r="X73" s="6" t="n"/>
      <c r="Y73" s="6" t="n"/>
      <c r="Z73" s="81" t="n"/>
      <c r="AB73" s="298" t="n"/>
    </row>
    <row r="74">
      <c r="B74" s="122">
        <f>B73</f>
        <v/>
      </c>
      <c r="C74" s="130" t="inlineStr">
        <is>
          <t>r02</t>
        </is>
      </c>
      <c r="D74" s="295">
        <f>0.000001*INDIRECT($B74&amp;"!E6")</f>
        <v/>
      </c>
      <c r="E74" s="294" t="n"/>
      <c r="F74" s="122">
        <f>F73</f>
        <v/>
      </c>
      <c r="G74" s="130" t="inlineStr">
        <is>
          <t>r02</t>
        </is>
      </c>
      <c r="H74" s="295">
        <f>0.000001*INDIRECT($B74&amp;"!AC6")</f>
        <v/>
      </c>
      <c r="I74" s="9" t="n"/>
      <c r="J74" s="296">
        <f>H74/D74-1</f>
        <v/>
      </c>
      <c r="L74" s="94">
        <f>INDIRECT($B74&amp;"!"&amp;L$3&amp;"6")</f>
        <v/>
      </c>
      <c r="M74" s="95">
        <f>INDIRECT($B74&amp;"!"&amp;M$3&amp;"6")</f>
        <v/>
      </c>
      <c r="N74" s="96">
        <f>M74-L74</f>
        <v/>
      </c>
      <c r="O74" s="294" t="n"/>
      <c r="P74" s="3" t="n"/>
      <c r="Q74" s="294" t="n"/>
      <c r="R74" s="9" t="n"/>
      <c r="S74" s="9" t="n"/>
      <c r="T74" s="9" t="n"/>
      <c r="U74" s="9" t="n"/>
      <c r="V74" s="297" t="n"/>
      <c r="X74" s="6" t="n"/>
      <c r="Y74" s="6" t="n"/>
      <c r="Z74" s="81" t="n"/>
    </row>
    <row r="75">
      <c r="B75" s="122">
        <f>B74</f>
        <v/>
      </c>
      <c r="C75" s="130" t="inlineStr">
        <is>
          <t>r03</t>
        </is>
      </c>
      <c r="D75" s="295">
        <f>0.000001*INDIRECT($B75&amp;"!E7")</f>
        <v/>
      </c>
      <c r="E75" s="294" t="n"/>
      <c r="F75" s="122">
        <f>F74</f>
        <v/>
      </c>
      <c r="G75" s="130" t="inlineStr">
        <is>
          <t>r03</t>
        </is>
      </c>
      <c r="H75" s="295">
        <f>0.000001*INDIRECT($B75&amp;"!AC7")</f>
        <v/>
      </c>
      <c r="I75" s="9" t="n"/>
      <c r="J75" s="296">
        <f>H75/D75-1</f>
        <v/>
      </c>
      <c r="L75" s="94">
        <f>INDIRECT($B75&amp;"!"&amp;L$3&amp;"7")</f>
        <v/>
      </c>
      <c r="M75" s="95">
        <f>INDIRECT($B75&amp;"!"&amp;M$3&amp;"7")</f>
        <v/>
      </c>
      <c r="N75" s="96">
        <f>M75-L75</f>
        <v/>
      </c>
      <c r="O75" s="294" t="n"/>
      <c r="P75" s="3" t="n"/>
      <c r="Q75" s="294" t="n"/>
      <c r="R75" s="9" t="n"/>
      <c r="S75" s="9" t="n"/>
      <c r="T75" s="9" t="n"/>
      <c r="U75" s="9" t="n"/>
      <c r="V75" s="297" t="n"/>
      <c r="X75" s="6" t="n"/>
      <c r="Y75" s="6" t="n"/>
      <c r="Z75" s="81" t="n"/>
    </row>
    <row r="76">
      <c r="B76" s="122">
        <f>B75</f>
        <v/>
      </c>
      <c r="C76" s="130" t="inlineStr">
        <is>
          <t>r04</t>
        </is>
      </c>
      <c r="D76" s="295">
        <f>0.000001*INDIRECT($B76&amp;"!E8")</f>
        <v/>
      </c>
      <c r="E76" s="294" t="n"/>
      <c r="F76" s="122">
        <f>F75</f>
        <v/>
      </c>
      <c r="G76" s="130" t="inlineStr">
        <is>
          <t>r04</t>
        </is>
      </c>
      <c r="H76" s="295">
        <f>0.000001*INDIRECT($B76&amp;"!AC8")</f>
        <v/>
      </c>
      <c r="I76" s="9" t="n"/>
      <c r="J76" s="296">
        <f>H76/D76-1</f>
        <v/>
      </c>
      <c r="L76" s="94">
        <f>INDIRECT($B76&amp;"!"&amp;L$3&amp;"8")</f>
        <v/>
      </c>
      <c r="M76" s="95">
        <f>INDIRECT($B76&amp;"!"&amp;M$3&amp;"8")</f>
        <v/>
      </c>
      <c r="N76" s="96">
        <f>M76-L76</f>
        <v/>
      </c>
      <c r="O76" s="294" t="n"/>
      <c r="P76" s="303" t="n"/>
      <c r="Q76" s="294" t="n"/>
      <c r="R76" s="9" t="n"/>
      <c r="S76" s="9" t="n"/>
      <c r="T76" s="9" t="n"/>
      <c r="U76" s="9" t="n"/>
      <c r="V76" s="297" t="n"/>
      <c r="X76" s="6" t="n"/>
      <c r="Y76" s="6" t="n"/>
      <c r="Z76" s="81" t="n"/>
    </row>
    <row r="77" ht="16.5" customHeight="1" s="256" thickBot="1">
      <c r="B77" s="122">
        <f>B76</f>
        <v/>
      </c>
      <c r="C77" s="130" t="inlineStr">
        <is>
          <t>r05</t>
        </is>
      </c>
      <c r="D77" s="295">
        <f>0.000001*INDIRECT($B77&amp;"!E9")</f>
        <v/>
      </c>
      <c r="E77" s="294" t="n"/>
      <c r="F77" s="122">
        <f>F76</f>
        <v/>
      </c>
      <c r="G77" s="130" t="inlineStr">
        <is>
          <t>r05</t>
        </is>
      </c>
      <c r="H77" s="295">
        <f>0.000001*INDIRECT($B77&amp;"!AC9")</f>
        <v/>
      </c>
      <c r="I77" s="9" t="n"/>
      <c r="J77" s="296">
        <f>H77/D77-1</f>
        <v/>
      </c>
      <c r="L77" s="94">
        <f>INDIRECT($B77&amp;"!"&amp;L$3&amp;"9")</f>
        <v/>
      </c>
      <c r="M77" s="95">
        <f>INDIRECT($B77&amp;"!"&amp;M$3&amp;"9")</f>
        <v/>
      </c>
      <c r="N77" s="96">
        <f>M77-L77</f>
        <v/>
      </c>
      <c r="O77" s="294" t="n"/>
      <c r="P77" s="299" t="n"/>
      <c r="Q77" s="294" t="n"/>
      <c r="R77" s="9" t="n"/>
      <c r="S77" s="9" t="n"/>
      <c r="T77" s="9" t="n"/>
      <c r="U77" s="9" t="n"/>
      <c r="V77" s="297" t="n"/>
      <c r="X77" s="6" t="n"/>
      <c r="Y77" s="6" t="n"/>
      <c r="Z77" s="81" t="n"/>
      <c r="AB77" s="298" t="n"/>
    </row>
    <row r="78" ht="16.5" customHeight="1" s="256">
      <c r="B78" s="109" t="n"/>
      <c r="C78" s="110" t="n"/>
      <c r="D78" s="300" t="n"/>
      <c r="F78" s="109" t="n"/>
      <c r="G78" s="110" t="n"/>
      <c r="H78" s="300" t="n"/>
      <c r="J78" s="98">
        <f>MIN(D73:D77,H73:H77)</f>
        <v/>
      </c>
      <c r="L78" s="99" t="n"/>
      <c r="M78" s="100" t="n"/>
      <c r="N78" s="101" t="n"/>
      <c r="O78" s="294" t="n"/>
      <c r="P78" s="264" t="n"/>
      <c r="Q78" s="294" t="n"/>
      <c r="R78" s="9" t="n"/>
      <c r="S78" s="9" t="n"/>
      <c r="T78" s="9" t="n"/>
      <c r="U78" s="9" t="n"/>
      <c r="V78" s="83" t="n"/>
      <c r="X78" s="6" t="n"/>
      <c r="Y78" s="6" t="n"/>
      <c r="Z78" s="81" t="n"/>
    </row>
    <row r="79" ht="16.5" customHeight="1" s="256" thickBot="1">
      <c r="B79" s="89" t="n"/>
      <c r="C79" s="92" t="n"/>
      <c r="D79" s="301" t="n"/>
      <c r="E79" s="294" t="n"/>
      <c r="F79" s="89" t="n"/>
      <c r="G79" s="92" t="n"/>
      <c r="H79" s="301" t="n"/>
      <c r="I79" s="9" t="n"/>
      <c r="J79" s="102">
        <f>MAX(D73:D77,H73:H77)</f>
        <v/>
      </c>
      <c r="L79" s="103">
        <f>L78</f>
        <v/>
      </c>
      <c r="M79" s="104">
        <f>M78</f>
        <v/>
      </c>
      <c r="N79" s="97" t="n"/>
      <c r="O79" s="294" t="n"/>
      <c r="P79" s="5" t="n"/>
      <c r="Q79" s="294" t="n"/>
      <c r="R79" s="9" t="n"/>
      <c r="S79" s="9" t="n"/>
      <c r="T79" s="9" t="n"/>
      <c r="U79" s="9" t="n"/>
      <c r="V79" s="83" t="n"/>
      <c r="X79" s="84" t="n"/>
      <c r="Y79" s="84" t="n"/>
      <c r="Z79" s="81" t="n"/>
    </row>
    <row r="80" ht="16.5" customHeight="1" s="256" thickBot="1"/>
    <row r="81">
      <c r="B81" s="261" t="inlineStr">
        <is>
          <t>Tennis_Player</t>
        </is>
      </c>
      <c r="C81" s="262" t="n"/>
      <c r="D81" s="263" t="n"/>
      <c r="E81" s="2" t="n"/>
      <c r="F81" s="261">
        <f>B81</f>
        <v/>
      </c>
      <c r="G81" s="262" t="n"/>
      <c r="H81" s="263" t="n"/>
      <c r="I81" s="2" t="n"/>
      <c r="J81" s="264" t="n"/>
      <c r="L81" s="264">
        <f>F81</f>
        <v/>
      </c>
      <c r="M81" s="262" t="n"/>
      <c r="N81" s="263" t="n"/>
      <c r="O81" s="195" t="n"/>
      <c r="P81" s="264" t="n"/>
      <c r="U81" s="265" t="n"/>
      <c r="V81" s="265" t="n"/>
      <c r="X81" s="265" t="n"/>
    </row>
    <row r="82">
      <c r="B82" s="259" t="inlineStr">
        <is>
          <t>Test</t>
        </is>
      </c>
      <c r="D82" s="87" t="inlineStr">
        <is>
          <t>Bitstream (MB)</t>
        </is>
      </c>
      <c r="E82" s="294" t="n"/>
      <c r="F82" s="259" t="inlineStr">
        <is>
          <t>Test</t>
        </is>
      </c>
      <c r="H82" s="87" t="inlineStr">
        <is>
          <t>Bitstream (MB)</t>
        </is>
      </c>
      <c r="I82" s="9" t="n"/>
      <c r="J82" s="257" t="inlineStr">
        <is>
          <t>%</t>
        </is>
      </c>
      <c r="L82" s="257" t="inlineStr">
        <is>
          <t>YUV-PSNR</t>
        </is>
      </c>
      <c r="N82" s="258" t="n"/>
      <c r="O82" s="85" t="n"/>
      <c r="P82" s="3" t="n"/>
      <c r="R82" s="255" t="n"/>
      <c r="U82" s="255" t="n"/>
      <c r="V82" s="255" t="n"/>
      <c r="X82" s="255" t="n"/>
    </row>
    <row r="83">
      <c r="B83" s="191" t="inlineStr">
        <is>
          <t>Anchor</t>
        </is>
      </c>
      <c r="C83" s="130" t="inlineStr">
        <is>
          <t>Test point</t>
        </is>
      </c>
      <c r="D83" s="86" t="inlineStr">
        <is>
          <t>Total</t>
        </is>
      </c>
      <c r="E83" s="294" t="n"/>
      <c r="F83" s="191" t="inlineStr">
        <is>
          <t>Anchor</t>
        </is>
      </c>
      <c r="G83" s="130" t="inlineStr">
        <is>
          <t>Test point</t>
        </is>
      </c>
      <c r="H83" s="86" t="inlineStr">
        <is>
          <t>Total</t>
        </is>
      </c>
      <c r="I83" s="9" t="n"/>
      <c r="J83" s="93" t="n"/>
      <c r="L83" s="192">
        <f>CONCATENATE(B$2," ",L81)</f>
        <v/>
      </c>
      <c r="M83" s="193">
        <f>CONCATENATE(F$2," ",L81)</f>
        <v/>
      </c>
      <c r="N83" s="194" t="inlineStr">
        <is>
          <t>Delta</t>
        </is>
      </c>
      <c r="O83" s="2" t="n"/>
      <c r="P83" s="3" t="inlineStr">
        <is>
          <t>BD-rate</t>
        </is>
      </c>
      <c r="Q83" s="2" t="n"/>
      <c r="R83" s="2" t="n"/>
      <c r="S83" s="2" t="n"/>
      <c r="T83" s="2" t="n"/>
      <c r="U83" s="2" t="n"/>
      <c r="V83" s="2" t="n"/>
      <c r="X83" s="195" t="n"/>
      <c r="Y83" s="195" t="n"/>
      <c r="Z83" s="195" t="n"/>
    </row>
    <row r="84">
      <c r="B84" s="122">
        <f>B81</f>
        <v/>
      </c>
      <c r="C84" s="130" t="inlineStr">
        <is>
          <t>r01</t>
        </is>
      </c>
      <c r="D84" s="295">
        <f>0.000001*INDIRECT($B84&amp;"!E5")</f>
        <v/>
      </c>
      <c r="E84" s="294" t="n"/>
      <c r="F84" s="122">
        <f>F81</f>
        <v/>
      </c>
      <c r="G84" s="130" t="inlineStr">
        <is>
          <t>r01</t>
        </is>
      </c>
      <c r="H84" s="295">
        <f>0.000001*INDIRECT($B84&amp;"!AC5")</f>
        <v/>
      </c>
      <c r="I84" s="9" t="n"/>
      <c r="J84" s="296">
        <f>H84/D84-1</f>
        <v/>
      </c>
      <c r="L84" s="94">
        <f>INDIRECT($B84&amp;"!"&amp;L$3&amp;"5")</f>
        <v/>
      </c>
      <c r="M84" s="95">
        <f>INDIRECT($B84&amp;"!"&amp;M$3&amp;"5")</f>
        <v/>
      </c>
      <c r="N84" s="96">
        <f>M84-L84</f>
        <v/>
      </c>
      <c r="O84" s="294" t="n"/>
      <c r="P84" s="296">
        <f>bdRateExtend(D84:D88,L84:L88,H84:H88,M84:M88)</f>
        <v/>
      </c>
      <c r="Q84" s="294" t="n"/>
      <c r="R84" s="9" t="n"/>
      <c r="S84" s="9" t="n"/>
      <c r="T84" s="9" t="n"/>
      <c r="U84" s="9" t="n"/>
      <c r="V84" s="297" t="n"/>
      <c r="X84" s="6" t="n"/>
      <c r="Y84" s="6" t="n"/>
      <c r="Z84" s="81" t="n"/>
      <c r="AB84" s="298" t="n"/>
    </row>
    <row r="85">
      <c r="B85" s="122">
        <f>B84</f>
        <v/>
      </c>
      <c r="C85" s="130" t="inlineStr">
        <is>
          <t>r02</t>
        </is>
      </c>
      <c r="D85" s="295">
        <f>0.000001*INDIRECT($B85&amp;"!E6")</f>
        <v/>
      </c>
      <c r="E85" s="294" t="n"/>
      <c r="F85" s="122">
        <f>F84</f>
        <v/>
      </c>
      <c r="G85" s="130" t="inlineStr">
        <is>
          <t>r02</t>
        </is>
      </c>
      <c r="H85" s="295">
        <f>0.000001*INDIRECT($B85&amp;"!AC6")</f>
        <v/>
      </c>
      <c r="I85" s="9" t="n"/>
      <c r="J85" s="296">
        <f>H85/D85-1</f>
        <v/>
      </c>
      <c r="L85" s="94">
        <f>INDIRECT($B85&amp;"!"&amp;L$3&amp;"6")</f>
        <v/>
      </c>
      <c r="M85" s="95">
        <f>INDIRECT($B85&amp;"!"&amp;M$3&amp;"6")</f>
        <v/>
      </c>
      <c r="N85" s="96">
        <f>M85-L85</f>
        <v/>
      </c>
      <c r="O85" s="294" t="n"/>
      <c r="P85" s="3" t="n"/>
      <c r="Q85" s="294" t="n"/>
      <c r="R85" s="9" t="n"/>
      <c r="S85" s="9" t="n"/>
      <c r="T85" s="9" t="n"/>
      <c r="U85" s="9" t="n"/>
      <c r="V85" s="297" t="n"/>
      <c r="X85" s="6" t="n"/>
      <c r="Y85" s="6" t="n"/>
      <c r="Z85" s="81" t="n"/>
    </row>
    <row r="86">
      <c r="B86" s="122">
        <f>B85</f>
        <v/>
      </c>
      <c r="C86" s="130" t="inlineStr">
        <is>
          <t>r03</t>
        </is>
      </c>
      <c r="D86" s="295">
        <f>0.000001*INDIRECT($B86&amp;"!E7")</f>
        <v/>
      </c>
      <c r="E86" s="294" t="n"/>
      <c r="F86" s="122">
        <f>F85</f>
        <v/>
      </c>
      <c r="G86" s="130" t="inlineStr">
        <is>
          <t>r03</t>
        </is>
      </c>
      <c r="H86" s="295">
        <f>0.000001*INDIRECT($B86&amp;"!AC7")</f>
        <v/>
      </c>
      <c r="I86" s="9" t="n"/>
      <c r="J86" s="296">
        <f>H86/D86-1</f>
        <v/>
      </c>
      <c r="L86" s="94">
        <f>INDIRECT($B86&amp;"!"&amp;L$3&amp;"7")</f>
        <v/>
      </c>
      <c r="M86" s="95">
        <f>INDIRECT($B86&amp;"!"&amp;M$3&amp;"7")</f>
        <v/>
      </c>
      <c r="N86" s="96">
        <f>M86-L86</f>
        <v/>
      </c>
      <c r="O86" s="294" t="n"/>
      <c r="P86" s="3" t="n"/>
      <c r="Q86" s="294" t="n"/>
      <c r="R86" s="9" t="n"/>
      <c r="S86" s="9" t="n"/>
      <c r="T86" s="9" t="n"/>
      <c r="U86" s="9" t="n"/>
      <c r="V86" s="297" t="n"/>
      <c r="X86" s="6" t="n"/>
      <c r="Y86" s="6" t="n"/>
      <c r="Z86" s="81" t="n"/>
    </row>
    <row r="87">
      <c r="B87" s="122">
        <f>B86</f>
        <v/>
      </c>
      <c r="C87" s="130" t="inlineStr">
        <is>
          <t>r04</t>
        </is>
      </c>
      <c r="D87" s="295">
        <f>0.000001*INDIRECT($B87&amp;"!E8")</f>
        <v/>
      </c>
      <c r="E87" s="294" t="n"/>
      <c r="F87" s="122">
        <f>F86</f>
        <v/>
      </c>
      <c r="G87" s="130" t="inlineStr">
        <is>
          <t>r04</t>
        </is>
      </c>
      <c r="H87" s="295">
        <f>0.000001*INDIRECT($B87&amp;"!AC8")</f>
        <v/>
      </c>
      <c r="I87" s="9" t="n"/>
      <c r="J87" s="296">
        <f>H87/D87-1</f>
        <v/>
      </c>
      <c r="L87" s="94">
        <f>INDIRECT($B87&amp;"!"&amp;L$3&amp;"8")</f>
        <v/>
      </c>
      <c r="M87" s="95">
        <f>INDIRECT($B87&amp;"!"&amp;M$3&amp;"8")</f>
        <v/>
      </c>
      <c r="N87" s="96">
        <f>M87-L87</f>
        <v/>
      </c>
      <c r="O87" s="294" t="n"/>
      <c r="P87" s="303" t="n"/>
      <c r="Q87" s="294" t="n"/>
      <c r="R87" s="9" t="n"/>
      <c r="S87" s="9" t="n"/>
      <c r="T87" s="9" t="n"/>
      <c r="U87" s="9" t="n"/>
      <c r="V87" s="297" t="n"/>
      <c r="X87" s="6" t="n"/>
      <c r="Y87" s="6" t="n"/>
      <c r="Z87" s="81" t="n"/>
    </row>
    <row r="88" ht="16.5" customHeight="1" s="256" thickBot="1">
      <c r="B88" s="122">
        <f>B87</f>
        <v/>
      </c>
      <c r="C88" s="130" t="inlineStr">
        <is>
          <t>r05</t>
        </is>
      </c>
      <c r="D88" s="295">
        <f>0.000001*INDIRECT($B88&amp;"!E9")</f>
        <v/>
      </c>
      <c r="E88" s="294" t="n"/>
      <c r="F88" s="122">
        <f>F87</f>
        <v/>
      </c>
      <c r="G88" s="130" t="inlineStr">
        <is>
          <t>r05</t>
        </is>
      </c>
      <c r="H88" s="295">
        <f>0.000001*INDIRECT($B88&amp;"!AC9")</f>
        <v/>
      </c>
      <c r="I88" s="9" t="n"/>
      <c r="J88" s="296">
        <f>H88/D88-1</f>
        <v/>
      </c>
      <c r="L88" s="94">
        <f>INDIRECT($B88&amp;"!"&amp;L$3&amp;"9")</f>
        <v/>
      </c>
      <c r="M88" s="95">
        <f>INDIRECT($B88&amp;"!"&amp;M$3&amp;"9")</f>
        <v/>
      </c>
      <c r="N88" s="96">
        <f>M88-L88</f>
        <v/>
      </c>
      <c r="O88" s="294" t="n"/>
      <c r="P88" s="299" t="n"/>
      <c r="Q88" s="294" t="n"/>
      <c r="R88" s="9" t="n"/>
      <c r="S88" s="9" t="n"/>
      <c r="T88" s="9" t="n"/>
      <c r="U88" s="9" t="n"/>
      <c r="V88" s="297" t="n"/>
      <c r="X88" s="6" t="n"/>
      <c r="Y88" s="6" t="n"/>
      <c r="Z88" s="81" t="n"/>
      <c r="AB88" s="298" t="n"/>
    </row>
    <row r="89" ht="16.5" customHeight="1" s="256">
      <c r="B89" s="109" t="n"/>
      <c r="C89" s="110" t="n"/>
      <c r="D89" s="300" t="n"/>
      <c r="F89" s="109" t="n"/>
      <c r="G89" s="110" t="n"/>
      <c r="H89" s="300" t="n"/>
      <c r="J89" s="98">
        <f>MIN(D84:D88,H84:H88)</f>
        <v/>
      </c>
      <c r="L89" s="99" t="n"/>
      <c r="M89" s="100" t="n"/>
      <c r="N89" s="101" t="n"/>
      <c r="O89" s="294" t="n"/>
      <c r="P89" s="264" t="n"/>
      <c r="Q89" s="294" t="n"/>
      <c r="R89" s="9" t="n"/>
      <c r="S89" s="9" t="n"/>
      <c r="T89" s="9" t="n"/>
      <c r="U89" s="9" t="n"/>
      <c r="V89" s="83" t="n"/>
      <c r="X89" s="6" t="n"/>
      <c r="Y89" s="6" t="n"/>
      <c r="Z89" s="81" t="n"/>
    </row>
    <row r="90" ht="16.5" customHeight="1" s="256" thickBot="1">
      <c r="B90" s="89" t="n"/>
      <c r="C90" s="92" t="n"/>
      <c r="D90" s="301" t="n"/>
      <c r="E90" s="294" t="n"/>
      <c r="F90" s="89" t="n"/>
      <c r="G90" s="92" t="n"/>
      <c r="H90" s="301" t="n"/>
      <c r="I90" s="9" t="n"/>
      <c r="J90" s="102">
        <f>MAX(D84:D88,H84:H88)</f>
        <v/>
      </c>
      <c r="L90" s="103">
        <f>L89</f>
        <v/>
      </c>
      <c r="M90" s="104">
        <f>M89</f>
        <v/>
      </c>
      <c r="N90" s="97" t="n"/>
      <c r="O90" s="294" t="n"/>
      <c r="P90" s="5" t="n"/>
      <c r="Q90" s="294" t="n"/>
      <c r="R90" s="9" t="n"/>
      <c r="S90" s="9" t="n"/>
      <c r="T90" s="9" t="n"/>
      <c r="U90" s="9" t="n"/>
      <c r="V90" s="83" t="n"/>
      <c r="X90" s="84" t="n"/>
      <c r="Y90" s="84" t="n"/>
      <c r="Z90" s="81" t="n"/>
    </row>
    <row r="91" ht="16.5" customHeight="1" s="256" thickBot="1"/>
    <row r="92">
      <c r="B92" s="261" t="inlineStr">
        <is>
          <t>Cricket_Player</t>
        </is>
      </c>
      <c r="C92" s="262" t="n"/>
      <c r="D92" s="263" t="n"/>
      <c r="E92" s="2" t="n"/>
      <c r="F92" s="261">
        <f>B92</f>
        <v/>
      </c>
      <c r="G92" s="262" t="n"/>
      <c r="H92" s="263" t="n"/>
      <c r="I92" s="2" t="n"/>
      <c r="J92" s="264" t="n"/>
      <c r="L92" s="264">
        <f>F92</f>
        <v/>
      </c>
      <c r="M92" s="262" t="n"/>
      <c r="N92" s="263" t="n"/>
      <c r="O92" s="195" t="n"/>
      <c r="P92" s="264" t="n"/>
      <c r="U92" s="265" t="n"/>
      <c r="V92" s="265" t="n"/>
      <c r="X92" s="265" t="n"/>
    </row>
    <row r="93">
      <c r="B93" s="259" t="inlineStr">
        <is>
          <t>Test</t>
        </is>
      </c>
      <c r="D93" s="87" t="inlineStr">
        <is>
          <t>Bitstream (MB)</t>
        </is>
      </c>
      <c r="E93" s="294" t="n"/>
      <c r="F93" s="259" t="inlineStr">
        <is>
          <t>Test</t>
        </is>
      </c>
      <c r="H93" s="87" t="inlineStr">
        <is>
          <t>Bitstream (MB)</t>
        </is>
      </c>
      <c r="I93" s="9" t="n"/>
      <c r="J93" s="257" t="inlineStr">
        <is>
          <t>%</t>
        </is>
      </c>
      <c r="L93" s="257" t="inlineStr">
        <is>
          <t>YUV-PSNR</t>
        </is>
      </c>
      <c r="N93" s="258" t="n"/>
      <c r="O93" s="85" t="n"/>
      <c r="P93" s="3" t="n"/>
      <c r="R93" s="255" t="n"/>
      <c r="U93" s="255" t="n"/>
      <c r="V93" s="255" t="n"/>
      <c r="X93" s="255" t="n"/>
    </row>
    <row r="94">
      <c r="B94" s="191" t="inlineStr">
        <is>
          <t>Anchor</t>
        </is>
      </c>
      <c r="C94" s="130" t="inlineStr">
        <is>
          <t>Test point</t>
        </is>
      </c>
      <c r="D94" s="86" t="inlineStr">
        <is>
          <t>Total</t>
        </is>
      </c>
      <c r="E94" s="294" t="n"/>
      <c r="F94" s="191" t="inlineStr">
        <is>
          <t>Anchor</t>
        </is>
      </c>
      <c r="G94" s="130" t="inlineStr">
        <is>
          <t>Test point</t>
        </is>
      </c>
      <c r="H94" s="86" t="inlineStr">
        <is>
          <t>Total</t>
        </is>
      </c>
      <c r="I94" s="9" t="n"/>
      <c r="J94" s="93" t="n"/>
      <c r="L94" s="192">
        <f>CONCATENATE(B$2," ",L92)</f>
        <v/>
      </c>
      <c r="M94" s="193">
        <f>CONCATENATE(F$2," ",L92)</f>
        <v/>
      </c>
      <c r="N94" s="194" t="inlineStr">
        <is>
          <t>Delta</t>
        </is>
      </c>
      <c r="O94" s="2" t="n"/>
      <c r="P94" s="3" t="inlineStr">
        <is>
          <t>BD-rate</t>
        </is>
      </c>
      <c r="Q94" s="2" t="n"/>
      <c r="R94" s="2" t="n"/>
      <c r="S94" s="2" t="n"/>
      <c r="T94" s="2" t="n"/>
      <c r="U94" s="2" t="n"/>
      <c r="V94" s="2" t="n"/>
      <c r="X94" s="195" t="n"/>
      <c r="Y94" s="195" t="n"/>
      <c r="Z94" s="195" t="n"/>
    </row>
    <row r="95">
      <c r="B95" s="122">
        <f>B92</f>
        <v/>
      </c>
      <c r="C95" s="130" t="inlineStr">
        <is>
          <t>r01</t>
        </is>
      </c>
      <c r="D95" s="295">
        <f>0.000001*INDIRECT($B95&amp;"!E5")</f>
        <v/>
      </c>
      <c r="E95" s="294" t="n"/>
      <c r="F95" s="122">
        <f>F92</f>
        <v/>
      </c>
      <c r="G95" s="130" t="inlineStr">
        <is>
          <t>r01</t>
        </is>
      </c>
      <c r="H95" s="295">
        <f>0.000001*INDIRECT($B95&amp;"!AC5")</f>
        <v/>
      </c>
      <c r="I95" s="9" t="n"/>
      <c r="J95" s="296">
        <f>H95/D95-1</f>
        <v/>
      </c>
      <c r="L95" s="94">
        <f>INDIRECT($B95&amp;"!"&amp;L$3&amp;"5")</f>
        <v/>
      </c>
      <c r="M95" s="95">
        <f>INDIRECT($B95&amp;"!"&amp;M$3&amp;"5")</f>
        <v/>
      </c>
      <c r="N95" s="96">
        <f>M95-L95</f>
        <v/>
      </c>
      <c r="O95" s="294" t="n"/>
      <c r="P95" s="296">
        <f>bdRateExtend(D95:D99,L95:L99,H95:H99,M95:M99)</f>
        <v/>
      </c>
      <c r="Q95" s="294" t="n"/>
      <c r="R95" s="9" t="n"/>
      <c r="S95" s="9" t="n"/>
      <c r="T95" s="9" t="n"/>
      <c r="U95" s="9" t="n"/>
      <c r="V95" s="297" t="n"/>
      <c r="X95" s="6" t="n"/>
      <c r="Y95" s="6" t="n"/>
      <c r="Z95" s="81" t="n"/>
      <c r="AB95" s="298" t="n"/>
    </row>
    <row r="96">
      <c r="B96" s="122">
        <f>B95</f>
        <v/>
      </c>
      <c r="C96" s="130" t="inlineStr">
        <is>
          <t>r02</t>
        </is>
      </c>
      <c r="D96" s="295">
        <f>0.000001*INDIRECT($B96&amp;"!E6")</f>
        <v/>
      </c>
      <c r="E96" s="294" t="n"/>
      <c r="F96" s="122">
        <f>F95</f>
        <v/>
      </c>
      <c r="G96" s="130" t="inlineStr">
        <is>
          <t>r02</t>
        </is>
      </c>
      <c r="H96" s="295">
        <f>0.000001*INDIRECT($B96&amp;"!AC6")</f>
        <v/>
      </c>
      <c r="I96" s="9" t="n"/>
      <c r="J96" s="296">
        <f>H96/D96-1</f>
        <v/>
      </c>
      <c r="L96" s="94">
        <f>INDIRECT($B96&amp;"!"&amp;L$3&amp;"6")</f>
        <v/>
      </c>
      <c r="M96" s="95">
        <f>INDIRECT($B96&amp;"!"&amp;M$3&amp;"6")</f>
        <v/>
      </c>
      <c r="N96" s="96">
        <f>M96-L96</f>
        <v/>
      </c>
      <c r="O96" s="294" t="n"/>
      <c r="P96" s="3" t="n"/>
      <c r="Q96" s="294" t="n"/>
      <c r="R96" s="9" t="n"/>
      <c r="S96" s="9" t="n"/>
      <c r="T96" s="9" t="n"/>
      <c r="U96" s="9" t="n"/>
      <c r="V96" s="297" t="n"/>
      <c r="X96" s="6" t="n"/>
      <c r="Y96" s="6" t="n"/>
      <c r="Z96" s="81" t="n"/>
    </row>
    <row r="97">
      <c r="B97" s="122">
        <f>B96</f>
        <v/>
      </c>
      <c r="C97" s="130" t="inlineStr">
        <is>
          <t>r03</t>
        </is>
      </c>
      <c r="D97" s="295">
        <f>0.000001*INDIRECT($B97&amp;"!E7")</f>
        <v/>
      </c>
      <c r="E97" s="294" t="n"/>
      <c r="F97" s="122">
        <f>F96</f>
        <v/>
      </c>
      <c r="G97" s="130" t="inlineStr">
        <is>
          <t>r03</t>
        </is>
      </c>
      <c r="H97" s="295">
        <f>0.000001*INDIRECT($B97&amp;"!AC7")</f>
        <v/>
      </c>
      <c r="I97" s="9" t="n"/>
      <c r="J97" s="296">
        <f>H97/D97-1</f>
        <v/>
      </c>
      <c r="L97" s="94">
        <f>INDIRECT($B97&amp;"!"&amp;L$3&amp;"7")</f>
        <v/>
      </c>
      <c r="M97" s="95">
        <f>INDIRECT($B97&amp;"!"&amp;M$3&amp;"7")</f>
        <v/>
      </c>
      <c r="N97" s="96">
        <f>M97-L97</f>
        <v/>
      </c>
      <c r="O97" s="294" t="n"/>
      <c r="P97" s="3" t="n"/>
      <c r="Q97" s="294" t="n"/>
      <c r="R97" s="9" t="n"/>
      <c r="S97" s="9" t="n"/>
      <c r="T97" s="9" t="n"/>
      <c r="U97" s="9" t="n"/>
      <c r="V97" s="297" t="n"/>
      <c r="X97" s="6" t="n"/>
      <c r="Y97" s="6" t="n"/>
      <c r="Z97" s="81" t="n"/>
    </row>
    <row r="98">
      <c r="B98" s="122">
        <f>B97</f>
        <v/>
      </c>
      <c r="C98" s="130" t="inlineStr">
        <is>
          <t>r04</t>
        </is>
      </c>
      <c r="D98" s="295">
        <f>0.000001*INDIRECT($B98&amp;"!E8")</f>
        <v/>
      </c>
      <c r="E98" s="294" t="n"/>
      <c r="F98" s="122">
        <f>F97</f>
        <v/>
      </c>
      <c r="G98" s="130" t="inlineStr">
        <is>
          <t>r04</t>
        </is>
      </c>
      <c r="H98" s="295">
        <f>0.000001*INDIRECT($B98&amp;"!AC8")</f>
        <v/>
      </c>
      <c r="I98" s="9" t="n"/>
      <c r="J98" s="296">
        <f>H98/D98-1</f>
        <v/>
      </c>
      <c r="L98" s="94">
        <f>INDIRECT($B98&amp;"!"&amp;L$3&amp;"8")</f>
        <v/>
      </c>
      <c r="M98" s="95">
        <f>INDIRECT($B98&amp;"!"&amp;M$3&amp;"8")</f>
        <v/>
      </c>
      <c r="N98" s="96">
        <f>M98-L98</f>
        <v/>
      </c>
      <c r="O98" s="294" t="n"/>
      <c r="P98" s="303" t="n"/>
      <c r="Q98" s="294" t="n"/>
      <c r="R98" s="9" t="n"/>
      <c r="S98" s="9" t="n"/>
      <c r="T98" s="9" t="n"/>
      <c r="U98" s="9" t="n"/>
      <c r="V98" s="297" t="n"/>
      <c r="X98" s="6" t="n"/>
      <c r="Y98" s="6" t="n"/>
      <c r="Z98" s="81" t="n"/>
    </row>
    <row r="99" ht="16.5" customHeight="1" s="256" thickBot="1">
      <c r="B99" s="122">
        <f>B98</f>
        <v/>
      </c>
      <c r="C99" s="130" t="inlineStr">
        <is>
          <t>r05</t>
        </is>
      </c>
      <c r="D99" s="295">
        <f>0.000001*INDIRECT($B99&amp;"!E9")</f>
        <v/>
      </c>
      <c r="E99" s="294" t="n"/>
      <c r="F99" s="122">
        <f>F98</f>
        <v/>
      </c>
      <c r="G99" s="130" t="inlineStr">
        <is>
          <t>r05</t>
        </is>
      </c>
      <c r="H99" s="295">
        <f>0.000001*INDIRECT($B99&amp;"!AC9")</f>
        <v/>
      </c>
      <c r="I99" s="9" t="n"/>
      <c r="J99" s="296">
        <f>H99/D99-1</f>
        <v/>
      </c>
      <c r="L99" s="94">
        <f>INDIRECT($B99&amp;"!"&amp;L$3&amp;"9")</f>
        <v/>
      </c>
      <c r="M99" s="95">
        <f>INDIRECT($B99&amp;"!"&amp;M$3&amp;"9")</f>
        <v/>
      </c>
      <c r="N99" s="96">
        <f>M99-L99</f>
        <v/>
      </c>
      <c r="O99" s="294" t="n"/>
      <c r="P99" s="299" t="n"/>
      <c r="Q99" s="294" t="n"/>
      <c r="R99" s="9" t="n"/>
      <c r="S99" s="9" t="n"/>
      <c r="T99" s="9" t="n"/>
      <c r="U99" s="9" t="n"/>
      <c r="V99" s="297" t="n"/>
      <c r="X99" s="6" t="n"/>
      <c r="Y99" s="6" t="n"/>
      <c r="Z99" s="81" t="n"/>
      <c r="AB99" s="298" t="n"/>
    </row>
    <row r="100" ht="16.5" customHeight="1" s="256">
      <c r="B100" s="109" t="n"/>
      <c r="C100" s="110" t="n"/>
      <c r="D100" s="300" t="n"/>
      <c r="F100" s="109" t="n"/>
      <c r="G100" s="110" t="n"/>
      <c r="H100" s="300" t="n"/>
      <c r="J100" s="98">
        <f>MIN(D95:D99,H95:H99)</f>
        <v/>
      </c>
      <c r="L100" s="99" t="n"/>
      <c r="M100" s="100" t="n"/>
      <c r="N100" s="101" t="n"/>
      <c r="O100" s="294" t="n"/>
      <c r="P100" s="264" t="n"/>
      <c r="Q100" s="294" t="n"/>
      <c r="R100" s="9" t="n"/>
      <c r="S100" s="9" t="n"/>
      <c r="T100" s="9" t="n"/>
      <c r="U100" s="9" t="n"/>
      <c r="V100" s="83" t="n"/>
      <c r="X100" s="6" t="n"/>
      <c r="Y100" s="6" t="n"/>
      <c r="Z100" s="81" t="n"/>
    </row>
    <row r="101" ht="16.5" customHeight="1" s="256" thickBot="1">
      <c r="B101" s="89" t="n"/>
      <c r="C101" s="92" t="n"/>
      <c r="D101" s="301" t="n"/>
      <c r="E101" s="294" t="n"/>
      <c r="F101" s="89" t="n"/>
      <c r="G101" s="92" t="n"/>
      <c r="H101" s="301" t="n"/>
      <c r="I101" s="9" t="n"/>
      <c r="J101" s="102">
        <f>MAX(D95:D99,H95:H99)</f>
        <v/>
      </c>
      <c r="L101" s="103">
        <f>L100</f>
        <v/>
      </c>
      <c r="M101" s="104">
        <f>M100</f>
        <v/>
      </c>
      <c r="N101" s="97" t="n"/>
      <c r="O101" s="294" t="n"/>
      <c r="P101" s="5" t="n"/>
      <c r="Q101" s="294" t="n"/>
      <c r="R101" s="9" t="n"/>
      <c r="S101" s="9" t="n"/>
      <c r="T101" s="9" t="n"/>
      <c r="U101" s="9" t="n"/>
      <c r="V101" s="83" t="n"/>
      <c r="X101" s="84" t="n"/>
      <c r="Y101" s="84" t="n"/>
      <c r="Z101" s="81" t="n"/>
    </row>
    <row r="102" ht="16.5" customHeight="1" s="256" thickBot="1"/>
    <row r="103">
      <c r="B103" s="261" t="inlineStr">
        <is>
          <t>Tango_Duo</t>
        </is>
      </c>
      <c r="C103" s="262" t="n"/>
      <c r="D103" s="263" t="n"/>
      <c r="E103" s="2" t="n"/>
      <c r="F103" s="261">
        <f>B103</f>
        <v/>
      </c>
      <c r="G103" s="262" t="n"/>
      <c r="H103" s="263" t="n"/>
      <c r="I103" s="2" t="n"/>
      <c r="J103" s="264" t="n"/>
      <c r="L103" s="264">
        <f>F103</f>
        <v/>
      </c>
      <c r="M103" s="262" t="n"/>
      <c r="N103" s="263" t="n"/>
      <c r="O103" s="195" t="n"/>
      <c r="P103" s="264" t="n"/>
      <c r="U103" s="265" t="n"/>
      <c r="V103" s="265" t="n"/>
      <c r="X103" s="265" t="n"/>
    </row>
    <row r="104">
      <c r="B104" s="259" t="inlineStr">
        <is>
          <t>Test</t>
        </is>
      </c>
      <c r="D104" s="87" t="inlineStr">
        <is>
          <t>Bitstream (MB)</t>
        </is>
      </c>
      <c r="E104" s="294" t="n"/>
      <c r="F104" s="259" t="inlineStr">
        <is>
          <t>Test</t>
        </is>
      </c>
      <c r="H104" s="87" t="inlineStr">
        <is>
          <t>Bitstream (MB)</t>
        </is>
      </c>
      <c r="I104" s="9" t="n"/>
      <c r="J104" s="257" t="inlineStr">
        <is>
          <t>%</t>
        </is>
      </c>
      <c r="L104" s="257" t="inlineStr">
        <is>
          <t>YUV-PSNR</t>
        </is>
      </c>
      <c r="N104" s="258" t="n"/>
      <c r="O104" s="85" t="n"/>
      <c r="P104" s="3" t="n"/>
      <c r="R104" s="255" t="n"/>
      <c r="U104" s="255" t="n"/>
      <c r="V104" s="255" t="n"/>
      <c r="X104" s="255" t="n"/>
    </row>
    <row r="105">
      <c r="B105" s="191" t="inlineStr">
        <is>
          <t>Anchor</t>
        </is>
      </c>
      <c r="C105" s="130" t="inlineStr">
        <is>
          <t>Test point</t>
        </is>
      </c>
      <c r="D105" s="86" t="inlineStr">
        <is>
          <t>Total</t>
        </is>
      </c>
      <c r="E105" s="294" t="n"/>
      <c r="F105" s="191" t="inlineStr">
        <is>
          <t>Anchor</t>
        </is>
      </c>
      <c r="G105" s="130" t="inlineStr">
        <is>
          <t>Test point</t>
        </is>
      </c>
      <c r="H105" s="86" t="inlineStr">
        <is>
          <t>Total</t>
        </is>
      </c>
      <c r="I105" s="9" t="n"/>
      <c r="J105" s="93" t="n"/>
      <c r="L105" s="192">
        <f>CONCATENATE(B$2," ",L103)</f>
        <v/>
      </c>
      <c r="M105" s="193">
        <f>CONCATENATE(F$2," ",L103)</f>
        <v/>
      </c>
      <c r="N105" s="194" t="inlineStr">
        <is>
          <t>Delta</t>
        </is>
      </c>
      <c r="O105" s="2" t="n"/>
      <c r="P105" s="3" t="inlineStr">
        <is>
          <t>BD-rate</t>
        </is>
      </c>
      <c r="Q105" s="2" t="n"/>
      <c r="R105" s="2" t="n"/>
      <c r="S105" s="2" t="n"/>
      <c r="T105" s="2" t="n"/>
      <c r="U105" s="2" t="n"/>
      <c r="V105" s="2" t="n"/>
      <c r="X105" s="195" t="n"/>
      <c r="Y105" s="195" t="n"/>
      <c r="Z105" s="195" t="n"/>
    </row>
    <row r="106">
      <c r="B106" s="122">
        <f>B103</f>
        <v/>
      </c>
      <c r="C106" s="130" t="inlineStr">
        <is>
          <t>r01</t>
        </is>
      </c>
      <c r="D106" s="295">
        <f>0.000001*INDIRECT($B106&amp;"!E5")</f>
        <v/>
      </c>
      <c r="E106" s="294" t="n"/>
      <c r="F106" s="122">
        <f>F103</f>
        <v/>
      </c>
      <c r="G106" s="130" t="inlineStr">
        <is>
          <t>r01</t>
        </is>
      </c>
      <c r="H106" s="295">
        <f>0.000001*INDIRECT($B106&amp;"!AC5")</f>
        <v/>
      </c>
      <c r="I106" s="9" t="n"/>
      <c r="J106" s="296">
        <f>H106/D106-1</f>
        <v/>
      </c>
      <c r="L106" s="94">
        <f>INDIRECT($B106&amp;"!"&amp;L$3&amp;"5")</f>
        <v/>
      </c>
      <c r="M106" s="95">
        <f>INDIRECT($B106&amp;"!"&amp;M$3&amp;"5")</f>
        <v/>
      </c>
      <c r="N106" s="96">
        <f>M106-L106</f>
        <v/>
      </c>
      <c r="O106" s="294" t="n"/>
      <c r="P106" s="296">
        <f>bdRateExtend(D106:D110,L106:L110,H106:H110,M106:M110)</f>
        <v/>
      </c>
      <c r="Q106" s="294" t="n"/>
      <c r="R106" s="9" t="n"/>
      <c r="S106" s="9" t="n"/>
      <c r="T106" s="9" t="n"/>
      <c r="U106" s="9" t="n"/>
      <c r="V106" s="297" t="n"/>
      <c r="X106" s="6" t="n"/>
      <c r="Y106" s="6" t="n"/>
      <c r="Z106" s="81" t="n"/>
      <c r="AB106" s="298" t="n"/>
    </row>
    <row r="107">
      <c r="B107" s="122">
        <f>B106</f>
        <v/>
      </c>
      <c r="C107" s="130" t="inlineStr">
        <is>
          <t>r02</t>
        </is>
      </c>
      <c r="D107" s="295">
        <f>0.000001*INDIRECT($B107&amp;"!E6")</f>
        <v/>
      </c>
      <c r="E107" s="294" t="n"/>
      <c r="F107" s="122">
        <f>F106</f>
        <v/>
      </c>
      <c r="G107" s="130" t="inlineStr">
        <is>
          <t>r02</t>
        </is>
      </c>
      <c r="H107" s="295">
        <f>0.000001*INDIRECT($B107&amp;"!AC6")</f>
        <v/>
      </c>
      <c r="I107" s="9" t="n"/>
      <c r="J107" s="296">
        <f>H107/D107-1</f>
        <v/>
      </c>
      <c r="L107" s="94">
        <f>INDIRECT($B107&amp;"!"&amp;L$3&amp;"6")</f>
        <v/>
      </c>
      <c r="M107" s="95">
        <f>INDIRECT($B107&amp;"!"&amp;M$3&amp;"6")</f>
        <v/>
      </c>
      <c r="N107" s="96">
        <f>M107-L107</f>
        <v/>
      </c>
      <c r="O107" s="294" t="n"/>
      <c r="P107" s="3" t="n"/>
      <c r="Q107" s="294" t="n"/>
      <c r="R107" s="9" t="n"/>
      <c r="S107" s="9" t="n"/>
      <c r="T107" s="9" t="n"/>
      <c r="U107" s="9" t="n"/>
      <c r="V107" s="297" t="n"/>
      <c r="X107" s="6" t="n"/>
      <c r="Y107" s="6" t="n"/>
      <c r="Z107" s="81" t="n"/>
    </row>
    <row r="108">
      <c r="B108" s="122">
        <f>B107</f>
        <v/>
      </c>
      <c r="C108" s="130" t="inlineStr">
        <is>
          <t>r03</t>
        </is>
      </c>
      <c r="D108" s="295">
        <f>0.000001*INDIRECT($B108&amp;"!E7")</f>
        <v/>
      </c>
      <c r="E108" s="294" t="n"/>
      <c r="F108" s="122">
        <f>F107</f>
        <v/>
      </c>
      <c r="G108" s="130" t="inlineStr">
        <is>
          <t>r03</t>
        </is>
      </c>
      <c r="H108" s="295">
        <f>0.000001*INDIRECT($B108&amp;"!AC7")</f>
        <v/>
      </c>
      <c r="I108" s="9" t="n"/>
      <c r="J108" s="296">
        <f>H108/D108-1</f>
        <v/>
      </c>
      <c r="L108" s="94">
        <f>INDIRECT($B108&amp;"!"&amp;L$3&amp;"7")</f>
        <v/>
      </c>
      <c r="M108" s="95">
        <f>INDIRECT($B108&amp;"!"&amp;M$3&amp;"7")</f>
        <v/>
      </c>
      <c r="N108" s="96">
        <f>M108-L108</f>
        <v/>
      </c>
      <c r="O108" s="294" t="n"/>
      <c r="P108" s="3" t="n"/>
      <c r="Q108" s="294" t="n"/>
      <c r="R108" s="9" t="n"/>
      <c r="S108" s="9" t="n"/>
      <c r="T108" s="9" t="n"/>
      <c r="U108" s="9" t="n"/>
      <c r="V108" s="297" t="n"/>
      <c r="X108" s="6" t="n"/>
      <c r="Y108" s="6" t="n"/>
      <c r="Z108" s="81" t="n"/>
    </row>
    <row r="109">
      <c r="B109" s="122">
        <f>B108</f>
        <v/>
      </c>
      <c r="C109" s="130" t="inlineStr">
        <is>
          <t>r04</t>
        </is>
      </c>
      <c r="D109" s="295">
        <f>0.000001*INDIRECT($B109&amp;"!E8")</f>
        <v/>
      </c>
      <c r="E109" s="294" t="n"/>
      <c r="F109" s="122">
        <f>F108</f>
        <v/>
      </c>
      <c r="G109" s="130" t="inlineStr">
        <is>
          <t>r04</t>
        </is>
      </c>
      <c r="H109" s="295">
        <f>0.000001*INDIRECT($B109&amp;"!AC8")</f>
        <v/>
      </c>
      <c r="I109" s="9" t="n"/>
      <c r="J109" s="296">
        <f>H109/D109-1</f>
        <v/>
      </c>
      <c r="L109" s="94">
        <f>INDIRECT($B109&amp;"!"&amp;L$3&amp;"8")</f>
        <v/>
      </c>
      <c r="M109" s="95">
        <f>INDIRECT($B109&amp;"!"&amp;M$3&amp;"8")</f>
        <v/>
      </c>
      <c r="N109" s="96">
        <f>M109-L109</f>
        <v/>
      </c>
      <c r="O109" s="294" t="n"/>
      <c r="P109" s="303" t="n"/>
      <c r="Q109" s="294" t="n"/>
      <c r="R109" s="9" t="n"/>
      <c r="S109" s="9" t="n"/>
      <c r="T109" s="9" t="n"/>
      <c r="U109" s="9" t="n"/>
      <c r="V109" s="297" t="n"/>
      <c r="X109" s="6" t="n"/>
      <c r="Y109" s="6" t="n"/>
      <c r="Z109" s="81" t="n"/>
    </row>
    <row r="110" ht="16.5" customHeight="1" s="256" thickBot="1">
      <c r="B110" s="122">
        <f>B109</f>
        <v/>
      </c>
      <c r="C110" s="130" t="inlineStr">
        <is>
          <t>r05</t>
        </is>
      </c>
      <c r="D110" s="295">
        <f>0.000001*INDIRECT($B110&amp;"!E9")</f>
        <v/>
      </c>
      <c r="E110" s="294" t="n"/>
      <c r="F110" s="122">
        <f>F109</f>
        <v/>
      </c>
      <c r="G110" s="130" t="inlineStr">
        <is>
          <t>r05</t>
        </is>
      </c>
      <c r="H110" s="295">
        <f>0.000001*INDIRECT($B110&amp;"!AC9")</f>
        <v/>
      </c>
      <c r="I110" s="9" t="n"/>
      <c r="J110" s="296">
        <f>H110/D110-1</f>
        <v/>
      </c>
      <c r="L110" s="94">
        <f>INDIRECT($B110&amp;"!"&amp;L$3&amp;"9")</f>
        <v/>
      </c>
      <c r="M110" s="95">
        <f>INDIRECT($B110&amp;"!"&amp;M$3&amp;"9")</f>
        <v/>
      </c>
      <c r="N110" s="96">
        <f>M110-L110</f>
        <v/>
      </c>
      <c r="O110" s="294" t="n"/>
      <c r="P110" s="299" t="n"/>
      <c r="Q110" s="294" t="n"/>
      <c r="R110" s="9" t="n"/>
      <c r="S110" s="9" t="n"/>
      <c r="T110" s="9" t="n"/>
      <c r="U110" s="9" t="n"/>
      <c r="V110" s="297" t="n"/>
      <c r="X110" s="6" t="n"/>
      <c r="Y110" s="6" t="n"/>
      <c r="Z110" s="81" t="n"/>
      <c r="AB110" s="298" t="n"/>
    </row>
    <row r="111" ht="16.5" customHeight="1" s="256">
      <c r="B111" s="109" t="n"/>
      <c r="C111" s="110" t="n"/>
      <c r="D111" s="300" t="n"/>
      <c r="F111" s="109" t="n"/>
      <c r="G111" s="110" t="n"/>
      <c r="H111" s="300" t="n"/>
      <c r="J111" s="98">
        <f>MIN(D106:D110,H106:H110)</f>
        <v/>
      </c>
      <c r="L111" s="99" t="n"/>
      <c r="M111" s="100" t="n"/>
      <c r="N111" s="101" t="n"/>
      <c r="O111" s="294" t="n"/>
      <c r="P111" s="264" t="n"/>
      <c r="Q111" s="294" t="n"/>
      <c r="R111" s="9" t="n"/>
      <c r="S111" s="9" t="n"/>
      <c r="T111" s="9" t="n"/>
      <c r="U111" s="9" t="n"/>
      <c r="V111" s="83" t="n"/>
      <c r="X111" s="6" t="n"/>
      <c r="Y111" s="6" t="n"/>
      <c r="Z111" s="81" t="n"/>
    </row>
    <row r="112" ht="16.5" customHeight="1" s="256" thickBot="1">
      <c r="B112" s="89" t="n"/>
      <c r="C112" s="92" t="n"/>
      <c r="D112" s="301" t="n"/>
      <c r="E112" s="294" t="n"/>
      <c r="F112" s="89" t="n"/>
      <c r="G112" s="92" t="n"/>
      <c r="H112" s="301" t="n"/>
      <c r="I112" s="9" t="n"/>
      <c r="J112" s="102">
        <f>MAX(D106:D110,H106:H110)</f>
        <v/>
      </c>
      <c r="L112" s="103">
        <f>L111</f>
        <v/>
      </c>
      <c r="M112" s="104">
        <f>M111</f>
        <v/>
      </c>
      <c r="N112" s="97" t="n"/>
      <c r="O112" s="294" t="n"/>
      <c r="P112" s="5" t="n"/>
      <c r="Q112" s="294" t="n"/>
      <c r="R112" s="9" t="n"/>
      <c r="S112" s="9" t="n"/>
      <c r="T112" s="9" t="n"/>
      <c r="U112" s="9" t="n"/>
      <c r="V112" s="83" t="n"/>
      <c r="X112" s="84" t="n"/>
      <c r="Y112" s="84" t="n"/>
      <c r="Z112" s="81" t="n"/>
    </row>
    <row r="113" ht="18" customHeight="1" s="256" thickBot="1"/>
    <row r="114">
      <c r="B114" s="261" t="inlineStr">
        <is>
          <t>Solo_Tango_Female</t>
        </is>
      </c>
      <c r="C114" s="262" t="n"/>
      <c r="D114" s="263" t="n"/>
      <c r="E114" s="2" t="n"/>
      <c r="F114" s="261">
        <f>B114</f>
        <v/>
      </c>
      <c r="G114" s="262" t="n"/>
      <c r="H114" s="263" t="n"/>
      <c r="J114" s="264" t="n"/>
      <c r="L114" s="264">
        <f>F114</f>
        <v/>
      </c>
      <c r="M114" s="262" t="n"/>
      <c r="N114" s="263" t="n"/>
      <c r="O114" s="195" t="n"/>
      <c r="P114" s="264" t="n"/>
    </row>
    <row r="115">
      <c r="B115" s="259" t="inlineStr">
        <is>
          <t>Test</t>
        </is>
      </c>
      <c r="D115" s="87" t="inlineStr">
        <is>
          <t>Bitstream (MB)</t>
        </is>
      </c>
      <c r="E115" s="294" t="n"/>
      <c r="F115" s="259" t="inlineStr">
        <is>
          <t>Test</t>
        </is>
      </c>
      <c r="H115" s="87" t="inlineStr">
        <is>
          <t>Bitstream (MB)</t>
        </is>
      </c>
      <c r="J115" s="257" t="inlineStr">
        <is>
          <t>%</t>
        </is>
      </c>
      <c r="L115" s="257" t="inlineStr">
        <is>
          <t>YUV-PSNR</t>
        </is>
      </c>
      <c r="N115" s="258" t="n"/>
      <c r="O115" s="85" t="n"/>
      <c r="P115" s="3" t="n"/>
    </row>
    <row r="116">
      <c r="B116" s="191" t="inlineStr">
        <is>
          <t>Anchor</t>
        </is>
      </c>
      <c r="C116" s="130" t="inlineStr">
        <is>
          <t>Test point</t>
        </is>
      </c>
      <c r="D116" s="86" t="inlineStr">
        <is>
          <t>Total</t>
        </is>
      </c>
      <c r="E116" s="294" t="n"/>
      <c r="F116" s="191" t="inlineStr">
        <is>
          <t>Anchor</t>
        </is>
      </c>
      <c r="G116" s="130" t="inlineStr">
        <is>
          <t>Test point</t>
        </is>
      </c>
      <c r="H116" s="86" t="inlineStr">
        <is>
          <t>Total</t>
        </is>
      </c>
      <c r="J116" s="93" t="n"/>
      <c r="L116" s="192">
        <f>CONCATENATE(B$2," ",L114)</f>
        <v/>
      </c>
      <c r="M116" s="193">
        <f>CONCATENATE(F$2," ",L114)</f>
        <v/>
      </c>
      <c r="N116" s="194" t="inlineStr">
        <is>
          <t>Delta</t>
        </is>
      </c>
      <c r="O116" s="2" t="n"/>
      <c r="P116" s="3" t="inlineStr">
        <is>
          <t>BD-rate</t>
        </is>
      </c>
      <c r="AB116" s="298" t="n"/>
    </row>
    <row r="117">
      <c r="B117" s="122">
        <f>B114</f>
        <v/>
      </c>
      <c r="C117" s="130" t="inlineStr">
        <is>
          <t>r01</t>
        </is>
      </c>
      <c r="D117" s="295">
        <f>0.000001*INDIRECT($B117&amp;"!E5")</f>
        <v/>
      </c>
      <c r="E117" s="294" t="n"/>
      <c r="F117" s="122">
        <f>F114</f>
        <v/>
      </c>
      <c r="G117" s="130" t="inlineStr">
        <is>
          <t>r01</t>
        </is>
      </c>
      <c r="H117" s="295">
        <f>0.000001*INDIRECT($B117&amp;"!AC5")</f>
        <v/>
      </c>
      <c r="J117" s="296">
        <f>H117/D117-1</f>
        <v/>
      </c>
      <c r="L117" s="94">
        <f>INDIRECT($B117&amp;"!"&amp;L$3&amp;"5")</f>
        <v/>
      </c>
      <c r="M117" s="95">
        <f>INDIRECT($B117&amp;"!"&amp;M$3&amp;"5")</f>
        <v/>
      </c>
      <c r="N117" s="96">
        <f>M117-L117</f>
        <v/>
      </c>
      <c r="O117" s="294" t="n"/>
      <c r="P117" s="296">
        <f>bdRateExtend(D117:D121,L117:L121,H117:H121,M117:M121)</f>
        <v/>
      </c>
    </row>
    <row r="118">
      <c r="B118" s="122">
        <f>B117</f>
        <v/>
      </c>
      <c r="C118" s="130" t="inlineStr">
        <is>
          <t>r02</t>
        </is>
      </c>
      <c r="D118" s="295">
        <f>0.000001*INDIRECT($B118&amp;"!E6")</f>
        <v/>
      </c>
      <c r="E118" s="294" t="n"/>
      <c r="F118" s="122">
        <f>F117</f>
        <v/>
      </c>
      <c r="G118" s="130" t="inlineStr">
        <is>
          <t>r02</t>
        </is>
      </c>
      <c r="H118" s="295">
        <f>0.000001*INDIRECT($B118&amp;"!AC6")</f>
        <v/>
      </c>
      <c r="J118" s="296">
        <f>H118/D118-1</f>
        <v/>
      </c>
      <c r="L118" s="94">
        <f>INDIRECT($B118&amp;"!"&amp;L$3&amp;"6")</f>
        <v/>
      </c>
      <c r="M118" s="95">
        <f>INDIRECT($B118&amp;"!"&amp;M$3&amp;"6")</f>
        <v/>
      </c>
      <c r="N118" s="96">
        <f>M118-L118</f>
        <v/>
      </c>
      <c r="O118" s="294" t="n"/>
      <c r="P118" s="3" t="n"/>
    </row>
    <row r="119" ht="16.5" customHeight="1" s="256">
      <c r="B119" s="122">
        <f>B118</f>
        <v/>
      </c>
      <c r="C119" s="130" t="inlineStr">
        <is>
          <t>r03</t>
        </is>
      </c>
      <c r="D119" s="295">
        <f>0.000001*INDIRECT($B119&amp;"!E7")</f>
        <v/>
      </c>
      <c r="E119" s="294" t="n"/>
      <c r="F119" s="122">
        <f>F118</f>
        <v/>
      </c>
      <c r="G119" s="130" t="inlineStr">
        <is>
          <t>r03</t>
        </is>
      </c>
      <c r="H119" s="295">
        <f>0.000001*INDIRECT($B119&amp;"!AC7")</f>
        <v/>
      </c>
      <c r="J119" s="296">
        <f>H119/D119-1</f>
        <v/>
      </c>
      <c r="L119" s="94">
        <f>INDIRECT($B119&amp;"!"&amp;L$3&amp;"7")</f>
        <v/>
      </c>
      <c r="M119" s="95">
        <f>INDIRECT($B119&amp;"!"&amp;M$3&amp;"7")</f>
        <v/>
      </c>
      <c r="N119" s="96">
        <f>M119-L119</f>
        <v/>
      </c>
      <c r="O119" s="294" t="n"/>
      <c r="P119" s="3" t="n"/>
      <c r="AB119" s="298" t="n"/>
    </row>
    <row r="120">
      <c r="B120" s="122">
        <f>B119</f>
        <v/>
      </c>
      <c r="C120" s="130" t="inlineStr">
        <is>
          <t>r04</t>
        </is>
      </c>
      <c r="D120" s="295">
        <f>0.000001*INDIRECT($B120&amp;"!E8")</f>
        <v/>
      </c>
      <c r="E120" s="294" t="n"/>
      <c r="F120" s="122">
        <f>F119</f>
        <v/>
      </c>
      <c r="G120" s="130" t="inlineStr">
        <is>
          <t>r04</t>
        </is>
      </c>
      <c r="H120" s="295">
        <f>0.000001*INDIRECT($B120&amp;"!AC8")</f>
        <v/>
      </c>
      <c r="J120" s="296">
        <f>H120/D120-1</f>
        <v/>
      </c>
      <c r="L120" s="94">
        <f>INDIRECT($B120&amp;"!"&amp;L$3&amp;"8")</f>
        <v/>
      </c>
      <c r="M120" s="95">
        <f>INDIRECT($B120&amp;"!"&amp;M$3&amp;"8")</f>
        <v/>
      </c>
      <c r="N120" s="96">
        <f>M120-L120</f>
        <v/>
      </c>
      <c r="O120" s="294" t="n"/>
      <c r="P120" s="303" t="n"/>
    </row>
    <row r="121" ht="16.5" customHeight="1" s="256" thickBot="1">
      <c r="B121" s="122">
        <f>B120</f>
        <v/>
      </c>
      <c r="C121" s="130" t="inlineStr">
        <is>
          <t>r05</t>
        </is>
      </c>
      <c r="D121" s="295">
        <f>0.000001*INDIRECT($B121&amp;"!E9")</f>
        <v/>
      </c>
      <c r="E121" s="294" t="n"/>
      <c r="F121" s="122">
        <f>F120</f>
        <v/>
      </c>
      <c r="G121" s="130" t="inlineStr">
        <is>
          <t>r05</t>
        </is>
      </c>
      <c r="H121" s="295">
        <f>0.000001*INDIRECT($B121&amp;"!AC9")</f>
        <v/>
      </c>
      <c r="J121" s="296">
        <f>H121/D121-1</f>
        <v/>
      </c>
      <c r="L121" s="94">
        <f>INDIRECT($B121&amp;"!"&amp;L$3&amp;"9")</f>
        <v/>
      </c>
      <c r="M121" s="95">
        <f>INDIRECT($B121&amp;"!"&amp;M$3&amp;"9")</f>
        <v/>
      </c>
      <c r="N121" s="96">
        <f>M121-L121</f>
        <v/>
      </c>
      <c r="O121" s="294" t="n"/>
      <c r="P121" s="299" t="n"/>
    </row>
    <row r="122" ht="16.5" customHeight="1" s="256">
      <c r="B122" s="109" t="n"/>
      <c r="C122" s="110" t="n"/>
      <c r="D122" s="300" t="n"/>
      <c r="F122" s="109" t="n"/>
      <c r="G122" s="110" t="n"/>
      <c r="H122" s="300" t="n"/>
      <c r="J122" s="98">
        <f>MIN(D117:D121,H117:H121)</f>
        <v/>
      </c>
      <c r="L122" s="99" t="n"/>
      <c r="M122" s="100" t="n"/>
      <c r="N122" s="101" t="n"/>
      <c r="O122" s="294" t="n"/>
      <c r="P122" s="264" t="n"/>
    </row>
    <row r="123" ht="18" customHeight="1" s="256" thickBot="1">
      <c r="B123" s="89" t="n"/>
      <c r="C123" s="92" t="n"/>
      <c r="D123" s="301" t="n"/>
      <c r="E123" s="294" t="n"/>
      <c r="F123" s="89" t="n"/>
      <c r="G123" s="92" t="n"/>
      <c r="H123" s="301" t="n"/>
      <c r="J123" s="102">
        <f>MAX(D117:D121,H117:H121)</f>
        <v/>
      </c>
      <c r="L123" s="103">
        <f>L122</f>
        <v/>
      </c>
      <c r="M123" s="104">
        <f>M122</f>
        <v/>
      </c>
      <c r="N123" s="97" t="n"/>
      <c r="O123" s="294" t="n"/>
      <c r="P123" s="5" t="n"/>
    </row>
    <row r="124" ht="18" customHeight="1" s="256" thickBot="1"/>
    <row r="125">
      <c r="B125" s="261" t="inlineStr">
        <is>
          <t>Solo_Tango_Male</t>
        </is>
      </c>
      <c r="C125" s="262" t="n"/>
      <c r="D125" s="263" t="n"/>
      <c r="E125" s="2" t="n"/>
      <c r="F125" s="261">
        <f>B125</f>
        <v/>
      </c>
      <c r="G125" s="262" t="n"/>
      <c r="H125" s="263" t="n"/>
      <c r="J125" s="264" t="n"/>
      <c r="L125" s="264">
        <f>F125</f>
        <v/>
      </c>
      <c r="M125" s="262" t="n"/>
      <c r="N125" s="263" t="n"/>
      <c r="O125" s="195" t="n"/>
      <c r="P125" s="264" t="n"/>
    </row>
    <row r="126">
      <c r="B126" s="259" t="inlineStr">
        <is>
          <t>Test</t>
        </is>
      </c>
      <c r="D126" s="87" t="inlineStr">
        <is>
          <t>Bitstream (MB)</t>
        </is>
      </c>
      <c r="E126" s="294" t="n"/>
      <c r="F126" s="259" t="inlineStr">
        <is>
          <t>Test</t>
        </is>
      </c>
      <c r="H126" s="87" t="inlineStr">
        <is>
          <t>Bitstream (MB)</t>
        </is>
      </c>
      <c r="J126" s="257" t="inlineStr">
        <is>
          <t>%</t>
        </is>
      </c>
      <c r="L126" s="257" t="inlineStr">
        <is>
          <t>YUV-PSNR</t>
        </is>
      </c>
      <c r="N126" s="258" t="n"/>
      <c r="O126" s="85" t="n"/>
      <c r="P126" s="3" t="n"/>
      <c r="AB126" s="298" t="n"/>
    </row>
    <row r="127">
      <c r="B127" s="191" t="inlineStr">
        <is>
          <t>Anchor</t>
        </is>
      </c>
      <c r="C127" s="130" t="inlineStr">
        <is>
          <t>Test point</t>
        </is>
      </c>
      <c r="D127" s="86" t="inlineStr">
        <is>
          <t>Total</t>
        </is>
      </c>
      <c r="E127" s="294" t="n"/>
      <c r="F127" s="191" t="inlineStr">
        <is>
          <t>Anchor</t>
        </is>
      </c>
      <c r="G127" s="130" t="inlineStr">
        <is>
          <t>Test point</t>
        </is>
      </c>
      <c r="H127" s="86" t="inlineStr">
        <is>
          <t>Total</t>
        </is>
      </c>
      <c r="J127" s="93" t="n"/>
      <c r="L127" s="192">
        <f>CONCATENATE(B$2," ",L125)</f>
        <v/>
      </c>
      <c r="M127" s="193">
        <f>CONCATENATE(F$2," ",L125)</f>
        <v/>
      </c>
      <c r="N127" s="194" t="inlineStr">
        <is>
          <t>Delta</t>
        </is>
      </c>
      <c r="O127" s="2" t="n"/>
      <c r="P127" s="3" t="inlineStr">
        <is>
          <t>BD-rate</t>
        </is>
      </c>
    </row>
    <row r="128">
      <c r="B128" s="122">
        <f>B125</f>
        <v/>
      </c>
      <c r="C128" s="130" t="inlineStr">
        <is>
          <t>r01</t>
        </is>
      </c>
      <c r="D128" s="295">
        <f>0.000001*INDIRECT($B128&amp;"!E5")</f>
        <v/>
      </c>
      <c r="E128" s="294" t="n"/>
      <c r="F128" s="122">
        <f>F125</f>
        <v/>
      </c>
      <c r="G128" s="130" t="inlineStr">
        <is>
          <t>r01</t>
        </is>
      </c>
      <c r="H128" s="295">
        <f>0.000001*INDIRECT($B128&amp;"!AC5")</f>
        <v/>
      </c>
      <c r="J128" s="296">
        <f>H128/D128-1</f>
        <v/>
      </c>
      <c r="L128" s="94">
        <f>INDIRECT($B128&amp;"!"&amp;L$3&amp;"5")</f>
        <v/>
      </c>
      <c r="M128" s="95">
        <f>INDIRECT($B128&amp;"!"&amp;M$3&amp;"5")</f>
        <v/>
      </c>
      <c r="N128" s="96">
        <f>M128-L128</f>
        <v/>
      </c>
      <c r="O128" s="294" t="n"/>
      <c r="P128" s="296">
        <f>bdRateExtend(D128:D132,L128:L132,H128:H132,M128:M132)</f>
        <v/>
      </c>
    </row>
    <row r="129" ht="16.5" customHeight="1" s="256">
      <c r="B129" s="122">
        <f>B128</f>
        <v/>
      </c>
      <c r="C129" s="130" t="inlineStr">
        <is>
          <t>r02</t>
        </is>
      </c>
      <c r="D129" s="295">
        <f>0.000001*INDIRECT($B129&amp;"!E6")</f>
        <v/>
      </c>
      <c r="E129" s="294" t="n"/>
      <c r="F129" s="122">
        <f>F128</f>
        <v/>
      </c>
      <c r="G129" s="130" t="inlineStr">
        <is>
          <t>r02</t>
        </is>
      </c>
      <c r="H129" s="295">
        <f>0.000001*INDIRECT($B129&amp;"!AC6")</f>
        <v/>
      </c>
      <c r="J129" s="296">
        <f>H129/D129-1</f>
        <v/>
      </c>
      <c r="L129" s="94">
        <f>INDIRECT($B129&amp;"!"&amp;L$3&amp;"6")</f>
        <v/>
      </c>
      <c r="M129" s="95">
        <f>INDIRECT($B129&amp;"!"&amp;M$3&amp;"6")</f>
        <v/>
      </c>
      <c r="N129" s="96">
        <f>M129-L129</f>
        <v/>
      </c>
      <c r="O129" s="294" t="n"/>
      <c r="P129" s="3" t="n"/>
      <c r="AB129" s="298" t="n"/>
    </row>
    <row r="130">
      <c r="B130" s="122">
        <f>B129</f>
        <v/>
      </c>
      <c r="C130" s="130" t="inlineStr">
        <is>
          <t>r03</t>
        </is>
      </c>
      <c r="D130" s="295">
        <f>0.000001*INDIRECT($B130&amp;"!E7")</f>
        <v/>
      </c>
      <c r="E130" s="294" t="n"/>
      <c r="F130" s="122">
        <f>F129</f>
        <v/>
      </c>
      <c r="G130" s="130" t="inlineStr">
        <is>
          <t>r03</t>
        </is>
      </c>
      <c r="H130" s="295">
        <f>0.000001*INDIRECT($B130&amp;"!AC7")</f>
        <v/>
      </c>
      <c r="J130" s="296">
        <f>H130/D130-1</f>
        <v/>
      </c>
      <c r="L130" s="94">
        <f>INDIRECT($B130&amp;"!"&amp;L$3&amp;"7")</f>
        <v/>
      </c>
      <c r="M130" s="95">
        <f>INDIRECT($B130&amp;"!"&amp;M$3&amp;"7")</f>
        <v/>
      </c>
      <c r="N130" s="96">
        <f>M130-L130</f>
        <v/>
      </c>
      <c r="O130" s="294" t="n"/>
      <c r="P130" s="3" t="n"/>
    </row>
    <row r="131" ht="16.5" customHeight="1" s="256">
      <c r="B131" s="122">
        <f>B130</f>
        <v/>
      </c>
      <c r="C131" s="130" t="inlineStr">
        <is>
          <t>r04</t>
        </is>
      </c>
      <c r="D131" s="295">
        <f>0.000001*INDIRECT($B131&amp;"!E8")</f>
        <v/>
      </c>
      <c r="E131" s="294" t="n"/>
      <c r="F131" s="122">
        <f>F130</f>
        <v/>
      </c>
      <c r="G131" s="130" t="inlineStr">
        <is>
          <t>r04</t>
        </is>
      </c>
      <c r="H131" s="295">
        <f>0.000001*INDIRECT($B131&amp;"!AC8")</f>
        <v/>
      </c>
      <c r="J131" s="296">
        <f>H131/D131-1</f>
        <v/>
      </c>
      <c r="L131" s="94">
        <f>INDIRECT($B131&amp;"!"&amp;L$3&amp;"8")</f>
        <v/>
      </c>
      <c r="M131" s="95">
        <f>INDIRECT($B131&amp;"!"&amp;M$3&amp;"8")</f>
        <v/>
      </c>
      <c r="N131" s="96">
        <f>M131-L131</f>
        <v/>
      </c>
      <c r="O131" s="294" t="n"/>
      <c r="P131" s="303" t="n"/>
    </row>
    <row r="132" ht="16.5" customHeight="1" s="256" thickBot="1">
      <c r="B132" s="122">
        <f>B131</f>
        <v/>
      </c>
      <c r="C132" s="130" t="inlineStr">
        <is>
          <t>r05</t>
        </is>
      </c>
      <c r="D132" s="295">
        <f>0.000001*INDIRECT($B132&amp;"!E9")</f>
        <v/>
      </c>
      <c r="E132" s="294" t="n"/>
      <c r="F132" s="122">
        <f>F131</f>
        <v/>
      </c>
      <c r="G132" s="130" t="inlineStr">
        <is>
          <t>r05</t>
        </is>
      </c>
      <c r="H132" s="295">
        <f>0.000001*INDIRECT($B132&amp;"!AC9")</f>
        <v/>
      </c>
      <c r="J132" s="296">
        <f>H132/D132-1</f>
        <v/>
      </c>
      <c r="L132" s="94">
        <f>INDIRECT($B132&amp;"!"&amp;L$3&amp;"9")</f>
        <v/>
      </c>
      <c r="M132" s="95">
        <f>INDIRECT($B132&amp;"!"&amp;M$3&amp;"9")</f>
        <v/>
      </c>
      <c r="N132" s="96">
        <f>M132-L132</f>
        <v/>
      </c>
      <c r="O132" s="294" t="n"/>
      <c r="P132" s="299" t="n"/>
    </row>
    <row r="133">
      <c r="B133" s="109" t="n"/>
      <c r="C133" s="110" t="n"/>
      <c r="D133" s="300" t="n"/>
      <c r="F133" s="109" t="n"/>
      <c r="G133" s="110" t="n"/>
      <c r="H133" s="300" t="n"/>
      <c r="J133" s="98">
        <f>MIN(D128:D132,H128:H132)</f>
        <v/>
      </c>
      <c r="L133" s="99" t="n"/>
      <c r="M133" s="100" t="n"/>
      <c r="N133" s="101" t="n"/>
      <c r="O133" s="294" t="n"/>
      <c r="P133" s="264" t="n"/>
    </row>
    <row r="134" ht="18" customHeight="1" s="256" thickBot="1">
      <c r="B134" s="89" t="n"/>
      <c r="C134" s="92" t="n"/>
      <c r="D134" s="301" t="n"/>
      <c r="E134" s="294" t="n"/>
      <c r="F134" s="89" t="n"/>
      <c r="G134" s="92" t="n"/>
      <c r="H134" s="301" t="n"/>
      <c r="J134" s="102">
        <f>MAX(D128:D132,H128:H132)</f>
        <v/>
      </c>
      <c r="L134" s="103">
        <f>L133</f>
        <v/>
      </c>
      <c r="M134" s="104">
        <f>M133</f>
        <v/>
      </c>
      <c r="N134" s="97" t="n"/>
      <c r="O134" s="294" t="n"/>
      <c r="P134" s="5" t="n"/>
    </row>
    <row r="135" ht="18" customHeight="1" s="256" thickBot="1">
      <c r="J135" s="102">
        <f>MAX(D129:D133,H129:H133)</f>
        <v/>
      </c>
      <c r="L135" s="103">
        <f>L134</f>
        <v/>
      </c>
      <c r="M135" s="104">
        <f>M134</f>
        <v/>
      </c>
      <c r="N135" s="97" t="n"/>
      <c r="O135" s="294" t="n"/>
      <c r="P135" s="5" t="n"/>
    </row>
    <row r="136">
      <c r="B136" s="261" t="inlineStr">
        <is>
          <t>BlueBackpack_UVGgs_0100</t>
        </is>
      </c>
      <c r="C136" s="262" t="n"/>
      <c r="D136" s="263" t="n"/>
      <c r="E136" s="2" t="n"/>
      <c r="F136" s="261">
        <f>B136</f>
        <v/>
      </c>
      <c r="G136" s="262" t="n"/>
      <c r="H136" s="263" t="n"/>
      <c r="J136" s="264" t="n"/>
      <c r="L136" s="264">
        <f>F136</f>
        <v/>
      </c>
      <c r="M136" s="262" t="n"/>
      <c r="N136" s="263" t="n"/>
      <c r="O136" s="195" t="n"/>
      <c r="P136" s="264" t="n"/>
      <c r="AB136" s="298" t="n"/>
    </row>
    <row r="137">
      <c r="B137" s="259" t="inlineStr">
        <is>
          <t>Test</t>
        </is>
      </c>
      <c r="D137" s="87" t="inlineStr">
        <is>
          <t>Bitstream (MB)</t>
        </is>
      </c>
      <c r="E137" s="294" t="n"/>
      <c r="F137" s="259" t="inlineStr">
        <is>
          <t>Test</t>
        </is>
      </c>
      <c r="H137" s="87" t="inlineStr">
        <is>
          <t>Bitstream (MB)</t>
        </is>
      </c>
      <c r="J137" s="257" t="inlineStr">
        <is>
          <t>%</t>
        </is>
      </c>
      <c r="L137" s="257" t="inlineStr">
        <is>
          <t>YUV-PSNR</t>
        </is>
      </c>
      <c r="N137" s="258" t="n"/>
      <c r="O137" s="85" t="n"/>
      <c r="P137" s="3" t="n"/>
    </row>
    <row r="138">
      <c r="B138" s="191" t="inlineStr">
        <is>
          <t>Anchor</t>
        </is>
      </c>
      <c r="C138" s="130" t="inlineStr">
        <is>
          <t>Test point</t>
        </is>
      </c>
      <c r="D138" s="86" t="inlineStr">
        <is>
          <t>Total</t>
        </is>
      </c>
      <c r="E138" s="294" t="n"/>
      <c r="F138" s="191" t="inlineStr">
        <is>
          <t>Anchor</t>
        </is>
      </c>
      <c r="G138" s="130" t="inlineStr">
        <is>
          <t>Test point</t>
        </is>
      </c>
      <c r="H138" s="86" t="inlineStr">
        <is>
          <t>Total</t>
        </is>
      </c>
      <c r="J138" s="93" t="n"/>
      <c r="L138" s="192">
        <f>CONCATENATE(B$2," ",L136)</f>
        <v/>
      </c>
      <c r="M138" s="193">
        <f>CONCATENATE(F$2," ",L136)</f>
        <v/>
      </c>
      <c r="N138" s="194" t="inlineStr">
        <is>
          <t>Delta</t>
        </is>
      </c>
      <c r="O138" s="2" t="n"/>
      <c r="P138" s="3" t="inlineStr">
        <is>
          <t>BD-rate</t>
        </is>
      </c>
    </row>
    <row r="139" ht="16.5" customHeight="1" s="256">
      <c r="B139" s="122">
        <f>B136</f>
        <v/>
      </c>
      <c r="C139" s="130" t="inlineStr">
        <is>
          <t>r01</t>
        </is>
      </c>
      <c r="D139" s="295">
        <f>0.000001*INDIRECT($B139&amp;"!E5")</f>
        <v/>
      </c>
      <c r="E139" s="294" t="n"/>
      <c r="F139" s="122">
        <f>F136</f>
        <v/>
      </c>
      <c r="G139" s="130" t="inlineStr">
        <is>
          <t>r01</t>
        </is>
      </c>
      <c r="H139" s="295">
        <f>0.000001*INDIRECT($B139&amp;"!AC5")</f>
        <v/>
      </c>
      <c r="J139" s="296">
        <f>H139/D139-1</f>
        <v/>
      </c>
      <c r="L139" s="94">
        <f>INDIRECT($B139&amp;"!"&amp;L$3&amp;"5")</f>
        <v/>
      </c>
      <c r="M139" s="95">
        <f>INDIRECT($B139&amp;"!"&amp;M$3&amp;"5")</f>
        <v/>
      </c>
      <c r="N139" s="96">
        <f>M139-L139</f>
        <v/>
      </c>
      <c r="O139" s="294" t="n"/>
      <c r="P139" s="296">
        <f>bdRateExtend(D139:D143,L139:L143,H139:H143,M139:M143)</f>
        <v/>
      </c>
      <c r="AB139" s="298" t="n"/>
    </row>
    <row r="140">
      <c r="B140" s="122">
        <f>B139</f>
        <v/>
      </c>
      <c r="C140" s="130" t="inlineStr">
        <is>
          <t>r02</t>
        </is>
      </c>
      <c r="D140" s="295">
        <f>0.000001*INDIRECT($B140&amp;"!E6")</f>
        <v/>
      </c>
      <c r="E140" s="294" t="n"/>
      <c r="F140" s="122">
        <f>F139</f>
        <v/>
      </c>
      <c r="G140" s="130" t="inlineStr">
        <is>
          <t>r02</t>
        </is>
      </c>
      <c r="H140" s="295">
        <f>0.000001*INDIRECT($B140&amp;"!AC6")</f>
        <v/>
      </c>
      <c r="J140" s="296">
        <f>H140/D140-1</f>
        <v/>
      </c>
      <c r="L140" s="94">
        <f>INDIRECT($B140&amp;"!"&amp;L$3&amp;"6")</f>
        <v/>
      </c>
      <c r="M140" s="95">
        <f>INDIRECT($B140&amp;"!"&amp;M$3&amp;"6")</f>
        <v/>
      </c>
      <c r="N140" s="96">
        <f>M140-L140</f>
        <v/>
      </c>
      <c r="O140" s="294" t="n"/>
      <c r="P140" s="3" t="n"/>
    </row>
    <row r="141" ht="16.5" customHeight="1" s="256">
      <c r="B141" s="122">
        <f>B140</f>
        <v/>
      </c>
      <c r="C141" s="130" t="inlineStr">
        <is>
          <t>r03</t>
        </is>
      </c>
      <c r="D141" s="295">
        <f>0.000001*INDIRECT($B141&amp;"!E7")</f>
        <v/>
      </c>
      <c r="E141" s="294" t="n"/>
      <c r="F141" s="122">
        <f>F140</f>
        <v/>
      </c>
      <c r="G141" s="130" t="inlineStr">
        <is>
          <t>r03</t>
        </is>
      </c>
      <c r="H141" s="295">
        <f>0.000001*INDIRECT($B141&amp;"!AC7")</f>
        <v/>
      </c>
      <c r="J141" s="296">
        <f>H141/D141-1</f>
        <v/>
      </c>
      <c r="L141" s="94">
        <f>INDIRECT($B141&amp;"!"&amp;L$3&amp;"7")</f>
        <v/>
      </c>
      <c r="M141" s="95">
        <f>INDIRECT($B141&amp;"!"&amp;M$3&amp;"7")</f>
        <v/>
      </c>
      <c r="N141" s="96">
        <f>M141-L141</f>
        <v/>
      </c>
      <c r="O141" s="294" t="n"/>
      <c r="P141" s="3" t="n"/>
    </row>
    <row r="142" ht="16.5" customHeight="1" s="256">
      <c r="B142" s="122">
        <f>B141</f>
        <v/>
      </c>
      <c r="C142" s="130" t="inlineStr">
        <is>
          <t>r04</t>
        </is>
      </c>
      <c r="D142" s="295">
        <f>0.000001*INDIRECT($B142&amp;"!E8")</f>
        <v/>
      </c>
      <c r="E142" s="294" t="n"/>
      <c r="F142" s="122">
        <f>F141</f>
        <v/>
      </c>
      <c r="G142" s="130" t="inlineStr">
        <is>
          <t>r04</t>
        </is>
      </c>
      <c r="H142" s="295">
        <f>0.000001*INDIRECT($B142&amp;"!AC8")</f>
        <v/>
      </c>
      <c r="J142" s="296">
        <f>H142/D142-1</f>
        <v/>
      </c>
      <c r="L142" s="94">
        <f>INDIRECT($B142&amp;"!"&amp;L$3&amp;"8")</f>
        <v/>
      </c>
      <c r="M142" s="95">
        <f>INDIRECT($B142&amp;"!"&amp;M$3&amp;"8")</f>
        <v/>
      </c>
      <c r="N142" s="96">
        <f>M142-L142</f>
        <v/>
      </c>
      <c r="O142" s="294" t="n"/>
      <c r="P142" s="303" t="n"/>
    </row>
    <row r="143" ht="18" customHeight="1" s="256" thickBot="1">
      <c r="B143" s="122">
        <f>B142</f>
        <v/>
      </c>
      <c r="C143" s="130" t="inlineStr">
        <is>
          <t>r05</t>
        </is>
      </c>
      <c r="D143" s="295">
        <f>0.000001*INDIRECT($B143&amp;"!E9")</f>
        <v/>
      </c>
      <c r="E143" s="294" t="n"/>
      <c r="F143" s="122">
        <f>F142</f>
        <v/>
      </c>
      <c r="G143" s="130" t="inlineStr">
        <is>
          <t>r05</t>
        </is>
      </c>
      <c r="H143" s="295">
        <f>0.000001*INDIRECT($B143&amp;"!AC9")</f>
        <v/>
      </c>
      <c r="J143" s="296">
        <f>H143/D143-1</f>
        <v/>
      </c>
      <c r="L143" s="94">
        <f>INDIRECT($B143&amp;"!"&amp;L$3&amp;"9")</f>
        <v/>
      </c>
      <c r="M143" s="95">
        <f>INDIRECT($B143&amp;"!"&amp;M$3&amp;"9")</f>
        <v/>
      </c>
      <c r="N143" s="96">
        <f>M143-L143</f>
        <v/>
      </c>
      <c r="O143" s="294" t="n"/>
      <c r="P143" s="299" t="n"/>
    </row>
    <row r="144">
      <c r="B144" s="109" t="n"/>
      <c r="C144" s="110" t="n"/>
      <c r="D144" s="300" t="n"/>
      <c r="F144" s="109" t="n"/>
      <c r="G144" s="110" t="n"/>
      <c r="H144" s="300" t="n"/>
      <c r="J144" s="98">
        <f>MIN(D139:D143,H139:H143)</f>
        <v/>
      </c>
      <c r="L144" s="99" t="n"/>
      <c r="M144" s="100" t="n"/>
      <c r="N144" s="101" t="n"/>
      <c r="O144" s="294" t="n"/>
      <c r="P144" s="264" t="n"/>
    </row>
    <row r="145" ht="18" customHeight="1" s="256" thickBot="1">
      <c r="B145" s="89" t="n"/>
      <c r="C145" s="92" t="n"/>
      <c r="D145" s="301" t="n"/>
      <c r="E145" s="294" t="n"/>
      <c r="F145" s="89" t="n"/>
      <c r="G145" s="92" t="n"/>
      <c r="H145" s="301" t="n"/>
      <c r="J145" s="102">
        <f>MAX(D139:D143,H139:H143)</f>
        <v/>
      </c>
      <c r="L145" s="103">
        <f>L144</f>
        <v/>
      </c>
      <c r="M145" s="104">
        <f>M144</f>
        <v/>
      </c>
      <c r="N145" s="97" t="n"/>
      <c r="O145" s="294" t="n"/>
      <c r="P145" s="5" t="n"/>
    </row>
    <row r="146" ht="18" customHeight="1" s="256" thickBot="1">
      <c r="B146" s="114" t="n"/>
      <c r="C146" s="114" t="n"/>
      <c r="D146" s="302" t="n"/>
      <c r="E146" s="294" t="n"/>
      <c r="F146" s="114" t="n"/>
      <c r="G146" s="114" t="n"/>
      <c r="H146" s="302" t="n"/>
      <c r="AB146" s="298" t="n"/>
    </row>
    <row r="147">
      <c r="B147" s="261" t="inlineStr">
        <is>
          <t>BlueBackpack_UVGgs_0200</t>
        </is>
      </c>
      <c r="C147" s="262" t="n"/>
      <c r="D147" s="263" t="n"/>
      <c r="E147" s="2" t="n"/>
      <c r="F147" s="261">
        <f>B147</f>
        <v/>
      </c>
      <c r="G147" s="262" t="n"/>
      <c r="H147" s="263" t="n"/>
      <c r="J147" s="264" t="n"/>
      <c r="L147" s="264">
        <f>F147</f>
        <v/>
      </c>
      <c r="M147" s="262" t="n"/>
      <c r="N147" s="263" t="n"/>
      <c r="O147" s="195" t="n"/>
      <c r="P147" s="264" t="n"/>
    </row>
    <row r="148">
      <c r="B148" s="259" t="inlineStr">
        <is>
          <t>Test</t>
        </is>
      </c>
      <c r="D148" s="87" t="inlineStr">
        <is>
          <t>Bitstream (MB)</t>
        </is>
      </c>
      <c r="E148" s="294" t="n"/>
      <c r="F148" s="259" t="inlineStr">
        <is>
          <t>Test</t>
        </is>
      </c>
      <c r="H148" s="87" t="inlineStr">
        <is>
          <t>Bitstream (MB)</t>
        </is>
      </c>
      <c r="J148" s="257" t="inlineStr">
        <is>
          <t>%</t>
        </is>
      </c>
      <c r="L148" s="257" t="inlineStr">
        <is>
          <t>YUV-PSNR</t>
        </is>
      </c>
      <c r="N148" s="258" t="n"/>
      <c r="O148" s="85" t="n"/>
      <c r="P148" s="3" t="n"/>
    </row>
    <row r="149" ht="16.5" customHeight="1" s="256">
      <c r="B149" s="191" t="inlineStr">
        <is>
          <t>Anchor</t>
        </is>
      </c>
      <c r="C149" s="130" t="inlineStr">
        <is>
          <t>Test point</t>
        </is>
      </c>
      <c r="D149" s="86" t="inlineStr">
        <is>
          <t>Total</t>
        </is>
      </c>
      <c r="E149" s="294" t="n"/>
      <c r="F149" s="191" t="inlineStr">
        <is>
          <t>Anchor</t>
        </is>
      </c>
      <c r="G149" s="130" t="inlineStr">
        <is>
          <t>Test point</t>
        </is>
      </c>
      <c r="H149" s="86" t="inlineStr">
        <is>
          <t>Total</t>
        </is>
      </c>
      <c r="J149" s="93" t="n"/>
      <c r="L149" s="192">
        <f>CONCATENATE(B$2," ",L147)</f>
        <v/>
      </c>
      <c r="M149" s="193">
        <f>CONCATENATE(F$2," ",L147)</f>
        <v/>
      </c>
      <c r="N149" s="194" t="inlineStr">
        <is>
          <t>Delta</t>
        </is>
      </c>
      <c r="O149" s="2" t="n"/>
      <c r="P149" s="3" t="inlineStr">
        <is>
          <t>BD-rate</t>
        </is>
      </c>
      <c r="AB149" s="298" t="n"/>
    </row>
    <row r="150">
      <c r="B150" s="122">
        <f>B147</f>
        <v/>
      </c>
      <c r="C150" s="130" t="inlineStr">
        <is>
          <t>r01</t>
        </is>
      </c>
      <c r="D150" s="295">
        <f>0.000001*INDIRECT($B150&amp;"!E5")</f>
        <v/>
      </c>
      <c r="E150" s="294" t="n"/>
      <c r="F150" s="122">
        <f>F147</f>
        <v/>
      </c>
      <c r="G150" s="130" t="inlineStr">
        <is>
          <t>r01</t>
        </is>
      </c>
      <c r="H150" s="295">
        <f>0.000001*INDIRECT($B150&amp;"!AC5")</f>
        <v/>
      </c>
      <c r="J150" s="296">
        <f>H150/D150-1</f>
        <v/>
      </c>
      <c r="L150" s="94">
        <f>INDIRECT($B150&amp;"!"&amp;L$3&amp;"5")</f>
        <v/>
      </c>
      <c r="M150" s="95">
        <f>INDIRECT($B150&amp;"!"&amp;M$3&amp;"5")</f>
        <v/>
      </c>
      <c r="N150" s="96">
        <f>M150-L150</f>
        <v/>
      </c>
      <c r="O150" s="294" t="n"/>
      <c r="P150" s="296">
        <f>bdRateExtend(D150:D154,L150:L154,H150:H154,M150:M154)</f>
        <v/>
      </c>
    </row>
    <row r="151" ht="16.5" customHeight="1" s="256">
      <c r="B151" s="122">
        <f>B150</f>
        <v/>
      </c>
      <c r="C151" s="130" t="inlineStr">
        <is>
          <t>r02</t>
        </is>
      </c>
      <c r="D151" s="295">
        <f>0.000001*INDIRECT($B151&amp;"!E6")</f>
        <v/>
      </c>
      <c r="E151" s="294" t="n"/>
      <c r="F151" s="122">
        <f>F150</f>
        <v/>
      </c>
      <c r="G151" s="130" t="inlineStr">
        <is>
          <t>r02</t>
        </is>
      </c>
      <c r="H151" s="295">
        <f>0.000001*INDIRECT($B151&amp;"!AC6")</f>
        <v/>
      </c>
      <c r="J151" s="296">
        <f>H151/D151-1</f>
        <v/>
      </c>
      <c r="L151" s="94">
        <f>INDIRECT($B151&amp;"!"&amp;L$3&amp;"6")</f>
        <v/>
      </c>
      <c r="M151" s="95">
        <f>INDIRECT($B151&amp;"!"&amp;M$3&amp;"6")</f>
        <v/>
      </c>
      <c r="N151" s="96">
        <f>M151-L151</f>
        <v/>
      </c>
      <c r="O151" s="294" t="n"/>
      <c r="P151" s="3" t="n"/>
    </row>
    <row r="152" ht="16.5" customHeight="1" s="256">
      <c r="B152" s="122">
        <f>B151</f>
        <v/>
      </c>
      <c r="C152" s="130" t="inlineStr">
        <is>
          <t>r03</t>
        </is>
      </c>
      <c r="D152" s="295">
        <f>0.000001*INDIRECT($B152&amp;"!E7")</f>
        <v/>
      </c>
      <c r="E152" s="294" t="n"/>
      <c r="F152" s="122">
        <f>F151</f>
        <v/>
      </c>
      <c r="G152" s="130" t="inlineStr">
        <is>
          <t>r03</t>
        </is>
      </c>
      <c r="H152" s="295">
        <f>0.000001*INDIRECT($B152&amp;"!AC7")</f>
        <v/>
      </c>
      <c r="J152" s="296">
        <f>H152/D152-1</f>
        <v/>
      </c>
      <c r="L152" s="94">
        <f>INDIRECT($B152&amp;"!"&amp;L$3&amp;"7")</f>
        <v/>
      </c>
      <c r="M152" s="95">
        <f>INDIRECT($B152&amp;"!"&amp;M$3&amp;"7")</f>
        <v/>
      </c>
      <c r="N152" s="96">
        <f>M152-L152</f>
        <v/>
      </c>
      <c r="O152" s="294" t="n"/>
      <c r="P152" s="3" t="n"/>
    </row>
    <row r="153">
      <c r="B153" s="122">
        <f>B152</f>
        <v/>
      </c>
      <c r="C153" s="130" t="inlineStr">
        <is>
          <t>r04</t>
        </is>
      </c>
      <c r="D153" s="295">
        <f>0.000001*INDIRECT($B153&amp;"!E8")</f>
        <v/>
      </c>
      <c r="E153" s="294" t="n"/>
      <c r="F153" s="122">
        <f>F152</f>
        <v/>
      </c>
      <c r="G153" s="130" t="inlineStr">
        <is>
          <t>r04</t>
        </is>
      </c>
      <c r="H153" s="295">
        <f>0.000001*INDIRECT($B153&amp;"!AC8")</f>
        <v/>
      </c>
      <c r="J153" s="296">
        <f>H153/D153-1</f>
        <v/>
      </c>
      <c r="L153" s="94">
        <f>INDIRECT($B153&amp;"!"&amp;L$3&amp;"8")</f>
        <v/>
      </c>
      <c r="M153" s="95">
        <f>INDIRECT($B153&amp;"!"&amp;M$3&amp;"8")</f>
        <v/>
      </c>
      <c r="N153" s="96">
        <f>M153-L153</f>
        <v/>
      </c>
      <c r="O153" s="294" t="n"/>
      <c r="P153" s="303" t="n"/>
    </row>
    <row r="154" ht="18" customHeight="1" s="256" thickBot="1">
      <c r="B154" s="122">
        <f>B153</f>
        <v/>
      </c>
      <c r="C154" s="130" t="inlineStr">
        <is>
          <t>r05</t>
        </is>
      </c>
      <c r="D154" s="295">
        <f>0.000001*INDIRECT($B154&amp;"!E9")</f>
        <v/>
      </c>
      <c r="E154" s="294" t="n"/>
      <c r="F154" s="122">
        <f>F153</f>
        <v/>
      </c>
      <c r="G154" s="130" t="inlineStr">
        <is>
          <t>r05</t>
        </is>
      </c>
      <c r="H154" s="295">
        <f>0.000001*INDIRECT($B154&amp;"!AC9")</f>
        <v/>
      </c>
      <c r="J154" s="296">
        <f>H154/D154-1</f>
        <v/>
      </c>
      <c r="L154" s="94">
        <f>INDIRECT($B154&amp;"!"&amp;L$3&amp;"9")</f>
        <v/>
      </c>
      <c r="M154" s="95">
        <f>INDIRECT($B154&amp;"!"&amp;M$3&amp;"9")</f>
        <v/>
      </c>
      <c r="N154" s="96">
        <f>M154-L154</f>
        <v/>
      </c>
      <c r="O154" s="294" t="n"/>
      <c r="P154" s="299" t="n"/>
    </row>
    <row r="155">
      <c r="B155" s="109" t="n"/>
      <c r="C155" s="110" t="n"/>
      <c r="D155" s="300" t="n"/>
      <c r="F155" s="109" t="n"/>
      <c r="G155" s="110" t="n"/>
      <c r="H155" s="300" t="n"/>
      <c r="J155" s="98">
        <f>MIN(D150:D154,H150:H154)</f>
        <v/>
      </c>
      <c r="L155" s="99" t="n"/>
      <c r="M155" s="100" t="n"/>
      <c r="N155" s="101" t="n"/>
      <c r="O155" s="294" t="n"/>
      <c r="P155" s="264" t="n"/>
    </row>
    <row r="156" ht="18" customHeight="1" s="256" thickBot="1">
      <c r="B156" s="89" t="n"/>
      <c r="C156" s="92" t="n"/>
      <c r="D156" s="301" t="n"/>
      <c r="E156" s="294" t="n"/>
      <c r="F156" s="89" t="n"/>
      <c r="G156" s="92" t="n"/>
      <c r="H156" s="301" t="n"/>
      <c r="J156" s="102">
        <f>MAX(D150:D154,H150:H154)</f>
        <v/>
      </c>
      <c r="L156" s="103">
        <f>L155</f>
        <v/>
      </c>
      <c r="M156" s="104">
        <f>M155</f>
        <v/>
      </c>
      <c r="N156" s="97" t="n"/>
      <c r="O156" s="294" t="n"/>
      <c r="P156" s="5" t="n"/>
      <c r="AB156" s="298" t="n"/>
    </row>
    <row r="157" ht="18" customHeight="1" s="256" thickBot="1"/>
    <row r="158">
      <c r="B158" s="261" t="inlineStr">
        <is>
          <t>FlowerDance_UVGgs_0000</t>
        </is>
      </c>
      <c r="C158" s="262" t="n"/>
      <c r="D158" s="263" t="n"/>
      <c r="E158" s="2" t="n"/>
      <c r="F158" s="261">
        <f>B158</f>
        <v/>
      </c>
      <c r="G158" s="262" t="n"/>
      <c r="H158" s="263" t="n"/>
      <c r="J158" s="264" t="n"/>
      <c r="L158" s="264">
        <f>F158</f>
        <v/>
      </c>
      <c r="M158" s="262" t="n"/>
      <c r="N158" s="263" t="n"/>
      <c r="O158" s="195" t="n"/>
      <c r="P158" s="264" t="n"/>
    </row>
    <row r="159" ht="16.5" customHeight="1" s="256">
      <c r="B159" s="259" t="inlineStr">
        <is>
          <t>Test</t>
        </is>
      </c>
      <c r="D159" s="87" t="inlineStr">
        <is>
          <t>Bitstream (MB)</t>
        </is>
      </c>
      <c r="E159" s="294" t="n"/>
      <c r="F159" s="259" t="inlineStr">
        <is>
          <t>Test</t>
        </is>
      </c>
      <c r="H159" s="87" t="inlineStr">
        <is>
          <t>Bitstream (MB)</t>
        </is>
      </c>
      <c r="J159" s="257" t="inlineStr">
        <is>
          <t>%</t>
        </is>
      </c>
      <c r="L159" s="257" t="inlineStr">
        <is>
          <t>YUV-PSNR</t>
        </is>
      </c>
      <c r="N159" s="258" t="n"/>
      <c r="O159" s="85" t="n"/>
      <c r="P159" s="3" t="n"/>
      <c r="AB159" s="298" t="n"/>
    </row>
    <row r="160">
      <c r="B160" s="191" t="inlineStr">
        <is>
          <t>Anchor</t>
        </is>
      </c>
      <c r="C160" s="130" t="inlineStr">
        <is>
          <t>Test point</t>
        </is>
      </c>
      <c r="D160" s="86" t="inlineStr">
        <is>
          <t>Total</t>
        </is>
      </c>
      <c r="E160" s="294" t="n"/>
      <c r="F160" s="191" t="inlineStr">
        <is>
          <t>Anchor</t>
        </is>
      </c>
      <c r="G160" s="130" t="inlineStr">
        <is>
          <t>Test point</t>
        </is>
      </c>
      <c r="H160" s="86" t="inlineStr">
        <is>
          <t>Total</t>
        </is>
      </c>
      <c r="J160" s="93" t="n"/>
      <c r="L160" s="192">
        <f>CONCATENATE(B$2," ",L158)</f>
        <v/>
      </c>
      <c r="M160" s="193">
        <f>CONCATENATE(F$2," ",L158)</f>
        <v/>
      </c>
      <c r="N160" s="194" t="inlineStr">
        <is>
          <t>Delta</t>
        </is>
      </c>
      <c r="O160" s="2" t="n"/>
      <c r="P160" s="3" t="inlineStr">
        <is>
          <t>BD-rate</t>
        </is>
      </c>
    </row>
    <row r="161" ht="16.5" customHeight="1" s="256">
      <c r="B161" s="122">
        <f>B158</f>
        <v/>
      </c>
      <c r="C161" s="130" t="inlineStr">
        <is>
          <t>r01</t>
        </is>
      </c>
      <c r="D161" s="295">
        <f>0.000001*INDIRECT($B161&amp;"!E5")</f>
        <v/>
      </c>
      <c r="E161" s="294" t="n"/>
      <c r="F161" s="122">
        <f>F158</f>
        <v/>
      </c>
      <c r="G161" s="130" t="inlineStr">
        <is>
          <t>r01</t>
        </is>
      </c>
      <c r="H161" s="295">
        <f>0.000001*INDIRECT($B161&amp;"!AC5")</f>
        <v/>
      </c>
      <c r="J161" s="296">
        <f>H161/D161-1</f>
        <v/>
      </c>
      <c r="L161" s="94">
        <f>INDIRECT($B161&amp;"!"&amp;L$3&amp;"5")</f>
        <v/>
      </c>
      <c r="M161" s="95">
        <f>INDIRECT($B161&amp;"!"&amp;M$3&amp;"5")</f>
        <v/>
      </c>
      <c r="N161" s="96">
        <f>M161-L161</f>
        <v/>
      </c>
      <c r="O161" s="294" t="n"/>
      <c r="P161" s="296">
        <f>bdRateExtend(D161:D165,L161:L165,H161:H165,M161:M165)</f>
        <v/>
      </c>
    </row>
    <row r="162" ht="16.5" customHeight="1" s="256">
      <c r="B162" s="122">
        <f>B161</f>
        <v/>
      </c>
      <c r="C162" s="130" t="inlineStr">
        <is>
          <t>r02</t>
        </is>
      </c>
      <c r="D162" s="295">
        <f>0.000001*INDIRECT($B162&amp;"!E6")</f>
        <v/>
      </c>
      <c r="E162" s="294" t="n"/>
      <c r="F162" s="122">
        <f>F161</f>
        <v/>
      </c>
      <c r="G162" s="130" t="inlineStr">
        <is>
          <t>r02</t>
        </is>
      </c>
      <c r="H162" s="295">
        <f>0.000001*INDIRECT($B162&amp;"!AC6")</f>
        <v/>
      </c>
      <c r="J162" s="296">
        <f>H162/D162-1</f>
        <v/>
      </c>
      <c r="L162" s="94">
        <f>INDIRECT($B162&amp;"!"&amp;L$3&amp;"6")</f>
        <v/>
      </c>
      <c r="M162" s="95">
        <f>INDIRECT($B162&amp;"!"&amp;M$3&amp;"6")</f>
        <v/>
      </c>
      <c r="N162" s="96">
        <f>M162-L162</f>
        <v/>
      </c>
      <c r="O162" s="294" t="n"/>
      <c r="P162" s="3" t="n"/>
    </row>
    <row r="163">
      <c r="B163" s="122">
        <f>B162</f>
        <v/>
      </c>
      <c r="C163" s="130" t="inlineStr">
        <is>
          <t>r03</t>
        </is>
      </c>
      <c r="D163" s="295">
        <f>0.000001*INDIRECT($B163&amp;"!E7")</f>
        <v/>
      </c>
      <c r="E163" s="294" t="n"/>
      <c r="F163" s="122">
        <f>F162</f>
        <v/>
      </c>
      <c r="G163" s="130" t="inlineStr">
        <is>
          <t>r03</t>
        </is>
      </c>
      <c r="H163" s="295">
        <f>0.000001*INDIRECT($B163&amp;"!AC7")</f>
        <v/>
      </c>
      <c r="J163" s="296">
        <f>H163/D163-1</f>
        <v/>
      </c>
      <c r="L163" s="94">
        <f>INDIRECT($B163&amp;"!"&amp;L$3&amp;"7")</f>
        <v/>
      </c>
      <c r="M163" s="95">
        <f>INDIRECT($B163&amp;"!"&amp;M$3&amp;"7")</f>
        <v/>
      </c>
      <c r="N163" s="96">
        <f>M163-L163</f>
        <v/>
      </c>
      <c r="O163" s="294" t="n"/>
      <c r="P163" s="3" t="n"/>
    </row>
    <row r="164">
      <c r="B164" s="122">
        <f>B163</f>
        <v/>
      </c>
      <c r="C164" s="130" t="inlineStr">
        <is>
          <t>r04</t>
        </is>
      </c>
      <c r="D164" s="295">
        <f>0.000001*INDIRECT($B164&amp;"!E8")</f>
        <v/>
      </c>
      <c r="E164" s="294" t="n"/>
      <c r="F164" s="122">
        <f>F163</f>
        <v/>
      </c>
      <c r="G164" s="130" t="inlineStr">
        <is>
          <t>r04</t>
        </is>
      </c>
      <c r="H164" s="295">
        <f>0.000001*INDIRECT($B164&amp;"!AC8")</f>
        <v/>
      </c>
      <c r="J164" s="296">
        <f>H164/D164-1</f>
        <v/>
      </c>
      <c r="L164" s="94">
        <f>INDIRECT($B164&amp;"!"&amp;L$3&amp;"8")</f>
        <v/>
      </c>
      <c r="M164" s="95">
        <f>INDIRECT($B164&amp;"!"&amp;M$3&amp;"8")</f>
        <v/>
      </c>
      <c r="N164" s="96">
        <f>M164-L164</f>
        <v/>
      </c>
      <c r="O164" s="294" t="n"/>
      <c r="P164" s="303" t="n"/>
    </row>
    <row r="165" ht="18" customHeight="1" s="256" thickBot="1">
      <c r="B165" s="122">
        <f>B164</f>
        <v/>
      </c>
      <c r="C165" s="130" t="inlineStr">
        <is>
          <t>r05</t>
        </is>
      </c>
      <c r="D165" s="295">
        <f>0.000001*INDIRECT($B165&amp;"!E9")</f>
        <v/>
      </c>
      <c r="E165" s="294" t="n"/>
      <c r="F165" s="122">
        <f>F164</f>
        <v/>
      </c>
      <c r="G165" s="130" t="inlineStr">
        <is>
          <t>r05</t>
        </is>
      </c>
      <c r="H165" s="295">
        <f>0.000001*INDIRECT($B165&amp;"!AC9")</f>
        <v/>
      </c>
      <c r="J165" s="296">
        <f>H165/D165-1</f>
        <v/>
      </c>
      <c r="L165" s="94">
        <f>INDIRECT($B165&amp;"!"&amp;L$3&amp;"9")</f>
        <v/>
      </c>
      <c r="M165" s="95">
        <f>INDIRECT($B165&amp;"!"&amp;M$3&amp;"9")</f>
        <v/>
      </c>
      <c r="N165" s="96">
        <f>M165-L165</f>
        <v/>
      </c>
      <c r="O165" s="294" t="n"/>
      <c r="P165" s="299" t="n"/>
    </row>
    <row r="166">
      <c r="B166" s="109" t="n"/>
      <c r="C166" s="110" t="n"/>
      <c r="D166" s="300" t="n"/>
      <c r="F166" s="109" t="n"/>
      <c r="G166" s="110" t="n"/>
      <c r="H166" s="300" t="n"/>
      <c r="J166" s="98">
        <f>MIN(D161:D165,H161:H165)</f>
        <v/>
      </c>
      <c r="L166" s="99" t="n"/>
      <c r="M166" s="100" t="n"/>
      <c r="N166" s="101" t="n"/>
      <c r="O166" s="294" t="n"/>
      <c r="P166" s="264" t="n"/>
      <c r="AB166" s="298" t="n"/>
    </row>
    <row r="167" ht="18" customHeight="1" s="256" thickBot="1">
      <c r="B167" s="89" t="n"/>
      <c r="C167" s="92" t="n"/>
      <c r="D167" s="301" t="n"/>
      <c r="E167" s="294" t="n"/>
      <c r="F167" s="89" t="n"/>
      <c r="G167" s="92" t="n"/>
      <c r="H167" s="301" t="n"/>
      <c r="J167" s="102">
        <f>MAX(D161:D165,H161:H165)</f>
        <v/>
      </c>
      <c r="L167" s="103">
        <f>L166</f>
        <v/>
      </c>
      <c r="M167" s="104">
        <f>M166</f>
        <v/>
      </c>
      <c r="N167" s="97" t="n"/>
      <c r="O167" s="294" t="n"/>
      <c r="P167" s="5" t="n"/>
    </row>
    <row r="168" ht="18" customHeight="1" s="256" thickBot="1"/>
    <row r="169" ht="16.5" customHeight="1" s="256">
      <c r="B169" s="261" t="inlineStr">
        <is>
          <t>FlowerDance_UVGgs_0200</t>
        </is>
      </c>
      <c r="C169" s="262" t="n"/>
      <c r="D169" s="263" t="n"/>
      <c r="E169" s="2" t="n"/>
      <c r="F169" s="261">
        <f>B169</f>
        <v/>
      </c>
      <c r="G169" s="262" t="n"/>
      <c r="H169" s="263" t="n"/>
      <c r="J169" s="264" t="n"/>
      <c r="L169" s="264">
        <f>F169</f>
        <v/>
      </c>
      <c r="M169" s="262" t="n"/>
      <c r="N169" s="263" t="n"/>
      <c r="O169" s="195" t="n"/>
      <c r="P169" s="264" t="n"/>
      <c r="AB169" s="298" t="n"/>
    </row>
    <row r="170">
      <c r="B170" s="259" t="inlineStr">
        <is>
          <t>Test</t>
        </is>
      </c>
      <c r="D170" s="87" t="inlineStr">
        <is>
          <t>Bitstream (MB)</t>
        </is>
      </c>
      <c r="E170" s="294" t="n"/>
      <c r="F170" s="259" t="inlineStr">
        <is>
          <t>Test</t>
        </is>
      </c>
      <c r="H170" s="87" t="inlineStr">
        <is>
          <t>Bitstream (MB)</t>
        </is>
      </c>
      <c r="J170" s="257" t="inlineStr">
        <is>
          <t>%</t>
        </is>
      </c>
      <c r="L170" s="257" t="inlineStr">
        <is>
          <t>YUV-PSNR</t>
        </is>
      </c>
      <c r="N170" s="258" t="n"/>
      <c r="O170" s="85" t="n"/>
      <c r="P170" s="3" t="n"/>
    </row>
    <row r="171" ht="16.5" customHeight="1" s="256">
      <c r="B171" s="191" t="inlineStr">
        <is>
          <t>Anchor</t>
        </is>
      </c>
      <c r="C171" s="130" t="inlineStr">
        <is>
          <t>Test point</t>
        </is>
      </c>
      <c r="D171" s="86" t="inlineStr">
        <is>
          <t>Total</t>
        </is>
      </c>
      <c r="E171" s="294" t="n"/>
      <c r="F171" s="191" t="inlineStr">
        <is>
          <t>Anchor</t>
        </is>
      </c>
      <c r="G171" s="130" t="inlineStr">
        <is>
          <t>Test point</t>
        </is>
      </c>
      <c r="H171" s="86" t="inlineStr">
        <is>
          <t>Total</t>
        </is>
      </c>
      <c r="J171" s="93" t="n"/>
      <c r="L171" s="192">
        <f>CONCATENATE(B$2," ",L169)</f>
        <v/>
      </c>
      <c r="M171" s="193">
        <f>CONCATENATE(F$2," ",L169)</f>
        <v/>
      </c>
      <c r="N171" s="194" t="inlineStr">
        <is>
          <t>Delta</t>
        </is>
      </c>
      <c r="O171" s="2" t="n"/>
      <c r="P171" s="3" t="inlineStr">
        <is>
          <t>BD-rate</t>
        </is>
      </c>
    </row>
    <row r="172" ht="16.5" customHeight="1" s="256">
      <c r="B172" s="122">
        <f>B169</f>
        <v/>
      </c>
      <c r="C172" s="130" t="inlineStr">
        <is>
          <t>r01</t>
        </is>
      </c>
      <c r="D172" s="295">
        <f>0.000001*INDIRECT($B172&amp;"!E5")</f>
        <v/>
      </c>
      <c r="E172" s="294" t="n"/>
      <c r="F172" s="122">
        <f>F169</f>
        <v/>
      </c>
      <c r="G172" s="130" t="inlineStr">
        <is>
          <t>r01</t>
        </is>
      </c>
      <c r="H172" s="295">
        <f>0.000001*INDIRECT($B172&amp;"!AC5")</f>
        <v/>
      </c>
      <c r="J172" s="296">
        <f>H172/D172-1</f>
        <v/>
      </c>
      <c r="L172" s="94">
        <f>INDIRECT($B172&amp;"!"&amp;L$3&amp;"5")</f>
        <v/>
      </c>
      <c r="M172" s="95">
        <f>INDIRECT($B172&amp;"!"&amp;M$3&amp;"5")</f>
        <v/>
      </c>
      <c r="N172" s="96">
        <f>M172-L172</f>
        <v/>
      </c>
      <c r="O172" s="294" t="n"/>
      <c r="P172" s="296">
        <f>bdRateExtend(D172:D176,L172:L176,H172:H176,M172:M176)</f>
        <v/>
      </c>
    </row>
    <row r="173">
      <c r="B173" s="122">
        <f>B172</f>
        <v/>
      </c>
      <c r="C173" s="130" t="inlineStr">
        <is>
          <t>r02</t>
        </is>
      </c>
      <c r="D173" s="295">
        <f>0.000001*INDIRECT($B173&amp;"!E6")</f>
        <v/>
      </c>
      <c r="E173" s="294" t="n"/>
      <c r="F173" s="122">
        <f>F172</f>
        <v/>
      </c>
      <c r="G173" s="130" t="inlineStr">
        <is>
          <t>r02</t>
        </is>
      </c>
      <c r="H173" s="295">
        <f>0.000001*INDIRECT($B173&amp;"!AC6")</f>
        <v/>
      </c>
      <c r="J173" s="296">
        <f>H173/D173-1</f>
        <v/>
      </c>
      <c r="L173" s="94">
        <f>INDIRECT($B173&amp;"!"&amp;L$3&amp;"6")</f>
        <v/>
      </c>
      <c r="M173" s="95">
        <f>INDIRECT($B173&amp;"!"&amp;M$3&amp;"6")</f>
        <v/>
      </c>
      <c r="N173" s="96">
        <f>M173-L173</f>
        <v/>
      </c>
      <c r="O173" s="294" t="n"/>
      <c r="P173" s="3" t="n"/>
    </row>
    <row r="174">
      <c r="B174" s="122">
        <f>B173</f>
        <v/>
      </c>
      <c r="C174" s="130" t="inlineStr">
        <is>
          <t>r03</t>
        </is>
      </c>
      <c r="D174" s="295">
        <f>0.000001*INDIRECT($B174&amp;"!E7")</f>
        <v/>
      </c>
      <c r="E174" s="294" t="n"/>
      <c r="F174" s="122">
        <f>F173</f>
        <v/>
      </c>
      <c r="G174" s="130" t="inlineStr">
        <is>
          <t>r03</t>
        </is>
      </c>
      <c r="H174" s="295">
        <f>0.000001*INDIRECT($B174&amp;"!AC7")</f>
        <v/>
      </c>
      <c r="J174" s="296">
        <f>H174/D174-1</f>
        <v/>
      </c>
      <c r="L174" s="94">
        <f>INDIRECT($B174&amp;"!"&amp;L$3&amp;"7")</f>
        <v/>
      </c>
      <c r="M174" s="95">
        <f>INDIRECT($B174&amp;"!"&amp;M$3&amp;"7")</f>
        <v/>
      </c>
      <c r="N174" s="96">
        <f>M174-L174</f>
        <v/>
      </c>
      <c r="O174" s="294" t="n"/>
      <c r="P174" s="3" t="n"/>
    </row>
    <row r="175">
      <c r="B175" s="122">
        <f>B174</f>
        <v/>
      </c>
      <c r="C175" s="130" t="inlineStr">
        <is>
          <t>r04</t>
        </is>
      </c>
      <c r="D175" s="295">
        <f>0.000001*INDIRECT($B175&amp;"!E8")</f>
        <v/>
      </c>
      <c r="E175" s="294" t="n"/>
      <c r="F175" s="122">
        <f>F174</f>
        <v/>
      </c>
      <c r="G175" s="130" t="inlineStr">
        <is>
          <t>r04</t>
        </is>
      </c>
      <c r="H175" s="295">
        <f>0.000001*INDIRECT($B175&amp;"!AC8")</f>
        <v/>
      </c>
      <c r="J175" s="296">
        <f>H175/D175-1</f>
        <v/>
      </c>
      <c r="L175" s="94">
        <f>INDIRECT($B175&amp;"!"&amp;L$3&amp;"8")</f>
        <v/>
      </c>
      <c r="M175" s="95">
        <f>INDIRECT($B175&amp;"!"&amp;M$3&amp;"8")</f>
        <v/>
      </c>
      <c r="N175" s="96">
        <f>M175-L175</f>
        <v/>
      </c>
      <c r="O175" s="294" t="n"/>
      <c r="P175" s="303" t="n"/>
    </row>
    <row r="176" ht="18" customHeight="1" s="256" thickBot="1">
      <c r="B176" s="122">
        <f>B175</f>
        <v/>
      </c>
      <c r="C176" s="130" t="inlineStr">
        <is>
          <t>r05</t>
        </is>
      </c>
      <c r="D176" s="295">
        <f>0.000001*INDIRECT($B176&amp;"!E9")</f>
        <v/>
      </c>
      <c r="E176" s="294" t="n"/>
      <c r="F176" s="122">
        <f>F175</f>
        <v/>
      </c>
      <c r="G176" s="130" t="inlineStr">
        <is>
          <t>r05</t>
        </is>
      </c>
      <c r="H176" s="295">
        <f>0.000001*INDIRECT($B176&amp;"!AC9")</f>
        <v/>
      </c>
      <c r="J176" s="296">
        <f>H176/D176-1</f>
        <v/>
      </c>
      <c r="L176" s="94">
        <f>INDIRECT($B176&amp;"!"&amp;L$3&amp;"9")</f>
        <v/>
      </c>
      <c r="M176" s="95">
        <f>INDIRECT($B176&amp;"!"&amp;M$3&amp;"9")</f>
        <v/>
      </c>
      <c r="N176" s="96">
        <f>M176-L176</f>
        <v/>
      </c>
      <c r="O176" s="294" t="n"/>
      <c r="P176" s="299" t="n"/>
      <c r="AB176" s="298" t="n"/>
    </row>
    <row r="177">
      <c r="B177" s="109" t="n"/>
      <c r="C177" s="110" t="n"/>
      <c r="D177" s="300" t="n"/>
      <c r="F177" s="109" t="n"/>
      <c r="G177" s="110" t="n"/>
      <c r="H177" s="300" t="n"/>
      <c r="J177" s="98">
        <f>MIN(D172:D176,H172:H176)</f>
        <v/>
      </c>
      <c r="L177" s="99" t="n"/>
      <c r="M177" s="100" t="n"/>
      <c r="N177" s="101" t="n"/>
      <c r="O177" s="294" t="n"/>
      <c r="P177" s="264" t="n"/>
    </row>
    <row r="178" ht="18" customHeight="1" s="256" thickBot="1">
      <c r="B178" s="89" t="n"/>
      <c r="C178" s="92" t="n"/>
      <c r="D178" s="301" t="n"/>
      <c r="E178" s="294" t="n"/>
      <c r="F178" s="89" t="n"/>
      <c r="G178" s="92" t="n"/>
      <c r="H178" s="301" t="n"/>
      <c r="J178" s="102">
        <f>MAX(D172:D176,H172:H176)</f>
        <v/>
      </c>
      <c r="L178" s="103">
        <f>L177</f>
        <v/>
      </c>
      <c r="M178" s="104">
        <f>M177</f>
        <v/>
      </c>
      <c r="N178" s="97" t="n"/>
      <c r="O178" s="294" t="n"/>
      <c r="P178" s="5" t="n"/>
    </row>
    <row r="179" ht="16.5" customHeight="1" s="256" thickBot="1">
      <c r="AB179" s="298" t="n"/>
    </row>
    <row r="180">
      <c r="B180" s="261" t="inlineStr">
        <is>
          <t>Gymnast_UVGgs_0100</t>
        </is>
      </c>
      <c r="C180" s="262" t="n"/>
      <c r="D180" s="263" t="n"/>
      <c r="E180" s="2" t="n"/>
      <c r="F180" s="261">
        <f>B180</f>
        <v/>
      </c>
      <c r="G180" s="262" t="n"/>
      <c r="H180" s="263" t="n"/>
      <c r="J180" s="264" t="n"/>
      <c r="L180" s="264">
        <f>F180</f>
        <v/>
      </c>
      <c r="M180" s="262" t="n"/>
      <c r="N180" s="263" t="n"/>
      <c r="O180" s="195" t="n"/>
      <c r="P180" s="264" t="n"/>
    </row>
    <row r="181" ht="16.5" customHeight="1" s="256">
      <c r="B181" s="259" t="inlineStr">
        <is>
          <t>Test</t>
        </is>
      </c>
      <c r="D181" s="87" t="inlineStr">
        <is>
          <t>Bitstream (MB)</t>
        </is>
      </c>
      <c r="E181" s="294" t="n"/>
      <c r="F181" s="259" t="inlineStr">
        <is>
          <t>Test</t>
        </is>
      </c>
      <c r="H181" s="87" t="inlineStr">
        <is>
          <t>Bitstream (MB)</t>
        </is>
      </c>
      <c r="J181" s="257" t="inlineStr">
        <is>
          <t>%</t>
        </is>
      </c>
      <c r="L181" s="257" t="inlineStr">
        <is>
          <t>YUV-PSNR</t>
        </is>
      </c>
      <c r="N181" s="258" t="n"/>
      <c r="O181" s="85" t="n"/>
      <c r="P181" s="3" t="n"/>
    </row>
    <row r="182" ht="16.5" customHeight="1" s="256">
      <c r="B182" s="191" t="inlineStr">
        <is>
          <t>Anchor</t>
        </is>
      </c>
      <c r="C182" s="130" t="inlineStr">
        <is>
          <t>Test point</t>
        </is>
      </c>
      <c r="D182" s="86" t="inlineStr">
        <is>
          <t>Total</t>
        </is>
      </c>
      <c r="E182" s="294" t="n"/>
      <c r="F182" s="191" t="inlineStr">
        <is>
          <t>Anchor</t>
        </is>
      </c>
      <c r="G182" s="130" t="inlineStr">
        <is>
          <t>Test point</t>
        </is>
      </c>
      <c r="H182" s="86" t="inlineStr">
        <is>
          <t>Total</t>
        </is>
      </c>
      <c r="J182" s="93" t="n"/>
      <c r="L182" s="192">
        <f>CONCATENATE(B$2," ",L180)</f>
        <v/>
      </c>
      <c r="M182" s="193">
        <f>CONCATENATE(F$2," ",L180)</f>
        <v/>
      </c>
      <c r="N182" s="194" t="inlineStr">
        <is>
          <t>Delta</t>
        </is>
      </c>
      <c r="O182" s="2" t="n"/>
      <c r="P182" s="3" t="inlineStr">
        <is>
          <t>BD-rate</t>
        </is>
      </c>
    </row>
    <row r="183">
      <c r="B183" s="122">
        <f>B180</f>
        <v/>
      </c>
      <c r="C183" s="130" t="inlineStr">
        <is>
          <t>r01</t>
        </is>
      </c>
      <c r="D183" s="295">
        <f>0.000001*INDIRECT($B183&amp;"!E5")</f>
        <v/>
      </c>
      <c r="E183" s="294" t="n"/>
      <c r="F183" s="122">
        <f>F180</f>
        <v/>
      </c>
      <c r="G183" s="130" t="inlineStr">
        <is>
          <t>r01</t>
        </is>
      </c>
      <c r="H183" s="295">
        <f>0.000001*INDIRECT($B183&amp;"!AC5")</f>
        <v/>
      </c>
      <c r="J183" s="296">
        <f>H183/D183-1</f>
        <v/>
      </c>
      <c r="L183" s="94">
        <f>INDIRECT($B183&amp;"!"&amp;L$3&amp;"5")</f>
        <v/>
      </c>
      <c r="M183" s="95">
        <f>INDIRECT($B183&amp;"!"&amp;M$3&amp;"5")</f>
        <v/>
      </c>
      <c r="N183" s="96">
        <f>M183-L183</f>
        <v/>
      </c>
      <c r="O183" s="294" t="n"/>
      <c r="P183" s="296">
        <f>bdRateExtend(D183:D187,L183:L187,H183:H187,M183:M187)</f>
        <v/>
      </c>
    </row>
    <row r="184">
      <c r="B184" s="122">
        <f>B183</f>
        <v/>
      </c>
      <c r="C184" s="130" t="inlineStr">
        <is>
          <t>r02</t>
        </is>
      </c>
      <c r="D184" s="295">
        <f>0.000001*INDIRECT($B184&amp;"!E6")</f>
        <v/>
      </c>
      <c r="E184" s="294" t="n"/>
      <c r="F184" s="122">
        <f>F183</f>
        <v/>
      </c>
      <c r="G184" s="130" t="inlineStr">
        <is>
          <t>r02</t>
        </is>
      </c>
      <c r="H184" s="295">
        <f>0.000001*INDIRECT($B184&amp;"!AC6")</f>
        <v/>
      </c>
      <c r="J184" s="296">
        <f>H184/D184-1</f>
        <v/>
      </c>
      <c r="L184" s="94">
        <f>INDIRECT($B184&amp;"!"&amp;L$3&amp;"6")</f>
        <v/>
      </c>
      <c r="M184" s="95">
        <f>INDIRECT($B184&amp;"!"&amp;M$3&amp;"6")</f>
        <v/>
      </c>
      <c r="N184" s="96">
        <f>M184-L184</f>
        <v/>
      </c>
      <c r="O184" s="294" t="n"/>
      <c r="P184" s="3" t="n"/>
    </row>
    <row r="185">
      <c r="B185" s="122">
        <f>B184</f>
        <v/>
      </c>
      <c r="C185" s="130" t="inlineStr">
        <is>
          <t>r03</t>
        </is>
      </c>
      <c r="D185" s="295">
        <f>0.000001*INDIRECT($B185&amp;"!E7")</f>
        <v/>
      </c>
      <c r="E185" s="294" t="n"/>
      <c r="F185" s="122">
        <f>F184</f>
        <v/>
      </c>
      <c r="G185" s="130" t="inlineStr">
        <is>
          <t>r03</t>
        </is>
      </c>
      <c r="H185" s="295">
        <f>0.000001*INDIRECT($B185&amp;"!AC7")</f>
        <v/>
      </c>
      <c r="J185" s="296">
        <f>H185/D185-1</f>
        <v/>
      </c>
      <c r="L185" s="94">
        <f>INDIRECT($B185&amp;"!"&amp;L$3&amp;"7")</f>
        <v/>
      </c>
      <c r="M185" s="95">
        <f>INDIRECT($B185&amp;"!"&amp;M$3&amp;"7")</f>
        <v/>
      </c>
      <c r="N185" s="96">
        <f>M185-L185</f>
        <v/>
      </c>
      <c r="O185" s="294" t="n"/>
      <c r="P185" s="3" t="n"/>
    </row>
    <row r="186">
      <c r="B186" s="122">
        <f>B185</f>
        <v/>
      </c>
      <c r="C186" s="130" t="inlineStr">
        <is>
          <t>r04</t>
        </is>
      </c>
      <c r="D186" s="295">
        <f>0.000001*INDIRECT($B186&amp;"!E8")</f>
        <v/>
      </c>
      <c r="E186" s="294" t="n"/>
      <c r="F186" s="122">
        <f>F185</f>
        <v/>
      </c>
      <c r="G186" s="130" t="inlineStr">
        <is>
          <t>r04</t>
        </is>
      </c>
      <c r="H186" s="295">
        <f>0.000001*INDIRECT($B186&amp;"!AC8")</f>
        <v/>
      </c>
      <c r="J186" s="296">
        <f>H186/D186-1</f>
        <v/>
      </c>
      <c r="L186" s="94">
        <f>INDIRECT($B186&amp;"!"&amp;L$3&amp;"8")</f>
        <v/>
      </c>
      <c r="M186" s="95">
        <f>INDIRECT($B186&amp;"!"&amp;M$3&amp;"8")</f>
        <v/>
      </c>
      <c r="N186" s="96">
        <f>M186-L186</f>
        <v/>
      </c>
      <c r="O186" s="294" t="n"/>
      <c r="P186" s="303" t="n"/>
      <c r="AB186" s="298" t="n"/>
    </row>
    <row r="187" ht="18" customHeight="1" s="256" thickBot="1">
      <c r="B187" s="122">
        <f>B186</f>
        <v/>
      </c>
      <c r="C187" s="130" t="inlineStr">
        <is>
          <t>r05</t>
        </is>
      </c>
      <c r="D187" s="295">
        <f>0.000001*INDIRECT($B187&amp;"!E9")</f>
        <v/>
      </c>
      <c r="E187" s="294" t="n"/>
      <c r="F187" s="122">
        <f>F186</f>
        <v/>
      </c>
      <c r="G187" s="130" t="inlineStr">
        <is>
          <t>r05</t>
        </is>
      </c>
      <c r="H187" s="295">
        <f>0.000001*INDIRECT($B187&amp;"!AC9")</f>
        <v/>
      </c>
      <c r="J187" s="296">
        <f>H187/D187-1</f>
        <v/>
      </c>
      <c r="L187" s="94">
        <f>INDIRECT($B187&amp;"!"&amp;L$3&amp;"9")</f>
        <v/>
      </c>
      <c r="M187" s="95">
        <f>INDIRECT($B187&amp;"!"&amp;M$3&amp;"9")</f>
        <v/>
      </c>
      <c r="N187" s="96">
        <f>M187-L187</f>
        <v/>
      </c>
      <c r="O187" s="294" t="n"/>
      <c r="P187" s="299" t="n"/>
    </row>
    <row r="188">
      <c r="B188" s="109" t="n"/>
      <c r="C188" s="110" t="n"/>
      <c r="D188" s="300" t="n"/>
      <c r="F188" s="109" t="n"/>
      <c r="G188" s="110" t="n"/>
      <c r="H188" s="300" t="n"/>
      <c r="J188" s="98">
        <f>MIN(D183:D187,H183:H187)</f>
        <v/>
      </c>
      <c r="L188" s="99" t="n"/>
      <c r="M188" s="100" t="n"/>
      <c r="N188" s="101" t="n"/>
      <c r="O188" s="294" t="n"/>
      <c r="P188" s="264" t="n"/>
    </row>
    <row r="189" ht="16.5" customHeight="1" s="256" thickBot="1">
      <c r="B189" s="89" t="n"/>
      <c r="C189" s="92" t="n"/>
      <c r="D189" s="301" t="n"/>
      <c r="E189" s="294" t="n"/>
      <c r="F189" s="89" t="n"/>
      <c r="G189" s="92" t="n"/>
      <c r="H189" s="301" t="n"/>
      <c r="J189" s="102">
        <f>MAX(D183:D187,H183:H187)</f>
        <v/>
      </c>
      <c r="L189" s="103">
        <f>L188</f>
        <v/>
      </c>
      <c r="M189" s="104">
        <f>M188</f>
        <v/>
      </c>
      <c r="N189" s="97" t="n"/>
      <c r="O189" s="294" t="n"/>
      <c r="P189" s="5" t="n"/>
      <c r="AB189" s="298" t="n"/>
    </row>
    <row r="190" ht="18" customHeight="1" s="256" thickBot="1"/>
    <row r="191" ht="16.5" customHeight="1" s="256">
      <c r="B191" s="261" t="inlineStr">
        <is>
          <t>Gymnast_UVGgs_0200</t>
        </is>
      </c>
      <c r="C191" s="262" t="n"/>
      <c r="D191" s="263" t="n"/>
      <c r="E191" s="2" t="n"/>
      <c r="F191" s="261">
        <f>B191</f>
        <v/>
      </c>
      <c r="G191" s="262" t="n"/>
      <c r="H191" s="263" t="n"/>
      <c r="J191" s="264" t="n"/>
      <c r="L191" s="264">
        <f>F191</f>
        <v/>
      </c>
      <c r="M191" s="262" t="n"/>
      <c r="N191" s="263" t="n"/>
      <c r="O191" s="195" t="n"/>
      <c r="P191" s="264" t="n"/>
    </row>
    <row r="192" ht="16.5" customHeight="1" s="256">
      <c r="B192" s="259" t="inlineStr">
        <is>
          <t>Test</t>
        </is>
      </c>
      <c r="D192" s="87" t="inlineStr">
        <is>
          <t>Bitstream (MB)</t>
        </is>
      </c>
      <c r="E192" s="294" t="n"/>
      <c r="F192" s="259" t="inlineStr">
        <is>
          <t>Test</t>
        </is>
      </c>
      <c r="H192" s="87" t="inlineStr">
        <is>
          <t>Bitstream (MB)</t>
        </is>
      </c>
      <c r="J192" s="257" t="inlineStr">
        <is>
          <t>%</t>
        </is>
      </c>
      <c r="L192" s="257" t="inlineStr">
        <is>
          <t>YUV-PSNR</t>
        </is>
      </c>
      <c r="N192" s="258" t="n"/>
      <c r="O192" s="85" t="n"/>
      <c r="P192" s="3" t="n"/>
    </row>
    <row r="193">
      <c r="B193" s="191" t="inlineStr">
        <is>
          <t>Anchor</t>
        </is>
      </c>
      <c r="C193" s="130" t="inlineStr">
        <is>
          <t>Test point</t>
        </is>
      </c>
      <c r="D193" s="86" t="inlineStr">
        <is>
          <t>Total</t>
        </is>
      </c>
      <c r="E193" s="294" t="n"/>
      <c r="F193" s="191" t="inlineStr">
        <is>
          <t>Anchor</t>
        </is>
      </c>
      <c r="G193" s="130" t="inlineStr">
        <is>
          <t>Test point</t>
        </is>
      </c>
      <c r="H193" s="86" t="inlineStr">
        <is>
          <t>Total</t>
        </is>
      </c>
      <c r="J193" s="93" t="n"/>
      <c r="L193" s="192">
        <f>CONCATENATE(B$2," ",L191)</f>
        <v/>
      </c>
      <c r="M193" s="193">
        <f>CONCATENATE(F$2," ",L191)</f>
        <v/>
      </c>
      <c r="N193" s="194" t="inlineStr">
        <is>
          <t>Delta</t>
        </is>
      </c>
      <c r="O193" s="2" t="n"/>
      <c r="P193" s="3" t="inlineStr">
        <is>
          <t>BD-rate</t>
        </is>
      </c>
    </row>
    <row r="194">
      <c r="B194" s="122">
        <f>B191</f>
        <v/>
      </c>
      <c r="C194" s="130" t="inlineStr">
        <is>
          <t>r01</t>
        </is>
      </c>
      <c r="D194" s="295">
        <f>0.000001*INDIRECT($B194&amp;"!E5")</f>
        <v/>
      </c>
      <c r="E194" s="294" t="n"/>
      <c r="F194" s="122">
        <f>F191</f>
        <v/>
      </c>
      <c r="G194" s="130" t="inlineStr">
        <is>
          <t>r01</t>
        </is>
      </c>
      <c r="H194" s="295">
        <f>0.000001*INDIRECT($B194&amp;"!AC5")</f>
        <v/>
      </c>
      <c r="J194" s="296">
        <f>H194/D194-1</f>
        <v/>
      </c>
      <c r="L194" s="94">
        <f>INDIRECT($B194&amp;"!"&amp;L$3&amp;"5")</f>
        <v/>
      </c>
      <c r="M194" s="95">
        <f>INDIRECT($B194&amp;"!"&amp;M$3&amp;"5")</f>
        <v/>
      </c>
      <c r="N194" s="96">
        <f>M194-L194</f>
        <v/>
      </c>
      <c r="O194" s="294" t="n"/>
      <c r="P194" s="296">
        <f>bdRateExtend(D194:D198,L194:L198,H194:H198,M194:M198)</f>
        <v/>
      </c>
    </row>
    <row r="195">
      <c r="B195" s="122">
        <f>B194</f>
        <v/>
      </c>
      <c r="C195" s="130" t="inlineStr">
        <is>
          <t>r02</t>
        </is>
      </c>
      <c r="D195" s="295">
        <f>0.000001*INDIRECT($B195&amp;"!E6")</f>
        <v/>
      </c>
      <c r="E195" s="294" t="n"/>
      <c r="F195" s="122">
        <f>F194</f>
        <v/>
      </c>
      <c r="G195" s="130" t="inlineStr">
        <is>
          <t>r02</t>
        </is>
      </c>
      <c r="H195" s="295">
        <f>0.000001*INDIRECT($B195&amp;"!AC6")</f>
        <v/>
      </c>
      <c r="J195" s="296">
        <f>H195/D195-1</f>
        <v/>
      </c>
      <c r="L195" s="94">
        <f>INDIRECT($B195&amp;"!"&amp;L$3&amp;"6")</f>
        <v/>
      </c>
      <c r="M195" s="95">
        <f>INDIRECT($B195&amp;"!"&amp;M$3&amp;"6")</f>
        <v/>
      </c>
      <c r="N195" s="96">
        <f>M195-L195</f>
        <v/>
      </c>
      <c r="O195" s="294" t="n"/>
      <c r="P195" s="3" t="n"/>
    </row>
    <row r="196">
      <c r="B196" s="122">
        <f>B195</f>
        <v/>
      </c>
      <c r="C196" s="130" t="inlineStr">
        <is>
          <t>r03</t>
        </is>
      </c>
      <c r="D196" s="295">
        <f>0.000001*INDIRECT($B196&amp;"!E7")</f>
        <v/>
      </c>
      <c r="E196" s="294" t="n"/>
      <c r="F196" s="122">
        <f>F195</f>
        <v/>
      </c>
      <c r="G196" s="130" t="inlineStr">
        <is>
          <t>r03</t>
        </is>
      </c>
      <c r="H196" s="295">
        <f>0.000001*INDIRECT($B196&amp;"!AC7")</f>
        <v/>
      </c>
      <c r="J196" s="296">
        <f>H196/D196-1</f>
        <v/>
      </c>
      <c r="L196" s="94">
        <f>INDIRECT($B196&amp;"!"&amp;L$3&amp;"7")</f>
        <v/>
      </c>
      <c r="M196" s="95">
        <f>INDIRECT($B196&amp;"!"&amp;M$3&amp;"7")</f>
        <v/>
      </c>
      <c r="N196" s="96">
        <f>M196-L196</f>
        <v/>
      </c>
      <c r="O196" s="294" t="n"/>
      <c r="P196" s="3" t="n"/>
      <c r="AB196" s="298" t="n"/>
    </row>
    <row r="197">
      <c r="B197" s="122">
        <f>B196</f>
        <v/>
      </c>
      <c r="C197" s="130" t="inlineStr">
        <is>
          <t>r04</t>
        </is>
      </c>
      <c r="D197" s="295">
        <f>0.000001*INDIRECT($B197&amp;"!E8")</f>
        <v/>
      </c>
      <c r="E197" s="294" t="n"/>
      <c r="F197" s="122">
        <f>F196</f>
        <v/>
      </c>
      <c r="G197" s="130" t="inlineStr">
        <is>
          <t>r04</t>
        </is>
      </c>
      <c r="H197" s="295">
        <f>0.000001*INDIRECT($B197&amp;"!AC8")</f>
        <v/>
      </c>
      <c r="J197" s="296">
        <f>H197/D197-1</f>
        <v/>
      </c>
      <c r="L197" s="94">
        <f>INDIRECT($B197&amp;"!"&amp;L$3&amp;"8")</f>
        <v/>
      </c>
      <c r="M197" s="95">
        <f>INDIRECT($B197&amp;"!"&amp;M$3&amp;"8")</f>
        <v/>
      </c>
      <c r="N197" s="96">
        <f>M197-L197</f>
        <v/>
      </c>
      <c r="O197" s="294" t="n"/>
      <c r="P197" s="303" t="n"/>
    </row>
    <row r="198" ht="18" customHeight="1" s="256" thickBot="1">
      <c r="B198" s="122">
        <f>B197</f>
        <v/>
      </c>
      <c r="C198" s="130" t="inlineStr">
        <is>
          <t>r05</t>
        </is>
      </c>
      <c r="D198" s="295">
        <f>0.000001*INDIRECT($B198&amp;"!E9")</f>
        <v/>
      </c>
      <c r="E198" s="294" t="n"/>
      <c r="F198" s="122">
        <f>F197</f>
        <v/>
      </c>
      <c r="G198" s="130" t="inlineStr">
        <is>
          <t>r05</t>
        </is>
      </c>
      <c r="H198" s="295">
        <f>0.000001*INDIRECT($B198&amp;"!AC9")</f>
        <v/>
      </c>
      <c r="J198" s="296">
        <f>H198/D198-1</f>
        <v/>
      </c>
      <c r="L198" s="94">
        <f>INDIRECT($B198&amp;"!"&amp;L$3&amp;"9")</f>
        <v/>
      </c>
      <c r="M198" s="95">
        <f>INDIRECT($B198&amp;"!"&amp;M$3&amp;"9")</f>
        <v/>
      </c>
      <c r="N198" s="96">
        <f>M198-L198</f>
        <v/>
      </c>
      <c r="O198" s="294" t="n"/>
      <c r="P198" s="299" t="n"/>
    </row>
    <row r="199" ht="16.5" customHeight="1" s="256">
      <c r="B199" s="109" t="n"/>
      <c r="C199" s="110" t="n"/>
      <c r="D199" s="300" t="n"/>
      <c r="F199" s="109" t="n"/>
      <c r="G199" s="110" t="n"/>
      <c r="H199" s="300" t="n"/>
      <c r="J199" s="98">
        <f>MIN(D194:D198,H194:H198)</f>
        <v/>
      </c>
      <c r="L199" s="99" t="n"/>
      <c r="M199" s="100" t="n"/>
      <c r="N199" s="101" t="n"/>
      <c r="O199" s="294" t="n"/>
      <c r="P199" s="264" t="n"/>
      <c r="AB199" s="298" t="n"/>
    </row>
    <row r="200" ht="18" customHeight="1" s="256" thickBot="1">
      <c r="B200" s="89" t="n"/>
      <c r="C200" s="92" t="n"/>
      <c r="D200" s="301" t="n"/>
      <c r="E200" s="294" t="n"/>
      <c r="F200" s="89" t="n"/>
      <c r="G200" s="92" t="n"/>
      <c r="H200" s="301" t="n"/>
      <c r="J200" s="102">
        <f>MAX(D194:D198,H194:H198)</f>
        <v/>
      </c>
      <c r="L200" s="103">
        <f>L199</f>
        <v/>
      </c>
      <c r="M200" s="104">
        <f>M199</f>
        <v/>
      </c>
      <c r="N200" s="97" t="n"/>
      <c r="O200" s="294" t="n"/>
      <c r="P200" s="5" t="n"/>
    </row>
    <row r="201" ht="16.5" customHeight="1" s="256" thickBot="1"/>
    <row r="202" ht="16.5" customHeight="1" s="256">
      <c r="B202" s="261" t="inlineStr">
        <is>
          <t>artwork</t>
        </is>
      </c>
      <c r="C202" s="262" t="n"/>
      <c r="D202" s="263" t="n"/>
      <c r="E202" s="2" t="n"/>
      <c r="F202" s="261">
        <f>B202</f>
        <v/>
      </c>
      <c r="G202" s="262" t="n"/>
      <c r="H202" s="263" t="n"/>
      <c r="J202" s="264" t="n"/>
      <c r="L202" s="264">
        <f>F202</f>
        <v/>
      </c>
      <c r="M202" s="262" t="n"/>
      <c r="N202" s="263" t="n"/>
      <c r="O202" s="195" t="n"/>
      <c r="P202" s="264" t="n"/>
    </row>
    <row r="203">
      <c r="B203" s="259" t="inlineStr">
        <is>
          <t>Test</t>
        </is>
      </c>
      <c r="D203" s="87" t="inlineStr">
        <is>
          <t>Bitstream (MB)</t>
        </is>
      </c>
      <c r="E203" s="294" t="n"/>
      <c r="F203" s="259" t="inlineStr">
        <is>
          <t>Test</t>
        </is>
      </c>
      <c r="H203" s="87" t="inlineStr">
        <is>
          <t>Bitstream (MB)</t>
        </is>
      </c>
      <c r="J203" s="257" t="inlineStr">
        <is>
          <t>%</t>
        </is>
      </c>
      <c r="L203" s="257" t="inlineStr">
        <is>
          <t>YUV-PSNR</t>
        </is>
      </c>
      <c r="N203" s="258" t="n"/>
      <c r="O203" s="85" t="n"/>
      <c r="P203" s="3" t="n"/>
    </row>
    <row r="204">
      <c r="B204" s="191" t="inlineStr">
        <is>
          <t>Anchor</t>
        </is>
      </c>
      <c r="C204" s="130" t="inlineStr">
        <is>
          <t>Test point</t>
        </is>
      </c>
      <c r="D204" s="86" t="inlineStr">
        <is>
          <t>Total</t>
        </is>
      </c>
      <c r="E204" s="294" t="n"/>
      <c r="F204" s="191" t="inlineStr">
        <is>
          <t>Anchor</t>
        </is>
      </c>
      <c r="G204" s="130" t="inlineStr">
        <is>
          <t>Test point</t>
        </is>
      </c>
      <c r="H204" s="86" t="inlineStr">
        <is>
          <t>Total</t>
        </is>
      </c>
      <c r="J204" s="93" t="n"/>
      <c r="L204" s="192">
        <f>CONCATENATE(B$2," ",L202)</f>
        <v/>
      </c>
      <c r="M204" s="193">
        <f>CONCATENATE(F$2," ",L202)</f>
        <v/>
      </c>
      <c r="N204" s="194" t="inlineStr">
        <is>
          <t>Delta</t>
        </is>
      </c>
      <c r="O204" s="2" t="n"/>
      <c r="P204" s="3" t="inlineStr">
        <is>
          <t>BD-rate</t>
        </is>
      </c>
    </row>
    <row r="205">
      <c r="B205" s="122">
        <f>B202</f>
        <v/>
      </c>
      <c r="C205" s="130" t="inlineStr">
        <is>
          <t>r01</t>
        </is>
      </c>
      <c r="D205" s="295">
        <f>0.000001*INDIRECT($B205&amp;"!E5")</f>
        <v/>
      </c>
      <c r="E205" s="294" t="n"/>
      <c r="F205" s="122">
        <f>F202</f>
        <v/>
      </c>
      <c r="G205" s="130" t="inlineStr">
        <is>
          <t>r01</t>
        </is>
      </c>
      <c r="H205" s="295">
        <f>0.000001*INDIRECT($B205&amp;"!AC5")</f>
        <v/>
      </c>
      <c r="J205" s="296">
        <f>H205/D205-1</f>
        <v/>
      </c>
      <c r="L205" s="94">
        <f>INDIRECT($B205&amp;"!"&amp;L$3&amp;"5")</f>
        <v/>
      </c>
      <c r="M205" s="95">
        <f>INDIRECT($B205&amp;"!"&amp;M$3&amp;"5")</f>
        <v/>
      </c>
      <c r="N205" s="96">
        <f>M205-L205</f>
        <v/>
      </c>
      <c r="O205" s="294" t="n"/>
      <c r="P205" s="296">
        <f>bdRateExtend(D205:D209,L205:L209,H205:H209,M205:M209)</f>
        <v/>
      </c>
    </row>
    <row r="206">
      <c r="B206" s="122">
        <f>B205</f>
        <v/>
      </c>
      <c r="C206" s="130" t="inlineStr">
        <is>
          <t>r02</t>
        </is>
      </c>
      <c r="D206" s="295">
        <f>0.000001*INDIRECT($B206&amp;"!E6")</f>
        <v/>
      </c>
      <c r="E206" s="294" t="n"/>
      <c r="F206" s="122">
        <f>F205</f>
        <v/>
      </c>
      <c r="G206" s="130" t="inlineStr">
        <is>
          <t>r02</t>
        </is>
      </c>
      <c r="H206" s="295">
        <f>0.000001*INDIRECT($B206&amp;"!AC6")</f>
        <v/>
      </c>
      <c r="J206" s="296">
        <f>H206/D206-1</f>
        <v/>
      </c>
      <c r="L206" s="94">
        <f>INDIRECT($B206&amp;"!"&amp;L$3&amp;"6")</f>
        <v/>
      </c>
      <c r="M206" s="95">
        <f>INDIRECT($B206&amp;"!"&amp;M$3&amp;"6")</f>
        <v/>
      </c>
      <c r="N206" s="96">
        <f>M206-L206</f>
        <v/>
      </c>
      <c r="O206" s="294" t="n"/>
      <c r="P206" s="3" t="n"/>
      <c r="AB206" s="298" t="n"/>
    </row>
    <row r="207">
      <c r="B207" s="122">
        <f>B206</f>
        <v/>
      </c>
      <c r="C207" s="130" t="inlineStr">
        <is>
          <t>r03</t>
        </is>
      </c>
      <c r="D207" s="295">
        <f>0.000001*INDIRECT($B207&amp;"!E7")</f>
        <v/>
      </c>
      <c r="E207" s="294" t="n"/>
      <c r="F207" s="122">
        <f>F206</f>
        <v/>
      </c>
      <c r="G207" s="130" t="inlineStr">
        <is>
          <t>r03</t>
        </is>
      </c>
      <c r="H207" s="295">
        <f>0.000001*INDIRECT($B207&amp;"!AC7")</f>
        <v/>
      </c>
      <c r="J207" s="296">
        <f>H207/D207-1</f>
        <v/>
      </c>
      <c r="L207" s="94">
        <f>INDIRECT($B207&amp;"!"&amp;L$3&amp;"7")</f>
        <v/>
      </c>
      <c r="M207" s="95">
        <f>INDIRECT($B207&amp;"!"&amp;M$3&amp;"7")</f>
        <v/>
      </c>
      <c r="N207" s="96">
        <f>M207-L207</f>
        <v/>
      </c>
      <c r="O207" s="294" t="n"/>
      <c r="P207" s="3" t="n"/>
    </row>
    <row r="208">
      <c r="B208" s="122">
        <f>B207</f>
        <v/>
      </c>
      <c r="C208" s="130" t="inlineStr">
        <is>
          <t>r04</t>
        </is>
      </c>
      <c r="D208" s="295">
        <f>0.000001*INDIRECT($B208&amp;"!E8")</f>
        <v/>
      </c>
      <c r="E208" s="294" t="n"/>
      <c r="F208" s="122">
        <f>F207</f>
        <v/>
      </c>
      <c r="G208" s="130" t="inlineStr">
        <is>
          <t>r04</t>
        </is>
      </c>
      <c r="H208" s="295">
        <f>0.000001*INDIRECT($B208&amp;"!AC8")</f>
        <v/>
      </c>
      <c r="J208" s="296">
        <f>H208/D208-1</f>
        <v/>
      </c>
      <c r="L208" s="94">
        <f>INDIRECT($B208&amp;"!"&amp;L$3&amp;"8")</f>
        <v/>
      </c>
      <c r="M208" s="95">
        <f>INDIRECT($B208&amp;"!"&amp;M$3&amp;"8")</f>
        <v/>
      </c>
      <c r="N208" s="96">
        <f>M208-L208</f>
        <v/>
      </c>
      <c r="O208" s="294" t="n"/>
      <c r="P208" s="303" t="n"/>
    </row>
    <row r="209" ht="16.5" customHeight="1" s="256" thickBot="1">
      <c r="B209" s="122">
        <f>B208</f>
        <v/>
      </c>
      <c r="C209" s="130" t="inlineStr">
        <is>
          <t>r05</t>
        </is>
      </c>
      <c r="D209" s="295">
        <f>0.000001*INDIRECT($B209&amp;"!E9")</f>
        <v/>
      </c>
      <c r="E209" s="294" t="n"/>
      <c r="F209" s="122">
        <f>F208</f>
        <v/>
      </c>
      <c r="G209" s="130" t="inlineStr">
        <is>
          <t>r05</t>
        </is>
      </c>
      <c r="H209" s="295">
        <f>0.000001*INDIRECT($B209&amp;"!AC9")</f>
        <v/>
      </c>
      <c r="J209" s="296">
        <f>H209/D209-1</f>
        <v/>
      </c>
      <c r="L209" s="94">
        <f>INDIRECT($B209&amp;"!"&amp;L$3&amp;"9")</f>
        <v/>
      </c>
      <c r="M209" s="95">
        <f>INDIRECT($B209&amp;"!"&amp;M$3&amp;"9")</f>
        <v/>
      </c>
      <c r="N209" s="96">
        <f>M209-L209</f>
        <v/>
      </c>
      <c r="O209" s="294" t="n"/>
      <c r="P209" s="299" t="n"/>
      <c r="AB209" s="298" t="n"/>
    </row>
    <row r="210">
      <c r="B210" s="109" t="n"/>
      <c r="C210" s="110" t="n"/>
      <c r="D210" s="300" t="n"/>
      <c r="F210" s="109" t="n"/>
      <c r="G210" s="110" t="n"/>
      <c r="H210" s="300" t="n"/>
      <c r="J210" s="98">
        <f>MIN(D205:D209,H205:H209)</f>
        <v/>
      </c>
      <c r="L210" s="99" t="n"/>
      <c r="M210" s="100" t="n"/>
      <c r="N210" s="101" t="n"/>
      <c r="O210" s="294" t="n"/>
      <c r="P210" s="264" t="n"/>
    </row>
    <row r="211" ht="16.5" customHeight="1" s="256" thickBot="1">
      <c r="B211" s="89" t="n"/>
      <c r="C211" s="92" t="n"/>
      <c r="D211" s="301" t="n"/>
      <c r="E211" s="294" t="n"/>
      <c r="F211" s="89" t="n"/>
      <c r="G211" s="92" t="n"/>
      <c r="H211" s="301" t="n"/>
      <c r="J211" s="102">
        <f>MAX(D205:D209,H205:H209)</f>
        <v/>
      </c>
      <c r="L211" s="103">
        <f>L210</f>
        <v/>
      </c>
      <c r="M211" s="104">
        <f>M210</f>
        <v/>
      </c>
      <c r="N211" s="97" t="n"/>
      <c r="O211" s="294" t="n"/>
      <c r="P211" s="5" t="n"/>
    </row>
    <row r="212" ht="16.5" customHeight="1" s="256" thickBot="1"/>
    <row r="213">
      <c r="B213" s="261" t="inlineStr">
        <is>
          <t>panda</t>
        </is>
      </c>
      <c r="C213" s="262" t="n"/>
      <c r="D213" s="263" t="n"/>
      <c r="E213" s="2" t="n"/>
      <c r="F213" s="261">
        <f>B213</f>
        <v/>
      </c>
      <c r="G213" s="262" t="n"/>
      <c r="H213" s="263" t="n"/>
      <c r="J213" s="264" t="n"/>
      <c r="L213" s="264">
        <f>F213</f>
        <v/>
      </c>
      <c r="M213" s="262" t="n"/>
      <c r="N213" s="263" t="n"/>
      <c r="O213" s="195" t="n"/>
      <c r="P213" s="264" t="n"/>
    </row>
    <row r="214">
      <c r="B214" s="259" t="inlineStr">
        <is>
          <t>Test</t>
        </is>
      </c>
      <c r="D214" s="87" t="inlineStr">
        <is>
          <t>Bitstream (MB)</t>
        </is>
      </c>
      <c r="E214" s="294" t="n"/>
      <c r="F214" s="259" t="inlineStr">
        <is>
          <t>Test</t>
        </is>
      </c>
      <c r="H214" s="87" t="inlineStr">
        <is>
          <t>Bitstream (MB)</t>
        </is>
      </c>
      <c r="J214" s="257" t="inlineStr">
        <is>
          <t>%</t>
        </is>
      </c>
      <c r="L214" s="257" t="inlineStr">
        <is>
          <t>YUV-PSNR</t>
        </is>
      </c>
      <c r="N214" s="258" t="n"/>
      <c r="O214" s="85" t="n"/>
      <c r="P214" s="3" t="n"/>
    </row>
    <row r="215">
      <c r="B215" s="191" t="inlineStr">
        <is>
          <t>Anchor</t>
        </is>
      </c>
      <c r="C215" s="130" t="inlineStr">
        <is>
          <t>Test point</t>
        </is>
      </c>
      <c r="D215" s="86" t="inlineStr">
        <is>
          <t>Total</t>
        </is>
      </c>
      <c r="E215" s="294" t="n"/>
      <c r="F215" s="191" t="inlineStr">
        <is>
          <t>Anchor</t>
        </is>
      </c>
      <c r="G215" s="130" t="inlineStr">
        <is>
          <t>Test point</t>
        </is>
      </c>
      <c r="H215" s="86" t="inlineStr">
        <is>
          <t>Total</t>
        </is>
      </c>
      <c r="I215" s="2" t="n"/>
      <c r="J215" s="93" t="n"/>
      <c r="L215" s="192">
        <f>CONCATENATE(B$2," ",L213)</f>
        <v/>
      </c>
      <c r="M215" s="193">
        <f>CONCATENATE(F$2," ",L213)</f>
        <v/>
      </c>
      <c r="N215" s="194" t="inlineStr">
        <is>
          <t>Delta</t>
        </is>
      </c>
      <c r="O215" s="2" t="n"/>
      <c r="P215" s="3" t="inlineStr">
        <is>
          <t>BD-rate</t>
        </is>
      </c>
      <c r="Q215" s="2" t="n"/>
      <c r="R215" s="2" t="n"/>
      <c r="S215" s="2" t="n"/>
      <c r="T215" s="2" t="n"/>
      <c r="U215" s="2" t="n"/>
      <c r="V215" s="2" t="n"/>
      <c r="X215" s="195" t="n"/>
      <c r="Y215" s="195" t="n"/>
      <c r="Z215" s="195" t="n"/>
    </row>
    <row r="216">
      <c r="B216" s="122">
        <f>B213</f>
        <v/>
      </c>
      <c r="C216" s="130" t="inlineStr">
        <is>
          <t>r01</t>
        </is>
      </c>
      <c r="D216" s="295">
        <f>0.000001*INDIRECT($B216&amp;"!E5")</f>
        <v/>
      </c>
      <c r="E216" s="294" t="n"/>
      <c r="F216" s="122">
        <f>F213</f>
        <v/>
      </c>
      <c r="G216" s="130" t="inlineStr">
        <is>
          <t>r01</t>
        </is>
      </c>
      <c r="H216" s="295">
        <f>0.000001*INDIRECT($B216&amp;"!AC5")</f>
        <v/>
      </c>
      <c r="I216" s="9" t="n"/>
      <c r="J216" s="296">
        <f>H216/D216-1</f>
        <v/>
      </c>
      <c r="L216" s="94">
        <f>INDIRECT($B216&amp;"!"&amp;L$3&amp;"5")</f>
        <v/>
      </c>
      <c r="M216" s="95">
        <f>INDIRECT($B216&amp;"!"&amp;M$3&amp;"5")</f>
        <v/>
      </c>
      <c r="N216" s="96">
        <f>M216-L216</f>
        <v/>
      </c>
      <c r="O216" s="294" t="n"/>
      <c r="P216" s="296">
        <f>bdRateExtend(D216:D220,L216:L220,H216:H220,M216:M220)</f>
        <v/>
      </c>
      <c r="Q216" s="294" t="n"/>
      <c r="R216" s="9" t="n"/>
      <c r="S216" s="9" t="n"/>
      <c r="T216" s="9" t="n"/>
      <c r="U216" s="9" t="n"/>
      <c r="V216" s="297" t="n"/>
      <c r="X216" s="6" t="n"/>
      <c r="Y216" s="6" t="n"/>
      <c r="Z216" s="81" t="n"/>
      <c r="AB216" s="298" t="n"/>
    </row>
    <row r="217">
      <c r="B217" s="122">
        <f>B216</f>
        <v/>
      </c>
      <c r="C217" s="130" t="inlineStr">
        <is>
          <t>r02</t>
        </is>
      </c>
      <c r="D217" s="295">
        <f>0.000001*INDIRECT($B217&amp;"!E6")</f>
        <v/>
      </c>
      <c r="E217" s="294" t="n"/>
      <c r="F217" s="122">
        <f>F216</f>
        <v/>
      </c>
      <c r="G217" s="130" t="inlineStr">
        <is>
          <t>r02</t>
        </is>
      </c>
      <c r="H217" s="295">
        <f>0.000001*INDIRECT($B217&amp;"!AC6")</f>
        <v/>
      </c>
      <c r="I217" s="9" t="n"/>
      <c r="J217" s="296">
        <f>H217/D217-1</f>
        <v/>
      </c>
      <c r="L217" s="94">
        <f>INDIRECT($B217&amp;"!"&amp;L$3&amp;"6")</f>
        <v/>
      </c>
      <c r="M217" s="95">
        <f>INDIRECT($B217&amp;"!"&amp;M$3&amp;"6")</f>
        <v/>
      </c>
      <c r="N217" s="96">
        <f>M217-L217</f>
        <v/>
      </c>
      <c r="O217" s="294" t="n"/>
      <c r="P217" s="3" t="n"/>
      <c r="Q217" s="294" t="n"/>
      <c r="R217" s="9" t="n"/>
      <c r="S217" s="9" t="n"/>
      <c r="T217" s="9" t="n"/>
      <c r="U217" s="9" t="n"/>
      <c r="V217" s="297" t="n"/>
      <c r="X217" s="6" t="n"/>
      <c r="Y217" s="6" t="n"/>
      <c r="Z217" s="81" t="n"/>
    </row>
    <row r="218">
      <c r="B218" s="122">
        <f>B217</f>
        <v/>
      </c>
      <c r="C218" s="130" t="inlineStr">
        <is>
          <t>r03</t>
        </is>
      </c>
      <c r="D218" s="295">
        <f>0.000001*INDIRECT($B218&amp;"!E7")</f>
        <v/>
      </c>
      <c r="E218" s="294" t="n"/>
      <c r="F218" s="122">
        <f>F217</f>
        <v/>
      </c>
      <c r="G218" s="130" t="inlineStr">
        <is>
          <t>r03</t>
        </is>
      </c>
      <c r="H218" s="295">
        <f>0.000001*INDIRECT($B218&amp;"!AC7")</f>
        <v/>
      </c>
      <c r="I218" s="9" t="n"/>
      <c r="J218" s="296">
        <f>H218/D218-1</f>
        <v/>
      </c>
      <c r="L218" s="94">
        <f>INDIRECT($B218&amp;"!"&amp;L$3&amp;"7")</f>
        <v/>
      </c>
      <c r="M218" s="95">
        <f>INDIRECT($B218&amp;"!"&amp;M$3&amp;"7")</f>
        <v/>
      </c>
      <c r="N218" s="96">
        <f>M218-L218</f>
        <v/>
      </c>
      <c r="O218" s="294" t="n"/>
      <c r="P218" s="3" t="n"/>
      <c r="Q218" s="294" t="n"/>
      <c r="R218" s="9" t="n"/>
      <c r="S218" s="9" t="n"/>
      <c r="T218" s="9" t="n"/>
      <c r="U218" s="9" t="n"/>
      <c r="V218" s="297" t="n"/>
      <c r="X218" s="6" t="n"/>
      <c r="Y218" s="6" t="n"/>
      <c r="Z218" s="81" t="n"/>
    </row>
    <row r="219" ht="16.5" customHeight="1" s="256">
      <c r="B219" s="122">
        <f>B218</f>
        <v/>
      </c>
      <c r="C219" s="130" t="inlineStr">
        <is>
          <t>r04</t>
        </is>
      </c>
      <c r="D219" s="295">
        <f>0.000001*INDIRECT($B219&amp;"!E8")</f>
        <v/>
      </c>
      <c r="E219" s="294" t="n"/>
      <c r="F219" s="122">
        <f>F218</f>
        <v/>
      </c>
      <c r="G219" s="130" t="inlineStr">
        <is>
          <t>r04</t>
        </is>
      </c>
      <c r="H219" s="295">
        <f>0.000001*INDIRECT($B219&amp;"!AC8")</f>
        <v/>
      </c>
      <c r="I219" s="9" t="n"/>
      <c r="J219" s="296">
        <f>H219/D219-1</f>
        <v/>
      </c>
      <c r="L219" s="94">
        <f>INDIRECT($B219&amp;"!"&amp;L$3&amp;"8")</f>
        <v/>
      </c>
      <c r="M219" s="95">
        <f>INDIRECT($B219&amp;"!"&amp;M$3&amp;"8")</f>
        <v/>
      </c>
      <c r="N219" s="96">
        <f>M219-L219</f>
        <v/>
      </c>
      <c r="O219" s="294" t="n"/>
      <c r="P219" s="303" t="n"/>
      <c r="Q219" s="294" t="n"/>
      <c r="R219" s="9" t="n"/>
      <c r="S219" s="9" t="n"/>
      <c r="T219" s="9" t="n"/>
      <c r="U219" s="9" t="n"/>
      <c r="V219" s="297" t="n"/>
      <c r="X219" s="6" t="n"/>
      <c r="Y219" s="6" t="n"/>
      <c r="Z219" s="81" t="n"/>
      <c r="AB219" s="298" t="n"/>
    </row>
    <row r="220" ht="18" customHeight="1" s="256" thickBot="1">
      <c r="B220" s="122">
        <f>B219</f>
        <v/>
      </c>
      <c r="C220" s="130" t="inlineStr">
        <is>
          <t>r05</t>
        </is>
      </c>
      <c r="D220" s="295">
        <f>0.000001*INDIRECT($B220&amp;"!E9")</f>
        <v/>
      </c>
      <c r="E220" s="294" t="n"/>
      <c r="F220" s="122">
        <f>F219</f>
        <v/>
      </c>
      <c r="G220" s="130" t="inlineStr">
        <is>
          <t>r05</t>
        </is>
      </c>
      <c r="H220" s="295">
        <f>0.000001*INDIRECT($B220&amp;"!AC9")</f>
        <v/>
      </c>
      <c r="I220" s="9" t="n"/>
      <c r="J220" s="296">
        <f>H220/D220-1</f>
        <v/>
      </c>
      <c r="L220" s="94">
        <f>INDIRECT($B220&amp;"!"&amp;L$3&amp;"9")</f>
        <v/>
      </c>
      <c r="M220" s="95">
        <f>INDIRECT($B220&amp;"!"&amp;M$3&amp;"9")</f>
        <v/>
      </c>
      <c r="N220" s="96">
        <f>M220-L220</f>
        <v/>
      </c>
      <c r="O220" s="294" t="n"/>
      <c r="P220" s="299" t="n"/>
      <c r="Q220" s="294" t="n"/>
      <c r="R220" s="9" t="n"/>
      <c r="S220" s="9" t="n"/>
      <c r="T220" s="9" t="n"/>
      <c r="U220" s="9" t="n"/>
      <c r="V220" s="83" t="n"/>
      <c r="X220" s="6" t="n"/>
      <c r="Y220" s="6" t="n"/>
      <c r="Z220" s="81" t="n"/>
    </row>
    <row r="221" ht="16.5" customHeight="1" s="256">
      <c r="B221" s="109" t="n"/>
      <c r="C221" s="110" t="n"/>
      <c r="D221" s="300" t="n"/>
      <c r="F221" s="109" t="n"/>
      <c r="G221" s="110" t="n"/>
      <c r="H221" s="300" t="n"/>
      <c r="I221" s="9" t="n"/>
      <c r="J221" s="98">
        <f>MIN(D216:D220,H216:H220)</f>
        <v/>
      </c>
      <c r="L221" s="99" t="n"/>
      <c r="M221" s="100" t="n"/>
      <c r="N221" s="101" t="n"/>
      <c r="O221" s="294" t="n"/>
      <c r="P221" s="264" t="n"/>
      <c r="Q221" s="294" t="n"/>
      <c r="R221" s="9" t="n"/>
      <c r="S221" s="9" t="n"/>
      <c r="T221" s="9" t="n"/>
      <c r="U221" s="9" t="n"/>
      <c r="V221" s="83" t="n"/>
      <c r="X221" s="84" t="n"/>
      <c r="Y221" s="84" t="n"/>
      <c r="Z221" s="81" t="n"/>
    </row>
    <row r="222" ht="18" customHeight="1" s="256" thickBot="1">
      <c r="B222" s="89" t="n"/>
      <c r="C222" s="92" t="n"/>
      <c r="D222" s="301" t="n"/>
      <c r="E222" s="294" t="n"/>
      <c r="F222" s="89" t="n"/>
      <c r="G222" s="92" t="n"/>
      <c r="H222" s="301" t="n"/>
      <c r="J222" s="102">
        <f>MAX(D216:D220,H216:H220)</f>
        <v/>
      </c>
      <c r="L222" s="103">
        <f>L221</f>
        <v/>
      </c>
      <c r="M222" s="104">
        <f>M221</f>
        <v/>
      </c>
      <c r="N222" s="97" t="n"/>
      <c r="O222" s="294" t="n"/>
      <c r="P222" s="5" t="n"/>
    </row>
    <row r="223" ht="18" customHeight="1" s="256" thickBot="1"/>
    <row r="224">
      <c r="B224" s="261" t="inlineStr">
        <is>
          <t>wukong</t>
        </is>
      </c>
      <c r="C224" s="262" t="n"/>
      <c r="D224" s="263" t="n"/>
      <c r="E224" s="2" t="n"/>
      <c r="F224" s="261">
        <f>B224</f>
        <v/>
      </c>
      <c r="G224" s="262" t="n"/>
      <c r="H224" s="263" t="n"/>
      <c r="J224" s="264" t="n"/>
      <c r="L224" s="264">
        <f>F224</f>
        <v/>
      </c>
      <c r="M224" s="262" t="n"/>
      <c r="N224" s="263" t="n"/>
      <c r="O224" s="195" t="n"/>
      <c r="P224" s="264" t="n"/>
    </row>
    <row r="225">
      <c r="B225" s="259" t="inlineStr">
        <is>
          <t>Test</t>
        </is>
      </c>
      <c r="D225" s="87" t="inlineStr">
        <is>
          <t>Bitstream (MB)</t>
        </is>
      </c>
      <c r="E225" s="294" t="n"/>
      <c r="F225" s="259" t="inlineStr">
        <is>
          <t>Test</t>
        </is>
      </c>
      <c r="H225" s="87" t="inlineStr">
        <is>
          <t>Bitstream (MB)</t>
        </is>
      </c>
      <c r="J225" s="257" t="inlineStr">
        <is>
          <t>%</t>
        </is>
      </c>
      <c r="L225" s="257" t="inlineStr">
        <is>
          <t>YUV-PSNR</t>
        </is>
      </c>
      <c r="N225" s="258" t="n"/>
      <c r="O225" s="85" t="n"/>
      <c r="P225" s="3" t="n"/>
    </row>
    <row r="226">
      <c r="B226" s="191" t="inlineStr">
        <is>
          <t>Anchor</t>
        </is>
      </c>
      <c r="C226" s="130" t="inlineStr">
        <is>
          <t>Test point</t>
        </is>
      </c>
      <c r="D226" s="86" t="inlineStr">
        <is>
          <t>Total</t>
        </is>
      </c>
      <c r="E226" s="294" t="n"/>
      <c r="F226" s="191" t="inlineStr">
        <is>
          <t>Anchor</t>
        </is>
      </c>
      <c r="G226" s="130" t="inlineStr">
        <is>
          <t>Test point</t>
        </is>
      </c>
      <c r="H226" s="86" t="inlineStr">
        <is>
          <t>Total</t>
        </is>
      </c>
      <c r="J226" s="93" t="n"/>
      <c r="L226" s="192">
        <f>CONCATENATE(B$2," ",L224)</f>
        <v/>
      </c>
      <c r="M226" s="193">
        <f>CONCATENATE(F$2," ",L224)</f>
        <v/>
      </c>
      <c r="N226" s="194" t="inlineStr">
        <is>
          <t>Delta</t>
        </is>
      </c>
      <c r="O226" s="2" t="n"/>
      <c r="P226" s="3" t="inlineStr">
        <is>
          <t>BD-rate</t>
        </is>
      </c>
    </row>
    <row r="227">
      <c r="B227" s="122">
        <f>B224</f>
        <v/>
      </c>
      <c r="C227" s="130" t="inlineStr">
        <is>
          <t>r01</t>
        </is>
      </c>
      <c r="D227" s="295">
        <f>0.000001*INDIRECT($B227&amp;"!E5")</f>
        <v/>
      </c>
      <c r="E227" s="294" t="n"/>
      <c r="F227" s="122">
        <f>F224</f>
        <v/>
      </c>
      <c r="G227" s="130" t="inlineStr">
        <is>
          <t>r01</t>
        </is>
      </c>
      <c r="H227" s="295">
        <f>0.000001*INDIRECT($B227&amp;"!AC5")</f>
        <v/>
      </c>
      <c r="J227" s="296">
        <f>H227/D227-1</f>
        <v/>
      </c>
      <c r="L227" s="94">
        <f>INDIRECT($B227&amp;"!"&amp;L$3&amp;"5")</f>
        <v/>
      </c>
      <c r="M227" s="95">
        <f>INDIRECT($B227&amp;"!"&amp;M$3&amp;"5")</f>
        <v/>
      </c>
      <c r="N227" s="96">
        <f>M227-L227</f>
        <v/>
      </c>
      <c r="O227" s="294" t="n"/>
      <c r="P227" s="296">
        <f>bdRateExtend(D227:D231,L227:L231,H227:H231,M227:M231)</f>
        <v/>
      </c>
    </row>
    <row r="228">
      <c r="B228" s="122">
        <f>B227</f>
        <v/>
      </c>
      <c r="C228" s="130" t="inlineStr">
        <is>
          <t>r02</t>
        </is>
      </c>
      <c r="D228" s="295">
        <f>0.000001*INDIRECT($B228&amp;"!E6")</f>
        <v/>
      </c>
      <c r="E228" s="294" t="n"/>
      <c r="F228" s="122">
        <f>F227</f>
        <v/>
      </c>
      <c r="G228" s="130" t="inlineStr">
        <is>
          <t>r02</t>
        </is>
      </c>
      <c r="H228" s="295">
        <f>0.000001*INDIRECT($B228&amp;"!AC6")</f>
        <v/>
      </c>
      <c r="J228" s="296">
        <f>H228/D228-1</f>
        <v/>
      </c>
      <c r="L228" s="94">
        <f>INDIRECT($B228&amp;"!"&amp;L$3&amp;"6")</f>
        <v/>
      </c>
      <c r="M228" s="95">
        <f>INDIRECT($B228&amp;"!"&amp;M$3&amp;"6")</f>
        <v/>
      </c>
      <c r="N228" s="96">
        <f>M228-L228</f>
        <v/>
      </c>
      <c r="O228" s="294" t="n"/>
      <c r="P228" s="3" t="n"/>
    </row>
    <row r="229">
      <c r="B229" s="122">
        <f>B228</f>
        <v/>
      </c>
      <c r="C229" s="130" t="inlineStr">
        <is>
          <t>r03</t>
        </is>
      </c>
      <c r="D229" s="295">
        <f>0.000001*INDIRECT($B229&amp;"!E7")</f>
        <v/>
      </c>
      <c r="E229" s="294" t="n"/>
      <c r="F229" s="122">
        <f>F228</f>
        <v/>
      </c>
      <c r="G229" s="130" t="inlineStr">
        <is>
          <t>r03</t>
        </is>
      </c>
      <c r="H229" s="295">
        <f>0.000001*INDIRECT($B229&amp;"!AC7")</f>
        <v/>
      </c>
      <c r="J229" s="296">
        <f>H229/D229-1</f>
        <v/>
      </c>
      <c r="L229" s="94">
        <f>INDIRECT($B229&amp;"!"&amp;L$3&amp;"7")</f>
        <v/>
      </c>
      <c r="M229" s="95">
        <f>INDIRECT($B229&amp;"!"&amp;M$3&amp;"7")</f>
        <v/>
      </c>
      <c r="N229" s="96">
        <f>M229-L229</f>
        <v/>
      </c>
      <c r="O229" s="294" t="n"/>
      <c r="P229" s="3" t="n"/>
    </row>
    <row r="230">
      <c r="B230" s="122">
        <f>B229</f>
        <v/>
      </c>
      <c r="C230" s="130" t="inlineStr">
        <is>
          <t>r04</t>
        </is>
      </c>
      <c r="D230" s="295">
        <f>0.000001*INDIRECT($B230&amp;"!E8")</f>
        <v/>
      </c>
      <c r="E230" s="294" t="n"/>
      <c r="F230" s="122">
        <f>F229</f>
        <v/>
      </c>
      <c r="G230" s="130" t="inlineStr">
        <is>
          <t>r04</t>
        </is>
      </c>
      <c r="H230" s="295">
        <f>0.000001*INDIRECT($B230&amp;"!AC8")</f>
        <v/>
      </c>
      <c r="J230" s="296">
        <f>H230/D230-1</f>
        <v/>
      </c>
      <c r="L230" s="94">
        <f>INDIRECT($B230&amp;"!"&amp;L$3&amp;"8")</f>
        <v/>
      </c>
      <c r="M230" s="95">
        <f>INDIRECT($B230&amp;"!"&amp;M$3&amp;"8")</f>
        <v/>
      </c>
      <c r="N230" s="96">
        <f>M230-L230</f>
        <v/>
      </c>
      <c r="O230" s="294" t="n"/>
      <c r="P230" s="303" t="n"/>
    </row>
    <row r="231" ht="18" customHeight="1" s="256" thickBot="1">
      <c r="B231" s="122">
        <f>B230</f>
        <v/>
      </c>
      <c r="C231" s="130" t="inlineStr">
        <is>
          <t>r05</t>
        </is>
      </c>
      <c r="D231" s="295">
        <f>0.000001*INDIRECT($B231&amp;"!E9")</f>
        <v/>
      </c>
      <c r="E231" s="294" t="n"/>
      <c r="F231" s="122">
        <f>F230</f>
        <v/>
      </c>
      <c r="G231" s="130" t="inlineStr">
        <is>
          <t>r05</t>
        </is>
      </c>
      <c r="H231" s="295">
        <f>0.000001*INDIRECT($B231&amp;"!AC9")</f>
        <v/>
      </c>
      <c r="J231" s="296">
        <f>H231/D231-1</f>
        <v/>
      </c>
      <c r="L231" s="94">
        <f>INDIRECT($B231&amp;"!"&amp;L$3&amp;"9")</f>
        <v/>
      </c>
      <c r="M231" s="95">
        <f>INDIRECT($B231&amp;"!"&amp;M$3&amp;"9")</f>
        <v/>
      </c>
      <c r="N231" s="96">
        <f>M231-L231</f>
        <v/>
      </c>
      <c r="O231" s="294" t="n"/>
      <c r="P231" s="299" t="n"/>
    </row>
    <row r="232">
      <c r="B232" s="109" t="n"/>
      <c r="C232" s="110" t="n"/>
      <c r="D232" s="300" t="n"/>
      <c r="F232" s="109" t="n"/>
      <c r="G232" s="110" t="n"/>
      <c r="H232" s="300" t="n"/>
      <c r="J232" s="98">
        <f>MIN(D227:D231,H227:H231)</f>
        <v/>
      </c>
      <c r="L232" s="99" t="n"/>
      <c r="M232" s="100" t="n"/>
      <c r="N232" s="101" t="n"/>
      <c r="O232" s="294" t="n"/>
      <c r="P232" s="264" t="n"/>
    </row>
    <row r="233" ht="18" customHeight="1" s="256" thickBot="1">
      <c r="B233" s="89" t="n"/>
      <c r="C233" s="92" t="n"/>
      <c r="D233" s="301" t="n"/>
      <c r="E233" s="294" t="n"/>
      <c r="F233" s="89" t="n"/>
      <c r="G233" s="92" t="n"/>
      <c r="H233" s="301" t="n"/>
      <c r="J233" s="102">
        <f>MAX(D227:D231,H227:H231)</f>
        <v/>
      </c>
      <c r="L233" s="103">
        <f>L232</f>
        <v/>
      </c>
      <c r="M233" s="104">
        <f>M232</f>
        <v/>
      </c>
      <c r="N233" s="97" t="n"/>
      <c r="O233" s="294" t="n"/>
      <c r="P233" s="5" t="n"/>
    </row>
  </sheetData>
  <mergeCells count="159"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B4:D4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F202:H202"/>
    <mergeCell ref="B70:D70"/>
    <mergeCell ref="R49:T49"/>
    <mergeCell ref="F148:G148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B59:D59"/>
    <mergeCell ref="B202:D202"/>
    <mergeCell ref="L37:N37"/>
    <mergeCell ref="F158:H158"/>
    <mergeCell ref="F225:G225"/>
    <mergeCell ref="F59:H59"/>
    <mergeCell ref="F15:H15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F224:H224"/>
    <mergeCell ref="B71:C71"/>
    <mergeCell ref="L4:N4"/>
    <mergeCell ref="X15:Z15"/>
    <mergeCell ref="L104:N104"/>
    <mergeCell ref="L147:N147"/>
    <mergeCell ref="F81:H81"/>
    <mergeCell ref="B214:C214"/>
    <mergeCell ref="F192:G192"/>
    <mergeCell ref="X38:Z38"/>
    <mergeCell ref="L159:N159"/>
    <mergeCell ref="B60:C60"/>
    <mergeCell ref="X26:Z26"/>
    <mergeCell ref="F203:G203"/>
    <mergeCell ref="L81:N81"/>
    <mergeCell ref="F181:G181"/>
    <mergeCell ref="F37:H37"/>
    <mergeCell ref="B82:C82"/>
    <mergeCell ref="L148:N148"/>
    <mergeCell ref="B170:C170"/>
    <mergeCell ref="B148:C148"/>
    <mergeCell ref="X81:Z81"/>
    <mergeCell ref="B114:D114"/>
    <mergeCell ref="R93:T93"/>
    <mergeCell ref="L27:N27"/>
    <mergeCell ref="L203:N203"/>
    <mergeCell ref="X71:Z71"/>
    <mergeCell ref="F115:G115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X4:Z4"/>
    <mergeCell ref="L158:N158"/>
    <mergeCell ref="B225:C225"/>
    <mergeCell ref="B181:C181"/>
    <mergeCell ref="B15:D15"/>
    <mergeCell ref="F48:H48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X82:Z82"/>
    <mergeCell ref="B2:D2"/>
  </mergeCells>
  <conditionalFormatting sqref="U19:U22">
    <cfRule type="dataBar" priority="1105">
      <dataBar>
        <cfvo type="min"/>
        <cfvo type="max"/>
        <color rgb="FF008AEF"/>
      </dataBar>
    </cfRule>
  </conditionalFormatting>
  <conditionalFormatting sqref="Z23:Z24">
    <cfRule type="cellIs" priority="1097" operator="lessThan" dxfId="1" stopIfTrue="1">
      <formula>-0.01</formula>
    </cfRule>
    <cfRule type="cellIs" priority="1098" operator="greaterThan" dxfId="0" stopIfTrue="1">
      <formula>0.01</formula>
    </cfRule>
  </conditionalFormatting>
  <conditionalFormatting sqref="R23:T24">
    <cfRule type="dataBar" priority="1095">
      <dataBar>
        <cfvo type="min"/>
        <cfvo type="max"/>
        <color rgb="FF008AEF"/>
      </dataBar>
    </cfRule>
  </conditionalFormatting>
  <conditionalFormatting sqref="U23:U24">
    <cfRule type="dataBar" priority="1099">
      <dataBar>
        <cfvo type="min"/>
        <cfvo type="max"/>
        <color rgb="FF008AEF"/>
      </dataBar>
    </cfRule>
  </conditionalFormatting>
  <conditionalFormatting sqref="AB18">
    <cfRule type="cellIs" priority="1092" operator="greaterThan" dxfId="1">
      <formula>0.03</formula>
    </cfRule>
    <cfRule type="cellIs" priority="1093" operator="lessThan" dxfId="0" stopIfTrue="1">
      <formula>-0.03</formula>
    </cfRule>
  </conditionalFormatting>
  <conditionalFormatting sqref="AB22">
    <cfRule type="cellIs" priority="1090" operator="lessThan" dxfId="1">
      <formula>-0.03</formula>
    </cfRule>
    <cfRule type="cellIs" priority="1091" operator="greaterThan" dxfId="0" stopIfTrue="1">
      <formula>0.03</formula>
    </cfRule>
  </conditionalFormatting>
  <conditionalFormatting sqref="Z18">
    <cfRule type="cellIs" priority="1088" operator="lessThan" dxfId="1" stopIfTrue="1">
      <formula>-0.01</formula>
    </cfRule>
    <cfRule type="cellIs" priority="1089" operator="greaterThan" dxfId="0" stopIfTrue="1">
      <formula>0.01</formula>
    </cfRule>
  </conditionalFormatting>
  <conditionalFormatting sqref="Z19">
    <cfRule type="cellIs" priority="1086" operator="lessThan" dxfId="1" stopIfTrue="1">
      <formula>-0.01</formula>
    </cfRule>
    <cfRule type="cellIs" priority="1087" operator="greaterThan" dxfId="0" stopIfTrue="1">
      <formula>0.01</formula>
    </cfRule>
  </conditionalFormatting>
  <conditionalFormatting sqref="Z20:Z21">
    <cfRule type="cellIs" priority="1084" operator="lessThan" dxfId="1" stopIfTrue="1">
      <formula>-0.01</formula>
    </cfRule>
    <cfRule type="cellIs" priority="1085" operator="greaterThan" dxfId="0" stopIfTrue="1">
      <formula>0.01</formula>
    </cfRule>
  </conditionalFormatting>
  <conditionalFormatting sqref="Z22">
    <cfRule type="cellIs" priority="1082" operator="lessThan" dxfId="1" stopIfTrue="1">
      <formula>-0.01</formula>
    </cfRule>
    <cfRule type="cellIs" priority="1083" operator="greaterThan" dxfId="0" stopIfTrue="1">
      <formula>0.01</formula>
    </cfRule>
  </conditionalFormatting>
  <conditionalFormatting sqref="V18:V22">
    <cfRule type="cellIs" priority="1080" operator="greaterThan" dxfId="1">
      <formula>0.03</formula>
    </cfRule>
    <cfRule type="cellIs" priority="1081" operator="lessThan" dxfId="0" stopIfTrue="1">
      <formula>-0.03</formula>
    </cfRule>
  </conditionalFormatting>
  <conditionalFormatting sqref="R19:T19">
    <cfRule type="dataBar" priority="1079">
      <dataBar>
        <cfvo type="min"/>
        <cfvo type="max"/>
        <color rgb="FF008AEF"/>
      </dataBar>
    </cfRule>
  </conditionalFormatting>
  <conditionalFormatting sqref="R20:T21">
    <cfRule type="dataBar" priority="1078">
      <dataBar>
        <cfvo type="min"/>
        <cfvo type="max"/>
        <color rgb="FF008AEF"/>
      </dataBar>
    </cfRule>
  </conditionalFormatting>
  <conditionalFormatting sqref="R22:T22">
    <cfRule type="dataBar" priority="1077">
      <dataBar>
        <cfvo type="min"/>
        <cfvo type="max"/>
        <color rgb="FF008AEF"/>
      </dataBar>
    </cfRule>
  </conditionalFormatting>
  <conditionalFormatting sqref="R18:U18">
    <cfRule type="dataBar" priority="1094">
      <dataBar>
        <cfvo type="min"/>
        <cfvo type="max"/>
        <color rgb="FF008AEF"/>
      </dataBar>
    </cfRule>
  </conditionalFormatting>
  <conditionalFormatting sqref="Z34:Z35">
    <cfRule type="cellIs" priority="1074" operator="lessThan" dxfId="1" stopIfTrue="1">
      <formula>-0.01</formula>
    </cfRule>
    <cfRule type="cellIs" priority="1075" operator="greaterThan" dxfId="0" stopIfTrue="1">
      <formula>0.01</formula>
    </cfRule>
  </conditionalFormatting>
  <conditionalFormatting sqref="R34:T35">
    <cfRule type="dataBar" priority="1073">
      <dataBar>
        <cfvo type="min"/>
        <cfvo type="max"/>
        <color rgb="FF008AEF"/>
      </dataBar>
    </cfRule>
  </conditionalFormatting>
  <conditionalFormatting sqref="U34:U35">
    <cfRule type="dataBar" priority="1076">
      <dataBar>
        <cfvo type="min"/>
        <cfvo type="max"/>
        <color rgb="FF008AEF"/>
      </dataBar>
    </cfRule>
  </conditionalFormatting>
  <conditionalFormatting sqref="AB29">
    <cfRule type="cellIs" priority="1070" operator="greaterThan" dxfId="1">
      <formula>0.03</formula>
    </cfRule>
    <cfRule type="cellIs" priority="1071" operator="lessThan" dxfId="0" stopIfTrue="1">
      <formula>-0.03</formula>
    </cfRule>
  </conditionalFormatting>
  <conditionalFormatting sqref="AB33">
    <cfRule type="cellIs" priority="1068" operator="lessThan" dxfId="1">
      <formula>-0.03</formula>
    </cfRule>
    <cfRule type="cellIs" priority="1069" operator="greaterThan" dxfId="0" stopIfTrue="1">
      <formula>0.03</formula>
    </cfRule>
  </conditionalFormatting>
  <conditionalFormatting sqref="Z29">
    <cfRule type="cellIs" priority="1066" operator="lessThan" dxfId="1" stopIfTrue="1">
      <formula>-0.01</formula>
    </cfRule>
    <cfRule type="cellIs" priority="1067" operator="greaterThan" dxfId="0" stopIfTrue="1">
      <formula>0.01</formula>
    </cfRule>
  </conditionalFormatting>
  <conditionalFormatting sqref="Z30">
    <cfRule type="cellIs" priority="1064" operator="lessThan" dxfId="1" stopIfTrue="1">
      <formula>-0.01</formula>
    </cfRule>
    <cfRule type="cellIs" priority="1065" operator="greaterThan" dxfId="0" stopIfTrue="1">
      <formula>0.01</formula>
    </cfRule>
  </conditionalFormatting>
  <conditionalFormatting sqref="Z31:Z32">
    <cfRule type="cellIs" priority="1062" operator="lessThan" dxfId="1" stopIfTrue="1">
      <formula>-0.01</formula>
    </cfRule>
    <cfRule type="cellIs" priority="1063" operator="greaterThan" dxfId="0" stopIfTrue="1">
      <formula>0.01</formula>
    </cfRule>
  </conditionalFormatting>
  <conditionalFormatting sqref="Z33">
    <cfRule type="cellIs" priority="1060" operator="lessThan" dxfId="1" stopIfTrue="1">
      <formula>-0.01</formula>
    </cfRule>
    <cfRule type="cellIs" priority="1061" operator="greaterThan" dxfId="0" stopIfTrue="1">
      <formula>0.01</formula>
    </cfRule>
  </conditionalFormatting>
  <conditionalFormatting sqref="V29:V33">
    <cfRule type="cellIs" priority="1058" operator="greaterThan" dxfId="1">
      <formula>0.03</formula>
    </cfRule>
    <cfRule type="cellIs" priority="1059" operator="lessThan" dxfId="0" stopIfTrue="1">
      <formula>-0.03</formula>
    </cfRule>
  </conditionalFormatting>
  <conditionalFormatting sqref="R30:T30">
    <cfRule type="dataBar" priority="1057">
      <dataBar>
        <cfvo type="min"/>
        <cfvo type="max"/>
        <color rgb="FF008AEF"/>
      </dataBar>
    </cfRule>
  </conditionalFormatting>
  <conditionalFormatting sqref="R31:T32">
    <cfRule type="dataBar" priority="1056">
      <dataBar>
        <cfvo type="min"/>
        <cfvo type="max"/>
        <color rgb="FF008AEF"/>
      </dataBar>
    </cfRule>
  </conditionalFormatting>
  <conditionalFormatting sqref="R33:T33">
    <cfRule type="dataBar" priority="1055">
      <dataBar>
        <cfvo type="min"/>
        <cfvo type="max"/>
        <color rgb="FF008AEF"/>
      </dataBar>
    </cfRule>
  </conditionalFormatting>
  <conditionalFormatting sqref="R29:U29 U30:U33">
    <cfRule type="dataBar" priority="1072">
      <dataBar>
        <cfvo type="min"/>
        <cfvo type="max"/>
        <color rgb="FF008AEF"/>
      </dataBar>
    </cfRule>
  </conditionalFormatting>
  <conditionalFormatting sqref="Z45:Z46">
    <cfRule type="cellIs" priority="1052" operator="lessThan" dxfId="1" stopIfTrue="1">
      <formula>-0.01</formula>
    </cfRule>
    <cfRule type="cellIs" priority="1053" operator="greaterThan" dxfId="0" stopIfTrue="1">
      <formula>0.01</formula>
    </cfRule>
  </conditionalFormatting>
  <conditionalFormatting sqref="R45:T46">
    <cfRule type="dataBar" priority="1051">
      <dataBar>
        <cfvo type="min"/>
        <cfvo type="max"/>
        <color rgb="FF008AEF"/>
      </dataBar>
    </cfRule>
  </conditionalFormatting>
  <conditionalFormatting sqref="U45:U46">
    <cfRule type="dataBar" priority="1054">
      <dataBar>
        <cfvo type="min"/>
        <cfvo type="max"/>
        <color rgb="FF008AEF"/>
      </dataBar>
    </cfRule>
  </conditionalFormatting>
  <conditionalFormatting sqref="AB40">
    <cfRule type="cellIs" priority="1048" operator="greaterThan" dxfId="1">
      <formula>0.03</formula>
    </cfRule>
    <cfRule type="cellIs" priority="1049" operator="lessThan" dxfId="0" stopIfTrue="1">
      <formula>-0.03</formula>
    </cfRule>
  </conditionalFormatting>
  <conditionalFormatting sqref="AB44">
    <cfRule type="cellIs" priority="1046" operator="lessThan" dxfId="1">
      <formula>-0.03</formula>
    </cfRule>
    <cfRule type="cellIs" priority="1047" operator="greaterThan" dxfId="0" stopIfTrue="1">
      <formula>0.03</formula>
    </cfRule>
  </conditionalFormatting>
  <conditionalFormatting sqref="Z40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41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Z42:Z43">
    <cfRule type="cellIs" priority="1040" operator="lessThan" dxfId="1" stopIfTrue="1">
      <formula>-0.01</formula>
    </cfRule>
    <cfRule type="cellIs" priority="1041" operator="greaterThan" dxfId="0" stopIfTrue="1">
      <formula>0.01</formula>
    </cfRule>
  </conditionalFormatting>
  <conditionalFormatting sqref="Z44">
    <cfRule type="cellIs" priority="1038" operator="lessThan" dxfId="1" stopIfTrue="1">
      <formula>-0.01</formula>
    </cfRule>
    <cfRule type="cellIs" priority="1039" operator="greaterThan" dxfId="0" stopIfTrue="1">
      <formula>0.01</formula>
    </cfRule>
  </conditionalFormatting>
  <conditionalFormatting sqref="V40:V44">
    <cfRule type="cellIs" priority="1036" operator="greaterThan" dxfId="1">
      <formula>0.03</formula>
    </cfRule>
    <cfRule type="cellIs" priority="1037" operator="lessThan" dxfId="0" stopIfTrue="1">
      <formula>-0.03</formula>
    </cfRule>
  </conditionalFormatting>
  <conditionalFormatting sqref="R41:T41">
    <cfRule type="dataBar" priority="1035">
      <dataBar>
        <cfvo type="min"/>
        <cfvo type="max"/>
        <color rgb="FF008AEF"/>
      </dataBar>
    </cfRule>
  </conditionalFormatting>
  <conditionalFormatting sqref="R42:T43">
    <cfRule type="dataBar" priority="1034">
      <dataBar>
        <cfvo type="min"/>
        <cfvo type="max"/>
        <color rgb="FF008AEF"/>
      </dataBar>
    </cfRule>
  </conditionalFormatting>
  <conditionalFormatting sqref="R44:T44">
    <cfRule type="dataBar" priority="1033">
      <dataBar>
        <cfvo type="min"/>
        <cfvo type="max"/>
        <color rgb="FF008AEF"/>
      </dataBar>
    </cfRule>
  </conditionalFormatting>
  <conditionalFormatting sqref="R40:U40 U41:U44">
    <cfRule type="dataBar" priority="1050">
      <dataBar>
        <cfvo type="min"/>
        <cfvo type="max"/>
        <color rgb="FF008AEF"/>
      </dataBar>
    </cfRule>
  </conditionalFormatting>
  <conditionalFormatting sqref="Z56:Z57">
    <cfRule type="cellIs" priority="1030" operator="lessThan" dxfId="1" stopIfTrue="1">
      <formula>-0.01</formula>
    </cfRule>
    <cfRule type="cellIs" priority="1031" operator="greaterThan" dxfId="0" stopIfTrue="1">
      <formula>0.01</formula>
    </cfRule>
  </conditionalFormatting>
  <conditionalFormatting sqref="R56:T57">
    <cfRule type="dataBar" priority="1029">
      <dataBar>
        <cfvo type="min"/>
        <cfvo type="max"/>
        <color rgb="FF008AEF"/>
      </dataBar>
    </cfRule>
  </conditionalFormatting>
  <conditionalFormatting sqref="U56:U57">
    <cfRule type="dataBar" priority="1032">
      <dataBar>
        <cfvo type="min"/>
        <cfvo type="max"/>
        <color rgb="FF008AEF"/>
      </dataBar>
    </cfRule>
  </conditionalFormatting>
  <conditionalFormatting sqref="AB51">
    <cfRule type="cellIs" priority="1026" operator="greaterThan" dxfId="1">
      <formula>0.03</formula>
    </cfRule>
    <cfRule type="cellIs" priority="1027" operator="lessThan" dxfId="0" stopIfTrue="1">
      <formula>-0.03</formula>
    </cfRule>
  </conditionalFormatting>
  <conditionalFormatting sqref="AB55">
    <cfRule type="cellIs" priority="1024" operator="lessThan" dxfId="1">
      <formula>-0.03</formula>
    </cfRule>
    <cfRule type="cellIs" priority="1025" operator="greaterThan" dxfId="0" stopIfTrue="1">
      <formula>0.03</formula>
    </cfRule>
  </conditionalFormatting>
  <conditionalFormatting sqref="Z51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52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Z53:Z54">
    <cfRule type="cellIs" priority="1018" operator="lessThan" dxfId="1" stopIfTrue="1">
      <formula>-0.01</formula>
    </cfRule>
    <cfRule type="cellIs" priority="1019" operator="greaterThan" dxfId="0" stopIfTrue="1">
      <formula>0.01</formula>
    </cfRule>
  </conditionalFormatting>
  <conditionalFormatting sqref="Z55">
    <cfRule type="cellIs" priority="1016" operator="lessThan" dxfId="1" stopIfTrue="1">
      <formula>-0.01</formula>
    </cfRule>
    <cfRule type="cellIs" priority="1017" operator="greaterThan" dxfId="0" stopIfTrue="1">
      <formula>0.01</formula>
    </cfRule>
  </conditionalFormatting>
  <conditionalFormatting sqref="V51:V55">
    <cfRule type="cellIs" priority="1014" operator="greaterThan" dxfId="1">
      <formula>0.03</formula>
    </cfRule>
    <cfRule type="cellIs" priority="1015" operator="lessThan" dxfId="0" stopIfTrue="1">
      <formula>-0.03</formula>
    </cfRule>
  </conditionalFormatting>
  <conditionalFormatting sqref="R52:T52">
    <cfRule type="dataBar" priority="1013">
      <dataBar>
        <cfvo type="min"/>
        <cfvo type="max"/>
        <color rgb="FF008AEF"/>
      </dataBar>
    </cfRule>
  </conditionalFormatting>
  <conditionalFormatting sqref="R53:T54">
    <cfRule type="dataBar" priority="1012">
      <dataBar>
        <cfvo type="min"/>
        <cfvo type="max"/>
        <color rgb="FF008AEF"/>
      </dataBar>
    </cfRule>
  </conditionalFormatting>
  <conditionalFormatting sqref="R55:T55">
    <cfRule type="dataBar" priority="1011">
      <dataBar>
        <cfvo type="min"/>
        <cfvo type="max"/>
        <color rgb="FF008AEF"/>
      </dataBar>
    </cfRule>
  </conditionalFormatting>
  <conditionalFormatting sqref="R51:U51 U52:U55">
    <cfRule type="dataBar" priority="1028">
      <dataBar>
        <cfvo type="min"/>
        <cfvo type="max"/>
        <color rgb="FF008AEF"/>
      </dataBar>
    </cfRule>
  </conditionalFormatting>
  <conditionalFormatting sqref="Z67:Z68">
    <cfRule type="cellIs" priority="1008" operator="lessThan" dxfId="1" stopIfTrue="1">
      <formula>-0.01</formula>
    </cfRule>
    <cfRule type="cellIs" priority="1009" operator="greaterThan" dxfId="0" stopIfTrue="1">
      <formula>0.01</formula>
    </cfRule>
  </conditionalFormatting>
  <conditionalFormatting sqref="R67:T68">
    <cfRule type="dataBar" priority="1007">
      <dataBar>
        <cfvo type="min"/>
        <cfvo type="max"/>
        <color rgb="FF008AEF"/>
      </dataBar>
    </cfRule>
  </conditionalFormatting>
  <conditionalFormatting sqref="U67:U68">
    <cfRule type="dataBar" priority="1010">
      <dataBar>
        <cfvo type="min"/>
        <cfvo type="max"/>
        <color rgb="FF008AEF"/>
      </dataBar>
    </cfRule>
  </conditionalFormatting>
  <conditionalFormatting sqref="AB62">
    <cfRule type="cellIs" priority="1004" operator="greaterThan" dxfId="1">
      <formula>0.03</formula>
    </cfRule>
    <cfRule type="cellIs" priority="1005" operator="lessThan" dxfId="0" stopIfTrue="1">
      <formula>-0.03</formula>
    </cfRule>
  </conditionalFormatting>
  <conditionalFormatting sqref="AB66">
    <cfRule type="cellIs" priority="1002" operator="lessThan" dxfId="1">
      <formula>-0.03</formula>
    </cfRule>
    <cfRule type="cellIs" priority="1003" operator="greaterThan" dxfId="0" stopIfTrue="1">
      <formula>0.03</formula>
    </cfRule>
  </conditionalFormatting>
  <conditionalFormatting sqref="Z62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63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Z64:Z65">
    <cfRule type="cellIs" priority="996" operator="lessThan" dxfId="1" stopIfTrue="1">
      <formula>-0.01</formula>
    </cfRule>
    <cfRule type="cellIs" priority="997" operator="greaterThan" dxfId="0" stopIfTrue="1">
      <formula>0.01</formula>
    </cfRule>
  </conditionalFormatting>
  <conditionalFormatting sqref="Z66">
    <cfRule type="cellIs" priority="994" operator="lessThan" dxfId="1" stopIfTrue="1">
      <formula>-0.01</formula>
    </cfRule>
    <cfRule type="cellIs" priority="995" operator="greaterThan" dxfId="0" stopIfTrue="1">
      <formula>0.01</formula>
    </cfRule>
  </conditionalFormatting>
  <conditionalFormatting sqref="V62:V66">
    <cfRule type="cellIs" priority="992" operator="greaterThan" dxfId="1">
      <formula>0.03</formula>
    </cfRule>
    <cfRule type="cellIs" priority="993" operator="lessThan" dxfId="0" stopIfTrue="1">
      <formula>-0.03</formula>
    </cfRule>
  </conditionalFormatting>
  <conditionalFormatting sqref="R63:T63">
    <cfRule type="dataBar" priority="991">
      <dataBar>
        <cfvo type="min"/>
        <cfvo type="max"/>
        <color rgb="FF008AEF"/>
      </dataBar>
    </cfRule>
  </conditionalFormatting>
  <conditionalFormatting sqref="R64:T65">
    <cfRule type="dataBar" priority="990">
      <dataBar>
        <cfvo type="min"/>
        <cfvo type="max"/>
        <color rgb="FF008AEF"/>
      </dataBar>
    </cfRule>
  </conditionalFormatting>
  <conditionalFormatting sqref="R66:T66">
    <cfRule type="dataBar" priority="989">
      <dataBar>
        <cfvo type="min"/>
        <cfvo type="max"/>
        <color rgb="FF008AEF"/>
      </dataBar>
    </cfRule>
  </conditionalFormatting>
  <conditionalFormatting sqref="R62:U62 U63:U66">
    <cfRule type="dataBar" priority="1006">
      <dataBar>
        <cfvo type="min"/>
        <cfvo type="max"/>
        <color rgb="FF008AEF"/>
      </dataBar>
    </cfRule>
  </conditionalFormatting>
  <conditionalFormatting sqref="Z78:Z79">
    <cfRule type="cellIs" priority="986" operator="lessThan" dxfId="1" stopIfTrue="1">
      <formula>-0.01</formula>
    </cfRule>
    <cfRule type="cellIs" priority="987" operator="greaterThan" dxfId="0" stopIfTrue="1">
      <formula>0.01</formula>
    </cfRule>
  </conditionalFormatting>
  <conditionalFormatting sqref="R78:T79">
    <cfRule type="dataBar" priority="985">
      <dataBar>
        <cfvo type="min"/>
        <cfvo type="max"/>
        <color rgb="FF008AEF"/>
      </dataBar>
    </cfRule>
  </conditionalFormatting>
  <conditionalFormatting sqref="U78:U79">
    <cfRule type="dataBar" priority="988">
      <dataBar>
        <cfvo type="min"/>
        <cfvo type="max"/>
        <color rgb="FF008AEF"/>
      </dataBar>
    </cfRule>
  </conditionalFormatting>
  <conditionalFormatting sqref="AB73">
    <cfRule type="cellIs" priority="982" operator="greaterThan" dxfId="1">
      <formula>0.03</formula>
    </cfRule>
    <cfRule type="cellIs" priority="983" operator="lessThan" dxfId="0" stopIfTrue="1">
      <formula>-0.03</formula>
    </cfRule>
  </conditionalFormatting>
  <conditionalFormatting sqref="AB77">
    <cfRule type="cellIs" priority="980" operator="lessThan" dxfId="1">
      <formula>-0.03</formula>
    </cfRule>
    <cfRule type="cellIs" priority="981" operator="greaterThan" dxfId="0" stopIfTrue="1">
      <formula>0.03</formula>
    </cfRule>
  </conditionalFormatting>
  <conditionalFormatting sqref="Z73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74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Z75:Z76">
    <cfRule type="cellIs" priority="974" operator="lessThan" dxfId="1" stopIfTrue="1">
      <formula>-0.01</formula>
    </cfRule>
    <cfRule type="cellIs" priority="975" operator="greaterThan" dxfId="0" stopIfTrue="1">
      <formula>0.01</formula>
    </cfRule>
  </conditionalFormatting>
  <conditionalFormatting sqref="Z77">
    <cfRule type="cellIs" priority="972" operator="lessThan" dxfId="1" stopIfTrue="1">
      <formula>-0.01</formula>
    </cfRule>
    <cfRule type="cellIs" priority="973" operator="greaterThan" dxfId="0" stopIfTrue="1">
      <formula>0.01</formula>
    </cfRule>
  </conditionalFormatting>
  <conditionalFormatting sqref="V73:V77">
    <cfRule type="cellIs" priority="970" operator="greaterThan" dxfId="1">
      <formula>0.03</formula>
    </cfRule>
    <cfRule type="cellIs" priority="971" operator="lessThan" dxfId="0" stopIfTrue="1">
      <formula>-0.03</formula>
    </cfRule>
  </conditionalFormatting>
  <conditionalFormatting sqref="R74:T74">
    <cfRule type="dataBar" priority="969">
      <dataBar>
        <cfvo type="min"/>
        <cfvo type="max"/>
        <color rgb="FF008AEF"/>
      </dataBar>
    </cfRule>
  </conditionalFormatting>
  <conditionalFormatting sqref="R75:T76">
    <cfRule type="dataBar" priority="968">
      <dataBar>
        <cfvo type="min"/>
        <cfvo type="max"/>
        <color rgb="FF008AEF"/>
      </dataBar>
    </cfRule>
  </conditionalFormatting>
  <conditionalFormatting sqref="R77:T77">
    <cfRule type="dataBar" priority="967">
      <dataBar>
        <cfvo type="min"/>
        <cfvo type="max"/>
        <color rgb="FF008AEF"/>
      </dataBar>
    </cfRule>
  </conditionalFormatting>
  <conditionalFormatting sqref="R73:U73 U74:U77">
    <cfRule type="dataBar" priority="984">
      <dataBar>
        <cfvo type="min"/>
        <cfvo type="max"/>
        <color rgb="FF008AEF"/>
      </dataBar>
    </cfRule>
  </conditionalFormatting>
  <conditionalFormatting sqref="Z89:Z90">
    <cfRule type="cellIs" priority="964" operator="lessThan" dxfId="1" stopIfTrue="1">
      <formula>-0.01</formula>
    </cfRule>
    <cfRule type="cellIs" priority="965" operator="greaterThan" dxfId="0" stopIfTrue="1">
      <formula>0.01</formula>
    </cfRule>
  </conditionalFormatting>
  <conditionalFormatting sqref="U89:U90">
    <cfRule type="dataBar" priority="966">
      <dataBar>
        <cfvo type="min"/>
        <cfvo type="max"/>
        <color rgb="FF008AEF"/>
      </dataBar>
    </cfRule>
  </conditionalFormatting>
  <conditionalFormatting sqref="AB84">
    <cfRule type="cellIs" priority="961" operator="greaterThan" dxfId="1">
      <formula>0.03</formula>
    </cfRule>
    <cfRule type="cellIs" priority="962" operator="lessThan" dxfId="0" stopIfTrue="1">
      <formula>-0.03</formula>
    </cfRule>
  </conditionalFormatting>
  <conditionalFormatting sqref="AB88">
    <cfRule type="cellIs" priority="959" operator="lessThan" dxfId="1">
      <formula>-0.03</formula>
    </cfRule>
    <cfRule type="cellIs" priority="960" operator="greaterThan" dxfId="0" stopIfTrue="1">
      <formula>0.03</formula>
    </cfRule>
  </conditionalFormatting>
  <conditionalFormatting sqref="Z84">
    <cfRule type="cellIs" priority="957" operator="lessThan" dxfId="1" stopIfTrue="1">
      <formula>-0.01</formula>
    </cfRule>
    <cfRule type="cellIs" priority="958" operator="greaterThan" dxfId="0" stopIfTrue="1">
      <formula>0.01</formula>
    </cfRule>
  </conditionalFormatting>
  <conditionalFormatting sqref="Z85">
    <cfRule type="cellIs" priority="955" operator="lessThan" dxfId="1" stopIfTrue="1">
      <formula>-0.01</formula>
    </cfRule>
    <cfRule type="cellIs" priority="956" operator="greaterThan" dxfId="0" stopIfTrue="1">
      <formula>0.01</formula>
    </cfRule>
  </conditionalFormatting>
  <conditionalFormatting sqref="Z86:Z87">
    <cfRule type="cellIs" priority="953" operator="lessThan" dxfId="1" stopIfTrue="1">
      <formula>-0.01</formula>
    </cfRule>
    <cfRule type="cellIs" priority="954" operator="greaterThan" dxfId="0" stopIfTrue="1">
      <formula>0.01</formula>
    </cfRule>
  </conditionalFormatting>
  <conditionalFormatting sqref="Z88">
    <cfRule type="cellIs" priority="951" operator="lessThan" dxfId="1" stopIfTrue="1">
      <formula>-0.01</formula>
    </cfRule>
    <cfRule type="cellIs" priority="952" operator="greaterThan" dxfId="0" stopIfTrue="1">
      <formula>0.01</formula>
    </cfRule>
  </conditionalFormatting>
  <conditionalFormatting sqref="V84:V88">
    <cfRule type="cellIs" priority="949" operator="greaterThan" dxfId="1">
      <formula>0.03</formula>
    </cfRule>
    <cfRule type="cellIs" priority="950" operator="lessThan" dxfId="0" stopIfTrue="1">
      <formula>-0.03</formula>
    </cfRule>
  </conditionalFormatting>
  <conditionalFormatting sqref="U84:U88">
    <cfRule type="dataBar" priority="963">
      <dataBar>
        <cfvo type="min"/>
        <cfvo type="max"/>
        <color rgb="FF008AEF"/>
      </dataBar>
    </cfRule>
  </conditionalFormatting>
  <conditionalFormatting sqref="Z100:Z101">
    <cfRule type="cellIs" priority="946" operator="lessThan" dxfId="1" stopIfTrue="1">
      <formula>-0.01</formula>
    </cfRule>
    <cfRule type="cellIs" priority="947" operator="greaterThan" dxfId="0" stopIfTrue="1">
      <formula>0.01</formula>
    </cfRule>
  </conditionalFormatting>
  <conditionalFormatting sqref="U100:U101">
    <cfRule type="dataBar" priority="948">
      <dataBar>
        <cfvo type="min"/>
        <cfvo type="max"/>
        <color rgb="FF008AEF"/>
      </dataBar>
    </cfRule>
  </conditionalFormatting>
  <conditionalFormatting sqref="AB95">
    <cfRule type="cellIs" priority="943" operator="greaterThan" dxfId="1">
      <formula>0.03</formula>
    </cfRule>
    <cfRule type="cellIs" priority="944" operator="lessThan" dxfId="0" stopIfTrue="1">
      <formula>-0.03</formula>
    </cfRule>
  </conditionalFormatting>
  <conditionalFormatting sqref="AB99">
    <cfRule type="cellIs" priority="941" operator="lessThan" dxfId="1">
      <formula>-0.03</formula>
    </cfRule>
    <cfRule type="cellIs" priority="942" operator="greaterThan" dxfId="0" stopIfTrue="1">
      <formula>0.03</formula>
    </cfRule>
  </conditionalFormatting>
  <conditionalFormatting sqref="Z95">
    <cfRule type="cellIs" priority="939" operator="lessThan" dxfId="1" stopIfTrue="1">
      <formula>-0.01</formula>
    </cfRule>
    <cfRule type="cellIs" priority="940" operator="greaterThan" dxfId="0" stopIfTrue="1">
      <formula>0.01</formula>
    </cfRule>
  </conditionalFormatting>
  <conditionalFormatting sqref="Z96">
    <cfRule type="cellIs" priority="937" operator="lessThan" dxfId="1" stopIfTrue="1">
      <formula>-0.01</formula>
    </cfRule>
    <cfRule type="cellIs" priority="938" operator="greaterThan" dxfId="0" stopIfTrue="1">
      <formula>0.01</formula>
    </cfRule>
  </conditionalFormatting>
  <conditionalFormatting sqref="Z97:Z98">
    <cfRule type="cellIs" priority="935" operator="lessThan" dxfId="1" stopIfTrue="1">
      <formula>-0.01</formula>
    </cfRule>
    <cfRule type="cellIs" priority="936" operator="greaterThan" dxfId="0" stopIfTrue="1">
      <formula>0.01</formula>
    </cfRule>
  </conditionalFormatting>
  <conditionalFormatting sqref="Z99">
    <cfRule type="cellIs" priority="933" operator="lessThan" dxfId="1" stopIfTrue="1">
      <formula>-0.01</formula>
    </cfRule>
    <cfRule type="cellIs" priority="934" operator="greaterThan" dxfId="0" stopIfTrue="1">
      <formula>0.01</formula>
    </cfRule>
  </conditionalFormatting>
  <conditionalFormatting sqref="V95:V99">
    <cfRule type="cellIs" priority="931" operator="greaterThan" dxfId="1">
      <formula>0.03</formula>
    </cfRule>
    <cfRule type="cellIs" priority="932" operator="lessThan" dxfId="0" stopIfTrue="1">
      <formula>-0.03</formula>
    </cfRule>
  </conditionalFormatting>
  <conditionalFormatting sqref="U95:U99">
    <cfRule type="dataBar" priority="945">
      <dataBar>
        <cfvo type="min"/>
        <cfvo type="max"/>
        <color rgb="FF008AEF"/>
      </dataBar>
    </cfRule>
  </conditionalFormatting>
  <conditionalFormatting sqref="AB116">
    <cfRule type="cellIs" priority="907" operator="greaterThan" dxfId="1">
      <formula>0.03</formula>
    </cfRule>
    <cfRule type="cellIs" priority="908" operator="lessThan" dxfId="0" stopIfTrue="1">
      <formula>-0.03</formula>
    </cfRule>
  </conditionalFormatting>
  <conditionalFormatting sqref="AB119">
    <cfRule type="cellIs" priority="905" operator="lessThan" dxfId="1">
      <formula>-0.03</formula>
    </cfRule>
    <cfRule type="cellIs" priority="906" operator="greaterThan" dxfId="0" stopIfTrue="1">
      <formula>0.03</formula>
    </cfRule>
  </conditionalFormatting>
  <conditionalFormatting sqref="AB126">
    <cfRule type="cellIs" priority="903" operator="greaterThan" dxfId="1">
      <formula>0.03</formula>
    </cfRule>
    <cfRule type="cellIs" priority="904" operator="lessThan" dxfId="0" stopIfTrue="1">
      <formula>-0.03</formula>
    </cfRule>
  </conditionalFormatting>
  <conditionalFormatting sqref="AB129">
    <cfRule type="cellIs" priority="901" operator="lessThan" dxfId="1">
      <formula>-0.03</formula>
    </cfRule>
    <cfRule type="cellIs" priority="902" operator="greaterThan" dxfId="0" stopIfTrue="1">
      <formula>0.03</formula>
    </cfRule>
  </conditionalFormatting>
  <conditionalFormatting sqref="AB136">
    <cfRule type="cellIs" priority="899" operator="greaterThan" dxfId="1">
      <formula>0.03</formula>
    </cfRule>
    <cfRule type="cellIs" priority="900" operator="lessThan" dxfId="0" stopIfTrue="1">
      <formula>-0.03</formula>
    </cfRule>
  </conditionalFormatting>
  <conditionalFormatting sqref="AB139">
    <cfRule type="cellIs" priority="897" operator="lessThan" dxfId="1">
      <formula>-0.03</formula>
    </cfRule>
    <cfRule type="cellIs" priority="898" operator="greaterThan" dxfId="0" stopIfTrue="1">
      <formula>0.03</formula>
    </cfRule>
  </conditionalFormatting>
  <conditionalFormatting sqref="AB146">
    <cfRule type="cellIs" priority="895" operator="greaterThan" dxfId="1">
      <formula>0.03</formula>
    </cfRule>
    <cfRule type="cellIs" priority="896" operator="lessThan" dxfId="0" stopIfTrue="1">
      <formula>-0.03</formula>
    </cfRule>
  </conditionalFormatting>
  <conditionalFormatting sqref="AB149">
    <cfRule type="cellIs" priority="893" operator="lessThan" dxfId="1">
      <formula>-0.03</formula>
    </cfRule>
    <cfRule type="cellIs" priority="894" operator="greaterThan" dxfId="0" stopIfTrue="1">
      <formula>0.03</formula>
    </cfRule>
  </conditionalFormatting>
  <conditionalFormatting sqref="AB156">
    <cfRule type="cellIs" priority="891" operator="greaterThan" dxfId="1">
      <formula>0.03</formula>
    </cfRule>
    <cfRule type="cellIs" priority="892" operator="lessThan" dxfId="0" stopIfTrue="1">
      <formula>-0.03</formula>
    </cfRule>
  </conditionalFormatting>
  <conditionalFormatting sqref="AB159">
    <cfRule type="cellIs" priority="889" operator="lessThan" dxfId="1">
      <formula>-0.03</formula>
    </cfRule>
    <cfRule type="cellIs" priority="890" operator="greaterThan" dxfId="0" stopIfTrue="1">
      <formula>0.03</formula>
    </cfRule>
  </conditionalFormatting>
  <conditionalFormatting sqref="AB166">
    <cfRule type="cellIs" priority="887" operator="greaterThan" dxfId="1">
      <formula>0.03</formula>
    </cfRule>
    <cfRule type="cellIs" priority="888" operator="lessThan" dxfId="0" stopIfTrue="1">
      <formula>-0.03</formula>
    </cfRule>
  </conditionalFormatting>
  <conditionalFormatting sqref="AB169">
    <cfRule type="cellIs" priority="885" operator="lessThan" dxfId="1">
      <formula>-0.03</formula>
    </cfRule>
    <cfRule type="cellIs" priority="886" operator="greaterThan" dxfId="0" stopIfTrue="1">
      <formula>0.03</formula>
    </cfRule>
  </conditionalFormatting>
  <conditionalFormatting sqref="AB176">
    <cfRule type="cellIs" priority="883" operator="greaterThan" dxfId="1">
      <formula>0.03</formula>
    </cfRule>
    <cfRule type="cellIs" priority="884" operator="lessThan" dxfId="0" stopIfTrue="1">
      <formula>-0.03</formula>
    </cfRule>
  </conditionalFormatting>
  <conditionalFormatting sqref="AB179">
    <cfRule type="cellIs" priority="881" operator="lessThan" dxfId="1">
      <formula>-0.03</formula>
    </cfRule>
    <cfRule type="cellIs" priority="882" operator="greaterThan" dxfId="0" stopIfTrue="1">
      <formula>0.03</formula>
    </cfRule>
  </conditionalFormatting>
  <conditionalFormatting sqref="AB186">
    <cfRule type="cellIs" priority="879" operator="greaterThan" dxfId="1">
      <formula>0.03</formula>
    </cfRule>
    <cfRule type="cellIs" priority="880" operator="lessThan" dxfId="0" stopIfTrue="1">
      <formula>-0.03</formula>
    </cfRule>
  </conditionalFormatting>
  <conditionalFormatting sqref="AB189">
    <cfRule type="cellIs" priority="877" operator="lessThan" dxfId="1">
      <formula>-0.03</formula>
    </cfRule>
    <cfRule type="cellIs" priority="878" operator="greaterThan" dxfId="0" stopIfTrue="1">
      <formula>0.03</formula>
    </cfRule>
  </conditionalFormatting>
  <conditionalFormatting sqref="AB196">
    <cfRule type="cellIs" priority="875" operator="greaterThan" dxfId="1">
      <formula>0.03</formula>
    </cfRule>
    <cfRule type="cellIs" priority="876" operator="lessThan" dxfId="0" stopIfTrue="1">
      <formula>-0.03</formula>
    </cfRule>
  </conditionalFormatting>
  <conditionalFormatting sqref="AB199">
    <cfRule type="cellIs" priority="873" operator="lessThan" dxfId="1">
      <formula>-0.03</formula>
    </cfRule>
    <cfRule type="cellIs" priority="874" operator="greaterThan" dxfId="0" stopIfTrue="1">
      <formula>0.03</formula>
    </cfRule>
  </conditionalFormatting>
  <conditionalFormatting sqref="AB206">
    <cfRule type="cellIs" priority="871" operator="greaterThan" dxfId="1">
      <formula>0.03</formula>
    </cfRule>
    <cfRule type="cellIs" priority="872" operator="lessThan" dxfId="0" stopIfTrue="1">
      <formula>-0.03</formula>
    </cfRule>
  </conditionalFormatting>
  <conditionalFormatting sqref="AB209">
    <cfRule type="cellIs" priority="869" operator="lessThan" dxfId="1">
      <formula>-0.03</formula>
    </cfRule>
    <cfRule type="cellIs" priority="870" operator="greaterThan" dxfId="0" stopIfTrue="1">
      <formula>0.03</formula>
    </cfRule>
  </conditionalFormatting>
  <conditionalFormatting sqref="Z220:Z221">
    <cfRule type="cellIs" priority="866" operator="lessThan" dxfId="1" stopIfTrue="1">
      <formula>-0.01</formula>
    </cfRule>
    <cfRule type="cellIs" priority="867" operator="greaterThan" dxfId="0" stopIfTrue="1">
      <formula>0.01</formula>
    </cfRule>
  </conditionalFormatting>
  <conditionalFormatting sqref="I220:I221">
    <cfRule type="dataBar" priority="865">
      <dataBar>
        <cfvo type="min"/>
        <cfvo type="max"/>
        <color rgb="FF008AEF"/>
      </dataBar>
    </cfRule>
  </conditionalFormatting>
  <conditionalFormatting sqref="R220:T221">
    <cfRule type="dataBar" priority="864">
      <dataBar>
        <cfvo type="min"/>
        <cfvo type="max"/>
        <color rgb="FF008AEF"/>
      </dataBar>
    </cfRule>
  </conditionalFormatting>
  <conditionalFormatting sqref="U220:U221">
    <cfRule type="dataBar" priority="868">
      <dataBar>
        <cfvo type="min"/>
        <cfvo type="max"/>
        <color rgb="FF008AEF"/>
      </dataBar>
    </cfRule>
  </conditionalFormatting>
  <conditionalFormatting sqref="AB216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219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I216">
    <cfRule type="dataBar" priority="858">
      <dataBar>
        <cfvo type="min"/>
        <cfvo type="max"/>
        <color rgb="FF008AEF"/>
      </dataBar>
    </cfRule>
  </conditionalFormatting>
  <conditionalFormatting sqref="Z216">
    <cfRule type="cellIs" priority="856" operator="lessThan" dxfId="1" stopIfTrue="1">
      <formula>-0.01</formula>
    </cfRule>
    <cfRule type="cellIs" priority="857" operator="greaterThan" dxfId="0" stopIfTrue="1">
      <formula>0.01</formula>
    </cfRule>
  </conditionalFormatting>
  <conditionalFormatting sqref="Z217">
    <cfRule type="cellIs" priority="854" operator="lessThan" dxfId="1" stopIfTrue="1">
      <formula>-0.01</formula>
    </cfRule>
    <cfRule type="cellIs" priority="855" operator="greaterThan" dxfId="0" stopIfTrue="1">
      <formula>0.01</formula>
    </cfRule>
  </conditionalFormatting>
  <conditionalFormatting sqref="Z218">
    <cfRule type="cellIs" priority="852" operator="lessThan" dxfId="1" stopIfTrue="1">
      <formula>-0.01</formula>
    </cfRule>
    <cfRule type="cellIs" priority="853" operator="greaterThan" dxfId="0" stopIfTrue="1">
      <formula>0.01</formula>
    </cfRule>
  </conditionalFormatting>
  <conditionalFormatting sqref="Z219">
    <cfRule type="cellIs" priority="850" operator="lessThan" dxfId="1" stopIfTrue="1">
      <formula>-0.01</formula>
    </cfRule>
    <cfRule type="cellIs" priority="851" operator="greaterThan" dxfId="0" stopIfTrue="1">
      <formula>0.01</formula>
    </cfRule>
  </conditionalFormatting>
  <conditionalFormatting sqref="V216:V219">
    <cfRule type="cellIs" priority="848" operator="greaterThan" dxfId="1">
      <formula>0.03</formula>
    </cfRule>
    <cfRule type="cellIs" priority="849" operator="lessThan" dxfId="0" stopIfTrue="1">
      <formula>-0.03</formula>
    </cfRule>
  </conditionalFormatting>
  <conditionalFormatting sqref="I217">
    <cfRule type="dataBar" priority="847">
      <dataBar>
        <cfvo type="min"/>
        <cfvo type="max"/>
        <color rgb="FF008AEF"/>
      </dataBar>
    </cfRule>
  </conditionalFormatting>
  <conditionalFormatting sqref="I218">
    <cfRule type="dataBar" priority="846">
      <dataBar>
        <cfvo type="min"/>
        <cfvo type="max"/>
        <color rgb="FF008AEF"/>
      </dataBar>
    </cfRule>
  </conditionalFormatting>
  <conditionalFormatting sqref="I219">
    <cfRule type="dataBar" priority="845">
      <dataBar>
        <cfvo type="min"/>
        <cfvo type="max"/>
        <color rgb="FF008AEF"/>
      </dataBar>
    </cfRule>
  </conditionalFormatting>
  <conditionalFormatting sqref="R217:T217">
    <cfRule type="dataBar" priority="844">
      <dataBar>
        <cfvo type="min"/>
        <cfvo type="max"/>
        <color rgb="FF008AEF"/>
      </dataBar>
    </cfRule>
  </conditionalFormatting>
  <conditionalFormatting sqref="R218:T218">
    <cfRule type="dataBar" priority="843">
      <dataBar>
        <cfvo type="min"/>
        <cfvo type="max"/>
        <color rgb="FF008AEF"/>
      </dataBar>
    </cfRule>
  </conditionalFormatting>
  <conditionalFormatting sqref="R219:T219">
    <cfRule type="dataBar" priority="842">
      <dataBar>
        <cfvo type="min"/>
        <cfvo type="max"/>
        <color rgb="FF008AEF"/>
      </dataBar>
    </cfRule>
  </conditionalFormatting>
  <conditionalFormatting sqref="R216:U216 U217:U219">
    <cfRule type="dataBar" priority="863">
      <dataBar>
        <cfvo type="min"/>
        <cfvo type="max"/>
        <color rgb="FF008AEF"/>
      </dataBar>
    </cfRule>
  </conditionalFormatting>
  <conditionalFormatting sqref="I35">
    <cfRule type="dataBar" priority="827">
      <dataBar>
        <cfvo type="min"/>
        <cfvo type="max"/>
        <color rgb="FF008AEF"/>
      </dataBar>
    </cfRule>
  </conditionalFormatting>
  <conditionalFormatting sqref="I27">
    <cfRule type="dataBar" priority="826">
      <dataBar>
        <cfvo type="min"/>
        <cfvo type="max"/>
        <color rgb="FF008AEF"/>
      </dataBar>
    </cfRule>
  </conditionalFormatting>
  <conditionalFormatting sqref="I28">
    <cfRule type="dataBar" priority="825">
      <dataBar>
        <cfvo type="min"/>
        <cfvo type="max"/>
        <color rgb="FF008AEF"/>
      </dataBar>
    </cfRule>
  </conditionalFormatting>
  <conditionalFormatting sqref="I45:I46">
    <cfRule type="dataBar" priority="822">
      <dataBar>
        <cfvo type="min"/>
        <cfvo type="max"/>
        <color rgb="FF008AEF"/>
      </dataBar>
    </cfRule>
  </conditionalFormatting>
  <conditionalFormatting sqref="I40">
    <cfRule type="dataBar" priority="821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41">
    <cfRule type="dataBar" priority="820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42:I43">
    <cfRule type="dataBar" priority="819">
      <dataBar>
        <cfvo type="min"/>
        <cfvo type="max"/>
        <color rgb="FF008AEF"/>
      </dataBar>
    </cfRule>
  </conditionalFormatting>
  <conditionalFormatting sqref="I44">
    <cfRule type="dataBar" priority="818">
      <dataBar>
        <cfvo type="min"/>
        <cfvo type="max"/>
        <color rgb="FF008AEF"/>
      </dataBar>
    </cfRule>
  </conditionalFormatting>
  <conditionalFormatting sqref="I42:I44">
    <cfRule type="dataBar" priority="817">
      <dataBar>
        <cfvo type="min"/>
        <cfvo type="max"/>
        <color rgb="FF008AEF"/>
      </dataBar>
    </cfRule>
  </conditionalFormatting>
  <conditionalFormatting sqref="I38">
    <cfRule type="dataBar" priority="816">
      <dataBar>
        <cfvo type="min"/>
        <cfvo type="max"/>
        <color rgb="FF008AEF"/>
      </dataBar>
    </cfRule>
  </conditionalFormatting>
  <conditionalFormatting sqref="I39">
    <cfRule type="dataBar" priority="815">
      <dataBar>
        <cfvo type="min"/>
        <cfvo type="max"/>
        <color rgb="FF008AEF"/>
      </dataBar>
    </cfRule>
  </conditionalFormatting>
  <conditionalFormatting sqref="I56:I57">
    <cfRule type="dataBar" priority="810">
      <dataBar>
        <cfvo type="min"/>
        <cfvo type="max"/>
        <color rgb="FF008AEF"/>
      </dataBar>
    </cfRule>
  </conditionalFormatting>
  <conditionalFormatting sqref="I51">
    <cfRule type="dataBar" priority="809">
      <dataBar>
        <cfvo type="min"/>
        <cfvo type="max"/>
        <color rgb="FF008AEF"/>
      </dataBar>
    </cfRule>
    <cfRule type="dataBar" priority="802">
      <dataBar>
        <cfvo type="min"/>
        <cfvo type="max"/>
        <color rgb="FF008AEF"/>
      </dataBar>
    </cfRule>
  </conditionalFormatting>
  <conditionalFormatting sqref="I52">
    <cfRule type="dataBar" priority="808">
      <dataBar>
        <cfvo type="min"/>
        <cfvo type="max"/>
        <color rgb="FF008AEF"/>
      </dataBar>
    </cfRule>
    <cfRule type="dataBar" priority="801">
      <dataBar>
        <cfvo type="min"/>
        <cfvo type="max"/>
        <color rgb="FF008AEF"/>
      </dataBar>
    </cfRule>
  </conditionalFormatting>
  <conditionalFormatting sqref="I53:I54">
    <cfRule type="dataBar" priority="807">
      <dataBar>
        <cfvo type="min"/>
        <cfvo type="max"/>
        <color rgb="FF008AEF"/>
      </dataBar>
    </cfRule>
  </conditionalFormatting>
  <conditionalFormatting sqref="I55">
    <cfRule type="dataBar" priority="806">
      <dataBar>
        <cfvo type="min"/>
        <cfvo type="max"/>
        <color rgb="FF008AEF"/>
      </dataBar>
    </cfRule>
  </conditionalFormatting>
  <conditionalFormatting sqref="I53:I55">
    <cfRule type="dataBar" priority="805">
      <dataBar>
        <cfvo type="min"/>
        <cfvo type="max"/>
        <color rgb="FF008AEF"/>
      </dataBar>
    </cfRule>
  </conditionalFormatting>
  <conditionalFormatting sqref="I49">
    <cfRule type="dataBar" priority="804">
      <dataBar>
        <cfvo type="min"/>
        <cfvo type="max"/>
        <color rgb="FF008AEF"/>
      </dataBar>
    </cfRule>
  </conditionalFormatting>
  <conditionalFormatting sqref="I50">
    <cfRule type="dataBar" priority="803">
      <dataBar>
        <cfvo type="min"/>
        <cfvo type="max"/>
        <color rgb="FF008AEF"/>
      </dataBar>
    </cfRule>
  </conditionalFormatting>
  <conditionalFormatting sqref="I68">
    <cfRule type="dataBar" priority="784">
      <dataBar>
        <cfvo type="min"/>
        <cfvo type="max"/>
        <color rgb="FF008AEF"/>
      </dataBar>
    </cfRule>
  </conditionalFormatting>
  <conditionalFormatting sqref="I60">
    <cfRule type="dataBar" priority="783">
      <dataBar>
        <cfvo type="min"/>
        <cfvo type="max"/>
        <color rgb="FF008AEF"/>
      </dataBar>
    </cfRule>
  </conditionalFormatting>
  <conditionalFormatting sqref="I61">
    <cfRule type="dataBar" priority="782">
      <dataBar>
        <cfvo type="min"/>
        <cfvo type="max"/>
        <color rgb="FF008AEF"/>
      </dataBar>
    </cfRule>
  </conditionalFormatting>
  <conditionalFormatting sqref="I79">
    <cfRule type="dataBar" priority="779">
      <dataBar>
        <cfvo type="min"/>
        <cfvo type="max"/>
        <color rgb="FF008AEF"/>
      </dataBar>
    </cfRule>
  </conditionalFormatting>
  <conditionalFormatting sqref="I71">
    <cfRule type="dataBar" priority="778">
      <dataBar>
        <cfvo type="min"/>
        <cfvo type="max"/>
        <color rgb="FF008AEF"/>
      </dataBar>
    </cfRule>
  </conditionalFormatting>
  <conditionalFormatting sqref="I72">
    <cfRule type="dataBar" priority="777">
      <dataBar>
        <cfvo type="min"/>
        <cfvo type="max"/>
        <color rgb="FF008AEF"/>
      </dataBar>
    </cfRule>
  </conditionalFormatting>
  <conditionalFormatting sqref="R89:T90">
    <cfRule type="dataBar" priority="774">
      <dataBar>
        <cfvo type="min"/>
        <cfvo type="max"/>
        <color rgb="FF008AEF"/>
      </dataBar>
    </cfRule>
  </conditionalFormatting>
  <conditionalFormatting sqref="R85:T85">
    <cfRule type="dataBar" priority="772">
      <dataBar>
        <cfvo type="min"/>
        <cfvo type="max"/>
        <color rgb="FF008AEF"/>
      </dataBar>
    </cfRule>
  </conditionalFormatting>
  <conditionalFormatting sqref="R86:T87">
    <cfRule type="dataBar" priority="771">
      <dataBar>
        <cfvo type="min"/>
        <cfvo type="max"/>
        <color rgb="FF008AEF"/>
      </dataBar>
    </cfRule>
  </conditionalFormatting>
  <conditionalFormatting sqref="R88:T88">
    <cfRule type="dataBar" priority="770">
      <dataBar>
        <cfvo type="min"/>
        <cfvo type="max"/>
        <color rgb="FF008AEF"/>
      </dataBar>
    </cfRule>
  </conditionalFormatting>
  <conditionalFormatting sqref="R84:T84">
    <cfRule type="dataBar" priority="773">
      <dataBar>
        <cfvo type="min"/>
        <cfvo type="max"/>
        <color rgb="FF008AEF"/>
      </dataBar>
    </cfRule>
  </conditionalFormatting>
  <conditionalFormatting sqref="I90">
    <cfRule type="dataBar" priority="769">
      <dataBar>
        <cfvo type="min"/>
        <cfvo type="max"/>
        <color rgb="FF008AEF"/>
      </dataBar>
    </cfRule>
  </conditionalFormatting>
  <conditionalFormatting sqref="I82">
    <cfRule type="dataBar" priority="768">
      <dataBar>
        <cfvo type="min"/>
        <cfvo type="max"/>
        <color rgb="FF008AEF"/>
      </dataBar>
    </cfRule>
  </conditionalFormatting>
  <conditionalFormatting sqref="I83">
    <cfRule type="dataBar" priority="767">
      <dataBar>
        <cfvo type="min"/>
        <cfvo type="max"/>
        <color rgb="FF008AEF"/>
      </dataBar>
    </cfRule>
  </conditionalFormatting>
  <conditionalFormatting sqref="R100:T101">
    <cfRule type="dataBar" priority="764">
      <dataBar>
        <cfvo type="min"/>
        <cfvo type="max"/>
        <color rgb="FF008AEF"/>
      </dataBar>
    </cfRule>
  </conditionalFormatting>
  <conditionalFormatting sqref="R96:T96">
    <cfRule type="dataBar" priority="762">
      <dataBar>
        <cfvo type="min"/>
        <cfvo type="max"/>
        <color rgb="FF008AEF"/>
      </dataBar>
    </cfRule>
  </conditionalFormatting>
  <conditionalFormatting sqref="R97:T98">
    <cfRule type="dataBar" priority="761">
      <dataBar>
        <cfvo type="min"/>
        <cfvo type="max"/>
        <color rgb="FF008AEF"/>
      </dataBar>
    </cfRule>
  </conditionalFormatting>
  <conditionalFormatting sqref="R99:T99">
    <cfRule type="dataBar" priority="760">
      <dataBar>
        <cfvo type="min"/>
        <cfvo type="max"/>
        <color rgb="FF008AEF"/>
      </dataBar>
    </cfRule>
  </conditionalFormatting>
  <conditionalFormatting sqref="R95:T95">
    <cfRule type="dataBar" priority="763">
      <dataBar>
        <cfvo type="min"/>
        <cfvo type="max"/>
        <color rgb="FF008AEF"/>
      </dataBar>
    </cfRule>
  </conditionalFormatting>
  <conditionalFormatting sqref="I101">
    <cfRule type="dataBar" priority="759">
      <dataBar>
        <cfvo type="min"/>
        <cfvo type="max"/>
        <color rgb="FF008AEF"/>
      </dataBar>
    </cfRule>
  </conditionalFormatting>
  <conditionalFormatting sqref="I93">
    <cfRule type="dataBar" priority="758">
      <dataBar>
        <cfvo type="min"/>
        <cfvo type="max"/>
        <color rgb="FF008AEF"/>
      </dataBar>
    </cfRule>
  </conditionalFormatting>
  <conditionalFormatting sqref="I94">
    <cfRule type="dataBar" priority="757">
      <dataBar>
        <cfvo type="min"/>
        <cfvo type="max"/>
        <color rgb="FF008AEF"/>
      </dataBar>
    </cfRule>
  </conditionalFormatting>
  <conditionalFormatting sqref="I34">
    <cfRule type="dataBar" priority="740">
      <dataBar>
        <cfvo type="min"/>
        <cfvo type="max"/>
        <color rgb="FF008AEF"/>
      </dataBar>
    </cfRule>
  </conditionalFormatting>
  <conditionalFormatting sqref="I29">
    <cfRule type="dataBar" priority="739">
      <dataBar>
        <cfvo type="min"/>
        <cfvo type="max"/>
        <color rgb="FF008AEF"/>
      </dataBar>
    </cfRule>
    <cfRule type="dataBar" priority="734">
      <dataBar>
        <cfvo type="min"/>
        <cfvo type="max"/>
        <color rgb="FF008AEF"/>
      </dataBar>
    </cfRule>
  </conditionalFormatting>
  <conditionalFormatting sqref="I30">
    <cfRule type="dataBar" priority="738">
      <dataBar>
        <cfvo type="min"/>
        <cfvo type="max"/>
        <color rgb="FF008AEF"/>
      </dataBar>
    </cfRule>
    <cfRule type="dataBar" priority="733">
      <dataBar>
        <cfvo type="min"/>
        <cfvo type="max"/>
        <color rgb="FF008AEF"/>
      </dataBar>
    </cfRule>
  </conditionalFormatting>
  <conditionalFormatting sqref="I31:I32">
    <cfRule type="dataBar" priority="737">
      <dataBar>
        <cfvo type="min"/>
        <cfvo type="max"/>
        <color rgb="FF008AEF"/>
      </dataBar>
    </cfRule>
  </conditionalFormatting>
  <conditionalFormatting sqref="I33">
    <cfRule type="dataBar" priority="736">
      <dataBar>
        <cfvo type="min"/>
        <cfvo type="max"/>
        <color rgb="FF008AEF"/>
      </dataBar>
    </cfRule>
  </conditionalFormatting>
  <conditionalFormatting sqref="I31:I33">
    <cfRule type="dataBar" priority="735">
      <dataBar>
        <cfvo type="min"/>
        <cfvo type="max"/>
        <color rgb="FF008AEF"/>
      </dataBar>
    </cfRule>
  </conditionalFormatting>
  <conditionalFormatting sqref="I67">
    <cfRule type="dataBar" priority="668">
      <dataBar>
        <cfvo type="min"/>
        <cfvo type="max"/>
        <color rgb="FF008AEF"/>
      </dataBar>
    </cfRule>
  </conditionalFormatting>
  <conditionalFormatting sqref="I62">
    <cfRule type="dataBar" priority="667">
      <dataBar>
        <cfvo type="min"/>
        <cfvo type="max"/>
        <color rgb="FF008AEF"/>
      </dataBar>
    </cfRule>
    <cfRule type="dataBar" priority="662">
      <dataBar>
        <cfvo type="min"/>
        <cfvo type="max"/>
        <color rgb="FF008AEF"/>
      </dataBar>
    </cfRule>
  </conditionalFormatting>
  <conditionalFormatting sqref="I63">
    <cfRule type="dataBar" priority="666">
      <dataBar>
        <cfvo type="min"/>
        <cfvo type="max"/>
        <color rgb="FF008AEF"/>
      </dataBar>
    </cfRule>
    <cfRule type="dataBar" priority="661">
      <dataBar>
        <cfvo type="min"/>
        <cfvo type="max"/>
        <color rgb="FF008AEF"/>
      </dataBar>
    </cfRule>
  </conditionalFormatting>
  <conditionalFormatting sqref="I64:I65">
    <cfRule type="dataBar" priority="665">
      <dataBar>
        <cfvo type="min"/>
        <cfvo type="max"/>
        <color rgb="FF008AEF"/>
      </dataBar>
    </cfRule>
  </conditionalFormatting>
  <conditionalFormatting sqref="I66">
    <cfRule type="dataBar" priority="664">
      <dataBar>
        <cfvo type="min"/>
        <cfvo type="max"/>
        <color rgb="FF008AEF"/>
      </dataBar>
    </cfRule>
  </conditionalFormatting>
  <conditionalFormatting sqref="I64:I66">
    <cfRule type="dataBar" priority="663">
      <dataBar>
        <cfvo type="min"/>
        <cfvo type="max"/>
        <color rgb="FF008AEF"/>
      </dataBar>
    </cfRule>
  </conditionalFormatting>
  <conditionalFormatting sqref="I78">
    <cfRule type="dataBar" priority="644">
      <dataBar>
        <cfvo type="min"/>
        <cfvo type="max"/>
        <color rgb="FF008AEF"/>
      </dataBar>
    </cfRule>
  </conditionalFormatting>
  <conditionalFormatting sqref="I73">
    <cfRule type="dataBar" priority="643">
      <dataBar>
        <cfvo type="min"/>
        <cfvo type="max"/>
        <color rgb="FF008AEF"/>
      </dataBar>
    </cfRule>
    <cfRule type="dataBar" priority="638">
      <dataBar>
        <cfvo type="min"/>
        <cfvo type="max"/>
        <color rgb="FF008AEF"/>
      </dataBar>
    </cfRule>
  </conditionalFormatting>
  <conditionalFormatting sqref="I74">
    <cfRule type="dataBar" priority="642">
      <dataBar>
        <cfvo type="min"/>
        <cfvo type="max"/>
        <color rgb="FF008AEF"/>
      </dataBar>
    </cfRule>
    <cfRule type="dataBar" priority="637">
      <dataBar>
        <cfvo type="min"/>
        <cfvo type="max"/>
        <color rgb="FF008AEF"/>
      </dataBar>
    </cfRule>
  </conditionalFormatting>
  <conditionalFormatting sqref="I75:I76">
    <cfRule type="dataBar" priority="641">
      <dataBar>
        <cfvo type="min"/>
        <cfvo type="max"/>
        <color rgb="FF008AEF"/>
      </dataBar>
    </cfRule>
  </conditionalFormatting>
  <conditionalFormatting sqref="I77">
    <cfRule type="dataBar" priority="640">
      <dataBar>
        <cfvo type="min"/>
        <cfvo type="max"/>
        <color rgb="FF008AEF"/>
      </dataBar>
    </cfRule>
  </conditionalFormatting>
  <conditionalFormatting sqref="I75:I77">
    <cfRule type="dataBar" priority="639">
      <dataBar>
        <cfvo type="min"/>
        <cfvo type="max"/>
        <color rgb="FF008AEF"/>
      </dataBar>
    </cfRule>
  </conditionalFormatting>
  <conditionalFormatting sqref="I89">
    <cfRule type="dataBar" priority="620">
      <dataBar>
        <cfvo type="min"/>
        <cfvo type="max"/>
        <color rgb="FF008AEF"/>
      </dataBar>
    </cfRule>
  </conditionalFormatting>
  <conditionalFormatting sqref="I84">
    <cfRule type="dataBar" priority="619">
      <dataBar>
        <cfvo type="min"/>
        <cfvo type="max"/>
        <color rgb="FF008AEF"/>
      </dataBar>
    </cfRule>
    <cfRule type="dataBar" priority="614">
      <dataBar>
        <cfvo type="min"/>
        <cfvo type="max"/>
        <color rgb="FF008AEF"/>
      </dataBar>
    </cfRule>
  </conditionalFormatting>
  <conditionalFormatting sqref="I85">
    <cfRule type="dataBar" priority="618">
      <dataBar>
        <cfvo type="min"/>
        <cfvo type="max"/>
        <color rgb="FF008AEF"/>
      </dataBar>
    </cfRule>
    <cfRule type="dataBar" priority="613">
      <dataBar>
        <cfvo type="min"/>
        <cfvo type="max"/>
        <color rgb="FF008AEF"/>
      </dataBar>
    </cfRule>
  </conditionalFormatting>
  <conditionalFormatting sqref="I86:I87">
    <cfRule type="dataBar" priority="617">
      <dataBar>
        <cfvo type="min"/>
        <cfvo type="max"/>
        <color rgb="FF008AEF"/>
      </dataBar>
    </cfRule>
  </conditionalFormatting>
  <conditionalFormatting sqref="I88">
    <cfRule type="dataBar" priority="616">
      <dataBar>
        <cfvo type="min"/>
        <cfvo type="max"/>
        <color rgb="FF008AEF"/>
      </dataBar>
    </cfRule>
  </conditionalFormatting>
  <conditionalFormatting sqref="I86:I88">
    <cfRule type="dataBar" priority="615">
      <dataBar>
        <cfvo type="min"/>
        <cfvo type="max"/>
        <color rgb="FF008AEF"/>
      </dataBar>
    </cfRule>
  </conditionalFormatting>
  <conditionalFormatting sqref="I100">
    <cfRule type="dataBar" priority="596">
      <dataBar>
        <cfvo type="min"/>
        <cfvo type="max"/>
        <color rgb="FF008AEF"/>
      </dataBar>
    </cfRule>
  </conditionalFormatting>
  <conditionalFormatting sqref="I95">
    <cfRule type="dataBar" priority="595">
      <dataBar>
        <cfvo type="min"/>
        <cfvo type="max"/>
        <color rgb="FF008AEF"/>
      </dataBar>
    </cfRule>
    <cfRule type="dataBar" priority="590">
      <dataBar>
        <cfvo type="min"/>
        <cfvo type="max"/>
        <color rgb="FF008AEF"/>
      </dataBar>
    </cfRule>
  </conditionalFormatting>
  <conditionalFormatting sqref="I96">
    <cfRule type="dataBar" priority="594">
      <dataBar>
        <cfvo type="min"/>
        <cfvo type="max"/>
        <color rgb="FF008AEF"/>
      </dataBar>
    </cfRule>
    <cfRule type="dataBar" priority="589">
      <dataBar>
        <cfvo type="min"/>
        <cfvo type="max"/>
        <color rgb="FF008AEF"/>
      </dataBar>
    </cfRule>
  </conditionalFormatting>
  <conditionalFormatting sqref="I97:I98">
    <cfRule type="dataBar" priority="593">
      <dataBar>
        <cfvo type="min"/>
        <cfvo type="max"/>
        <color rgb="FF008AEF"/>
      </dataBar>
    </cfRule>
  </conditionalFormatting>
  <conditionalFormatting sqref="I99">
    <cfRule type="dataBar" priority="592">
      <dataBar>
        <cfvo type="min"/>
        <cfvo type="max"/>
        <color rgb="FF008AEF"/>
      </dataBar>
    </cfRule>
  </conditionalFormatting>
  <conditionalFormatting sqref="I97:I99">
    <cfRule type="dataBar" priority="591">
      <dataBar>
        <cfvo type="min"/>
        <cfvo type="max"/>
        <color rgb="FF008AEF"/>
      </dataBar>
    </cfRule>
  </conditionalFormatting>
  <conditionalFormatting sqref="Z111:Z112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AB10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10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Z106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10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108:Z109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Z110">
    <cfRule type="cellIs" priority="555" operator="lessThan" dxfId="1" stopIfTrue="1">
      <formula>-0.01</formula>
    </cfRule>
    <cfRule type="cellIs" priority="556" operator="greaterThan" dxfId="0" stopIfTrue="1">
      <formula>0.01</formula>
    </cfRule>
  </conditionalFormatting>
  <conditionalFormatting sqref="V106:V110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R107:T107">
    <cfRule type="dataBar" priority="552">
      <dataBar>
        <cfvo type="min"/>
        <cfvo type="max"/>
        <color rgb="FF008AEF"/>
      </dataBar>
    </cfRule>
  </conditionalFormatting>
  <conditionalFormatting sqref="R108:T109">
    <cfRule type="dataBar" priority="551">
      <dataBar>
        <cfvo type="min"/>
        <cfvo type="max"/>
        <color rgb="FF008AEF"/>
      </dataBar>
    </cfRule>
  </conditionalFormatting>
  <conditionalFormatting sqref="R110:T110">
    <cfRule type="dataBar" priority="550">
      <dataBar>
        <cfvo type="min"/>
        <cfvo type="max"/>
        <color rgb="FF008AEF"/>
      </dataBar>
    </cfRule>
  </conditionalFormatting>
  <conditionalFormatting sqref="R106:U106 U107:U110">
    <cfRule type="dataBar" priority="567">
      <dataBar>
        <cfvo type="min"/>
        <cfvo type="max"/>
        <color rgb="FF008AEF"/>
      </dataBar>
    </cfRule>
  </conditionalFormatting>
  <conditionalFormatting sqref="I111">
    <cfRule type="dataBar" priority="545">
      <dataBar>
        <cfvo type="min"/>
        <cfvo type="max"/>
        <color rgb="FF008AEF"/>
      </dataBar>
    </cfRule>
  </conditionalFormatting>
  <conditionalFormatting sqref="R111:T112">
    <cfRule type="dataBar" priority="570">
      <dataBar>
        <cfvo type="min"/>
        <cfvo type="max"/>
        <color rgb="FF008AEF"/>
      </dataBar>
    </cfRule>
  </conditionalFormatting>
  <conditionalFormatting sqref="U111:U112">
    <cfRule type="dataBar" priority="571">
      <dataBar>
        <cfvo type="min"/>
        <cfvo type="max"/>
        <color rgb="FF008AEF"/>
      </dataBar>
    </cfRule>
  </conditionalFormatting>
  <conditionalFormatting sqref="I112">
    <cfRule type="dataBar" priority="572">
      <dataBar>
        <cfvo type="min"/>
        <cfvo type="max"/>
        <color rgb="FF008AEF"/>
      </dataBar>
    </cfRule>
  </conditionalFormatting>
  <conditionalFormatting sqref="I104">
    <cfRule type="dataBar" priority="521">
      <dataBar>
        <cfvo type="min"/>
        <cfvo type="max"/>
        <color rgb="FF008AEF"/>
      </dataBar>
    </cfRule>
  </conditionalFormatting>
  <conditionalFormatting sqref="I105">
    <cfRule type="dataBar" priority="520">
      <dataBar>
        <cfvo type="min"/>
        <cfvo type="max"/>
        <color rgb="FF008AEF"/>
      </dataBar>
    </cfRule>
  </conditionalFormatting>
  <conditionalFormatting sqref="I106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107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108:I109">
    <cfRule type="dataBar" priority="517">
      <dataBar>
        <cfvo type="min"/>
        <cfvo type="max"/>
        <color rgb="FF008AEF"/>
      </dataBar>
    </cfRule>
  </conditionalFormatting>
  <conditionalFormatting sqref="I110">
    <cfRule type="dataBar" priority="516">
      <dataBar>
        <cfvo type="min"/>
        <cfvo type="max"/>
        <color rgb="FF008AEF"/>
      </dataBar>
    </cfRule>
  </conditionalFormatting>
  <conditionalFormatting sqref="I108:I110">
    <cfRule type="dataBar" priority="515">
      <dataBar>
        <cfvo type="min"/>
        <cfvo type="max"/>
        <color rgb="FF008AEF"/>
      </dataBar>
    </cfRule>
  </conditionalFormatting>
  <conditionalFormatting sqref="U8:U11">
    <cfRule type="dataBar" priority="446">
      <dataBar>
        <cfvo type="min"/>
        <cfvo type="max"/>
        <color rgb="FF008AEF"/>
      </dataBar>
    </cfRule>
  </conditionalFormatting>
  <conditionalFormatting sqref="Z12:Z13">
    <cfRule type="cellIs" priority="443" operator="lessThan" dxfId="1" stopIfTrue="1">
      <formula>-0.01</formula>
    </cfRule>
    <cfRule type="cellIs" priority="444" operator="greaterThan" dxfId="0" stopIfTrue="1">
      <formula>0.01</formula>
    </cfRule>
  </conditionalFormatting>
  <conditionalFormatting sqref="R12:T13">
    <cfRule type="dataBar" priority="441">
      <dataBar>
        <cfvo type="min"/>
        <cfvo type="max"/>
        <color rgb="FF008AEF"/>
      </dataBar>
    </cfRule>
  </conditionalFormatting>
  <conditionalFormatting sqref="U12:U13">
    <cfRule type="dataBar" priority="445">
      <dataBar>
        <cfvo type="min"/>
        <cfvo type="max"/>
        <color rgb="FF008AEF"/>
      </dataBar>
    </cfRule>
  </conditionalFormatting>
  <conditionalFormatting sqref="AB7">
    <cfRule type="cellIs" priority="438" operator="greaterThan" dxfId="1">
      <formula>0.03</formula>
    </cfRule>
    <cfRule type="cellIs" priority="439" operator="lessThan" dxfId="0" stopIfTrue="1">
      <formula>-0.03</formula>
    </cfRule>
  </conditionalFormatting>
  <conditionalFormatting sqref="AB11">
    <cfRule type="cellIs" priority="436" operator="lessThan" dxfId="1">
      <formula>-0.03</formula>
    </cfRule>
    <cfRule type="cellIs" priority="437" operator="greaterThan" dxfId="0" stopIfTrue="1">
      <formula>0.03</formula>
    </cfRule>
  </conditionalFormatting>
  <conditionalFormatting sqref="Z7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Z8">
    <cfRule type="cellIs" priority="432" operator="lessThan" dxfId="1" stopIfTrue="1">
      <formula>-0.01</formula>
    </cfRule>
    <cfRule type="cellIs" priority="433" operator="greaterThan" dxfId="0" stopIfTrue="1">
      <formula>0.01</formula>
    </cfRule>
  </conditionalFormatting>
  <conditionalFormatting sqref="Z9:Z10">
    <cfRule type="cellIs" priority="430" operator="lessThan" dxfId="1" stopIfTrue="1">
      <formula>-0.01</formula>
    </cfRule>
    <cfRule type="cellIs" priority="431" operator="greaterThan" dxfId="0" stopIfTrue="1">
      <formula>0.01</formula>
    </cfRule>
  </conditionalFormatting>
  <conditionalFormatting sqref="Z11">
    <cfRule type="cellIs" priority="428" operator="lessThan" dxfId="1" stopIfTrue="1">
      <formula>-0.01</formula>
    </cfRule>
    <cfRule type="cellIs" priority="429" operator="greaterThan" dxfId="0" stopIfTrue="1">
      <formula>0.01</formula>
    </cfRule>
  </conditionalFormatting>
  <conditionalFormatting sqref="V7:V11">
    <cfRule type="cellIs" priority="426" operator="greaterThan" dxfId="1">
      <formula>0.03</formula>
    </cfRule>
    <cfRule type="cellIs" priority="427" operator="lessThan" dxfId="0" stopIfTrue="1">
      <formula>-0.03</formula>
    </cfRule>
  </conditionalFormatting>
  <conditionalFormatting sqref="R8:T8">
    <cfRule type="dataBar" priority="425">
      <dataBar>
        <cfvo type="min"/>
        <cfvo type="max"/>
        <color rgb="FF008AEF"/>
      </dataBar>
    </cfRule>
  </conditionalFormatting>
  <conditionalFormatting sqref="R9:T10">
    <cfRule type="dataBar" priority="424">
      <dataBar>
        <cfvo type="min"/>
        <cfvo type="max"/>
        <color rgb="FF008AEF"/>
      </dataBar>
    </cfRule>
  </conditionalFormatting>
  <conditionalFormatting sqref="R11:T11">
    <cfRule type="dataBar" priority="423">
      <dataBar>
        <cfvo type="min"/>
        <cfvo type="max"/>
        <color rgb="FF008AEF"/>
      </dataBar>
    </cfRule>
  </conditionalFormatting>
  <conditionalFormatting sqref="R7:U7">
    <cfRule type="dataBar" priority="440">
      <dataBar>
        <cfvo type="min"/>
        <cfvo type="max"/>
        <color rgb="FF008AEF"/>
      </dataBar>
    </cfRule>
  </conditionalFormatting>
  <conditionalFormatting sqref="I13">
    <cfRule type="dataBar" priority="394">
      <dataBar>
        <cfvo type="min"/>
        <cfvo type="max"/>
        <color rgb="FF008AEF"/>
      </dataBar>
    </cfRule>
  </conditionalFormatting>
  <conditionalFormatting sqref="I5">
    <cfRule type="dataBar" priority="393">
      <dataBar>
        <cfvo type="min"/>
        <cfvo type="max"/>
        <color rgb="FF008AEF"/>
      </dataBar>
    </cfRule>
  </conditionalFormatting>
  <conditionalFormatting sqref="I6">
    <cfRule type="dataBar" priority="392">
      <dataBar>
        <cfvo type="min"/>
        <cfvo type="max"/>
        <color rgb="FF008AEF"/>
      </dataBar>
    </cfRule>
  </conditionalFormatting>
  <conditionalFormatting sqref="N13">
    <cfRule type="cellIs" priority="390" operator="lessThan" dxfId="1" stopIfTrue="1">
      <formula>-0.01</formula>
    </cfRule>
    <cfRule type="cellIs" priority="391" operator="greaterThan" dxfId="0" stopIfTrue="1">
      <formula>0.01</formula>
    </cfRule>
  </conditionalFormatting>
  <conditionalFormatting sqref="I12">
    <cfRule type="dataBar" priority="389">
      <dataBar>
        <cfvo type="min"/>
        <cfvo type="max"/>
        <color rgb="FF008AEF"/>
      </dataBar>
    </cfRule>
  </conditionalFormatting>
  <conditionalFormatting sqref="I7">
    <cfRule type="dataBar" priority="388">
      <dataBar>
        <cfvo type="min"/>
        <cfvo type="max"/>
        <color rgb="FF008AEF"/>
      </dataBar>
    </cfRule>
    <cfRule type="dataBar" priority="383">
      <dataBar>
        <cfvo type="min"/>
        <cfvo type="max"/>
        <color rgb="FF008AEF"/>
      </dataBar>
    </cfRule>
  </conditionalFormatting>
  <conditionalFormatting sqref="I8">
    <cfRule type="dataBar" priority="387">
      <dataBar>
        <cfvo type="min"/>
        <cfvo type="max"/>
        <color rgb="FF008AEF"/>
      </dataBar>
    </cfRule>
    <cfRule type="dataBar" priority="382">
      <dataBar>
        <cfvo type="min"/>
        <cfvo type="max"/>
        <color rgb="FF008AEF"/>
      </dataBar>
    </cfRule>
  </conditionalFormatting>
  <conditionalFormatting sqref="I9:I10">
    <cfRule type="dataBar" priority="386">
      <dataBar>
        <cfvo type="min"/>
        <cfvo type="max"/>
        <color rgb="FF008AEF"/>
      </dataBar>
    </cfRule>
  </conditionalFormatting>
  <conditionalFormatting sqref="I11">
    <cfRule type="dataBar" priority="385">
      <dataBar>
        <cfvo type="min"/>
        <cfvo type="max"/>
        <color rgb="FF008AEF"/>
      </dataBar>
    </cfRule>
  </conditionalFormatting>
  <conditionalFormatting sqref="I9:I11">
    <cfRule type="dataBar" priority="384">
      <dataBar>
        <cfvo type="min"/>
        <cfvo type="max"/>
        <color rgb="FF008AEF"/>
      </dataBar>
    </cfRule>
  </conditionalFormatting>
  <conditionalFormatting sqref="J7:J11">
    <cfRule type="cellIs" priority="380" operator="greaterThan" dxfId="1">
      <formula>0.03</formula>
    </cfRule>
    <cfRule type="cellIs" priority="381" operator="lessThan" dxfId="0" stopIfTrue="1">
      <formula>-0.03</formula>
    </cfRule>
  </conditionalFormatting>
  <conditionalFormatting sqref="N12">
    <cfRule type="cellIs" priority="378" operator="lessThan" dxfId="1" stopIfTrue="1">
      <formula>-0.01</formula>
    </cfRule>
    <cfRule type="cellIs" priority="379" operator="greaterThan" dxfId="0" stopIfTrue="1">
      <formula>0.01</formula>
    </cfRule>
  </conditionalFormatting>
  <conditionalFormatting sqref="N7">
    <cfRule type="cellIs" priority="376" operator="lessThan" dxfId="1" stopIfTrue="1">
      <formula>-0.01</formula>
    </cfRule>
    <cfRule type="cellIs" priority="377" operator="greaterThan" dxfId="0" stopIfTrue="1">
      <formula>0.01</formula>
    </cfRule>
  </conditionalFormatting>
  <conditionalFormatting sqref="N8">
    <cfRule type="cellIs" priority="374" operator="lessThan" dxfId="1" stopIfTrue="1">
      <formula>-0.01</formula>
    </cfRule>
    <cfRule type="cellIs" priority="375" operator="greaterThan" dxfId="0" stopIfTrue="1">
      <formula>0.01</formula>
    </cfRule>
  </conditionalFormatting>
  <conditionalFormatting sqref="N9:N11">
    <cfRule type="cellIs" priority="372" operator="lessThan" dxfId="1" stopIfTrue="1">
      <formula>-0.01</formula>
    </cfRule>
    <cfRule type="cellIs" priority="373" operator="greaterThan" dxfId="0" stopIfTrue="1">
      <formula>0.01</formula>
    </cfRule>
  </conditionalFormatting>
  <conditionalFormatting sqref="P7">
    <cfRule type="cellIs" priority="368" operator="greaterThan" dxfId="1">
      <formula>0.03</formula>
    </cfRule>
    <cfRule type="cellIs" priority="369" operator="lessThan" dxfId="0" stopIfTrue="1">
      <formula>-0.03</formula>
    </cfRule>
  </conditionalFormatting>
  <conditionalFormatting sqref="P11">
    <cfRule type="cellIs" priority="366" operator="lessThan" dxfId="1">
      <formula>-0.03</formula>
    </cfRule>
    <cfRule type="cellIs" priority="367" operator="greaterThan" dxfId="0" stopIfTrue="1">
      <formula>0.03</formula>
    </cfRule>
  </conditionalFormatting>
  <conditionalFormatting sqref="I24">
    <cfRule type="dataBar" priority="365">
      <dataBar>
        <cfvo type="min"/>
        <cfvo type="max"/>
        <color rgb="FF008AEF"/>
      </dataBar>
    </cfRule>
  </conditionalFormatting>
  <conditionalFormatting sqref="I16">
    <cfRule type="dataBar" priority="364">
      <dataBar>
        <cfvo type="min"/>
        <cfvo type="max"/>
        <color rgb="FF008AEF"/>
      </dataBar>
    </cfRule>
  </conditionalFormatting>
  <conditionalFormatting sqref="I17">
    <cfRule type="dataBar" priority="363">
      <dataBar>
        <cfvo type="min"/>
        <cfvo type="max"/>
        <color rgb="FF008AEF"/>
      </dataBar>
    </cfRule>
  </conditionalFormatting>
  <conditionalFormatting sqref="I23">
    <cfRule type="dataBar" priority="360">
      <dataBar>
        <cfvo type="min"/>
        <cfvo type="max"/>
        <color rgb="FF008AEF"/>
      </dataBar>
    </cfRule>
  </conditionalFormatting>
  <conditionalFormatting sqref="I18">
    <cfRule type="dataBar" priority="359">
      <dataBar>
        <cfvo type="min"/>
        <cfvo type="max"/>
        <color rgb="FF008AEF"/>
      </dataBar>
    </cfRule>
    <cfRule type="dataBar" priority="354">
      <dataBar>
        <cfvo type="min"/>
        <cfvo type="max"/>
        <color rgb="FF008AEF"/>
      </dataBar>
    </cfRule>
  </conditionalFormatting>
  <conditionalFormatting sqref="I19">
    <cfRule type="dataBar" priority="358">
      <dataBar>
        <cfvo type="min"/>
        <cfvo type="max"/>
        <color rgb="FF008AEF"/>
      </dataBar>
    </cfRule>
    <cfRule type="dataBar" priority="353">
      <dataBar>
        <cfvo type="min"/>
        <cfvo type="max"/>
        <color rgb="FF008AEF"/>
      </dataBar>
    </cfRule>
  </conditionalFormatting>
  <conditionalFormatting sqref="I20:I21">
    <cfRule type="dataBar" priority="357">
      <dataBar>
        <cfvo type="min"/>
        <cfvo type="max"/>
        <color rgb="FF008AEF"/>
      </dataBar>
    </cfRule>
  </conditionalFormatting>
  <conditionalFormatting sqref="I22">
    <cfRule type="dataBar" priority="356">
      <dataBar>
        <cfvo type="min"/>
        <cfvo type="max"/>
        <color rgb="FF008AEF"/>
      </dataBar>
    </cfRule>
  </conditionalFormatting>
  <conditionalFormatting sqref="I20:I22">
    <cfRule type="dataBar" priority="355">
      <dataBar>
        <cfvo type="min"/>
        <cfvo type="max"/>
        <color rgb="FF008AEF"/>
      </dataBar>
    </cfRule>
  </conditionalFormatting>
  <conditionalFormatting sqref="N24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2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18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19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20:N22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18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22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J18:J22">
    <cfRule type="cellIs" priority="321" operator="greaterThan" dxfId="1">
      <formula>0.03</formula>
    </cfRule>
    <cfRule type="cellIs" priority="322" operator="lessThan" dxfId="0" stopIfTrue="1">
      <formula>-0.03</formula>
    </cfRule>
  </conditionalFormatting>
  <conditionalFormatting sqref="N35">
    <cfRule type="cellIs" priority="319" operator="lessThan" dxfId="1" stopIfTrue="1">
      <formula>-0.01</formula>
    </cfRule>
    <cfRule type="cellIs" priority="320" operator="greaterThan" dxfId="0" stopIfTrue="1">
      <formula>0.01</formula>
    </cfRule>
  </conditionalFormatting>
  <conditionalFormatting sqref="N34">
    <cfRule type="cellIs" priority="317" operator="lessThan" dxfId="1" stopIfTrue="1">
      <formula>-0.01</formula>
    </cfRule>
    <cfRule type="cellIs" priority="318" operator="greaterThan" dxfId="0" stopIfTrue="1">
      <formula>0.01</formula>
    </cfRule>
  </conditionalFormatting>
  <conditionalFormatting sqref="N29">
    <cfRule type="cellIs" priority="315" operator="lessThan" dxfId="1" stopIfTrue="1">
      <formula>-0.01</formula>
    </cfRule>
    <cfRule type="cellIs" priority="316" operator="greaterThan" dxfId="0" stopIfTrue="1">
      <formula>0.01</formula>
    </cfRule>
  </conditionalFormatting>
  <conditionalFormatting sqref="N30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N31:N33">
    <cfRule type="cellIs" priority="311" operator="lessThan" dxfId="1" stopIfTrue="1">
      <formula>-0.01</formula>
    </cfRule>
    <cfRule type="cellIs" priority="312" operator="greaterThan" dxfId="0" stopIfTrue="1">
      <formula>0.01</formula>
    </cfRule>
  </conditionalFormatting>
  <conditionalFormatting sqref="P29">
    <cfRule type="cellIs" priority="309" operator="greaterThan" dxfId="1">
      <formula>0.03</formula>
    </cfRule>
    <cfRule type="cellIs" priority="310" operator="lessThan" dxfId="0" stopIfTrue="1">
      <formula>-0.03</formula>
    </cfRule>
  </conditionalFormatting>
  <conditionalFormatting sqref="P33">
    <cfRule type="cellIs" priority="307" operator="lessThan" dxfId="1">
      <formula>-0.03</formula>
    </cfRule>
    <cfRule type="cellIs" priority="308" operator="greaterThan" dxfId="0" stopIfTrue="1">
      <formula>0.03</formula>
    </cfRule>
  </conditionalFormatting>
  <conditionalFormatting sqref="J29:J33">
    <cfRule type="cellIs" priority="305" operator="greaterThan" dxfId="1">
      <formula>0.03</formula>
    </cfRule>
    <cfRule type="cellIs" priority="306" operator="lessThan" dxfId="0" stopIfTrue="1">
      <formula>-0.03</formula>
    </cfRule>
  </conditionalFormatting>
  <conditionalFormatting sqref="N46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N45">
    <cfRule type="cellIs" priority="301" operator="lessThan" dxfId="1" stopIfTrue="1">
      <formula>-0.01</formula>
    </cfRule>
    <cfRule type="cellIs" priority="302" operator="greaterThan" dxfId="0" stopIfTrue="1">
      <formula>0.01</formula>
    </cfRule>
  </conditionalFormatting>
  <conditionalFormatting sqref="N40">
    <cfRule type="cellIs" priority="299" operator="lessThan" dxfId="1" stopIfTrue="1">
      <formula>-0.01</formula>
    </cfRule>
    <cfRule type="cellIs" priority="300" operator="greaterThan" dxfId="0" stopIfTrue="1">
      <formula>0.01</formula>
    </cfRule>
  </conditionalFormatting>
  <conditionalFormatting sqref="N41">
    <cfRule type="cellIs" priority="297" operator="lessThan" dxfId="1" stopIfTrue="1">
      <formula>-0.01</formula>
    </cfRule>
    <cfRule type="cellIs" priority="298" operator="greaterThan" dxfId="0" stopIfTrue="1">
      <formula>0.01</formula>
    </cfRule>
  </conditionalFormatting>
  <conditionalFormatting sqref="N42:N44">
    <cfRule type="cellIs" priority="295" operator="lessThan" dxfId="1" stopIfTrue="1">
      <formula>-0.01</formula>
    </cfRule>
    <cfRule type="cellIs" priority="296" operator="greaterThan" dxfId="0" stopIfTrue="1">
      <formula>0.01</formula>
    </cfRule>
  </conditionalFormatting>
  <conditionalFormatting sqref="P40">
    <cfRule type="cellIs" priority="293" operator="greaterThan" dxfId="1">
      <formula>0.03</formula>
    </cfRule>
    <cfRule type="cellIs" priority="294" operator="lessThan" dxfId="0" stopIfTrue="1">
      <formula>-0.03</formula>
    </cfRule>
  </conditionalFormatting>
  <conditionalFormatting sqref="P44">
    <cfRule type="cellIs" priority="291" operator="lessThan" dxfId="1">
      <formula>-0.03</formula>
    </cfRule>
    <cfRule type="cellIs" priority="292" operator="greaterThan" dxfId="0" stopIfTrue="1">
      <formula>0.03</formula>
    </cfRule>
  </conditionalFormatting>
  <conditionalFormatting sqref="J40:J44">
    <cfRule type="cellIs" priority="289" operator="greaterThan" dxfId="1">
      <formula>0.03</formula>
    </cfRule>
    <cfRule type="cellIs" priority="290" operator="lessThan" dxfId="0" stopIfTrue="1">
      <formula>-0.03</formula>
    </cfRule>
  </conditionalFormatting>
  <conditionalFormatting sqref="N57">
    <cfRule type="cellIs" priority="287" operator="lessThan" dxfId="1" stopIfTrue="1">
      <formula>-0.01</formula>
    </cfRule>
    <cfRule type="cellIs" priority="288" operator="greaterThan" dxfId="0" stopIfTrue="1">
      <formula>0.01</formula>
    </cfRule>
  </conditionalFormatting>
  <conditionalFormatting sqref="N56">
    <cfRule type="cellIs" priority="285" operator="lessThan" dxfId="1" stopIfTrue="1">
      <formula>-0.01</formula>
    </cfRule>
    <cfRule type="cellIs" priority="286" operator="greaterThan" dxfId="0" stopIfTrue="1">
      <formula>0.01</formula>
    </cfRule>
  </conditionalFormatting>
  <conditionalFormatting sqref="N51">
    <cfRule type="cellIs" priority="283" operator="lessThan" dxfId="1" stopIfTrue="1">
      <formula>-0.01</formula>
    </cfRule>
    <cfRule type="cellIs" priority="284" operator="greaterThan" dxfId="0" stopIfTrue="1">
      <formula>0.01</formula>
    </cfRule>
  </conditionalFormatting>
  <conditionalFormatting sqref="N52">
    <cfRule type="cellIs" priority="281" operator="lessThan" dxfId="1" stopIfTrue="1">
      <formula>-0.01</formula>
    </cfRule>
    <cfRule type="cellIs" priority="282" operator="greaterThan" dxfId="0" stopIfTrue="1">
      <formula>0.01</formula>
    </cfRule>
  </conditionalFormatting>
  <conditionalFormatting sqref="N53:N55">
    <cfRule type="cellIs" priority="279" operator="lessThan" dxfId="1" stopIfTrue="1">
      <formula>-0.01</formula>
    </cfRule>
    <cfRule type="cellIs" priority="280" operator="greaterThan" dxfId="0" stopIfTrue="1">
      <formula>0.01</formula>
    </cfRule>
  </conditionalFormatting>
  <conditionalFormatting sqref="P51">
    <cfRule type="cellIs" priority="277" operator="greaterThan" dxfId="1">
      <formula>0.03</formula>
    </cfRule>
    <cfRule type="cellIs" priority="278" operator="lessThan" dxfId="0" stopIfTrue="1">
      <formula>-0.03</formula>
    </cfRule>
  </conditionalFormatting>
  <conditionalFormatting sqref="P55">
    <cfRule type="cellIs" priority="275" operator="lessThan" dxfId="1">
      <formula>-0.03</formula>
    </cfRule>
    <cfRule type="cellIs" priority="276" operator="greaterThan" dxfId="0" stopIfTrue="1">
      <formula>0.03</formula>
    </cfRule>
  </conditionalFormatting>
  <conditionalFormatting sqref="J51:J55">
    <cfRule type="cellIs" priority="273" operator="greaterThan" dxfId="1">
      <formula>0.03</formula>
    </cfRule>
    <cfRule type="cellIs" priority="274" operator="lessThan" dxfId="0" stopIfTrue="1">
      <formula>-0.03</formula>
    </cfRule>
  </conditionalFormatting>
  <conditionalFormatting sqref="N68">
    <cfRule type="cellIs" priority="271" operator="lessThan" dxfId="1" stopIfTrue="1">
      <formula>-0.01</formula>
    </cfRule>
    <cfRule type="cellIs" priority="272" operator="greaterThan" dxfId="0" stopIfTrue="1">
      <formula>0.01</formula>
    </cfRule>
  </conditionalFormatting>
  <conditionalFormatting sqref="N67">
    <cfRule type="cellIs" priority="269" operator="lessThan" dxfId="1" stopIfTrue="1">
      <formula>-0.01</formula>
    </cfRule>
    <cfRule type="cellIs" priority="270" operator="greaterThan" dxfId="0" stopIfTrue="1">
      <formula>0.01</formula>
    </cfRule>
  </conditionalFormatting>
  <conditionalFormatting sqref="N62">
    <cfRule type="cellIs" priority="267" operator="lessThan" dxfId="1" stopIfTrue="1">
      <formula>-0.01</formula>
    </cfRule>
    <cfRule type="cellIs" priority="268" operator="greaterThan" dxfId="0" stopIfTrue="1">
      <formula>0.01</formula>
    </cfRule>
  </conditionalFormatting>
  <conditionalFormatting sqref="N63">
    <cfRule type="cellIs" priority="265" operator="lessThan" dxfId="1" stopIfTrue="1">
      <formula>-0.01</formula>
    </cfRule>
    <cfRule type="cellIs" priority="266" operator="greaterThan" dxfId="0" stopIfTrue="1">
      <formula>0.01</formula>
    </cfRule>
  </conditionalFormatting>
  <conditionalFormatting sqref="N64:N66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P62">
    <cfRule type="cellIs" priority="261" operator="greaterThan" dxfId="1">
      <formula>0.03</formula>
    </cfRule>
    <cfRule type="cellIs" priority="262" operator="lessThan" dxfId="0" stopIfTrue="1">
      <formula>-0.03</formula>
    </cfRule>
  </conditionalFormatting>
  <conditionalFormatting sqref="P66">
    <cfRule type="cellIs" priority="259" operator="lessThan" dxfId="1">
      <formula>-0.03</formula>
    </cfRule>
    <cfRule type="cellIs" priority="260" operator="greaterThan" dxfId="0" stopIfTrue="1">
      <formula>0.03</formula>
    </cfRule>
  </conditionalFormatting>
  <conditionalFormatting sqref="J62:J66">
    <cfRule type="cellIs" priority="257" operator="greaterThan" dxfId="1">
      <formula>0.03</formula>
    </cfRule>
    <cfRule type="cellIs" priority="258" operator="lessThan" dxfId="0" stopIfTrue="1">
      <formula>-0.03</formula>
    </cfRule>
  </conditionalFormatting>
  <conditionalFormatting sqref="N79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N78">
    <cfRule type="cellIs" priority="253" operator="lessThan" dxfId="1" stopIfTrue="1">
      <formula>-0.01</formula>
    </cfRule>
    <cfRule type="cellIs" priority="254" operator="greaterThan" dxfId="0" stopIfTrue="1">
      <formula>0.01</formula>
    </cfRule>
  </conditionalFormatting>
  <conditionalFormatting sqref="N73">
    <cfRule type="cellIs" priority="251" operator="lessThan" dxfId="1" stopIfTrue="1">
      <formula>-0.01</formula>
    </cfRule>
    <cfRule type="cellIs" priority="252" operator="greaterThan" dxfId="0" stopIfTrue="1">
      <formula>0.01</formula>
    </cfRule>
  </conditionalFormatting>
  <conditionalFormatting sqref="N74">
    <cfRule type="cellIs" priority="249" operator="lessThan" dxfId="1" stopIfTrue="1">
      <formula>-0.01</formula>
    </cfRule>
    <cfRule type="cellIs" priority="250" operator="greaterThan" dxfId="0" stopIfTrue="1">
      <formula>0.01</formula>
    </cfRule>
  </conditionalFormatting>
  <conditionalFormatting sqref="N75:N77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P73">
    <cfRule type="cellIs" priority="245" operator="greaterThan" dxfId="1">
      <formula>0.03</formula>
    </cfRule>
    <cfRule type="cellIs" priority="246" operator="lessThan" dxfId="0" stopIfTrue="1">
      <formula>-0.03</formula>
    </cfRule>
  </conditionalFormatting>
  <conditionalFormatting sqref="P77">
    <cfRule type="cellIs" priority="243" operator="lessThan" dxfId="1">
      <formula>-0.03</formula>
    </cfRule>
    <cfRule type="cellIs" priority="244" operator="greaterThan" dxfId="0" stopIfTrue="1">
      <formula>0.03</formula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90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89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8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85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86:N8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84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88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J84:J88">
    <cfRule type="cellIs" priority="225" operator="greaterThan" dxfId="1">
      <formula>0.03</formula>
    </cfRule>
    <cfRule type="cellIs" priority="226" operator="lessThan" dxfId="0" stopIfTrue="1">
      <formula>-0.03</formula>
    </cfRule>
  </conditionalFormatting>
  <conditionalFormatting sqref="N101">
    <cfRule type="cellIs" priority="223" operator="lessThan" dxfId="1" stopIfTrue="1">
      <formula>-0.01</formula>
    </cfRule>
    <cfRule type="cellIs" priority="224" operator="greaterThan" dxfId="0" stopIfTrue="1">
      <formula>0.01</formula>
    </cfRule>
  </conditionalFormatting>
  <conditionalFormatting sqref="N100">
    <cfRule type="cellIs" priority="221" operator="lessThan" dxfId="1" stopIfTrue="1">
      <formula>-0.01</formula>
    </cfRule>
    <cfRule type="cellIs" priority="222" operator="greaterThan" dxfId="0" stopIfTrue="1">
      <formula>0.01</formula>
    </cfRule>
  </conditionalFormatting>
  <conditionalFormatting sqref="N95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N96">
    <cfRule type="cellIs" priority="217" operator="lessThan" dxfId="1" stopIfTrue="1">
      <formula>-0.01</formula>
    </cfRule>
    <cfRule type="cellIs" priority="218" operator="greaterThan" dxfId="0" stopIfTrue="1">
      <formula>0.01</formula>
    </cfRule>
  </conditionalFormatting>
  <conditionalFormatting sqref="N97:N9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P95">
    <cfRule type="cellIs" priority="213" operator="greaterThan" dxfId="1">
      <formula>0.03</formula>
    </cfRule>
    <cfRule type="cellIs" priority="214" operator="lessThan" dxfId="0" stopIfTrue="1">
      <formula>-0.03</formula>
    </cfRule>
  </conditionalFormatting>
  <conditionalFormatting sqref="P99">
    <cfRule type="cellIs" priority="211" operator="lessThan" dxfId="1">
      <formula>-0.03</formula>
    </cfRule>
    <cfRule type="cellIs" priority="212" operator="greaterThan" dxfId="0" stopIfTrue="1">
      <formula>0.03</formula>
    </cfRule>
  </conditionalFormatting>
  <conditionalFormatting sqref="J95:J99">
    <cfRule type="cellIs" priority="209" operator="greaterThan" dxfId="1">
      <formula>0.03</formula>
    </cfRule>
    <cfRule type="cellIs" priority="210" operator="lessThan" dxfId="0" stopIfTrue="1">
      <formula>-0.03</formula>
    </cfRule>
  </conditionalFormatting>
  <conditionalFormatting sqref="N112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N111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N106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N107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N108:N110">
    <cfRule type="cellIs" priority="199" operator="lessThan" dxfId="1" stopIfTrue="1">
      <formula>-0.01</formula>
    </cfRule>
    <cfRule type="cellIs" priority="200" operator="greaterThan" dxfId="0" stopIfTrue="1">
      <formula>0.01</formula>
    </cfRule>
  </conditionalFormatting>
  <conditionalFormatting sqref="P106">
    <cfRule type="cellIs" priority="197" operator="greaterThan" dxfId="1">
      <formula>0.03</formula>
    </cfRule>
    <cfRule type="cellIs" priority="198" operator="lessThan" dxfId="0" stopIfTrue="1">
      <formula>-0.03</formula>
    </cfRule>
  </conditionalFormatting>
  <conditionalFormatting sqref="P110">
    <cfRule type="cellIs" priority="195" operator="lessThan" dxfId="1">
      <formula>-0.03</formula>
    </cfRule>
    <cfRule type="cellIs" priority="196" operator="greaterThan" dxfId="0" stopIfTrue="1">
      <formula>0.03</formula>
    </cfRule>
  </conditionalFormatting>
  <conditionalFormatting sqref="J106:J110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23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122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117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11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119:N121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117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121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J117:J121">
    <cfRule type="cellIs" priority="177" operator="greaterThan" dxfId="1">
      <formula>0.03</formula>
    </cfRule>
    <cfRule type="cellIs" priority="178" operator="lessThan" dxfId="0" stopIfTrue="1">
      <formula>-0.03</formula>
    </cfRule>
  </conditionalFormatting>
  <conditionalFormatting sqref="N135">
    <cfRule type="cellIs" priority="175" operator="lessThan" dxfId="1" stopIfTrue="1">
      <formula>-0.01</formula>
    </cfRule>
    <cfRule type="cellIs" priority="176" operator="greaterThan" dxfId="0" stopIfTrue="1">
      <formula>0.01</formula>
    </cfRule>
  </conditionalFormatting>
  <conditionalFormatting sqref="N145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N144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N139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N140">
    <cfRule type="cellIs" priority="153" operator="lessThan" dxfId="1" stopIfTrue="1">
      <formula>-0.01</formula>
    </cfRule>
    <cfRule type="cellIs" priority="154" operator="greaterThan" dxfId="0" stopIfTrue="1">
      <formula>0.01</formula>
    </cfRule>
  </conditionalFormatting>
  <conditionalFormatting sqref="N141:N143">
    <cfRule type="cellIs" priority="151" operator="lessThan" dxfId="1" stopIfTrue="1">
      <formula>-0.01</formula>
    </cfRule>
    <cfRule type="cellIs" priority="152" operator="greaterThan" dxfId="0" stopIfTrue="1">
      <formula>0.01</formula>
    </cfRule>
  </conditionalFormatting>
  <conditionalFormatting sqref="P139">
    <cfRule type="cellIs" priority="149" operator="greaterThan" dxfId="1">
      <formula>0.03</formula>
    </cfRule>
    <cfRule type="cellIs" priority="150" operator="lessThan" dxfId="0" stopIfTrue="1">
      <formula>-0.03</formula>
    </cfRule>
  </conditionalFormatting>
  <conditionalFormatting sqref="P143">
    <cfRule type="cellIs" priority="147" operator="lessThan" dxfId="1">
      <formula>-0.03</formula>
    </cfRule>
    <cfRule type="cellIs" priority="148" operator="greaterThan" dxfId="0" stopIfTrue="1">
      <formula>0.03</formula>
    </cfRule>
  </conditionalFormatting>
  <conditionalFormatting sqref="J139:J143">
    <cfRule type="cellIs" priority="145" operator="greaterThan" dxfId="1">
      <formula>0.03</formula>
    </cfRule>
    <cfRule type="cellIs" priority="146" operator="lessThan" dxfId="0" stopIfTrue="1">
      <formula>-0.03</formula>
    </cfRule>
  </conditionalFormatting>
  <conditionalFormatting sqref="N156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N155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N150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N151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N152:N154">
    <cfRule type="cellIs" priority="135" operator="lessThan" dxfId="1" stopIfTrue="1">
      <formula>-0.01</formula>
    </cfRule>
    <cfRule type="cellIs" priority="136" operator="greaterThan" dxfId="0" stopIfTrue="1">
      <formula>0.01</formula>
    </cfRule>
  </conditionalFormatting>
  <conditionalFormatting sqref="P150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P154">
    <cfRule type="cellIs" priority="131" operator="lessThan" dxfId="1">
      <formula>-0.03</formula>
    </cfRule>
    <cfRule type="cellIs" priority="132" operator="greaterThan" dxfId="0" stopIfTrue="1">
      <formula>0.03</formula>
    </cfRule>
  </conditionalFormatting>
  <conditionalFormatting sqref="J150:J154">
    <cfRule type="cellIs" priority="129" operator="greaterThan" dxfId="1">
      <formula>0.03</formula>
    </cfRule>
    <cfRule type="cellIs" priority="130" operator="lessThan" dxfId="0" stopIfTrue="1">
      <formula>-0.03</formula>
    </cfRule>
  </conditionalFormatting>
  <conditionalFormatting sqref="N167">
    <cfRule type="cellIs" priority="127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N166">
    <cfRule type="cellIs" priority="125" operator="lessThan" dxfId="1" stopIfTrue="1">
      <formula>-0.01</formula>
    </cfRule>
    <cfRule type="cellIs" priority="126" operator="greaterThan" dxfId="0" stopIfTrue="1">
      <formula>0.01</formula>
    </cfRule>
  </conditionalFormatting>
  <conditionalFormatting sqref="N161">
    <cfRule type="cellIs" priority="123" operator="lessThan" dxfId="1" stopIfTrue="1">
      <formula>-0.01</formula>
    </cfRule>
    <cfRule type="cellIs" priority="124" operator="greaterThan" dxfId="0" stopIfTrue="1">
      <formula>0.01</formula>
    </cfRule>
  </conditionalFormatting>
  <conditionalFormatting sqref="N162">
    <cfRule type="cellIs" priority="121" operator="lessThan" dxfId="1" stopIfTrue="1">
      <formula>-0.01</formula>
    </cfRule>
    <cfRule type="cellIs" priority="122" operator="greaterThan" dxfId="0" stopIfTrue="1">
      <formula>0.01</formula>
    </cfRule>
  </conditionalFormatting>
  <conditionalFormatting sqref="N163:N165">
    <cfRule type="cellIs" priority="119" operator="lessThan" dxfId="1" stopIfTrue="1">
      <formula>-0.01</formula>
    </cfRule>
    <cfRule type="cellIs" priority="120" operator="greaterThan" dxfId="0" stopIfTrue="1">
      <formula>0.01</formula>
    </cfRule>
  </conditionalFormatting>
  <conditionalFormatting sqref="P161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P165">
    <cfRule type="cellIs" priority="115" operator="lessThan" dxfId="1">
      <formula>-0.03</formula>
    </cfRule>
    <cfRule type="cellIs" priority="116" operator="greaterThan" dxfId="0" stopIfTrue="1">
      <formula>0.03</formula>
    </cfRule>
  </conditionalFormatting>
  <conditionalFormatting sqref="J161:J165">
    <cfRule type="cellIs" priority="113" operator="greaterThan" dxfId="1">
      <formula>0.03</formula>
    </cfRule>
    <cfRule type="cellIs" priority="114" operator="lessThan" dxfId="0" stopIfTrue="1">
      <formula>-0.03</formula>
    </cfRule>
  </conditionalFormatting>
  <conditionalFormatting sqref="N178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77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172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173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174:N176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172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176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J172:J176">
    <cfRule type="cellIs" priority="97" operator="greaterThan" dxfId="1">
      <formula>0.03</formula>
    </cfRule>
    <cfRule type="cellIs" priority="98" operator="lessThan" dxfId="0" stopIfTrue="1">
      <formula>-0.03</formula>
    </cfRule>
  </conditionalFormatting>
  <conditionalFormatting sqref="N189">
    <cfRule type="cellIs" priority="95" operator="lessThan" dxfId="1" stopIfTrue="1">
      <formula>-0.01</formula>
    </cfRule>
    <cfRule type="cellIs" priority="96" operator="greaterThan" dxfId="0" stopIfTrue="1">
      <formula>0.01</formula>
    </cfRule>
  </conditionalFormatting>
  <conditionalFormatting sqref="N188">
    <cfRule type="cellIs" priority="93" operator="lessThan" dxfId="1" stopIfTrue="1">
      <formula>-0.01</formula>
    </cfRule>
    <cfRule type="cellIs" priority="94" operator="greaterThan" dxfId="0" stopIfTrue="1">
      <formula>0.01</formula>
    </cfRule>
  </conditionalFormatting>
  <conditionalFormatting sqref="N183">
    <cfRule type="cellIs" priority="91" operator="lessThan" dxfId="1" stopIfTrue="1">
      <formula>-0.01</formula>
    </cfRule>
    <cfRule type="cellIs" priority="92" operator="greaterThan" dxfId="0" stopIfTrue="1">
      <formula>0.01</formula>
    </cfRule>
  </conditionalFormatting>
  <conditionalFormatting sqref="N184">
    <cfRule type="cellIs" priority="89" operator="lessThan" dxfId="1" stopIfTrue="1">
      <formula>-0.01</formula>
    </cfRule>
    <cfRule type="cellIs" priority="90" operator="greaterThan" dxfId="0" stopIfTrue="1">
      <formula>0.01</formula>
    </cfRule>
  </conditionalFormatting>
  <conditionalFormatting sqref="N185:N187">
    <cfRule type="cellIs" priority="87" operator="lessThan" dxfId="1" stopIfTrue="1">
      <formula>-0.01</formula>
    </cfRule>
    <cfRule type="cellIs" priority="88" operator="greaterThan" dxfId="0" stopIfTrue="1">
      <formula>0.01</formula>
    </cfRule>
  </conditionalFormatting>
  <conditionalFormatting sqref="P183">
    <cfRule type="cellIs" priority="85" operator="greaterThan" dxfId="1">
      <formula>0.03</formula>
    </cfRule>
    <cfRule type="cellIs" priority="86" operator="lessThan" dxfId="0" stopIfTrue="1">
      <formula>-0.03</formula>
    </cfRule>
  </conditionalFormatting>
  <conditionalFormatting sqref="P187">
    <cfRule type="cellIs" priority="83" operator="lessThan" dxfId="1">
      <formula>-0.03</formula>
    </cfRule>
    <cfRule type="cellIs" priority="84" operator="greaterThan" dxfId="0" stopIfTrue="1">
      <formula>0.03</formula>
    </cfRule>
  </conditionalFormatting>
  <conditionalFormatting sqref="J183:J187">
    <cfRule type="cellIs" priority="81" operator="greaterThan" dxfId="1">
      <formula>0.03</formula>
    </cfRule>
    <cfRule type="cellIs" priority="82" operator="lessThan" dxfId="0" stopIfTrue="1">
      <formula>-0.03</formula>
    </cfRule>
  </conditionalFormatting>
  <conditionalFormatting sqref="N200">
    <cfRule type="cellIs" priority="79" operator="lessThan" dxfId="1" stopIfTrue="1">
      <formula>-0.01</formula>
    </cfRule>
    <cfRule type="cellIs" priority="80" operator="greaterThan" dxfId="0" stopIfTrue="1">
      <formula>0.01</formula>
    </cfRule>
  </conditionalFormatting>
  <conditionalFormatting sqref="N199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N194">
    <cfRule type="cellIs" priority="75" operator="lessThan" dxfId="1" stopIfTrue="1">
      <formula>-0.01</formula>
    </cfRule>
    <cfRule type="cellIs" priority="76" operator="greaterThan" dxfId="0" stopIfTrue="1">
      <formula>0.01</formula>
    </cfRule>
  </conditionalFormatting>
  <conditionalFormatting sqref="N195">
    <cfRule type="cellIs" priority="73" operator="lessThan" dxfId="1" stopIfTrue="1">
      <formula>-0.01</formula>
    </cfRule>
    <cfRule type="cellIs" priority="74" operator="greaterThan" dxfId="0" stopIfTrue="1">
      <formula>0.01</formula>
    </cfRule>
  </conditionalFormatting>
  <conditionalFormatting sqref="N196:N198">
    <cfRule type="cellIs" priority="71" operator="lessThan" dxfId="1" stopIfTrue="1">
      <formula>-0.01</formula>
    </cfRule>
    <cfRule type="cellIs" priority="72" operator="greaterThan" dxfId="0" stopIfTrue="1">
      <formula>0.01</formula>
    </cfRule>
  </conditionalFormatting>
  <conditionalFormatting sqref="P194">
    <cfRule type="cellIs" priority="69" operator="greaterThan" dxfId="1">
      <formula>0.03</formula>
    </cfRule>
    <cfRule type="cellIs" priority="70" operator="lessThan" dxfId="0" stopIfTrue="1">
      <formula>-0.03</formula>
    </cfRule>
  </conditionalFormatting>
  <conditionalFormatting sqref="P198">
    <cfRule type="cellIs" priority="67" operator="lessThan" dxfId="1">
      <formula>-0.03</formula>
    </cfRule>
    <cfRule type="cellIs" priority="68" operator="greaterThan" dxfId="0" stopIfTrue="1">
      <formula>0.03</formula>
    </cfRule>
  </conditionalFormatting>
  <conditionalFormatting sqref="J194:J198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211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210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205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206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N207:N209">
    <cfRule type="cellIs" priority="55" operator="lessThan" dxfId="1" stopIfTrue="1">
      <formula>-0.01</formula>
    </cfRule>
    <cfRule type="cellIs" priority="56" operator="greaterThan" dxfId="0" stopIfTrue="1">
      <formula>0.01</formula>
    </cfRule>
  </conditionalFormatting>
  <conditionalFormatting sqref="P205">
    <cfRule type="cellIs" priority="53" operator="greaterThan" dxfId="1">
      <formula>0.03</formula>
    </cfRule>
    <cfRule type="cellIs" priority="54" operator="lessThan" dxfId="0" stopIfTrue="1">
      <formula>-0.03</formula>
    </cfRule>
  </conditionalFormatting>
  <conditionalFormatting sqref="P209">
    <cfRule type="cellIs" priority="51" operator="lessThan" dxfId="1">
      <formula>-0.03</formula>
    </cfRule>
    <cfRule type="cellIs" priority="52" operator="greaterThan" dxfId="0" stopIfTrue="1">
      <formula>0.03</formula>
    </cfRule>
  </conditionalFormatting>
  <conditionalFormatting sqref="J205:J209">
    <cfRule type="cellIs" priority="49" operator="greaterThan" dxfId="1">
      <formula>0.03</formula>
    </cfRule>
    <cfRule type="cellIs" priority="50" operator="lessThan" dxfId="0" stopIfTrue="1">
      <formula>-0.03</formula>
    </cfRule>
  </conditionalFormatting>
  <conditionalFormatting sqref="N222">
    <cfRule type="cellIs" priority="47" operator="lessThan" dxfId="1" stopIfTrue="1">
      <formula>-0.01</formula>
    </cfRule>
    <cfRule type="cellIs" priority="48" operator="greaterThan" dxfId="0" stopIfTrue="1">
      <formula>0.01</formula>
    </cfRule>
  </conditionalFormatting>
  <conditionalFormatting sqref="N221">
    <cfRule type="cellIs" priority="45" operator="lessThan" dxfId="1" stopIfTrue="1">
      <formula>-0.01</formula>
    </cfRule>
    <cfRule type="cellIs" priority="46" operator="greaterThan" dxfId="0" stopIfTrue="1">
      <formula>0.01</formula>
    </cfRule>
  </conditionalFormatting>
  <conditionalFormatting sqref="N216">
    <cfRule type="cellIs" priority="43" operator="lessThan" dxfId="1" stopIfTrue="1">
      <formula>-0.01</formula>
    </cfRule>
    <cfRule type="cellIs" priority="44" operator="greaterThan" dxfId="0" stopIfTrue="1">
      <formula>0.01</formula>
    </cfRule>
  </conditionalFormatting>
  <conditionalFormatting sqref="N217">
    <cfRule type="cellIs" priority="41" operator="lessThan" dxfId="1" stopIfTrue="1">
      <formula>-0.01</formula>
    </cfRule>
    <cfRule type="cellIs" priority="42" operator="greaterThan" dxfId="0" stopIfTrue="1">
      <formula>0.01</formula>
    </cfRule>
  </conditionalFormatting>
  <conditionalFormatting sqref="N218:N220">
    <cfRule type="cellIs" priority="39" operator="lessThan" dxfId="1" stopIfTrue="1">
      <formula>-0.01</formula>
    </cfRule>
    <cfRule type="cellIs" priority="40" operator="greaterThan" dxfId="0" stopIfTrue="1">
      <formula>0.01</formula>
    </cfRule>
  </conditionalFormatting>
  <conditionalFormatting sqref="P216">
    <cfRule type="cellIs" priority="37" operator="greaterThan" dxfId="1">
      <formula>0.03</formula>
    </cfRule>
    <cfRule type="cellIs" priority="38" operator="lessThan" dxfId="0" stopIfTrue="1">
      <formula>-0.03</formula>
    </cfRule>
  </conditionalFormatting>
  <conditionalFormatting sqref="P220">
    <cfRule type="cellIs" priority="35" operator="lessThan" dxfId="1">
      <formula>-0.03</formula>
    </cfRule>
    <cfRule type="cellIs" priority="36" operator="greaterThan" dxfId="0" stopIfTrue="1">
      <formula>0.03</formula>
    </cfRule>
  </conditionalFormatting>
  <conditionalFormatting sqref="J216:J220">
    <cfRule type="cellIs" priority="33" operator="greaterThan" dxfId="1">
      <formula>0.03</formula>
    </cfRule>
    <cfRule type="cellIs" priority="34" operator="lessThan" dxfId="0" stopIfTrue="1">
      <formula>-0.03</formula>
    </cfRule>
  </conditionalFormatting>
  <conditionalFormatting sqref="N233">
    <cfRule type="cellIs" priority="31" operator="lessThan" dxfId="1" stopIfTrue="1">
      <formula>-0.01</formula>
    </cfRule>
    <cfRule type="cellIs" priority="32" operator="greaterThan" dxfId="0" stopIfTrue="1">
      <formula>0.01</formula>
    </cfRule>
  </conditionalFormatting>
  <conditionalFormatting sqref="N232">
    <cfRule type="cellIs" priority="29" operator="lessThan" dxfId="1" stopIfTrue="1">
      <formula>-0.01</formula>
    </cfRule>
    <cfRule type="cellIs" priority="30" operator="greaterThan" dxfId="0" stopIfTrue="1">
      <formula>0.01</formula>
    </cfRule>
  </conditionalFormatting>
  <conditionalFormatting sqref="N227">
    <cfRule type="cellIs" priority="27" operator="lessThan" dxfId="1" stopIfTrue="1">
      <formula>-0.01</formula>
    </cfRule>
    <cfRule type="cellIs" priority="28" operator="greaterThan" dxfId="0" stopIfTrue="1">
      <formula>0.01</formula>
    </cfRule>
  </conditionalFormatting>
  <conditionalFormatting sqref="N228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N229:N231">
    <cfRule type="cellIs" priority="23" operator="lessThan" dxfId="1" stopIfTrue="1">
      <formula>-0.01</formula>
    </cfRule>
    <cfRule type="cellIs" priority="24" operator="greaterThan" dxfId="0" stopIfTrue="1">
      <formula>0.01</formula>
    </cfRule>
  </conditionalFormatting>
  <conditionalFormatting sqref="P227">
    <cfRule type="cellIs" priority="21" operator="greaterThan" dxfId="1">
      <formula>0.03</formula>
    </cfRule>
    <cfRule type="cellIs" priority="22" operator="lessThan" dxfId="0" stopIfTrue="1">
      <formula>-0.03</formula>
    </cfRule>
  </conditionalFormatting>
  <conditionalFormatting sqref="P231">
    <cfRule type="cellIs" priority="19" operator="lessThan" dxfId="1">
      <formula>-0.03</formula>
    </cfRule>
    <cfRule type="cellIs" priority="20" operator="greaterThan" dxfId="0" stopIfTrue="1">
      <formula>0.03</formula>
    </cfRule>
  </conditionalFormatting>
  <conditionalFormatting sqref="J227:J231">
    <cfRule type="cellIs" priority="17" operator="greaterThan" dxfId="1">
      <formula>0.03</formula>
    </cfRule>
    <cfRule type="cellIs" priority="18" operator="lessThan" dxfId="0" stopIfTrue="1">
      <formula>-0.03</formula>
    </cfRule>
  </conditionalFormatting>
  <conditionalFormatting sqref="N134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N133">
    <cfRule type="cellIs" priority="13" operator="lessThan" dxfId="1" stopIfTrue="1">
      <formula>-0.01</formula>
    </cfRule>
    <cfRule type="cellIs" priority="14" operator="greaterThan" dxfId="0" stopIfTrue="1">
      <formula>0.01</formula>
    </cfRule>
  </conditionalFormatting>
  <conditionalFormatting sqref="N128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129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130:N132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P128">
    <cfRule type="cellIs" priority="5" operator="greaterThan" dxfId="1">
      <formula>0.03</formula>
    </cfRule>
    <cfRule type="cellIs" priority="6" operator="lessThan" dxfId="0" stopIfTrue="1">
      <formula>-0.03</formula>
    </cfRule>
  </conditionalFormatting>
  <conditionalFormatting sqref="P132">
    <cfRule type="cellIs" priority="3" operator="lessThan" dxfId="1">
      <formula>-0.03</formula>
    </cfRule>
    <cfRule type="cellIs" priority="4" operator="greaterThan" dxfId="0" stopIfTrue="1">
      <formula>0.03</formula>
    </cfRule>
  </conditionalFormatting>
  <conditionalFormatting sqref="J128:J132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25">
    <outlinePr summaryBelow="1" summaryRight="1"/>
    <pageSetUpPr/>
  </sheetPr>
  <dimension ref="A1:AF233"/>
  <sheetViews>
    <sheetView workbookViewId="0">
      <selection activeCell="H49" sqref="H49"/>
    </sheetView>
  </sheetViews>
  <sheetFormatPr baseColWidth="8" defaultColWidth="9" defaultRowHeight="15.6" outlineLevelCol="0"/>
  <cols>
    <col width="1.69921875" bestFit="1" customWidth="1" style="256" min="1" max="1"/>
    <col width="6.69921875" customWidth="1" style="256" min="2" max="2"/>
    <col width="9.296875" customWidth="1" style="256" min="3" max="3"/>
    <col width="14.296875" customWidth="1" style="256" min="4" max="4"/>
    <col width="4.69921875" customWidth="1" style="256" min="5" max="5"/>
    <col width="6.69921875" customWidth="1" style="256" min="6" max="6"/>
    <col width="9.296875" customWidth="1" style="256" min="7" max="7"/>
    <col width="14.296875" customWidth="1" style="256" min="8" max="8"/>
    <col width="4.69921875" customWidth="1" style="256" min="9" max="9"/>
    <col width="9.69921875" customWidth="1" style="256" min="10" max="10"/>
    <col width="4.69921875" customWidth="1" style="256" min="11" max="11"/>
    <col width="14.296875" bestFit="1" customWidth="1" style="256" min="12" max="12"/>
    <col width="16.09765625" bestFit="1" customWidth="1" style="256" min="13" max="13"/>
    <col width="8" bestFit="1" customWidth="1" style="256" min="14" max="14"/>
    <col width="4.69921875" customWidth="1" style="256" min="15" max="15"/>
    <col width="9.796875" bestFit="1" customWidth="1" style="256" min="16" max="16"/>
    <col width="4.69921875" customWidth="1" style="256" min="17" max="17"/>
    <col width="84.69921875" customWidth="1" style="256" min="18" max="18"/>
    <col width="6.3984375" bestFit="1" customWidth="1" style="256" min="19" max="19"/>
    <col width="9.69921875" bestFit="1" customWidth="1" style="256" min="20" max="20"/>
    <col width="1.69921875" bestFit="1" customWidth="1" style="256" min="21" max="21"/>
    <col width="7.69921875" bestFit="1" customWidth="1" style="256" min="22" max="22"/>
    <col width="1.69921875" bestFit="1" customWidth="1" style="256" min="23" max="23"/>
    <col width="14.296875" bestFit="1" customWidth="1" style="256" min="24" max="24"/>
    <col width="16.09765625" bestFit="1" customWidth="1" style="256" min="25" max="25"/>
    <col width="5.09765625" bestFit="1" customWidth="1" style="256" min="26" max="26"/>
    <col width="1.69921875" bestFit="1" customWidth="1" style="256" min="27" max="27"/>
    <col width="8.09765625" bestFit="1" customWidth="1" style="265" min="28" max="28"/>
    <col width="9" customWidth="1" style="256" min="29" max="29"/>
    <col width="1.296875" bestFit="1" customWidth="1" style="256" min="30" max="30"/>
    <col width="80.69921875" customWidth="1" style="256" min="31" max="31"/>
    <col width="1.296875" bestFit="1" customWidth="1" style="256" min="32" max="32"/>
    <col width="9" customWidth="1" style="256" min="33" max="38"/>
  </cols>
  <sheetData>
    <row r="1">
      <c r="AD1" s="10" t="inlineStr"/>
      <c r="AF1" s="10" t="inlineStr"/>
    </row>
    <row r="2">
      <c r="B2" s="260">
        <f>'Summary (auto)'!C3</f>
        <v/>
      </c>
      <c r="E2" s="114" t="n"/>
      <c r="F2" s="260">
        <f>'Summary (auto)'!C4</f>
        <v/>
      </c>
      <c r="I2" s="265" t="n"/>
      <c r="J2" s="255" t="inlineStr">
        <is>
          <t>Rate</t>
        </is>
      </c>
      <c r="K2" s="265" t="n"/>
      <c r="L2" s="255" t="inlineStr">
        <is>
          <t>Distortion</t>
        </is>
      </c>
      <c r="O2" s="265" t="n"/>
      <c r="P2" s="255" t="inlineStr">
        <is>
          <t>BD-rate</t>
        </is>
      </c>
      <c r="U2" s="255" t="n"/>
      <c r="V2" s="255" t="n"/>
    </row>
    <row r="3" ht="16.5" customHeight="1" s="256" thickBot="1">
      <c r="A3" s="189" t="inlineStr"/>
      <c r="B3" s="114" t="n"/>
      <c r="C3" s="114" t="n"/>
      <c r="D3" s="114" t="n"/>
      <c r="E3" s="114" t="n"/>
      <c r="F3" s="114" t="n"/>
      <c r="G3" s="114" t="n"/>
      <c r="H3" s="114" t="n"/>
      <c r="I3" s="265" t="n"/>
      <c r="J3" s="265" t="n"/>
      <c r="K3" s="190" t="inlineStr"/>
      <c r="L3" s="105" t="inlineStr">
        <is>
          <t>H</t>
        </is>
      </c>
      <c r="M3" s="105" t="inlineStr">
        <is>
          <t>AF</t>
        </is>
      </c>
      <c r="N3" s="265" t="n"/>
      <c r="O3" s="190" t="inlineStr"/>
      <c r="P3" s="265" t="n"/>
      <c r="U3" s="189" t="inlineStr"/>
      <c r="W3" s="189" t="inlineStr"/>
    </row>
    <row r="4">
      <c r="B4" s="261" t="inlineStr">
        <is>
          <t>bartender_track</t>
        </is>
      </c>
      <c r="C4" s="262" t="n"/>
      <c r="D4" s="263" t="n"/>
      <c r="E4" s="2" t="n"/>
      <c r="F4" s="261">
        <f>B4</f>
        <v/>
      </c>
      <c r="G4" s="262" t="n"/>
      <c r="H4" s="263" t="n"/>
      <c r="I4" s="2" t="n"/>
      <c r="J4" s="264" t="n"/>
      <c r="L4" s="264">
        <f>F4</f>
        <v/>
      </c>
      <c r="M4" s="262" t="n"/>
      <c r="N4" s="263" t="n"/>
      <c r="O4" s="195" t="n"/>
      <c r="P4" s="264" t="n"/>
      <c r="Q4" s="195" t="n"/>
      <c r="R4" s="195" t="n"/>
      <c r="S4" s="195" t="n"/>
      <c r="T4" s="195" t="n"/>
      <c r="U4" s="265" t="n"/>
      <c r="V4" s="265" t="n"/>
      <c r="X4" s="265" t="n"/>
    </row>
    <row r="5">
      <c r="B5" s="259" t="inlineStr">
        <is>
          <t>Test</t>
        </is>
      </c>
      <c r="D5" s="87" t="inlineStr">
        <is>
          <t>Bitstream (MB)</t>
        </is>
      </c>
      <c r="E5" s="294" t="n"/>
      <c r="F5" s="259" t="inlineStr">
        <is>
          <t>Test</t>
        </is>
      </c>
      <c r="H5" s="87" t="inlineStr">
        <is>
          <t>Bitstream (MB)</t>
        </is>
      </c>
      <c r="I5" s="9" t="n"/>
      <c r="J5" s="257" t="inlineStr">
        <is>
          <t>%</t>
        </is>
      </c>
      <c r="L5" s="257" t="inlineStr">
        <is>
          <t>YUV-SSIM</t>
        </is>
      </c>
      <c r="N5" s="258" t="n"/>
      <c r="O5" s="85" t="n"/>
      <c r="P5" s="3" t="n"/>
      <c r="Q5" s="85" t="n"/>
      <c r="R5" s="255" t="n"/>
      <c r="U5" s="255" t="n"/>
      <c r="V5" s="255" t="n"/>
      <c r="X5" s="255" t="n"/>
    </row>
    <row r="6">
      <c r="B6" s="191" t="inlineStr">
        <is>
          <t>Anchor</t>
        </is>
      </c>
      <c r="C6" s="130" t="inlineStr">
        <is>
          <t>Test point</t>
        </is>
      </c>
      <c r="D6" s="86" t="inlineStr">
        <is>
          <t>Total</t>
        </is>
      </c>
      <c r="E6" s="294" t="n"/>
      <c r="F6" s="191" t="inlineStr">
        <is>
          <t>Anchor</t>
        </is>
      </c>
      <c r="G6" s="130" t="inlineStr">
        <is>
          <t>Test point</t>
        </is>
      </c>
      <c r="H6" s="86" t="inlineStr">
        <is>
          <t>Total</t>
        </is>
      </c>
      <c r="I6" s="9" t="n"/>
      <c r="J6" s="93" t="n"/>
      <c r="L6" s="192">
        <f>CONCATENATE(B$2," ",L4)</f>
        <v/>
      </c>
      <c r="M6" s="193">
        <f>CONCATENATE(F$2," ",L4)</f>
        <v/>
      </c>
      <c r="N6" s="194" t="inlineStr">
        <is>
          <t>Delta</t>
        </is>
      </c>
      <c r="O6" s="2" t="n"/>
      <c r="P6" s="3" t="inlineStr">
        <is>
          <t>BD-rate</t>
        </is>
      </c>
      <c r="Q6" s="2" t="n"/>
      <c r="R6" s="2" t="n"/>
      <c r="S6" s="2" t="n"/>
      <c r="T6" s="2" t="n"/>
      <c r="U6" s="2" t="n"/>
      <c r="V6" s="2" t="n"/>
      <c r="X6" s="195" t="n"/>
      <c r="Y6" s="195" t="n"/>
      <c r="Z6" s="195" t="n"/>
    </row>
    <row r="7">
      <c r="B7" s="122">
        <f>B4</f>
        <v/>
      </c>
      <c r="C7" s="130" t="inlineStr">
        <is>
          <t>r01</t>
        </is>
      </c>
      <c r="D7" s="295">
        <f>0.000001*INDIRECT($B7&amp;"!E5")</f>
        <v/>
      </c>
      <c r="E7" s="294" t="n"/>
      <c r="F7" s="122">
        <f>F4</f>
        <v/>
      </c>
      <c r="G7" s="130" t="inlineStr">
        <is>
          <t>r01</t>
        </is>
      </c>
      <c r="H7" s="295">
        <f>0.000001*INDIRECT($B7&amp;"!AC5")</f>
        <v/>
      </c>
      <c r="I7" s="9" t="n"/>
      <c r="J7" s="296">
        <f>H7/D7-1</f>
        <v/>
      </c>
      <c r="L7" s="94">
        <f>INDIRECT($B7&amp;"!"&amp;L$3&amp;"5")</f>
        <v/>
      </c>
      <c r="M7" s="95">
        <f>INDIRECT($B7&amp;"!"&amp;M$3&amp;"5")</f>
        <v/>
      </c>
      <c r="N7" s="96">
        <f>M7-L7</f>
        <v/>
      </c>
      <c r="O7" s="294" t="n"/>
      <c r="P7" s="296">
        <f>bdRateExtend(D7:D11,L7:L11,H7:H11,M7:M11)</f>
        <v/>
      </c>
      <c r="Q7" s="294" t="n"/>
      <c r="R7" s="9" t="n"/>
      <c r="S7" s="9" t="n"/>
      <c r="T7" s="9" t="n"/>
      <c r="U7" s="9" t="n"/>
      <c r="V7" s="297" t="n"/>
      <c r="X7" s="6" t="n"/>
      <c r="Y7" s="6" t="n"/>
      <c r="Z7" s="81" t="n"/>
      <c r="AB7" s="298" t="n"/>
    </row>
    <row r="8">
      <c r="B8" s="122">
        <f>B7</f>
        <v/>
      </c>
      <c r="C8" s="130" t="inlineStr">
        <is>
          <t>r02</t>
        </is>
      </c>
      <c r="D8" s="295">
        <f>0.000001*INDIRECT($B8&amp;"!E6")</f>
        <v/>
      </c>
      <c r="E8" s="294" t="n"/>
      <c r="F8" s="122">
        <f>F7</f>
        <v/>
      </c>
      <c r="G8" s="130" t="inlineStr">
        <is>
          <t>r02</t>
        </is>
      </c>
      <c r="H8" s="295">
        <f>0.000001*INDIRECT($B8&amp;"!AC6")</f>
        <v/>
      </c>
      <c r="I8" s="9" t="n"/>
      <c r="J8" s="296">
        <f>H8/D8-1</f>
        <v/>
      </c>
      <c r="L8" s="94">
        <f>INDIRECT($B8&amp;"!"&amp;L$3&amp;"6")</f>
        <v/>
      </c>
      <c r="M8" s="95">
        <f>INDIRECT($B8&amp;"!"&amp;M$3&amp;"6")</f>
        <v/>
      </c>
      <c r="N8" s="96">
        <f>M8-L8</f>
        <v/>
      </c>
      <c r="O8" s="294" t="n"/>
      <c r="P8" s="3" t="n"/>
      <c r="Q8" s="294" t="n"/>
      <c r="R8" s="9" t="n"/>
      <c r="S8" s="9" t="n"/>
      <c r="T8" s="9" t="n"/>
      <c r="U8" s="9" t="n"/>
      <c r="V8" s="297" t="n"/>
      <c r="X8" s="6" t="n"/>
      <c r="Y8" s="6" t="n"/>
      <c r="Z8" s="81" t="n"/>
    </row>
    <row r="9">
      <c r="B9" s="122">
        <f>B8</f>
        <v/>
      </c>
      <c r="C9" s="130" t="inlineStr">
        <is>
          <t>r03</t>
        </is>
      </c>
      <c r="D9" s="295">
        <f>0.000001*INDIRECT($B9&amp;"!E7")</f>
        <v/>
      </c>
      <c r="E9" s="294" t="n"/>
      <c r="F9" s="122">
        <f>F8</f>
        <v/>
      </c>
      <c r="G9" s="130" t="inlineStr">
        <is>
          <t>r03</t>
        </is>
      </c>
      <c r="H9" s="295">
        <f>0.000001*INDIRECT($B9&amp;"!AC7")</f>
        <v/>
      </c>
      <c r="I9" s="9" t="n"/>
      <c r="J9" s="296">
        <f>H9/D9-1</f>
        <v/>
      </c>
      <c r="L9" s="94">
        <f>INDIRECT($B9&amp;"!"&amp;L$3&amp;"7")</f>
        <v/>
      </c>
      <c r="M9" s="95">
        <f>INDIRECT($B9&amp;"!"&amp;M$3&amp;"7")</f>
        <v/>
      </c>
      <c r="N9" s="96">
        <f>M9-L9</f>
        <v/>
      </c>
      <c r="O9" s="294" t="n"/>
      <c r="P9" s="217" t="n"/>
      <c r="Q9" s="294" t="n"/>
      <c r="R9" s="9" t="n"/>
      <c r="S9" s="9" t="n"/>
      <c r="T9" s="9" t="n"/>
      <c r="U9" s="9" t="n"/>
      <c r="V9" s="297" t="n"/>
      <c r="X9" s="6" t="n"/>
      <c r="Y9" s="6" t="n"/>
      <c r="Z9" s="81" t="n"/>
    </row>
    <row r="10">
      <c r="B10" s="122">
        <f>B9</f>
        <v/>
      </c>
      <c r="C10" s="130" t="inlineStr">
        <is>
          <t>r04</t>
        </is>
      </c>
      <c r="D10" s="295">
        <f>0.000001*INDIRECT($B10&amp;"!E8")</f>
        <v/>
      </c>
      <c r="E10" s="294" t="n"/>
      <c r="F10" s="122">
        <f>F9</f>
        <v/>
      </c>
      <c r="G10" s="130" t="inlineStr">
        <is>
          <t>r04</t>
        </is>
      </c>
      <c r="H10" s="295">
        <f>0.000001*INDIRECT($B10&amp;"!AC8")</f>
        <v/>
      </c>
      <c r="I10" s="9" t="n"/>
      <c r="J10" s="296">
        <f>H10/D10-1</f>
        <v/>
      </c>
      <c r="L10" s="94">
        <f>INDIRECT($B10&amp;"!"&amp;L$3&amp;"8")</f>
        <v/>
      </c>
      <c r="M10" s="95">
        <f>INDIRECT($B10&amp;"!"&amp;M$3&amp;"8")</f>
        <v/>
      </c>
      <c r="N10" s="96">
        <f>M10-L10</f>
        <v/>
      </c>
      <c r="O10" s="294" t="n"/>
      <c r="P10" s="303" t="n"/>
      <c r="Q10" s="294" t="n"/>
      <c r="R10" s="9" t="n"/>
      <c r="S10" s="9" t="n"/>
      <c r="T10" s="9" t="n"/>
      <c r="U10" s="9" t="n"/>
      <c r="V10" s="297" t="n"/>
      <c r="X10" s="6" t="n"/>
      <c r="Y10" s="6" t="n"/>
      <c r="Z10" s="81" t="n"/>
    </row>
    <row r="11" ht="16.5" customHeight="1" s="256" thickBot="1">
      <c r="B11" s="122">
        <f>B10</f>
        <v/>
      </c>
      <c r="C11" s="130" t="inlineStr">
        <is>
          <t>r05</t>
        </is>
      </c>
      <c r="D11" s="295">
        <f>0.000001*INDIRECT($B11&amp;"!E9")</f>
        <v/>
      </c>
      <c r="E11" s="294" t="n"/>
      <c r="F11" s="122">
        <f>F10</f>
        <v/>
      </c>
      <c r="G11" s="130" t="inlineStr">
        <is>
          <t>r05</t>
        </is>
      </c>
      <c r="H11" s="295">
        <f>0.000001*INDIRECT($B11&amp;"!AC9")</f>
        <v/>
      </c>
      <c r="I11" s="9" t="n"/>
      <c r="J11" s="296">
        <f>H11/D11-1</f>
        <v/>
      </c>
      <c r="L11" s="94">
        <f>INDIRECT($B11&amp;"!"&amp;L$3&amp;"9")</f>
        <v/>
      </c>
      <c r="M11" s="95">
        <f>INDIRECT($B11&amp;"!"&amp;M$3&amp;"9")</f>
        <v/>
      </c>
      <c r="N11" s="96">
        <f>M11-L11</f>
        <v/>
      </c>
      <c r="O11" s="294" t="n"/>
      <c r="P11" s="299" t="n"/>
      <c r="Q11" s="294" t="n"/>
      <c r="R11" s="9" t="n"/>
      <c r="S11" s="9" t="n"/>
      <c r="T11" s="9" t="n"/>
      <c r="U11" s="9" t="n"/>
      <c r="V11" s="297" t="n"/>
      <c r="X11" s="6" t="n"/>
      <c r="Y11" s="6" t="n"/>
      <c r="Z11" s="81" t="n"/>
      <c r="AB11" s="298" t="n"/>
    </row>
    <row r="12" ht="16.5" customHeight="1" s="256">
      <c r="B12" s="109" t="n"/>
      <c r="C12" s="110" t="n"/>
      <c r="D12" s="300" t="n"/>
      <c r="F12" s="109" t="n"/>
      <c r="G12" s="110" t="n"/>
      <c r="H12" s="300" t="n"/>
      <c r="J12" s="98">
        <f>MIN(D7:D11,H7:H11)</f>
        <v/>
      </c>
      <c r="L12" s="99" t="n"/>
      <c r="M12" s="100" t="n"/>
      <c r="N12" s="101" t="n"/>
      <c r="O12" s="294" t="n"/>
      <c r="P12" s="264" t="n"/>
      <c r="Q12" s="294" t="n"/>
      <c r="R12" s="9" t="n"/>
      <c r="S12" s="9" t="n"/>
      <c r="T12" s="9" t="n"/>
      <c r="U12" s="9" t="n"/>
      <c r="V12" s="83" t="n"/>
      <c r="X12" s="6" t="n"/>
      <c r="Y12" s="6" t="n"/>
      <c r="Z12" s="81" t="n"/>
    </row>
    <row r="13" ht="16.5" customHeight="1" s="256" thickBot="1">
      <c r="B13" s="89" t="n"/>
      <c r="C13" s="92" t="n"/>
      <c r="D13" s="301" t="n"/>
      <c r="E13" s="294" t="n"/>
      <c r="F13" s="89" t="n"/>
      <c r="G13" s="92" t="n"/>
      <c r="H13" s="301" t="n"/>
      <c r="I13" s="9" t="n"/>
      <c r="J13" s="102">
        <f>MAX(D7:D11,H7:H11)</f>
        <v/>
      </c>
      <c r="L13" s="103">
        <f>L12</f>
        <v/>
      </c>
      <c r="M13" s="104">
        <f>M12</f>
        <v/>
      </c>
      <c r="N13" s="97" t="n"/>
      <c r="O13" s="294" t="n"/>
      <c r="P13" s="5" t="n"/>
      <c r="Q13" s="294" t="n"/>
      <c r="R13" s="9" t="n"/>
      <c r="S13" s="9" t="n"/>
      <c r="T13" s="9" t="n"/>
      <c r="U13" s="9" t="n"/>
      <c r="V13" s="83" t="n"/>
      <c r="X13" s="84" t="n"/>
      <c r="Y13" s="84" t="n"/>
      <c r="Z13" s="81" t="n"/>
    </row>
    <row r="14" ht="16.5" customHeight="1" s="256" thickBot="1">
      <c r="B14" s="114" t="n"/>
      <c r="C14" s="114" t="n"/>
      <c r="D14" s="302" t="n"/>
      <c r="E14" s="294" t="n"/>
      <c r="F14" s="114" t="n"/>
      <c r="G14" s="114" t="n"/>
      <c r="H14" s="302" t="n"/>
    </row>
    <row r="15">
      <c r="B15" s="261" t="inlineStr">
        <is>
          <t>breakfast_track</t>
        </is>
      </c>
      <c r="C15" s="262" t="n"/>
      <c r="D15" s="263" t="n"/>
      <c r="E15" s="2" t="n"/>
      <c r="F15" s="261">
        <f>B15</f>
        <v/>
      </c>
      <c r="G15" s="262" t="n"/>
      <c r="H15" s="263" t="n"/>
      <c r="I15" s="2" t="n"/>
      <c r="J15" s="264" t="n"/>
      <c r="L15" s="264">
        <f>F15</f>
        <v/>
      </c>
      <c r="M15" s="262" t="n"/>
      <c r="N15" s="263" t="n"/>
      <c r="O15" s="195" t="n"/>
      <c r="P15" s="264" t="n"/>
      <c r="Q15" s="195" t="n"/>
      <c r="R15" s="195" t="n"/>
      <c r="S15" s="195" t="n"/>
      <c r="T15" s="195" t="n"/>
      <c r="U15" s="265" t="n"/>
      <c r="V15" s="265" t="n"/>
      <c r="X15" s="265" t="n"/>
    </row>
    <row r="16">
      <c r="B16" s="259" t="inlineStr">
        <is>
          <t>Test</t>
        </is>
      </c>
      <c r="D16" s="87" t="inlineStr">
        <is>
          <t>Bitstream (MB)</t>
        </is>
      </c>
      <c r="E16" s="294" t="n"/>
      <c r="F16" s="259" t="inlineStr">
        <is>
          <t>Test</t>
        </is>
      </c>
      <c r="H16" s="87" t="inlineStr">
        <is>
          <t>Bitstream (MB)</t>
        </is>
      </c>
      <c r="I16" s="9" t="n"/>
      <c r="J16" s="257" t="inlineStr">
        <is>
          <t>%</t>
        </is>
      </c>
      <c r="L16" s="257" t="inlineStr">
        <is>
          <t>YUV-SSIM</t>
        </is>
      </c>
      <c r="N16" s="258" t="n"/>
      <c r="O16" s="85" t="n"/>
      <c r="P16" s="3" t="n"/>
      <c r="Q16" s="85" t="n"/>
      <c r="R16" s="255" t="n"/>
      <c r="U16" s="255" t="n"/>
      <c r="V16" s="255" t="n"/>
      <c r="X16" s="255" t="n"/>
    </row>
    <row r="17">
      <c r="B17" s="191" t="inlineStr">
        <is>
          <t>Anchor</t>
        </is>
      </c>
      <c r="C17" s="130" t="inlineStr">
        <is>
          <t>Test point</t>
        </is>
      </c>
      <c r="D17" s="86" t="inlineStr">
        <is>
          <t>Total</t>
        </is>
      </c>
      <c r="E17" s="294" t="n"/>
      <c r="F17" s="191" t="inlineStr">
        <is>
          <t>Anchor</t>
        </is>
      </c>
      <c r="G17" s="130" t="inlineStr">
        <is>
          <t>Test point</t>
        </is>
      </c>
      <c r="H17" s="86" t="inlineStr">
        <is>
          <t>Total</t>
        </is>
      </c>
      <c r="I17" s="9" t="n"/>
      <c r="J17" s="93" t="n"/>
      <c r="L17" s="192">
        <f>CONCATENATE(B$2," ",L15)</f>
        <v/>
      </c>
      <c r="M17" s="193">
        <f>CONCATENATE(F$2," ",L15)</f>
        <v/>
      </c>
      <c r="N17" s="194" t="inlineStr">
        <is>
          <t>Delta</t>
        </is>
      </c>
      <c r="O17" s="2" t="n"/>
      <c r="P17" s="3" t="inlineStr">
        <is>
          <t>BD-rate</t>
        </is>
      </c>
      <c r="Q17" s="2" t="n"/>
      <c r="R17" s="2" t="n"/>
      <c r="S17" s="2" t="n"/>
      <c r="T17" s="2" t="n"/>
      <c r="U17" s="2" t="n"/>
      <c r="V17" s="2" t="n"/>
      <c r="X17" s="195" t="n"/>
      <c r="Y17" s="195" t="n"/>
      <c r="Z17" s="195" t="n"/>
    </row>
    <row r="18">
      <c r="B18" s="122">
        <f>B15</f>
        <v/>
      </c>
      <c r="C18" s="130" t="inlineStr">
        <is>
          <t>r01</t>
        </is>
      </c>
      <c r="D18" s="295">
        <f>0.000001*INDIRECT($B18&amp;"!E5")</f>
        <v/>
      </c>
      <c r="E18" s="294" t="n"/>
      <c r="F18" s="122">
        <f>F15</f>
        <v/>
      </c>
      <c r="G18" s="130" t="inlineStr">
        <is>
          <t>r01</t>
        </is>
      </c>
      <c r="H18" s="295">
        <f>0.000001*INDIRECT($B18&amp;"!AC5")</f>
        <v/>
      </c>
      <c r="I18" s="9" t="n"/>
      <c r="J18" s="296">
        <f>H18/D18-1</f>
        <v/>
      </c>
      <c r="L18" s="94">
        <f>INDIRECT($B18&amp;"!"&amp;L$3&amp;"5")</f>
        <v/>
      </c>
      <c r="M18" s="95">
        <f>INDIRECT($B18&amp;"!"&amp;M$3&amp;"5")</f>
        <v/>
      </c>
      <c r="N18" s="96">
        <f>M18-L18</f>
        <v/>
      </c>
      <c r="O18" s="294" t="n"/>
      <c r="P18" s="296">
        <f>bdRateExtend(D18:D22,L18:L22,H18:H22,M18:M22)</f>
        <v/>
      </c>
      <c r="Q18" s="294" t="n"/>
      <c r="R18" s="9" t="n"/>
      <c r="S18" s="9" t="n"/>
      <c r="T18" s="9" t="n"/>
      <c r="U18" s="9" t="n"/>
      <c r="V18" s="297" t="n"/>
      <c r="X18" s="6" t="n"/>
      <c r="Y18" s="6" t="n"/>
      <c r="Z18" s="81" t="n"/>
      <c r="AB18" s="298" t="n"/>
    </row>
    <row r="19">
      <c r="B19" s="122">
        <f>B18</f>
        <v/>
      </c>
      <c r="C19" s="130" t="inlineStr">
        <is>
          <t>r02</t>
        </is>
      </c>
      <c r="D19" s="295">
        <f>0.000001*INDIRECT($B19&amp;"!E6")</f>
        <v/>
      </c>
      <c r="E19" s="294" t="n"/>
      <c r="F19" s="122">
        <f>F18</f>
        <v/>
      </c>
      <c r="G19" s="130" t="inlineStr">
        <is>
          <t>r02</t>
        </is>
      </c>
      <c r="H19" s="295">
        <f>0.000001*INDIRECT($B19&amp;"!AC6")</f>
        <v/>
      </c>
      <c r="I19" s="9" t="n"/>
      <c r="J19" s="296">
        <f>H19/D19-1</f>
        <v/>
      </c>
      <c r="L19" s="94">
        <f>INDIRECT($B19&amp;"!"&amp;L$3&amp;"6")</f>
        <v/>
      </c>
      <c r="M19" s="95">
        <f>INDIRECT($B19&amp;"!"&amp;M$3&amp;"6")</f>
        <v/>
      </c>
      <c r="N19" s="96">
        <f>M19-L19</f>
        <v/>
      </c>
      <c r="O19" s="294" t="n"/>
      <c r="P19" s="3" t="n"/>
      <c r="Q19" s="294" t="n"/>
      <c r="R19" s="9" t="n"/>
      <c r="S19" s="9" t="n"/>
      <c r="T19" s="9" t="n"/>
      <c r="U19" s="9" t="n"/>
      <c r="V19" s="297" t="n"/>
      <c r="X19" s="6" t="n"/>
      <c r="Y19" s="6" t="n"/>
      <c r="Z19" s="81" t="n"/>
    </row>
    <row r="20">
      <c r="B20" s="122">
        <f>B19</f>
        <v/>
      </c>
      <c r="C20" s="130" t="inlineStr">
        <is>
          <t>r03</t>
        </is>
      </c>
      <c r="D20" s="295">
        <f>0.000001*INDIRECT($B20&amp;"!E7")</f>
        <v/>
      </c>
      <c r="E20" s="294" t="n"/>
      <c r="F20" s="122">
        <f>F19</f>
        <v/>
      </c>
      <c r="G20" s="130" t="inlineStr">
        <is>
          <t>r03</t>
        </is>
      </c>
      <c r="H20" s="295">
        <f>0.000001*INDIRECT($B20&amp;"!AC7")</f>
        <v/>
      </c>
      <c r="I20" s="9" t="n"/>
      <c r="J20" s="296">
        <f>H20/D20-1</f>
        <v/>
      </c>
      <c r="L20" s="94">
        <f>INDIRECT($B20&amp;"!"&amp;L$3&amp;"7")</f>
        <v/>
      </c>
      <c r="M20" s="95">
        <f>INDIRECT($B20&amp;"!"&amp;M$3&amp;"7")</f>
        <v/>
      </c>
      <c r="N20" s="96">
        <f>M20-L20</f>
        <v/>
      </c>
      <c r="O20" s="294" t="n"/>
      <c r="P20" s="217" t="n"/>
      <c r="Q20" s="294" t="n"/>
      <c r="R20" s="9" t="n"/>
      <c r="S20" s="9" t="n"/>
      <c r="T20" s="9" t="n"/>
      <c r="U20" s="9" t="n"/>
      <c r="V20" s="297" t="n"/>
      <c r="X20" s="6" t="n"/>
      <c r="Y20" s="6" t="n"/>
      <c r="Z20" s="81" t="n"/>
    </row>
    <row r="21">
      <c r="B21" s="122">
        <f>B20</f>
        <v/>
      </c>
      <c r="C21" s="130" t="inlineStr">
        <is>
          <t>r04</t>
        </is>
      </c>
      <c r="D21" s="295">
        <f>0.000001*INDIRECT($B21&amp;"!E8")</f>
        <v/>
      </c>
      <c r="E21" s="294" t="n"/>
      <c r="F21" s="122">
        <f>F20</f>
        <v/>
      </c>
      <c r="G21" s="130" t="inlineStr">
        <is>
          <t>r04</t>
        </is>
      </c>
      <c r="H21" s="295">
        <f>0.000001*INDIRECT($B21&amp;"!AC8")</f>
        <v/>
      </c>
      <c r="I21" s="9" t="n"/>
      <c r="J21" s="296">
        <f>H21/D21-1</f>
        <v/>
      </c>
      <c r="L21" s="94">
        <f>INDIRECT($B21&amp;"!"&amp;L$3&amp;"8")</f>
        <v/>
      </c>
      <c r="M21" s="95">
        <f>INDIRECT($B21&amp;"!"&amp;M$3&amp;"8")</f>
        <v/>
      </c>
      <c r="N21" s="96">
        <f>M21-L21</f>
        <v/>
      </c>
      <c r="O21" s="294" t="n"/>
      <c r="P21" s="303" t="n"/>
      <c r="Q21" s="294" t="n"/>
      <c r="R21" s="9" t="n"/>
      <c r="S21" s="9" t="n"/>
      <c r="T21" s="9" t="n"/>
      <c r="U21" s="9" t="n"/>
      <c r="V21" s="297" t="n"/>
      <c r="X21" s="6" t="n"/>
      <c r="Y21" s="6" t="n"/>
      <c r="Z21" s="81" t="n"/>
    </row>
    <row r="22" ht="16.5" customHeight="1" s="256" thickBot="1">
      <c r="B22" s="122">
        <f>B21</f>
        <v/>
      </c>
      <c r="C22" s="130" t="inlineStr">
        <is>
          <t>r05</t>
        </is>
      </c>
      <c r="D22" s="295">
        <f>0.000001*INDIRECT($B22&amp;"!E9")</f>
        <v/>
      </c>
      <c r="E22" s="294" t="n"/>
      <c r="F22" s="122">
        <f>F21</f>
        <v/>
      </c>
      <c r="G22" s="130" t="inlineStr">
        <is>
          <t>r05</t>
        </is>
      </c>
      <c r="H22" s="295">
        <f>0.000001*INDIRECT($B22&amp;"!AC9")</f>
        <v/>
      </c>
      <c r="I22" s="9" t="n"/>
      <c r="J22" s="296">
        <f>H22/D22-1</f>
        <v/>
      </c>
      <c r="L22" s="94">
        <f>INDIRECT($B22&amp;"!"&amp;L$3&amp;"9")</f>
        <v/>
      </c>
      <c r="M22" s="95">
        <f>INDIRECT($B22&amp;"!"&amp;M$3&amp;"9")</f>
        <v/>
      </c>
      <c r="N22" s="96">
        <f>M22-L22</f>
        <v/>
      </c>
      <c r="O22" s="294" t="n"/>
      <c r="P22" s="299" t="n"/>
      <c r="Q22" s="294" t="n"/>
      <c r="R22" s="9" t="n"/>
      <c r="S22" s="9" t="n"/>
      <c r="T22" s="9" t="n"/>
      <c r="U22" s="9" t="n"/>
      <c r="V22" s="297" t="n"/>
      <c r="X22" s="6" t="n"/>
      <c r="Y22" s="6" t="n"/>
      <c r="Z22" s="81" t="n"/>
      <c r="AB22" s="298" t="n"/>
    </row>
    <row r="23" ht="16.5" customHeight="1" s="256">
      <c r="B23" s="109" t="n"/>
      <c r="C23" s="110" t="n"/>
      <c r="D23" s="300" t="n"/>
      <c r="F23" s="109" t="n"/>
      <c r="G23" s="110" t="n"/>
      <c r="H23" s="300" t="n"/>
      <c r="J23" s="98">
        <f>MIN(D18:D22,H18:H22)</f>
        <v/>
      </c>
      <c r="L23" s="99" t="n"/>
      <c r="M23" s="100" t="n"/>
      <c r="N23" s="101" t="n"/>
      <c r="O23" s="294" t="n"/>
      <c r="P23" s="264" t="n"/>
      <c r="Q23" s="294" t="n"/>
      <c r="R23" s="9" t="n"/>
      <c r="S23" s="9" t="n"/>
      <c r="T23" s="9" t="n"/>
      <c r="U23" s="9" t="n"/>
      <c r="V23" s="83" t="n"/>
      <c r="X23" s="6" t="n"/>
      <c r="Y23" s="6" t="n"/>
      <c r="Z23" s="81" t="n"/>
    </row>
    <row r="24" ht="16.5" customHeight="1" s="256" thickBot="1">
      <c r="B24" s="89" t="n"/>
      <c r="C24" s="92" t="n"/>
      <c r="D24" s="301" t="n"/>
      <c r="E24" s="294" t="n"/>
      <c r="F24" s="89" t="n"/>
      <c r="G24" s="92" t="n"/>
      <c r="H24" s="301" t="n"/>
      <c r="I24" s="9" t="n"/>
      <c r="J24" s="102">
        <f>MAX(D18:D22,H18:H22)</f>
        <v/>
      </c>
      <c r="L24" s="103">
        <f>L23</f>
        <v/>
      </c>
      <c r="M24" s="104">
        <f>M23</f>
        <v/>
      </c>
      <c r="N24" s="97" t="n"/>
      <c r="O24" s="294" t="n"/>
      <c r="P24" s="5" t="n"/>
      <c r="Q24" s="294" t="n"/>
      <c r="R24" s="9" t="n"/>
      <c r="S24" s="9" t="n"/>
      <c r="T24" s="9" t="n"/>
      <c r="U24" s="9" t="n"/>
      <c r="V24" s="83" t="n"/>
      <c r="X24" s="84" t="n"/>
      <c r="Y24" s="84" t="n"/>
      <c r="Z24" s="81" t="n"/>
    </row>
    <row r="25" ht="16.5" customHeight="1" s="256" thickBot="1"/>
    <row r="26">
      <c r="B26" s="261" t="inlineStr">
        <is>
          <t>cinema_track</t>
        </is>
      </c>
      <c r="C26" s="262" t="n"/>
      <c r="D26" s="263" t="n"/>
      <c r="E26" s="2" t="n"/>
      <c r="F26" s="261">
        <f>B26</f>
        <v/>
      </c>
      <c r="G26" s="262" t="n"/>
      <c r="H26" s="263" t="n"/>
      <c r="I26" s="2" t="n"/>
      <c r="J26" s="264" t="n"/>
      <c r="L26" s="264">
        <f>F26</f>
        <v/>
      </c>
      <c r="M26" s="262" t="n"/>
      <c r="N26" s="263" t="n"/>
      <c r="O26" s="195" t="n"/>
      <c r="P26" s="264" t="n"/>
      <c r="U26" s="265" t="n"/>
      <c r="V26" s="265" t="n"/>
      <c r="X26" s="265" t="n"/>
    </row>
    <row r="27">
      <c r="B27" s="259" t="inlineStr">
        <is>
          <t>Test</t>
        </is>
      </c>
      <c r="D27" s="87" t="inlineStr">
        <is>
          <t>Bitstream (MB)</t>
        </is>
      </c>
      <c r="E27" s="294" t="n"/>
      <c r="F27" s="259" t="inlineStr">
        <is>
          <t>Test</t>
        </is>
      </c>
      <c r="H27" s="87" t="inlineStr">
        <is>
          <t>Bitstream (MB)</t>
        </is>
      </c>
      <c r="I27" s="9" t="n"/>
      <c r="J27" s="257" t="inlineStr">
        <is>
          <t>%</t>
        </is>
      </c>
      <c r="L27" s="257" t="inlineStr">
        <is>
          <t>YUV-SSIM</t>
        </is>
      </c>
      <c r="N27" s="258" t="n"/>
      <c r="O27" s="85" t="n"/>
      <c r="P27" s="3" t="n"/>
      <c r="R27" s="255" t="n"/>
      <c r="U27" s="255" t="n"/>
      <c r="V27" s="255" t="n"/>
      <c r="X27" s="255" t="n"/>
    </row>
    <row r="28">
      <c r="B28" s="191" t="inlineStr">
        <is>
          <t>Anchor</t>
        </is>
      </c>
      <c r="C28" s="130" t="inlineStr">
        <is>
          <t>Test point</t>
        </is>
      </c>
      <c r="D28" s="86" t="inlineStr">
        <is>
          <t>Total</t>
        </is>
      </c>
      <c r="E28" s="294" t="n"/>
      <c r="F28" s="191" t="inlineStr">
        <is>
          <t>Anchor</t>
        </is>
      </c>
      <c r="G28" s="130" t="inlineStr">
        <is>
          <t>Test point</t>
        </is>
      </c>
      <c r="H28" s="86" t="inlineStr">
        <is>
          <t>Total</t>
        </is>
      </c>
      <c r="I28" s="9" t="n"/>
      <c r="J28" s="93" t="n"/>
      <c r="L28" s="192">
        <f>CONCATENATE(B$2," ",L26)</f>
        <v/>
      </c>
      <c r="M28" s="193">
        <f>CONCATENATE(F$2," ",L26)</f>
        <v/>
      </c>
      <c r="N28" s="194" t="inlineStr">
        <is>
          <t>Delta</t>
        </is>
      </c>
      <c r="O28" s="2" t="n"/>
      <c r="P28" s="3" t="inlineStr">
        <is>
          <t>BD-rate</t>
        </is>
      </c>
      <c r="Q28" s="2" t="n"/>
      <c r="R28" s="2" t="n"/>
      <c r="S28" s="2" t="n"/>
      <c r="T28" s="2" t="n"/>
      <c r="U28" s="2" t="n"/>
      <c r="V28" s="2" t="n"/>
      <c r="X28" s="195" t="n"/>
      <c r="Y28" s="195" t="n"/>
      <c r="Z28" s="195" t="n"/>
    </row>
    <row r="29">
      <c r="B29" s="122">
        <f>B26</f>
        <v/>
      </c>
      <c r="C29" s="130" t="inlineStr">
        <is>
          <t>r01</t>
        </is>
      </c>
      <c r="D29" s="295">
        <f>0.000001*INDIRECT($B29&amp;"!E5")</f>
        <v/>
      </c>
      <c r="E29" s="294" t="n"/>
      <c r="F29" s="122">
        <f>F26</f>
        <v/>
      </c>
      <c r="G29" s="130" t="inlineStr">
        <is>
          <t>r01</t>
        </is>
      </c>
      <c r="H29" s="295">
        <f>0.000001*INDIRECT($B29&amp;"!AC5")</f>
        <v/>
      </c>
      <c r="I29" s="9" t="n"/>
      <c r="J29" s="296">
        <f>H29/D29-1</f>
        <v/>
      </c>
      <c r="L29" s="94">
        <f>INDIRECT($B29&amp;"!"&amp;L$3&amp;"5")</f>
        <v/>
      </c>
      <c r="M29" s="95">
        <f>INDIRECT($B29&amp;"!"&amp;M$3&amp;"5")</f>
        <v/>
      </c>
      <c r="N29" s="96">
        <f>M29-L29</f>
        <v/>
      </c>
      <c r="O29" s="294" t="n"/>
      <c r="P29" s="296">
        <f>bdRateExtend(D29:D33,L29:L33,H29:H33,M29:M33)</f>
        <v/>
      </c>
      <c r="Q29" s="294" t="n"/>
      <c r="R29" s="9" t="n"/>
      <c r="S29" s="9" t="n"/>
      <c r="T29" s="9" t="n"/>
      <c r="U29" s="9" t="n"/>
      <c r="V29" s="297" t="n"/>
      <c r="X29" s="6" t="n"/>
      <c r="Y29" s="6" t="n"/>
      <c r="Z29" s="81" t="n"/>
      <c r="AB29" s="298" t="n"/>
    </row>
    <row r="30">
      <c r="B30" s="122">
        <f>B29</f>
        <v/>
      </c>
      <c r="C30" s="130" t="inlineStr">
        <is>
          <t>r02</t>
        </is>
      </c>
      <c r="D30" s="295">
        <f>0.000001*INDIRECT($B30&amp;"!E6")</f>
        <v/>
      </c>
      <c r="E30" s="294" t="n"/>
      <c r="F30" s="122">
        <f>F29</f>
        <v/>
      </c>
      <c r="G30" s="130" t="inlineStr">
        <is>
          <t>r02</t>
        </is>
      </c>
      <c r="H30" s="295">
        <f>0.000001*INDIRECT($B30&amp;"!AC6")</f>
        <v/>
      </c>
      <c r="I30" s="9" t="n"/>
      <c r="J30" s="296">
        <f>H30/D30-1</f>
        <v/>
      </c>
      <c r="L30" s="94">
        <f>INDIRECT($B30&amp;"!"&amp;L$3&amp;"6")</f>
        <v/>
      </c>
      <c r="M30" s="95">
        <f>INDIRECT($B30&amp;"!"&amp;M$3&amp;"6")</f>
        <v/>
      </c>
      <c r="N30" s="96">
        <f>M30-L30</f>
        <v/>
      </c>
      <c r="O30" s="294" t="n"/>
      <c r="P30" s="3" t="n"/>
      <c r="Q30" s="294" t="n"/>
      <c r="R30" s="9" t="n"/>
      <c r="S30" s="9" t="n"/>
      <c r="T30" s="9" t="n"/>
      <c r="U30" s="9" t="n"/>
      <c r="V30" s="297" t="n"/>
      <c r="X30" s="6" t="n"/>
      <c r="Y30" s="6" t="n"/>
      <c r="Z30" s="81" t="n"/>
    </row>
    <row r="31">
      <c r="B31" s="122">
        <f>B30</f>
        <v/>
      </c>
      <c r="C31" s="130" t="inlineStr">
        <is>
          <t>r03</t>
        </is>
      </c>
      <c r="D31" s="295">
        <f>0.000001*INDIRECT($B31&amp;"!E7")</f>
        <v/>
      </c>
      <c r="E31" s="294" t="n"/>
      <c r="F31" s="122">
        <f>F30</f>
        <v/>
      </c>
      <c r="G31" s="130" t="inlineStr">
        <is>
          <t>r03</t>
        </is>
      </c>
      <c r="H31" s="295">
        <f>0.000001*INDIRECT($B31&amp;"!AC7")</f>
        <v/>
      </c>
      <c r="I31" s="9" t="n"/>
      <c r="J31" s="296">
        <f>H31/D31-1</f>
        <v/>
      </c>
      <c r="L31" s="94">
        <f>INDIRECT($B31&amp;"!"&amp;L$3&amp;"7")</f>
        <v/>
      </c>
      <c r="M31" s="95">
        <f>INDIRECT($B31&amp;"!"&amp;M$3&amp;"7")</f>
        <v/>
      </c>
      <c r="N31" s="96">
        <f>M31-L31</f>
        <v/>
      </c>
      <c r="O31" s="294" t="n"/>
      <c r="P31" s="217" t="n"/>
      <c r="Q31" s="294" t="n"/>
      <c r="R31" s="9" t="n"/>
      <c r="S31" s="9" t="n"/>
      <c r="T31" s="9" t="n"/>
      <c r="U31" s="9" t="n"/>
      <c r="V31" s="297" t="n"/>
      <c r="X31" s="6" t="n"/>
      <c r="Y31" s="6" t="n"/>
      <c r="Z31" s="81" t="n"/>
    </row>
    <row r="32">
      <c r="B32" s="122">
        <f>B31</f>
        <v/>
      </c>
      <c r="C32" s="130" t="inlineStr">
        <is>
          <t>r04</t>
        </is>
      </c>
      <c r="D32" s="295">
        <f>0.000001*INDIRECT($B32&amp;"!E8")</f>
        <v/>
      </c>
      <c r="E32" s="294" t="n"/>
      <c r="F32" s="122">
        <f>F31</f>
        <v/>
      </c>
      <c r="G32" s="130" t="inlineStr">
        <is>
          <t>r04</t>
        </is>
      </c>
      <c r="H32" s="295">
        <f>0.000001*INDIRECT($B32&amp;"!AC8")</f>
        <v/>
      </c>
      <c r="I32" s="9" t="n"/>
      <c r="J32" s="296">
        <f>H32/D32-1</f>
        <v/>
      </c>
      <c r="L32" s="94">
        <f>INDIRECT($B32&amp;"!"&amp;L$3&amp;"8")</f>
        <v/>
      </c>
      <c r="M32" s="95">
        <f>INDIRECT($B32&amp;"!"&amp;M$3&amp;"8")</f>
        <v/>
      </c>
      <c r="N32" s="96">
        <f>M32-L32</f>
        <v/>
      </c>
      <c r="O32" s="294" t="n"/>
      <c r="P32" s="303" t="n"/>
      <c r="Q32" s="294" t="n"/>
      <c r="R32" s="9" t="n"/>
      <c r="S32" s="9" t="n"/>
      <c r="T32" s="9" t="n"/>
      <c r="U32" s="9" t="n"/>
      <c r="V32" s="297" t="n"/>
      <c r="X32" s="6" t="n"/>
      <c r="Y32" s="6" t="n"/>
      <c r="Z32" s="81" t="n"/>
    </row>
    <row r="33" ht="16.5" customHeight="1" s="256" thickBot="1">
      <c r="B33" s="122">
        <f>B32</f>
        <v/>
      </c>
      <c r="C33" s="130" t="inlineStr">
        <is>
          <t>r05</t>
        </is>
      </c>
      <c r="D33" s="295">
        <f>0.000001*INDIRECT($B33&amp;"!E9")</f>
        <v/>
      </c>
      <c r="E33" s="294" t="n"/>
      <c r="F33" s="122">
        <f>F32</f>
        <v/>
      </c>
      <c r="G33" s="130" t="inlineStr">
        <is>
          <t>r05</t>
        </is>
      </c>
      <c r="H33" s="295">
        <f>0.000001*INDIRECT($B33&amp;"!AC9")</f>
        <v/>
      </c>
      <c r="I33" s="9" t="n"/>
      <c r="J33" s="296">
        <f>H33/D33-1</f>
        <v/>
      </c>
      <c r="L33" s="94">
        <f>INDIRECT($B33&amp;"!"&amp;L$3&amp;"9")</f>
        <v/>
      </c>
      <c r="M33" s="95">
        <f>INDIRECT($B33&amp;"!"&amp;M$3&amp;"9")</f>
        <v/>
      </c>
      <c r="N33" s="96">
        <f>M33-L33</f>
        <v/>
      </c>
      <c r="O33" s="294" t="n"/>
      <c r="P33" s="299" t="n"/>
      <c r="Q33" s="294" t="n"/>
      <c r="R33" s="9" t="n"/>
      <c r="S33" s="9" t="n"/>
      <c r="T33" s="9" t="n"/>
      <c r="U33" s="9" t="n"/>
      <c r="V33" s="297" t="n"/>
      <c r="X33" s="6" t="n"/>
      <c r="Y33" s="6" t="n"/>
      <c r="Z33" s="81" t="n"/>
      <c r="AB33" s="298" t="n"/>
    </row>
    <row r="34" ht="16.5" customHeight="1" s="256">
      <c r="B34" s="109" t="n"/>
      <c r="C34" s="110" t="n"/>
      <c r="D34" s="300" t="n"/>
      <c r="F34" s="109" t="n"/>
      <c r="G34" s="110" t="n"/>
      <c r="H34" s="300" t="n"/>
      <c r="J34" s="98">
        <f>MIN(D29:D33,H29:H33)</f>
        <v/>
      </c>
      <c r="L34" s="99" t="n"/>
      <c r="M34" s="100" t="n"/>
      <c r="N34" s="101" t="n"/>
      <c r="O34" s="294" t="n"/>
      <c r="P34" s="264" t="n"/>
      <c r="Q34" s="294" t="n"/>
      <c r="R34" s="9" t="n"/>
      <c r="S34" s="9" t="n"/>
      <c r="T34" s="9" t="n"/>
      <c r="U34" s="9" t="n"/>
      <c r="V34" s="83" t="n"/>
      <c r="X34" s="6" t="n"/>
      <c r="Y34" s="6" t="n"/>
      <c r="Z34" s="81" t="n"/>
    </row>
    <row r="35" ht="16.5" customHeight="1" s="256" thickBot="1">
      <c r="B35" s="89" t="n"/>
      <c r="C35" s="92" t="n"/>
      <c r="D35" s="301" t="n"/>
      <c r="E35" s="294" t="n"/>
      <c r="F35" s="89" t="n"/>
      <c r="G35" s="92" t="n"/>
      <c r="H35" s="301" t="n"/>
      <c r="I35" s="9" t="n"/>
      <c r="J35" s="102">
        <f>MAX(D29:D33,H29:H33)</f>
        <v/>
      </c>
      <c r="L35" s="103">
        <f>L34</f>
        <v/>
      </c>
      <c r="M35" s="104">
        <f>M34</f>
        <v/>
      </c>
      <c r="N35" s="97" t="n"/>
      <c r="O35" s="294" t="n"/>
      <c r="P35" s="5" t="n"/>
      <c r="Q35" s="294" t="n"/>
      <c r="R35" s="9" t="n"/>
      <c r="S35" s="9" t="n"/>
      <c r="T35" s="9" t="n"/>
      <c r="U35" s="9" t="n"/>
      <c r="V35" s="83" t="n"/>
      <c r="X35" s="84" t="n"/>
      <c r="Y35" s="84" t="n"/>
      <c r="Z35" s="81" t="n"/>
    </row>
    <row r="36" ht="16.5" customHeight="1" s="256" thickBot="1"/>
    <row r="37">
      <c r="B37" s="261" t="inlineStr">
        <is>
          <t>ManWithFruit</t>
        </is>
      </c>
      <c r="C37" s="262" t="n"/>
      <c r="D37" s="263" t="n"/>
      <c r="E37" s="2" t="n"/>
      <c r="F37" s="261">
        <f>B37</f>
        <v/>
      </c>
      <c r="G37" s="262" t="n"/>
      <c r="H37" s="263" t="n"/>
      <c r="I37" s="2" t="n"/>
      <c r="J37" s="264" t="n"/>
      <c r="L37" s="264">
        <f>F37</f>
        <v/>
      </c>
      <c r="M37" s="262" t="n"/>
      <c r="N37" s="263" t="n"/>
      <c r="O37" s="195" t="n"/>
      <c r="P37" s="264" t="n"/>
      <c r="U37" s="265" t="n"/>
      <c r="V37" s="265" t="n"/>
      <c r="X37" s="265" t="n"/>
    </row>
    <row r="38">
      <c r="B38" s="259" t="inlineStr">
        <is>
          <t>Test</t>
        </is>
      </c>
      <c r="D38" s="87" t="inlineStr">
        <is>
          <t>Bitstream (MB)</t>
        </is>
      </c>
      <c r="E38" s="294" t="n"/>
      <c r="F38" s="259" t="inlineStr">
        <is>
          <t>Test</t>
        </is>
      </c>
      <c r="H38" s="87" t="inlineStr">
        <is>
          <t>Bitstream (MB)</t>
        </is>
      </c>
      <c r="I38" s="9" t="n"/>
      <c r="J38" s="257" t="inlineStr">
        <is>
          <t>%</t>
        </is>
      </c>
      <c r="L38" s="257" t="inlineStr">
        <is>
          <t>YUV-SSIM</t>
        </is>
      </c>
      <c r="N38" s="258" t="n"/>
      <c r="O38" s="85" t="n"/>
      <c r="P38" s="3" t="n"/>
      <c r="R38" s="255" t="n"/>
      <c r="U38" s="255" t="n"/>
      <c r="V38" s="255" t="n"/>
      <c r="X38" s="255" t="n"/>
    </row>
    <row r="39">
      <c r="B39" s="191" t="inlineStr">
        <is>
          <t>Anchor</t>
        </is>
      </c>
      <c r="C39" s="130" t="inlineStr">
        <is>
          <t>Test point</t>
        </is>
      </c>
      <c r="D39" s="86" t="inlineStr">
        <is>
          <t>Total</t>
        </is>
      </c>
      <c r="E39" s="294" t="n"/>
      <c r="F39" s="191" t="inlineStr">
        <is>
          <t>Anchor</t>
        </is>
      </c>
      <c r="G39" s="130" t="inlineStr">
        <is>
          <t>Test point</t>
        </is>
      </c>
      <c r="H39" s="86" t="inlineStr">
        <is>
          <t>Total</t>
        </is>
      </c>
      <c r="I39" s="9" t="n"/>
      <c r="J39" s="93" t="n"/>
      <c r="L39" s="192">
        <f>CONCATENATE(B$2," ",L37)</f>
        <v/>
      </c>
      <c r="M39" s="193">
        <f>CONCATENATE(F$2," ",L37)</f>
        <v/>
      </c>
      <c r="N39" s="194" t="inlineStr">
        <is>
          <t>Delta</t>
        </is>
      </c>
      <c r="O39" s="2" t="n"/>
      <c r="P39" s="3" t="inlineStr">
        <is>
          <t>BD-rate</t>
        </is>
      </c>
      <c r="Q39" s="2" t="n"/>
      <c r="R39" s="2" t="n"/>
      <c r="S39" s="2" t="n"/>
      <c r="T39" s="2" t="n"/>
      <c r="U39" s="2" t="n"/>
      <c r="V39" s="2" t="n"/>
      <c r="X39" s="195" t="n"/>
      <c r="Y39" s="195" t="n"/>
      <c r="Z39" s="195" t="n"/>
    </row>
    <row r="40">
      <c r="B40" s="122">
        <f>B37</f>
        <v/>
      </c>
      <c r="C40" s="130" t="inlineStr">
        <is>
          <t>r01</t>
        </is>
      </c>
      <c r="D40" s="295">
        <f>0.000001*INDIRECT($B40&amp;"!E5")</f>
        <v/>
      </c>
      <c r="E40" s="294" t="n"/>
      <c r="F40" s="122">
        <f>F37</f>
        <v/>
      </c>
      <c r="G40" s="130" t="inlineStr">
        <is>
          <t>r01</t>
        </is>
      </c>
      <c r="H40" s="295">
        <f>0.000001*INDIRECT($B40&amp;"!AC5")</f>
        <v/>
      </c>
      <c r="I40" s="9" t="n"/>
      <c r="J40" s="296">
        <f>H40/D40-1</f>
        <v/>
      </c>
      <c r="L40" s="94">
        <f>INDIRECT($B40&amp;"!"&amp;L$3&amp;"5")</f>
        <v/>
      </c>
      <c r="M40" s="95">
        <f>INDIRECT($B40&amp;"!"&amp;M$3&amp;"5")</f>
        <v/>
      </c>
      <c r="N40" s="96">
        <f>M40-L40</f>
        <v/>
      </c>
      <c r="O40" s="294" t="n"/>
      <c r="P40" s="296">
        <f>bdRateExtend(D40:D44,L40:L44,H40:H44,M40:M44)</f>
        <v/>
      </c>
      <c r="Q40" s="294" t="n"/>
      <c r="R40" s="9" t="n"/>
      <c r="S40" s="9" t="n"/>
      <c r="T40" s="9" t="n"/>
      <c r="U40" s="9" t="n"/>
      <c r="V40" s="297" t="n"/>
      <c r="X40" s="6" t="n"/>
      <c r="Y40" s="6" t="n"/>
      <c r="Z40" s="81" t="n"/>
      <c r="AB40" s="298" t="n"/>
    </row>
    <row r="41">
      <c r="B41" s="122">
        <f>B40</f>
        <v/>
      </c>
      <c r="C41" s="130" t="inlineStr">
        <is>
          <t>r02</t>
        </is>
      </c>
      <c r="D41" s="295">
        <f>0.000001*INDIRECT($B41&amp;"!E6")</f>
        <v/>
      </c>
      <c r="E41" s="294" t="n"/>
      <c r="F41" s="122">
        <f>F40</f>
        <v/>
      </c>
      <c r="G41" s="130" t="inlineStr">
        <is>
          <t>r02</t>
        </is>
      </c>
      <c r="H41" s="295">
        <f>0.000001*INDIRECT($B41&amp;"!AC6")</f>
        <v/>
      </c>
      <c r="I41" s="9" t="n"/>
      <c r="J41" s="296">
        <f>H41/D41-1</f>
        <v/>
      </c>
      <c r="L41" s="94">
        <f>INDIRECT($B41&amp;"!"&amp;L$3&amp;"6")</f>
        <v/>
      </c>
      <c r="M41" s="95">
        <f>INDIRECT($B41&amp;"!"&amp;M$3&amp;"6")</f>
        <v/>
      </c>
      <c r="N41" s="96">
        <f>M41-L41</f>
        <v/>
      </c>
      <c r="O41" s="294" t="n"/>
      <c r="P41" s="3" t="n"/>
      <c r="Q41" s="294" t="n"/>
      <c r="R41" s="9" t="n"/>
      <c r="S41" s="9" t="n"/>
      <c r="T41" s="9" t="n"/>
      <c r="U41" s="9" t="n"/>
      <c r="V41" s="297" t="n"/>
      <c r="X41" s="6" t="n"/>
      <c r="Y41" s="6" t="n"/>
      <c r="Z41" s="81" t="n"/>
    </row>
    <row r="42">
      <c r="B42" s="122">
        <f>B41</f>
        <v/>
      </c>
      <c r="C42" s="130" t="inlineStr">
        <is>
          <t>r03</t>
        </is>
      </c>
      <c r="D42" s="295">
        <f>0.000001*INDIRECT($B42&amp;"!E7")</f>
        <v/>
      </c>
      <c r="E42" s="294" t="n"/>
      <c r="F42" s="122">
        <f>F41</f>
        <v/>
      </c>
      <c r="G42" s="130" t="inlineStr">
        <is>
          <t>r03</t>
        </is>
      </c>
      <c r="H42" s="295">
        <f>0.000001*INDIRECT($B42&amp;"!AC7")</f>
        <v/>
      </c>
      <c r="I42" s="9" t="n"/>
      <c r="J42" s="296">
        <f>H42/D42-1</f>
        <v/>
      </c>
      <c r="L42" s="94">
        <f>INDIRECT($B42&amp;"!"&amp;L$3&amp;"7")</f>
        <v/>
      </c>
      <c r="M42" s="95">
        <f>INDIRECT($B42&amp;"!"&amp;M$3&amp;"7")</f>
        <v/>
      </c>
      <c r="N42" s="96">
        <f>M42-L42</f>
        <v/>
      </c>
      <c r="O42" s="294" t="n"/>
      <c r="P42" s="217" t="n"/>
      <c r="Q42" s="294" t="n"/>
      <c r="R42" s="9" t="n"/>
      <c r="S42" s="9" t="n"/>
      <c r="T42" s="9" t="n"/>
      <c r="U42" s="9" t="n"/>
      <c r="V42" s="297" t="n"/>
      <c r="X42" s="6" t="n"/>
      <c r="Y42" s="6" t="n"/>
      <c r="Z42" s="81" t="n"/>
    </row>
    <row r="43">
      <c r="B43" s="122">
        <f>B42</f>
        <v/>
      </c>
      <c r="C43" s="130" t="inlineStr">
        <is>
          <t>r04</t>
        </is>
      </c>
      <c r="D43" s="295">
        <f>0.000001*INDIRECT($B43&amp;"!E8")</f>
        <v/>
      </c>
      <c r="E43" s="294" t="n"/>
      <c r="F43" s="122">
        <f>F42</f>
        <v/>
      </c>
      <c r="G43" s="130" t="inlineStr">
        <is>
          <t>r04</t>
        </is>
      </c>
      <c r="H43" s="295">
        <f>0.000001*INDIRECT($B43&amp;"!AC8")</f>
        <v/>
      </c>
      <c r="I43" s="9" t="n"/>
      <c r="J43" s="296">
        <f>H43/D43-1</f>
        <v/>
      </c>
      <c r="L43" s="94">
        <f>INDIRECT($B43&amp;"!"&amp;L$3&amp;"8")</f>
        <v/>
      </c>
      <c r="M43" s="95">
        <f>INDIRECT($B43&amp;"!"&amp;M$3&amp;"8")</f>
        <v/>
      </c>
      <c r="N43" s="96">
        <f>M43-L43</f>
        <v/>
      </c>
      <c r="O43" s="294" t="n"/>
      <c r="P43" s="303" t="n"/>
      <c r="Q43" s="294" t="n"/>
      <c r="R43" s="9" t="n"/>
      <c r="S43" s="9" t="n"/>
      <c r="T43" s="9" t="n"/>
      <c r="U43" s="9" t="n"/>
      <c r="V43" s="297" t="n"/>
      <c r="X43" s="6" t="n"/>
      <c r="Y43" s="6" t="n"/>
      <c r="Z43" s="81" t="n"/>
    </row>
    <row r="44" ht="16.5" customHeight="1" s="256" thickBot="1">
      <c r="B44" s="122">
        <f>B43</f>
        <v/>
      </c>
      <c r="C44" s="130" t="inlineStr">
        <is>
          <t>r05</t>
        </is>
      </c>
      <c r="D44" s="295">
        <f>0.000001*INDIRECT($B44&amp;"!E9")</f>
        <v/>
      </c>
      <c r="E44" s="294" t="n"/>
      <c r="F44" s="122">
        <f>F43</f>
        <v/>
      </c>
      <c r="G44" s="130" t="inlineStr">
        <is>
          <t>r05</t>
        </is>
      </c>
      <c r="H44" s="295">
        <f>0.000001*INDIRECT($B44&amp;"!AC9")</f>
        <v/>
      </c>
      <c r="I44" s="9" t="n"/>
      <c r="J44" s="296">
        <f>H44/D44-1</f>
        <v/>
      </c>
      <c r="L44" s="94">
        <f>INDIRECT($B44&amp;"!"&amp;L$3&amp;"9")</f>
        <v/>
      </c>
      <c r="M44" s="95">
        <f>INDIRECT($B44&amp;"!"&amp;M$3&amp;"9")</f>
        <v/>
      </c>
      <c r="N44" s="96">
        <f>M44-L44</f>
        <v/>
      </c>
      <c r="O44" s="294" t="n"/>
      <c r="P44" s="299" t="n"/>
      <c r="Q44" s="294" t="n"/>
      <c r="R44" s="9" t="n"/>
      <c r="S44" s="9" t="n"/>
      <c r="T44" s="9" t="n"/>
      <c r="U44" s="9" t="n"/>
      <c r="V44" s="297" t="n"/>
      <c r="X44" s="6" t="n"/>
      <c r="Y44" s="6" t="n"/>
      <c r="Z44" s="81" t="n"/>
      <c r="AB44" s="298" t="n"/>
    </row>
    <row r="45" ht="16.5" customHeight="1" s="256">
      <c r="B45" s="109" t="n"/>
      <c r="C45" s="110" t="n"/>
      <c r="D45" s="300" t="n"/>
      <c r="F45" s="109" t="n"/>
      <c r="G45" s="110" t="n"/>
      <c r="H45" s="300" t="n"/>
      <c r="J45" s="98">
        <f>MIN(D40:D44,H40:H44)</f>
        <v/>
      </c>
      <c r="L45" s="99" t="n"/>
      <c r="M45" s="100" t="n"/>
      <c r="N45" s="101" t="n"/>
      <c r="O45" s="294" t="n"/>
      <c r="P45" s="264" t="n"/>
      <c r="Q45" s="294" t="n"/>
      <c r="R45" s="9" t="n"/>
      <c r="S45" s="9" t="n"/>
      <c r="T45" s="9" t="n"/>
      <c r="U45" s="9" t="n"/>
      <c r="V45" s="83" t="n"/>
      <c r="X45" s="6" t="n"/>
      <c r="Y45" s="6" t="n"/>
      <c r="Z45" s="81" t="n"/>
    </row>
    <row r="46" ht="16.5" customHeight="1" s="256" thickBot="1">
      <c r="B46" s="89" t="n"/>
      <c r="C46" s="92" t="n"/>
      <c r="D46" s="301" t="n"/>
      <c r="E46" s="294" t="n"/>
      <c r="F46" s="89" t="n"/>
      <c r="G46" s="92" t="n"/>
      <c r="H46" s="301" t="n"/>
      <c r="I46" s="9" t="n"/>
      <c r="J46" s="102">
        <f>MAX(D40:D44,H40:H44)</f>
        <v/>
      </c>
      <c r="L46" s="103">
        <f>L45</f>
        <v/>
      </c>
      <c r="M46" s="104">
        <f>M45</f>
        <v/>
      </c>
      <c r="N46" s="97" t="n"/>
      <c r="O46" s="294" t="n"/>
      <c r="P46" s="5" t="n"/>
      <c r="Q46" s="294" t="n"/>
      <c r="R46" s="9" t="n"/>
      <c r="S46" s="9" t="n"/>
      <c r="T46" s="9" t="n"/>
      <c r="U46" s="9" t="n"/>
      <c r="V46" s="83" t="n"/>
      <c r="X46" s="84" t="n"/>
      <c r="Y46" s="84" t="n"/>
      <c r="Z46" s="81" t="n"/>
    </row>
    <row r="47" ht="16.5" customHeight="1" s="256" thickBot="1"/>
    <row r="48">
      <c r="B48" s="261" t="inlineStr">
        <is>
          <t>LEGO_Ferrari</t>
        </is>
      </c>
      <c r="C48" s="262" t="n"/>
      <c r="D48" s="263" t="n"/>
      <c r="E48" s="2" t="n"/>
      <c r="F48" s="261">
        <f>B48</f>
        <v/>
      </c>
      <c r="G48" s="262" t="n"/>
      <c r="H48" s="263" t="n"/>
      <c r="I48" s="2" t="n"/>
      <c r="J48" s="264" t="n"/>
      <c r="L48" s="264">
        <f>F48</f>
        <v/>
      </c>
      <c r="M48" s="262" t="n"/>
      <c r="N48" s="263" t="n"/>
      <c r="O48" s="195" t="n"/>
      <c r="P48" s="264" t="n"/>
      <c r="U48" s="265" t="n"/>
      <c r="V48" s="265" t="n"/>
      <c r="X48" s="265" t="n"/>
    </row>
    <row r="49">
      <c r="B49" s="259" t="inlineStr">
        <is>
          <t>Test</t>
        </is>
      </c>
      <c r="D49" s="87" t="inlineStr">
        <is>
          <t>Bitstream (MB)</t>
        </is>
      </c>
      <c r="E49" s="294" t="n"/>
      <c r="F49" s="259" t="inlineStr">
        <is>
          <t>Test</t>
        </is>
      </c>
      <c r="H49" s="87" t="inlineStr">
        <is>
          <t>Bitstream (MB)</t>
        </is>
      </c>
      <c r="I49" s="9" t="n"/>
      <c r="J49" s="257" t="inlineStr">
        <is>
          <t>%</t>
        </is>
      </c>
      <c r="L49" s="257" t="inlineStr">
        <is>
          <t>YUV-SSIM</t>
        </is>
      </c>
      <c r="N49" s="258" t="n"/>
      <c r="O49" s="85" t="n"/>
      <c r="P49" s="3" t="n"/>
      <c r="R49" s="255" t="n"/>
      <c r="U49" s="255" t="n"/>
      <c r="V49" s="255" t="n"/>
      <c r="X49" s="255" t="n"/>
    </row>
    <row r="50">
      <c r="B50" s="191" t="inlineStr">
        <is>
          <t>Anchor</t>
        </is>
      </c>
      <c r="C50" s="130" t="inlineStr">
        <is>
          <t>Test point</t>
        </is>
      </c>
      <c r="D50" s="86" t="inlineStr">
        <is>
          <t>Total</t>
        </is>
      </c>
      <c r="E50" s="294" t="n"/>
      <c r="F50" s="191" t="inlineStr">
        <is>
          <t>Anchor</t>
        </is>
      </c>
      <c r="G50" s="130" t="inlineStr">
        <is>
          <t>Test point</t>
        </is>
      </c>
      <c r="H50" s="86" t="inlineStr">
        <is>
          <t>Total</t>
        </is>
      </c>
      <c r="I50" s="9" t="n"/>
      <c r="J50" s="93" t="n"/>
      <c r="L50" s="192">
        <f>CONCATENATE(B$2," ",L48)</f>
        <v/>
      </c>
      <c r="M50" s="193">
        <f>CONCATENATE(F$2," ",L48)</f>
        <v/>
      </c>
      <c r="N50" s="194" t="inlineStr">
        <is>
          <t>Delta</t>
        </is>
      </c>
      <c r="O50" s="2" t="n"/>
      <c r="P50" s="3" t="inlineStr">
        <is>
          <t>BD-rate</t>
        </is>
      </c>
      <c r="Q50" s="2" t="n"/>
      <c r="R50" s="2" t="n"/>
      <c r="S50" s="2" t="n"/>
      <c r="T50" s="2" t="n"/>
      <c r="U50" s="2" t="n"/>
      <c r="V50" s="2" t="n"/>
      <c r="X50" s="195" t="n"/>
      <c r="Y50" s="195" t="n"/>
      <c r="Z50" s="195" t="n"/>
    </row>
    <row r="51">
      <c r="B51" s="122">
        <f>B48</f>
        <v/>
      </c>
      <c r="C51" s="130" t="inlineStr">
        <is>
          <t>r01</t>
        </is>
      </c>
      <c r="D51" s="295">
        <f>0.000001*INDIRECT($B51&amp;"!E5")</f>
        <v/>
      </c>
      <c r="E51" s="294" t="n"/>
      <c r="F51" s="122">
        <f>F48</f>
        <v/>
      </c>
      <c r="G51" s="130" t="inlineStr">
        <is>
          <t>r01</t>
        </is>
      </c>
      <c r="H51" s="295">
        <f>0.000001*INDIRECT($B51&amp;"!AC5")</f>
        <v/>
      </c>
      <c r="I51" s="9" t="n"/>
      <c r="J51" s="296">
        <f>H51/D51-1</f>
        <v/>
      </c>
      <c r="L51" s="94">
        <f>INDIRECT($B51&amp;"!"&amp;L$3&amp;"5")</f>
        <v/>
      </c>
      <c r="M51" s="95">
        <f>INDIRECT($B51&amp;"!"&amp;M$3&amp;"5")</f>
        <v/>
      </c>
      <c r="N51" s="96">
        <f>M51-L51</f>
        <v/>
      </c>
      <c r="O51" s="294" t="n"/>
      <c r="P51" s="296">
        <f>bdRateExtend(D51:D55,L51:L55,H51:H55,M51:M55)</f>
        <v/>
      </c>
      <c r="Q51" s="294" t="n"/>
      <c r="R51" s="9" t="n"/>
      <c r="S51" s="9" t="n"/>
      <c r="T51" s="9" t="n"/>
      <c r="U51" s="9" t="n"/>
      <c r="V51" s="297" t="n"/>
      <c r="X51" s="6" t="n"/>
      <c r="Y51" s="6" t="n"/>
      <c r="Z51" s="81" t="n"/>
      <c r="AB51" s="298" t="n"/>
    </row>
    <row r="52">
      <c r="B52" s="122">
        <f>B51</f>
        <v/>
      </c>
      <c r="C52" s="130" t="inlineStr">
        <is>
          <t>r02</t>
        </is>
      </c>
      <c r="D52" s="295">
        <f>0.000001*INDIRECT($B52&amp;"!E6")</f>
        <v/>
      </c>
      <c r="E52" s="294" t="n"/>
      <c r="F52" s="122">
        <f>F51</f>
        <v/>
      </c>
      <c r="G52" s="130" t="inlineStr">
        <is>
          <t>r02</t>
        </is>
      </c>
      <c r="H52" s="295">
        <f>0.000001*INDIRECT($B52&amp;"!AC6")</f>
        <v/>
      </c>
      <c r="I52" s="9" t="n"/>
      <c r="J52" s="296">
        <f>H52/D52-1</f>
        <v/>
      </c>
      <c r="L52" s="94">
        <f>INDIRECT($B52&amp;"!"&amp;L$3&amp;"6")</f>
        <v/>
      </c>
      <c r="M52" s="95">
        <f>INDIRECT($B52&amp;"!"&amp;M$3&amp;"6")</f>
        <v/>
      </c>
      <c r="N52" s="96">
        <f>M52-L52</f>
        <v/>
      </c>
      <c r="O52" s="294" t="n"/>
      <c r="P52" s="3" t="n"/>
      <c r="Q52" s="294" t="n"/>
      <c r="R52" s="9" t="n"/>
      <c r="S52" s="9" t="n"/>
      <c r="T52" s="9" t="n"/>
      <c r="U52" s="9" t="n"/>
      <c r="V52" s="297" t="n"/>
      <c r="X52" s="6" t="n"/>
      <c r="Y52" s="6" t="n"/>
      <c r="Z52" s="81" t="n"/>
    </row>
    <row r="53">
      <c r="B53" s="122">
        <f>B52</f>
        <v/>
      </c>
      <c r="C53" s="130" t="inlineStr">
        <is>
          <t>r03</t>
        </is>
      </c>
      <c r="D53" s="295">
        <f>0.000001*INDIRECT($B53&amp;"!E7")</f>
        <v/>
      </c>
      <c r="E53" s="294" t="n"/>
      <c r="F53" s="122">
        <f>F52</f>
        <v/>
      </c>
      <c r="G53" s="130" t="inlineStr">
        <is>
          <t>r03</t>
        </is>
      </c>
      <c r="H53" s="295">
        <f>0.000001*INDIRECT($B53&amp;"!AC7")</f>
        <v/>
      </c>
      <c r="I53" s="9" t="n"/>
      <c r="J53" s="296">
        <f>H53/D53-1</f>
        <v/>
      </c>
      <c r="L53" s="94">
        <f>INDIRECT($B53&amp;"!"&amp;L$3&amp;"7")</f>
        <v/>
      </c>
      <c r="M53" s="95">
        <f>INDIRECT($B53&amp;"!"&amp;M$3&amp;"7")</f>
        <v/>
      </c>
      <c r="N53" s="96">
        <f>M53-L53</f>
        <v/>
      </c>
      <c r="O53" s="294" t="n"/>
      <c r="P53" s="217" t="n"/>
      <c r="Q53" s="294" t="n"/>
      <c r="R53" s="9" t="n"/>
      <c r="S53" s="9" t="n"/>
      <c r="T53" s="9" t="n"/>
      <c r="U53" s="9" t="n"/>
      <c r="V53" s="297" t="n"/>
      <c r="X53" s="6" t="n"/>
      <c r="Y53" s="6" t="n"/>
      <c r="Z53" s="81" t="n"/>
    </row>
    <row r="54">
      <c r="B54" s="122">
        <f>B53</f>
        <v/>
      </c>
      <c r="C54" s="130" t="inlineStr">
        <is>
          <t>r04</t>
        </is>
      </c>
      <c r="D54" s="295">
        <f>0.000001*INDIRECT($B54&amp;"!E8")</f>
        <v/>
      </c>
      <c r="E54" s="294" t="n"/>
      <c r="F54" s="122">
        <f>F53</f>
        <v/>
      </c>
      <c r="G54" s="130" t="inlineStr">
        <is>
          <t>r04</t>
        </is>
      </c>
      <c r="H54" s="295">
        <f>0.000001*INDIRECT($B54&amp;"!AC8")</f>
        <v/>
      </c>
      <c r="I54" s="9" t="n"/>
      <c r="J54" s="296">
        <f>H54/D54-1</f>
        <v/>
      </c>
      <c r="L54" s="94">
        <f>INDIRECT($B54&amp;"!"&amp;L$3&amp;"8")</f>
        <v/>
      </c>
      <c r="M54" s="95">
        <f>INDIRECT($B54&amp;"!"&amp;M$3&amp;"8")</f>
        <v/>
      </c>
      <c r="N54" s="96">
        <f>M54-L54</f>
        <v/>
      </c>
      <c r="O54" s="294" t="n"/>
      <c r="P54" s="303" t="n"/>
      <c r="Q54" s="294" t="n"/>
      <c r="R54" s="9" t="n"/>
      <c r="S54" s="9" t="n"/>
      <c r="T54" s="9" t="n"/>
      <c r="U54" s="9" t="n"/>
      <c r="V54" s="297" t="n"/>
      <c r="X54" s="6" t="n"/>
      <c r="Y54" s="6" t="n"/>
      <c r="Z54" s="81" t="n"/>
    </row>
    <row r="55" ht="16.5" customHeight="1" s="256" thickBot="1">
      <c r="B55" s="122">
        <f>B54</f>
        <v/>
      </c>
      <c r="C55" s="130" t="inlineStr">
        <is>
          <t>r05</t>
        </is>
      </c>
      <c r="D55" s="295">
        <f>0.000001*INDIRECT($B55&amp;"!E9")</f>
        <v/>
      </c>
      <c r="E55" s="294" t="n"/>
      <c r="F55" s="122">
        <f>F54</f>
        <v/>
      </c>
      <c r="G55" s="130" t="inlineStr">
        <is>
          <t>r05</t>
        </is>
      </c>
      <c r="H55" s="295">
        <f>0.000001*INDIRECT($B55&amp;"!AC9")</f>
        <v/>
      </c>
      <c r="I55" s="9" t="n"/>
      <c r="J55" s="296">
        <f>H55/D55-1</f>
        <v/>
      </c>
      <c r="L55" s="94">
        <f>INDIRECT($B55&amp;"!"&amp;L$3&amp;"9")</f>
        <v/>
      </c>
      <c r="M55" s="95">
        <f>INDIRECT($B55&amp;"!"&amp;M$3&amp;"9")</f>
        <v/>
      </c>
      <c r="N55" s="96">
        <f>M55-L55</f>
        <v/>
      </c>
      <c r="O55" s="294" t="n"/>
      <c r="P55" s="299" t="n"/>
      <c r="Q55" s="294" t="n"/>
      <c r="R55" s="9" t="n"/>
      <c r="S55" s="9" t="n"/>
      <c r="T55" s="9" t="n"/>
      <c r="U55" s="9" t="n"/>
      <c r="V55" s="297" t="n"/>
      <c r="X55" s="6" t="n"/>
      <c r="Y55" s="6" t="n"/>
      <c r="Z55" s="81" t="n"/>
      <c r="AB55" s="298" t="n"/>
    </row>
    <row r="56" ht="16.5" customHeight="1" s="256">
      <c r="B56" s="109" t="n"/>
      <c r="C56" s="110" t="n"/>
      <c r="D56" s="300" t="n"/>
      <c r="F56" s="109" t="n"/>
      <c r="G56" s="110" t="n"/>
      <c r="H56" s="300" t="n"/>
      <c r="J56" s="98">
        <f>MIN(D51:D55,H51:H55)</f>
        <v/>
      </c>
      <c r="L56" s="99" t="n"/>
      <c r="M56" s="100" t="n"/>
      <c r="N56" s="101" t="n"/>
      <c r="O56" s="294" t="n"/>
      <c r="P56" s="264" t="n"/>
      <c r="Q56" s="294" t="n"/>
      <c r="R56" s="9" t="n"/>
      <c r="S56" s="9" t="n"/>
      <c r="T56" s="9" t="n"/>
      <c r="U56" s="9" t="n"/>
      <c r="V56" s="83" t="n"/>
      <c r="X56" s="6" t="n"/>
      <c r="Y56" s="6" t="n"/>
      <c r="Z56" s="81" t="n"/>
    </row>
    <row r="57" ht="16.5" customHeight="1" s="256" thickBot="1">
      <c r="B57" s="89" t="n"/>
      <c r="C57" s="92" t="n"/>
      <c r="D57" s="301" t="n"/>
      <c r="E57" s="294" t="n"/>
      <c r="F57" s="89" t="n"/>
      <c r="G57" s="92" t="n"/>
      <c r="H57" s="301" t="n"/>
      <c r="I57" s="9" t="n"/>
      <c r="J57" s="102">
        <f>MAX(D51:D55,H51:H55)</f>
        <v/>
      </c>
      <c r="L57" s="103">
        <f>L56</f>
        <v/>
      </c>
      <c r="M57" s="104">
        <f>M56</f>
        <v/>
      </c>
      <c r="N57" s="97" t="n"/>
      <c r="O57" s="294" t="n"/>
      <c r="P57" s="5" t="n"/>
      <c r="Q57" s="294" t="n"/>
      <c r="R57" s="9" t="n"/>
      <c r="S57" s="9" t="n"/>
      <c r="T57" s="9" t="n"/>
      <c r="U57" s="9" t="n"/>
      <c r="V57" s="83" t="n"/>
      <c r="X57" s="84" t="n"/>
      <c r="Y57" s="84" t="n"/>
      <c r="Z57" s="81" t="n"/>
    </row>
    <row r="58" ht="16.5" customHeight="1" s="256" thickBot="1"/>
    <row r="59">
      <c r="B59" s="261" t="inlineStr">
        <is>
          <t>LEGO_Bugatti</t>
        </is>
      </c>
      <c r="C59" s="262" t="n"/>
      <c r="D59" s="263" t="n"/>
      <c r="E59" s="2" t="n"/>
      <c r="F59" s="261">
        <f>B59</f>
        <v/>
      </c>
      <c r="G59" s="262" t="n"/>
      <c r="H59" s="263" t="n"/>
      <c r="I59" s="2" t="n"/>
      <c r="J59" s="264" t="n"/>
      <c r="L59" s="264">
        <f>F59</f>
        <v/>
      </c>
      <c r="M59" s="262" t="n"/>
      <c r="N59" s="263" t="n"/>
      <c r="O59" s="195" t="n"/>
      <c r="P59" s="264" t="n"/>
      <c r="U59" s="265" t="n"/>
      <c r="V59" s="265" t="n"/>
      <c r="X59" s="265" t="n"/>
    </row>
    <row r="60">
      <c r="B60" s="259" t="inlineStr">
        <is>
          <t>Test</t>
        </is>
      </c>
      <c r="D60" s="87" t="inlineStr">
        <is>
          <t>Bitstream (MB)</t>
        </is>
      </c>
      <c r="E60" s="294" t="n"/>
      <c r="F60" s="259" t="inlineStr">
        <is>
          <t>Test</t>
        </is>
      </c>
      <c r="H60" s="87" t="inlineStr">
        <is>
          <t>Bitstream (MB)</t>
        </is>
      </c>
      <c r="I60" s="9" t="n"/>
      <c r="J60" s="257" t="inlineStr">
        <is>
          <t>%</t>
        </is>
      </c>
      <c r="L60" s="257" t="inlineStr">
        <is>
          <t>YUV-SSIM</t>
        </is>
      </c>
      <c r="N60" s="258" t="n"/>
      <c r="O60" s="85" t="n"/>
      <c r="P60" s="3" t="n"/>
      <c r="R60" s="255" t="n"/>
      <c r="U60" s="255" t="n"/>
      <c r="V60" s="255" t="n"/>
      <c r="X60" s="255" t="n"/>
    </row>
    <row r="61">
      <c r="B61" s="191" t="inlineStr">
        <is>
          <t>Anchor</t>
        </is>
      </c>
      <c r="C61" s="130" t="inlineStr">
        <is>
          <t>Test point</t>
        </is>
      </c>
      <c r="D61" s="86" t="inlineStr">
        <is>
          <t>Total</t>
        </is>
      </c>
      <c r="E61" s="294" t="n"/>
      <c r="F61" s="191" t="inlineStr">
        <is>
          <t>Anchor</t>
        </is>
      </c>
      <c r="G61" s="130" t="inlineStr">
        <is>
          <t>Test point</t>
        </is>
      </c>
      <c r="H61" s="86" t="inlineStr">
        <is>
          <t>Total</t>
        </is>
      </c>
      <c r="I61" s="9" t="n"/>
      <c r="J61" s="93" t="n"/>
      <c r="L61" s="192">
        <f>CONCATENATE(B$2," ",L59)</f>
        <v/>
      </c>
      <c r="M61" s="193">
        <f>CONCATENATE(F$2," ",L59)</f>
        <v/>
      </c>
      <c r="N61" s="194" t="inlineStr">
        <is>
          <t>Delta</t>
        </is>
      </c>
      <c r="O61" s="2" t="n"/>
      <c r="P61" s="3" t="inlineStr">
        <is>
          <t>BD-rate</t>
        </is>
      </c>
      <c r="Q61" s="2" t="n"/>
      <c r="R61" s="2" t="n"/>
      <c r="S61" s="2" t="n"/>
      <c r="T61" s="2" t="n"/>
      <c r="U61" s="2" t="n"/>
      <c r="V61" s="2" t="n"/>
      <c r="X61" s="195" t="n"/>
      <c r="Y61" s="195" t="n"/>
      <c r="Z61" s="195" t="n"/>
    </row>
    <row r="62">
      <c r="B62" s="122">
        <f>B59</f>
        <v/>
      </c>
      <c r="C62" s="130" t="inlineStr">
        <is>
          <t>r01</t>
        </is>
      </c>
      <c r="D62" s="295">
        <f>0.000001*INDIRECT($B62&amp;"!E5")</f>
        <v/>
      </c>
      <c r="E62" s="294" t="n"/>
      <c r="F62" s="122">
        <f>F59</f>
        <v/>
      </c>
      <c r="G62" s="130" t="inlineStr">
        <is>
          <t>r01</t>
        </is>
      </c>
      <c r="H62" s="295">
        <f>0.000001*INDIRECT($B62&amp;"!AC5")</f>
        <v/>
      </c>
      <c r="I62" s="9" t="n"/>
      <c r="J62" s="296">
        <f>H62/D62-1</f>
        <v/>
      </c>
      <c r="L62" s="94">
        <f>INDIRECT($B62&amp;"!"&amp;L$3&amp;"5")</f>
        <v/>
      </c>
      <c r="M62" s="95">
        <f>INDIRECT($B62&amp;"!"&amp;M$3&amp;"5")</f>
        <v/>
      </c>
      <c r="N62" s="96">
        <f>M62-L62</f>
        <v/>
      </c>
      <c r="O62" s="294" t="n"/>
      <c r="P62" s="296">
        <f>bdRateExtend(D62:D66,L62:L66,H62:H66,M62:M66)</f>
        <v/>
      </c>
      <c r="Q62" s="294" t="n"/>
      <c r="R62" s="9" t="n"/>
      <c r="S62" s="9" t="n"/>
      <c r="T62" s="9" t="n"/>
      <c r="U62" s="9" t="n"/>
      <c r="V62" s="297" t="n"/>
      <c r="X62" s="6" t="n"/>
      <c r="Y62" s="6" t="n"/>
      <c r="Z62" s="81" t="n"/>
      <c r="AB62" s="298" t="n"/>
    </row>
    <row r="63">
      <c r="B63" s="122">
        <f>B62</f>
        <v/>
      </c>
      <c r="C63" s="130" t="inlineStr">
        <is>
          <t>r02</t>
        </is>
      </c>
      <c r="D63" s="295">
        <f>0.000001*INDIRECT($B63&amp;"!E6")</f>
        <v/>
      </c>
      <c r="E63" s="294" t="n"/>
      <c r="F63" s="122">
        <f>F62</f>
        <v/>
      </c>
      <c r="G63" s="130" t="inlineStr">
        <is>
          <t>r02</t>
        </is>
      </c>
      <c r="H63" s="295">
        <f>0.000001*INDIRECT($B63&amp;"!AC6")</f>
        <v/>
      </c>
      <c r="I63" s="9" t="n"/>
      <c r="J63" s="296">
        <f>H63/D63-1</f>
        <v/>
      </c>
      <c r="L63" s="94">
        <f>INDIRECT($B63&amp;"!"&amp;L$3&amp;"6")</f>
        <v/>
      </c>
      <c r="M63" s="95">
        <f>INDIRECT($B63&amp;"!"&amp;M$3&amp;"6")</f>
        <v/>
      </c>
      <c r="N63" s="96">
        <f>M63-L63</f>
        <v/>
      </c>
      <c r="O63" s="294" t="n"/>
      <c r="P63" s="3" t="n"/>
      <c r="Q63" s="294" t="n"/>
      <c r="R63" s="9" t="n"/>
      <c r="S63" s="9" t="n"/>
      <c r="T63" s="9" t="n"/>
      <c r="U63" s="9" t="n"/>
      <c r="V63" s="297" t="n"/>
      <c r="X63" s="6" t="n"/>
      <c r="Y63" s="6" t="n"/>
      <c r="Z63" s="81" t="n"/>
    </row>
    <row r="64">
      <c r="B64" s="122">
        <f>B63</f>
        <v/>
      </c>
      <c r="C64" s="130" t="inlineStr">
        <is>
          <t>r03</t>
        </is>
      </c>
      <c r="D64" s="295">
        <f>0.000001*INDIRECT($B64&amp;"!E7")</f>
        <v/>
      </c>
      <c r="E64" s="294" t="n"/>
      <c r="F64" s="122">
        <f>F63</f>
        <v/>
      </c>
      <c r="G64" s="130" t="inlineStr">
        <is>
          <t>r03</t>
        </is>
      </c>
      <c r="H64" s="295">
        <f>0.000001*INDIRECT($B64&amp;"!AC7")</f>
        <v/>
      </c>
      <c r="I64" s="9" t="n"/>
      <c r="J64" s="296">
        <f>H64/D64-1</f>
        <v/>
      </c>
      <c r="L64" s="94">
        <f>INDIRECT($B64&amp;"!"&amp;L$3&amp;"7")</f>
        <v/>
      </c>
      <c r="M64" s="95">
        <f>INDIRECT($B64&amp;"!"&amp;M$3&amp;"7")</f>
        <v/>
      </c>
      <c r="N64" s="96">
        <f>M64-L64</f>
        <v/>
      </c>
      <c r="O64" s="294" t="n"/>
      <c r="P64" s="217" t="n"/>
      <c r="Q64" s="294" t="n"/>
      <c r="R64" s="9" t="n"/>
      <c r="S64" s="9" t="n"/>
      <c r="T64" s="9" t="n"/>
      <c r="U64" s="9" t="n"/>
      <c r="V64" s="297" t="n"/>
      <c r="X64" s="6" t="n"/>
      <c r="Y64" s="6" t="n"/>
      <c r="Z64" s="81" t="n"/>
    </row>
    <row r="65">
      <c r="B65" s="122">
        <f>B64</f>
        <v/>
      </c>
      <c r="C65" s="130" t="inlineStr">
        <is>
          <t>r04</t>
        </is>
      </c>
      <c r="D65" s="295">
        <f>0.000001*INDIRECT($B65&amp;"!E8")</f>
        <v/>
      </c>
      <c r="E65" s="294" t="n"/>
      <c r="F65" s="122">
        <f>F64</f>
        <v/>
      </c>
      <c r="G65" s="130" t="inlineStr">
        <is>
          <t>r04</t>
        </is>
      </c>
      <c r="H65" s="295">
        <f>0.000001*INDIRECT($B65&amp;"!AC8")</f>
        <v/>
      </c>
      <c r="I65" s="9" t="n"/>
      <c r="J65" s="296">
        <f>H65/D65-1</f>
        <v/>
      </c>
      <c r="L65" s="94">
        <f>INDIRECT($B65&amp;"!"&amp;L$3&amp;"8")</f>
        <v/>
      </c>
      <c r="M65" s="95">
        <f>INDIRECT($B65&amp;"!"&amp;M$3&amp;"8")</f>
        <v/>
      </c>
      <c r="N65" s="96">
        <f>M65-L65</f>
        <v/>
      </c>
      <c r="O65" s="294" t="n"/>
      <c r="P65" s="303" t="n"/>
      <c r="Q65" s="294" t="n"/>
      <c r="R65" s="9" t="n"/>
      <c r="S65" s="9" t="n"/>
      <c r="T65" s="9" t="n"/>
      <c r="U65" s="9" t="n"/>
      <c r="V65" s="297" t="n"/>
      <c r="X65" s="6" t="n"/>
      <c r="Y65" s="6" t="n"/>
      <c r="Z65" s="81" t="n"/>
    </row>
    <row r="66" ht="16.5" customHeight="1" s="256" thickBot="1">
      <c r="B66" s="122">
        <f>B65</f>
        <v/>
      </c>
      <c r="C66" s="130" t="inlineStr">
        <is>
          <t>r05</t>
        </is>
      </c>
      <c r="D66" s="295">
        <f>0.000001*INDIRECT($B66&amp;"!E9")</f>
        <v/>
      </c>
      <c r="E66" s="294" t="n"/>
      <c r="F66" s="122">
        <f>F65</f>
        <v/>
      </c>
      <c r="G66" s="130" t="inlineStr">
        <is>
          <t>r05</t>
        </is>
      </c>
      <c r="H66" s="295">
        <f>0.000001*INDIRECT($B66&amp;"!AC9")</f>
        <v/>
      </c>
      <c r="I66" s="9" t="n"/>
      <c r="J66" s="296">
        <f>H66/D66-1</f>
        <v/>
      </c>
      <c r="L66" s="94">
        <f>INDIRECT($B66&amp;"!"&amp;L$3&amp;"9")</f>
        <v/>
      </c>
      <c r="M66" s="95">
        <f>INDIRECT($B66&amp;"!"&amp;M$3&amp;"9")</f>
        <v/>
      </c>
      <c r="N66" s="96">
        <f>M66-L66</f>
        <v/>
      </c>
      <c r="O66" s="294" t="n"/>
      <c r="P66" s="299" t="n"/>
      <c r="Q66" s="294" t="n"/>
      <c r="R66" s="9" t="n"/>
      <c r="S66" s="9" t="n"/>
      <c r="T66" s="9" t="n"/>
      <c r="U66" s="9" t="n"/>
      <c r="V66" s="297" t="n"/>
      <c r="X66" s="6" t="n"/>
      <c r="Y66" s="6" t="n"/>
      <c r="Z66" s="81" t="n"/>
      <c r="AB66" s="298" t="n"/>
    </row>
    <row r="67" ht="16.5" customHeight="1" s="256">
      <c r="B67" s="109" t="n"/>
      <c r="C67" s="110" t="n"/>
      <c r="D67" s="300" t="n"/>
      <c r="F67" s="109" t="n"/>
      <c r="G67" s="110" t="n"/>
      <c r="H67" s="300" t="n"/>
      <c r="J67" s="98">
        <f>MIN(D62:D66,H62:H66)</f>
        <v/>
      </c>
      <c r="L67" s="99" t="n"/>
      <c r="M67" s="100" t="n"/>
      <c r="N67" s="101" t="n"/>
      <c r="O67" s="294" t="n"/>
      <c r="P67" s="264" t="n"/>
      <c r="Q67" s="294" t="n"/>
      <c r="R67" s="9" t="n"/>
      <c r="S67" s="9" t="n"/>
      <c r="T67" s="9" t="n"/>
      <c r="U67" s="9" t="n"/>
      <c r="V67" s="83" t="n"/>
      <c r="X67" s="6" t="n"/>
      <c r="Y67" s="6" t="n"/>
      <c r="Z67" s="81" t="n"/>
    </row>
    <row r="68" ht="16.5" customHeight="1" s="256" thickBot="1">
      <c r="B68" s="89" t="n"/>
      <c r="C68" s="92" t="n"/>
      <c r="D68" s="301" t="n"/>
      <c r="E68" s="294" t="n"/>
      <c r="F68" s="89" t="n"/>
      <c r="G68" s="92" t="n"/>
      <c r="H68" s="301" t="n"/>
      <c r="I68" s="9" t="n"/>
      <c r="J68" s="102">
        <f>MAX(D62:D66,H62:H66)</f>
        <v/>
      </c>
      <c r="L68" s="103">
        <f>L67</f>
        <v/>
      </c>
      <c r="M68" s="104">
        <f>M67</f>
        <v/>
      </c>
      <c r="N68" s="97" t="n"/>
      <c r="O68" s="294" t="n"/>
      <c r="P68" s="5" t="n"/>
      <c r="Q68" s="294" t="n"/>
      <c r="R68" s="9" t="n"/>
      <c r="S68" s="9" t="n"/>
      <c r="T68" s="9" t="n"/>
      <c r="U68" s="9" t="n"/>
      <c r="V68" s="83" t="n"/>
      <c r="X68" s="84" t="n"/>
      <c r="Y68" s="84" t="n"/>
      <c r="Z68" s="81" t="n"/>
    </row>
    <row r="69" ht="16.5" customHeight="1" s="256" thickBot="1"/>
    <row r="70">
      <c r="B70" s="261" t="inlineStr">
        <is>
          <t>Plant</t>
        </is>
      </c>
      <c r="C70" s="262" t="n"/>
      <c r="D70" s="263" t="n"/>
      <c r="E70" s="2" t="n"/>
      <c r="F70" s="261">
        <f>B70</f>
        <v/>
      </c>
      <c r="G70" s="262" t="n"/>
      <c r="H70" s="263" t="n"/>
      <c r="I70" s="2" t="n"/>
      <c r="J70" s="264" t="n"/>
      <c r="L70" s="264">
        <f>F70</f>
        <v/>
      </c>
      <c r="M70" s="262" t="n"/>
      <c r="N70" s="263" t="n"/>
      <c r="O70" s="195" t="n"/>
      <c r="P70" s="264" t="n"/>
      <c r="U70" s="265" t="n"/>
      <c r="V70" s="265" t="n"/>
      <c r="X70" s="265" t="n"/>
    </row>
    <row r="71">
      <c r="B71" s="259" t="inlineStr">
        <is>
          <t>Test</t>
        </is>
      </c>
      <c r="D71" s="87" t="inlineStr">
        <is>
          <t>Bitstream (MB)</t>
        </is>
      </c>
      <c r="E71" s="294" t="n"/>
      <c r="F71" s="259" t="inlineStr">
        <is>
          <t>Test</t>
        </is>
      </c>
      <c r="H71" s="87" t="inlineStr">
        <is>
          <t>Bitstream (MB)</t>
        </is>
      </c>
      <c r="I71" s="9" t="n"/>
      <c r="J71" s="257" t="inlineStr">
        <is>
          <t>%</t>
        </is>
      </c>
      <c r="L71" s="257" t="inlineStr">
        <is>
          <t>YUV-SSIM</t>
        </is>
      </c>
      <c r="N71" s="258" t="n"/>
      <c r="O71" s="85" t="n"/>
      <c r="P71" s="3" t="n"/>
      <c r="R71" s="255" t="n"/>
      <c r="U71" s="255" t="n"/>
      <c r="V71" s="255" t="n"/>
      <c r="X71" s="255" t="n"/>
    </row>
    <row r="72">
      <c r="B72" s="191" t="inlineStr">
        <is>
          <t>Anchor</t>
        </is>
      </c>
      <c r="C72" s="130" t="inlineStr">
        <is>
          <t>Test point</t>
        </is>
      </c>
      <c r="D72" s="86" t="inlineStr">
        <is>
          <t>Total</t>
        </is>
      </c>
      <c r="E72" s="294" t="n"/>
      <c r="F72" s="191" t="inlineStr">
        <is>
          <t>Anchor</t>
        </is>
      </c>
      <c r="G72" s="130" t="inlineStr">
        <is>
          <t>Test point</t>
        </is>
      </c>
      <c r="H72" s="86" t="inlineStr">
        <is>
          <t>Total</t>
        </is>
      </c>
      <c r="I72" s="9" t="n"/>
      <c r="J72" s="93" t="n"/>
      <c r="L72" s="192">
        <f>CONCATENATE(B$2," ",L70)</f>
        <v/>
      </c>
      <c r="M72" s="193">
        <f>CONCATENATE(F$2," ",L70)</f>
        <v/>
      </c>
      <c r="N72" s="194" t="inlineStr">
        <is>
          <t>Delta</t>
        </is>
      </c>
      <c r="O72" s="2" t="n"/>
      <c r="P72" s="3" t="inlineStr">
        <is>
          <t>BD-rate</t>
        </is>
      </c>
      <c r="Q72" s="2" t="n"/>
      <c r="R72" s="2" t="n"/>
      <c r="S72" s="2" t="n"/>
      <c r="T72" s="2" t="n"/>
      <c r="U72" s="2" t="n"/>
      <c r="V72" s="2" t="n"/>
      <c r="X72" s="195" t="n"/>
      <c r="Y72" s="195" t="n"/>
      <c r="Z72" s="195" t="n"/>
    </row>
    <row r="73">
      <c r="B73" s="122">
        <f>B70</f>
        <v/>
      </c>
      <c r="C73" s="130" t="inlineStr">
        <is>
          <t>r01</t>
        </is>
      </c>
      <c r="D73" s="295">
        <f>0.000001*INDIRECT($B73&amp;"!E5")</f>
        <v/>
      </c>
      <c r="E73" s="294" t="n"/>
      <c r="F73" s="122">
        <f>F70</f>
        <v/>
      </c>
      <c r="G73" s="130" t="inlineStr">
        <is>
          <t>r01</t>
        </is>
      </c>
      <c r="H73" s="295">
        <f>0.000001*INDIRECT($B73&amp;"!AC5")</f>
        <v/>
      </c>
      <c r="I73" s="9" t="n"/>
      <c r="J73" s="296">
        <f>H73/D73-1</f>
        <v/>
      </c>
      <c r="L73" s="94">
        <f>INDIRECT($B73&amp;"!"&amp;L$3&amp;"5")</f>
        <v/>
      </c>
      <c r="M73" s="95">
        <f>INDIRECT($B73&amp;"!"&amp;M$3&amp;"5")</f>
        <v/>
      </c>
      <c r="N73" s="96">
        <f>M73-L73</f>
        <v/>
      </c>
      <c r="O73" s="294" t="n"/>
      <c r="P73" s="296">
        <f>bdRateExtend(D73:D77,L73:L77,H73:H77,M73:M77)</f>
        <v/>
      </c>
      <c r="Q73" s="294" t="n"/>
      <c r="R73" s="9" t="n"/>
      <c r="S73" s="9" t="n"/>
      <c r="T73" s="9" t="n"/>
      <c r="U73" s="9" t="n"/>
      <c r="V73" s="297" t="n"/>
      <c r="X73" s="6" t="n"/>
      <c r="Y73" s="6" t="n"/>
      <c r="Z73" s="81" t="n"/>
      <c r="AB73" s="298" t="n"/>
    </row>
    <row r="74">
      <c r="B74" s="122">
        <f>B73</f>
        <v/>
      </c>
      <c r="C74" s="130" t="inlineStr">
        <is>
          <t>r02</t>
        </is>
      </c>
      <c r="D74" s="295">
        <f>0.000001*INDIRECT($B74&amp;"!E6")</f>
        <v/>
      </c>
      <c r="E74" s="294" t="n"/>
      <c r="F74" s="122">
        <f>F73</f>
        <v/>
      </c>
      <c r="G74" s="130" t="inlineStr">
        <is>
          <t>r02</t>
        </is>
      </c>
      <c r="H74" s="295">
        <f>0.000001*INDIRECT($B74&amp;"!AC6")</f>
        <v/>
      </c>
      <c r="I74" s="9" t="n"/>
      <c r="J74" s="296">
        <f>H74/D74-1</f>
        <v/>
      </c>
      <c r="L74" s="94">
        <f>INDIRECT($B74&amp;"!"&amp;L$3&amp;"6")</f>
        <v/>
      </c>
      <c r="M74" s="95">
        <f>INDIRECT($B74&amp;"!"&amp;M$3&amp;"6")</f>
        <v/>
      </c>
      <c r="N74" s="96">
        <f>M74-L74</f>
        <v/>
      </c>
      <c r="O74" s="294" t="n"/>
      <c r="P74" s="3" t="n"/>
      <c r="Q74" s="294" t="n"/>
      <c r="R74" s="9" t="n"/>
      <c r="S74" s="9" t="n"/>
      <c r="T74" s="9" t="n"/>
      <c r="U74" s="9" t="n"/>
      <c r="V74" s="297" t="n"/>
      <c r="X74" s="6" t="n"/>
      <c r="Y74" s="6" t="n"/>
      <c r="Z74" s="81" t="n"/>
    </row>
    <row r="75">
      <c r="B75" s="122">
        <f>B74</f>
        <v/>
      </c>
      <c r="C75" s="130" t="inlineStr">
        <is>
          <t>r03</t>
        </is>
      </c>
      <c r="D75" s="295">
        <f>0.000001*INDIRECT($B75&amp;"!E7")</f>
        <v/>
      </c>
      <c r="E75" s="294" t="n"/>
      <c r="F75" s="122">
        <f>F74</f>
        <v/>
      </c>
      <c r="G75" s="130" t="inlineStr">
        <is>
          <t>r03</t>
        </is>
      </c>
      <c r="H75" s="295">
        <f>0.000001*INDIRECT($B75&amp;"!AC7")</f>
        <v/>
      </c>
      <c r="I75" s="9" t="n"/>
      <c r="J75" s="296">
        <f>H75/D75-1</f>
        <v/>
      </c>
      <c r="L75" s="94">
        <f>INDIRECT($B75&amp;"!"&amp;L$3&amp;"7")</f>
        <v/>
      </c>
      <c r="M75" s="95">
        <f>INDIRECT($B75&amp;"!"&amp;M$3&amp;"7")</f>
        <v/>
      </c>
      <c r="N75" s="96">
        <f>M75-L75</f>
        <v/>
      </c>
      <c r="O75" s="294" t="n"/>
      <c r="P75" s="217" t="n"/>
      <c r="Q75" s="294" t="n"/>
      <c r="R75" s="9" t="n"/>
      <c r="S75" s="9" t="n"/>
      <c r="T75" s="9" t="n"/>
      <c r="U75" s="9" t="n"/>
      <c r="V75" s="297" t="n"/>
      <c r="X75" s="6" t="n"/>
      <c r="Y75" s="6" t="n"/>
      <c r="Z75" s="81" t="n"/>
    </row>
    <row r="76">
      <c r="B76" s="122">
        <f>B75</f>
        <v/>
      </c>
      <c r="C76" s="130" t="inlineStr">
        <is>
          <t>r04</t>
        </is>
      </c>
      <c r="D76" s="295">
        <f>0.000001*INDIRECT($B76&amp;"!E8")</f>
        <v/>
      </c>
      <c r="E76" s="294" t="n"/>
      <c r="F76" s="122">
        <f>F75</f>
        <v/>
      </c>
      <c r="G76" s="130" t="inlineStr">
        <is>
          <t>r04</t>
        </is>
      </c>
      <c r="H76" s="295">
        <f>0.000001*INDIRECT($B76&amp;"!AC8")</f>
        <v/>
      </c>
      <c r="I76" s="9" t="n"/>
      <c r="J76" s="296">
        <f>H76/D76-1</f>
        <v/>
      </c>
      <c r="L76" s="94">
        <f>INDIRECT($B76&amp;"!"&amp;L$3&amp;"8")</f>
        <v/>
      </c>
      <c r="M76" s="95">
        <f>INDIRECT($B76&amp;"!"&amp;M$3&amp;"8")</f>
        <v/>
      </c>
      <c r="N76" s="96">
        <f>M76-L76</f>
        <v/>
      </c>
      <c r="O76" s="294" t="n"/>
      <c r="P76" s="303" t="n"/>
      <c r="Q76" s="294" t="n"/>
      <c r="R76" s="9" t="n"/>
      <c r="S76" s="9" t="n"/>
      <c r="T76" s="9" t="n"/>
      <c r="U76" s="9" t="n"/>
      <c r="V76" s="297" t="n"/>
      <c r="X76" s="6" t="n"/>
      <c r="Y76" s="6" t="n"/>
      <c r="Z76" s="81" t="n"/>
    </row>
    <row r="77" ht="16.5" customHeight="1" s="256" thickBot="1">
      <c r="B77" s="122">
        <f>B76</f>
        <v/>
      </c>
      <c r="C77" s="130" t="inlineStr">
        <is>
          <t>r05</t>
        </is>
      </c>
      <c r="D77" s="295">
        <f>0.000001*INDIRECT($B77&amp;"!E9")</f>
        <v/>
      </c>
      <c r="E77" s="294" t="n"/>
      <c r="F77" s="122">
        <f>F76</f>
        <v/>
      </c>
      <c r="G77" s="130" t="inlineStr">
        <is>
          <t>r05</t>
        </is>
      </c>
      <c r="H77" s="295">
        <f>0.000001*INDIRECT($B77&amp;"!AC9")</f>
        <v/>
      </c>
      <c r="I77" s="9" t="n"/>
      <c r="J77" s="296">
        <f>H77/D77-1</f>
        <v/>
      </c>
      <c r="L77" s="94">
        <f>INDIRECT($B77&amp;"!"&amp;L$3&amp;"9")</f>
        <v/>
      </c>
      <c r="M77" s="95">
        <f>INDIRECT($B77&amp;"!"&amp;M$3&amp;"9")</f>
        <v/>
      </c>
      <c r="N77" s="96">
        <f>M77-L77</f>
        <v/>
      </c>
      <c r="O77" s="294" t="n"/>
      <c r="P77" s="299" t="n"/>
      <c r="Q77" s="294" t="n"/>
      <c r="R77" s="9" t="n"/>
      <c r="S77" s="9" t="n"/>
      <c r="T77" s="9" t="n"/>
      <c r="U77" s="9" t="n"/>
      <c r="V77" s="297" t="n"/>
      <c r="X77" s="6" t="n"/>
      <c r="Y77" s="6" t="n"/>
      <c r="Z77" s="81" t="n"/>
      <c r="AB77" s="298" t="n"/>
    </row>
    <row r="78" ht="16.5" customHeight="1" s="256">
      <c r="B78" s="109" t="n"/>
      <c r="C78" s="110" t="n"/>
      <c r="D78" s="300" t="n"/>
      <c r="F78" s="109" t="n"/>
      <c r="G78" s="110" t="n"/>
      <c r="H78" s="300" t="n"/>
      <c r="J78" s="98">
        <f>MIN(D73:D77,H73:H77)</f>
        <v/>
      </c>
      <c r="L78" s="99" t="n"/>
      <c r="M78" s="100" t="n"/>
      <c r="N78" s="101" t="n"/>
      <c r="O78" s="294" t="n"/>
      <c r="P78" s="264" t="n"/>
      <c r="Q78" s="294" t="n"/>
      <c r="R78" s="9" t="n"/>
      <c r="S78" s="9" t="n"/>
      <c r="T78" s="9" t="n"/>
      <c r="U78" s="9" t="n"/>
      <c r="V78" s="83" t="n"/>
      <c r="X78" s="6" t="n"/>
      <c r="Y78" s="6" t="n"/>
      <c r="Z78" s="81" t="n"/>
    </row>
    <row r="79" ht="16.5" customHeight="1" s="256" thickBot="1">
      <c r="B79" s="89" t="n"/>
      <c r="C79" s="92" t="n"/>
      <c r="D79" s="301" t="n"/>
      <c r="E79" s="294" t="n"/>
      <c r="F79" s="89" t="n"/>
      <c r="G79" s="92" t="n"/>
      <c r="H79" s="301" t="n"/>
      <c r="I79" s="9" t="n"/>
      <c r="J79" s="102">
        <f>MAX(D73:D77,H73:H77)</f>
        <v/>
      </c>
      <c r="L79" s="103">
        <f>L78</f>
        <v/>
      </c>
      <c r="M79" s="104">
        <f>M78</f>
        <v/>
      </c>
      <c r="N79" s="97" t="n"/>
      <c r="O79" s="294" t="n"/>
      <c r="P79" s="5" t="n"/>
      <c r="Q79" s="294" t="n"/>
      <c r="R79" s="9" t="n"/>
      <c r="S79" s="9" t="n"/>
      <c r="T79" s="9" t="n"/>
      <c r="U79" s="9" t="n"/>
      <c r="V79" s="83" t="n"/>
      <c r="X79" s="84" t="n"/>
      <c r="Y79" s="84" t="n"/>
      <c r="Z79" s="81" t="n"/>
    </row>
    <row r="80" ht="16.5" customHeight="1" s="256" thickBot="1"/>
    <row r="81">
      <c r="B81" s="261" t="inlineStr">
        <is>
          <t>Tennis_Player</t>
        </is>
      </c>
      <c r="C81" s="262" t="n"/>
      <c r="D81" s="263" t="n"/>
      <c r="E81" s="2" t="n"/>
      <c r="F81" s="261">
        <f>B81</f>
        <v/>
      </c>
      <c r="G81" s="262" t="n"/>
      <c r="H81" s="263" t="n"/>
      <c r="I81" s="2" t="n"/>
      <c r="J81" s="264" t="n"/>
      <c r="L81" s="264">
        <f>F81</f>
        <v/>
      </c>
      <c r="M81" s="262" t="n"/>
      <c r="N81" s="263" t="n"/>
      <c r="O81" s="195" t="n"/>
      <c r="P81" s="264" t="n"/>
      <c r="U81" s="265" t="n"/>
      <c r="V81" s="265" t="n"/>
      <c r="X81" s="265" t="n"/>
    </row>
    <row r="82">
      <c r="B82" s="259" t="inlineStr">
        <is>
          <t>Test</t>
        </is>
      </c>
      <c r="D82" s="87" t="inlineStr">
        <is>
          <t>Bitstream (MB)</t>
        </is>
      </c>
      <c r="E82" s="294" t="n"/>
      <c r="F82" s="259" t="inlineStr">
        <is>
          <t>Test</t>
        </is>
      </c>
      <c r="H82" s="87" t="inlineStr">
        <is>
          <t>Bitstream (MB)</t>
        </is>
      </c>
      <c r="I82" s="9" t="n"/>
      <c r="J82" s="257" t="inlineStr">
        <is>
          <t>%</t>
        </is>
      </c>
      <c r="L82" s="257" t="inlineStr">
        <is>
          <t>YUV-SSIM</t>
        </is>
      </c>
      <c r="N82" s="258" t="n"/>
      <c r="O82" s="85" t="n"/>
      <c r="P82" s="3" t="n"/>
      <c r="R82" s="255" t="n"/>
      <c r="U82" s="255" t="n"/>
      <c r="V82" s="255" t="n"/>
      <c r="X82" s="255" t="n"/>
    </row>
    <row r="83">
      <c r="B83" s="191" t="inlineStr">
        <is>
          <t>Anchor</t>
        </is>
      </c>
      <c r="C83" s="130" t="inlineStr">
        <is>
          <t>Test point</t>
        </is>
      </c>
      <c r="D83" s="86" t="inlineStr">
        <is>
          <t>Total</t>
        </is>
      </c>
      <c r="E83" s="294" t="n"/>
      <c r="F83" s="191" t="inlineStr">
        <is>
          <t>Anchor</t>
        </is>
      </c>
      <c r="G83" s="130" t="inlineStr">
        <is>
          <t>Test point</t>
        </is>
      </c>
      <c r="H83" s="86" t="inlineStr">
        <is>
          <t>Total</t>
        </is>
      </c>
      <c r="I83" s="9" t="n"/>
      <c r="J83" s="93" t="n"/>
      <c r="L83" s="192">
        <f>CONCATENATE(B$2," ",L81)</f>
        <v/>
      </c>
      <c r="M83" s="193">
        <f>CONCATENATE(F$2," ",L81)</f>
        <v/>
      </c>
      <c r="N83" s="194" t="inlineStr">
        <is>
          <t>Delta</t>
        </is>
      </c>
      <c r="O83" s="2" t="n"/>
      <c r="P83" s="3" t="inlineStr">
        <is>
          <t>BD-rate</t>
        </is>
      </c>
      <c r="Q83" s="2" t="n"/>
      <c r="R83" s="2" t="n"/>
      <c r="S83" s="2" t="n"/>
      <c r="T83" s="2" t="n"/>
      <c r="U83" s="2" t="n"/>
      <c r="V83" s="2" t="n"/>
      <c r="X83" s="195" t="n"/>
      <c r="Y83" s="195" t="n"/>
      <c r="Z83" s="195" t="n"/>
    </row>
    <row r="84">
      <c r="B84" s="122">
        <f>B81</f>
        <v/>
      </c>
      <c r="C84" s="130" t="inlineStr">
        <is>
          <t>r01</t>
        </is>
      </c>
      <c r="D84" s="295">
        <f>0.000001*INDIRECT($B84&amp;"!E5")</f>
        <v/>
      </c>
      <c r="E84" s="294" t="n"/>
      <c r="F84" s="122">
        <f>F81</f>
        <v/>
      </c>
      <c r="G84" s="130" t="inlineStr">
        <is>
          <t>r01</t>
        </is>
      </c>
      <c r="H84" s="295">
        <f>0.000001*INDIRECT($B84&amp;"!AC5")</f>
        <v/>
      </c>
      <c r="I84" s="9" t="n"/>
      <c r="J84" s="296">
        <f>H84/D84-1</f>
        <v/>
      </c>
      <c r="L84" s="94">
        <f>INDIRECT($B84&amp;"!"&amp;L$3&amp;"5")</f>
        <v/>
      </c>
      <c r="M84" s="95">
        <f>INDIRECT($B84&amp;"!"&amp;M$3&amp;"5")</f>
        <v/>
      </c>
      <c r="N84" s="96">
        <f>M84-L84</f>
        <v/>
      </c>
      <c r="O84" s="294" t="n"/>
      <c r="P84" s="296">
        <f>bdRateExtend(D84:D88,L84:L88,H84:H88,M84:M88)</f>
        <v/>
      </c>
      <c r="Q84" s="294" t="n"/>
      <c r="R84" s="9" t="n"/>
      <c r="S84" s="9" t="n"/>
      <c r="T84" s="9" t="n"/>
      <c r="U84" s="9" t="n"/>
      <c r="V84" s="297" t="n"/>
      <c r="X84" s="6" t="n"/>
      <c r="Y84" s="6" t="n"/>
      <c r="Z84" s="81" t="n"/>
      <c r="AB84" s="298" t="n"/>
    </row>
    <row r="85">
      <c r="B85" s="122">
        <f>B84</f>
        <v/>
      </c>
      <c r="C85" s="130" t="inlineStr">
        <is>
          <t>r02</t>
        </is>
      </c>
      <c r="D85" s="295">
        <f>0.000001*INDIRECT($B85&amp;"!E6")</f>
        <v/>
      </c>
      <c r="E85" s="294" t="n"/>
      <c r="F85" s="122">
        <f>F84</f>
        <v/>
      </c>
      <c r="G85" s="130" t="inlineStr">
        <is>
          <t>r02</t>
        </is>
      </c>
      <c r="H85" s="295">
        <f>0.000001*INDIRECT($B85&amp;"!AC6")</f>
        <v/>
      </c>
      <c r="I85" s="9" t="n"/>
      <c r="J85" s="296">
        <f>H85/D85-1</f>
        <v/>
      </c>
      <c r="L85" s="94">
        <f>INDIRECT($B85&amp;"!"&amp;L$3&amp;"6")</f>
        <v/>
      </c>
      <c r="M85" s="95">
        <f>INDIRECT($B85&amp;"!"&amp;M$3&amp;"6")</f>
        <v/>
      </c>
      <c r="N85" s="96">
        <f>M85-L85</f>
        <v/>
      </c>
      <c r="O85" s="294" t="n"/>
      <c r="P85" s="3" t="n"/>
      <c r="Q85" s="294" t="n"/>
      <c r="R85" s="9" t="n"/>
      <c r="S85" s="9" t="n"/>
      <c r="T85" s="9" t="n"/>
      <c r="U85" s="9" t="n"/>
      <c r="V85" s="297" t="n"/>
      <c r="X85" s="6" t="n"/>
      <c r="Y85" s="6" t="n"/>
      <c r="Z85" s="81" t="n"/>
    </row>
    <row r="86">
      <c r="B86" s="122">
        <f>B85</f>
        <v/>
      </c>
      <c r="C86" s="130" t="inlineStr">
        <is>
          <t>r03</t>
        </is>
      </c>
      <c r="D86" s="295">
        <f>0.000001*INDIRECT($B86&amp;"!E7")</f>
        <v/>
      </c>
      <c r="E86" s="294" t="n"/>
      <c r="F86" s="122">
        <f>F85</f>
        <v/>
      </c>
      <c r="G86" s="130" t="inlineStr">
        <is>
          <t>r03</t>
        </is>
      </c>
      <c r="H86" s="295">
        <f>0.000001*INDIRECT($B86&amp;"!AC7")</f>
        <v/>
      </c>
      <c r="I86" s="9" t="n"/>
      <c r="J86" s="296">
        <f>H86/D86-1</f>
        <v/>
      </c>
      <c r="L86" s="94">
        <f>INDIRECT($B86&amp;"!"&amp;L$3&amp;"7")</f>
        <v/>
      </c>
      <c r="M86" s="95">
        <f>INDIRECT($B86&amp;"!"&amp;M$3&amp;"7")</f>
        <v/>
      </c>
      <c r="N86" s="96">
        <f>M86-L86</f>
        <v/>
      </c>
      <c r="O86" s="294" t="n"/>
      <c r="P86" s="217" t="n"/>
      <c r="Q86" s="294" t="n"/>
      <c r="R86" s="9" t="n"/>
      <c r="S86" s="9" t="n"/>
      <c r="T86" s="9" t="n"/>
      <c r="U86" s="9" t="n"/>
      <c r="V86" s="297" t="n"/>
      <c r="X86" s="6" t="n"/>
      <c r="Y86" s="6" t="n"/>
      <c r="Z86" s="81" t="n"/>
    </row>
    <row r="87">
      <c r="B87" s="122">
        <f>B86</f>
        <v/>
      </c>
      <c r="C87" s="130" t="inlineStr">
        <is>
          <t>r04</t>
        </is>
      </c>
      <c r="D87" s="295">
        <f>0.000001*INDIRECT($B87&amp;"!E8")</f>
        <v/>
      </c>
      <c r="E87" s="294" t="n"/>
      <c r="F87" s="122">
        <f>F86</f>
        <v/>
      </c>
      <c r="G87" s="130" t="inlineStr">
        <is>
          <t>r04</t>
        </is>
      </c>
      <c r="H87" s="295">
        <f>0.000001*INDIRECT($B87&amp;"!AC8")</f>
        <v/>
      </c>
      <c r="I87" s="9" t="n"/>
      <c r="J87" s="296">
        <f>H87/D87-1</f>
        <v/>
      </c>
      <c r="L87" s="94">
        <f>INDIRECT($B87&amp;"!"&amp;L$3&amp;"8")</f>
        <v/>
      </c>
      <c r="M87" s="95">
        <f>INDIRECT($B87&amp;"!"&amp;M$3&amp;"8")</f>
        <v/>
      </c>
      <c r="N87" s="96">
        <f>M87-L87</f>
        <v/>
      </c>
      <c r="O87" s="294" t="n"/>
      <c r="P87" s="303" t="n"/>
      <c r="Q87" s="294" t="n"/>
      <c r="R87" s="9" t="n"/>
      <c r="S87" s="9" t="n"/>
      <c r="T87" s="9" t="n"/>
      <c r="U87" s="9" t="n"/>
      <c r="V87" s="297" t="n"/>
      <c r="X87" s="6" t="n"/>
      <c r="Y87" s="6" t="n"/>
      <c r="Z87" s="81" t="n"/>
    </row>
    <row r="88" ht="16.5" customHeight="1" s="256" thickBot="1">
      <c r="B88" s="122">
        <f>B87</f>
        <v/>
      </c>
      <c r="C88" s="130" t="inlineStr">
        <is>
          <t>r05</t>
        </is>
      </c>
      <c r="D88" s="295">
        <f>0.000001*INDIRECT($B88&amp;"!E9")</f>
        <v/>
      </c>
      <c r="E88" s="294" t="n"/>
      <c r="F88" s="122">
        <f>F87</f>
        <v/>
      </c>
      <c r="G88" s="130" t="inlineStr">
        <is>
          <t>r05</t>
        </is>
      </c>
      <c r="H88" s="295">
        <f>0.000001*INDIRECT($B88&amp;"!AC9")</f>
        <v/>
      </c>
      <c r="I88" s="9" t="n"/>
      <c r="J88" s="296">
        <f>H88/D88-1</f>
        <v/>
      </c>
      <c r="L88" s="94">
        <f>INDIRECT($B88&amp;"!"&amp;L$3&amp;"9")</f>
        <v/>
      </c>
      <c r="M88" s="95">
        <f>INDIRECT($B88&amp;"!"&amp;M$3&amp;"9")</f>
        <v/>
      </c>
      <c r="N88" s="96">
        <f>M88-L88</f>
        <v/>
      </c>
      <c r="O88" s="294" t="n"/>
      <c r="P88" s="299" t="n"/>
      <c r="Q88" s="294" t="n"/>
      <c r="R88" s="9" t="n"/>
      <c r="S88" s="9" t="n"/>
      <c r="T88" s="9" t="n"/>
      <c r="U88" s="9" t="n"/>
      <c r="V88" s="297" t="n"/>
      <c r="X88" s="6" t="n"/>
      <c r="Y88" s="6" t="n"/>
      <c r="Z88" s="81" t="n"/>
      <c r="AB88" s="298" t="n"/>
    </row>
    <row r="89" ht="16.5" customHeight="1" s="256">
      <c r="B89" s="109" t="n"/>
      <c r="C89" s="110" t="n"/>
      <c r="D89" s="300" t="n"/>
      <c r="F89" s="109" t="n"/>
      <c r="G89" s="110" t="n"/>
      <c r="H89" s="300" t="n"/>
      <c r="J89" s="98">
        <f>MIN(D84:D88,H84:H88)</f>
        <v/>
      </c>
      <c r="L89" s="99" t="n"/>
      <c r="M89" s="100" t="n"/>
      <c r="N89" s="101" t="n"/>
      <c r="O89" s="294" t="n"/>
      <c r="P89" s="264" t="n"/>
      <c r="Q89" s="294" t="n"/>
      <c r="R89" s="9" t="n"/>
      <c r="S89" s="9" t="n"/>
      <c r="T89" s="9" t="n"/>
      <c r="U89" s="9" t="n"/>
      <c r="V89" s="83" t="n"/>
      <c r="X89" s="6" t="n"/>
      <c r="Y89" s="6" t="n"/>
      <c r="Z89" s="81" t="n"/>
    </row>
    <row r="90" ht="16.5" customHeight="1" s="256" thickBot="1">
      <c r="B90" s="89" t="n"/>
      <c r="C90" s="92" t="n"/>
      <c r="D90" s="301" t="n"/>
      <c r="E90" s="294" t="n"/>
      <c r="F90" s="89" t="n"/>
      <c r="G90" s="92" t="n"/>
      <c r="H90" s="301" t="n"/>
      <c r="I90" s="9" t="n"/>
      <c r="J90" s="102">
        <f>MAX(D84:D88,H84:H88)</f>
        <v/>
      </c>
      <c r="L90" s="103">
        <f>L89</f>
        <v/>
      </c>
      <c r="M90" s="104">
        <f>M89</f>
        <v/>
      </c>
      <c r="N90" s="97" t="n"/>
      <c r="O90" s="294" t="n"/>
      <c r="P90" s="5" t="n"/>
      <c r="Q90" s="294" t="n"/>
      <c r="R90" s="9" t="n"/>
      <c r="S90" s="9" t="n"/>
      <c r="T90" s="9" t="n"/>
      <c r="U90" s="9" t="n"/>
      <c r="V90" s="83" t="n"/>
      <c r="X90" s="84" t="n"/>
      <c r="Y90" s="84" t="n"/>
      <c r="Z90" s="81" t="n"/>
    </row>
    <row r="91" ht="18" customHeight="1" s="256" thickBot="1"/>
    <row r="92">
      <c r="B92" s="261" t="inlineStr">
        <is>
          <t>Cricket_Player</t>
        </is>
      </c>
      <c r="C92" s="262" t="n"/>
      <c r="D92" s="263" t="n"/>
      <c r="E92" s="2" t="n"/>
      <c r="F92" s="261">
        <f>B92</f>
        <v/>
      </c>
      <c r="G92" s="262" t="n"/>
      <c r="H92" s="263" t="n"/>
      <c r="I92" s="2" t="n"/>
      <c r="J92" s="264" t="n"/>
      <c r="L92" s="264">
        <f>F92</f>
        <v/>
      </c>
      <c r="M92" s="262" t="n"/>
      <c r="N92" s="263" t="n"/>
      <c r="O92" s="195" t="n"/>
      <c r="P92" s="264" t="n"/>
      <c r="U92" s="265" t="n"/>
      <c r="V92" s="265" t="n"/>
      <c r="X92" s="265" t="n"/>
    </row>
    <row r="93">
      <c r="B93" s="259" t="inlineStr">
        <is>
          <t>Test</t>
        </is>
      </c>
      <c r="D93" s="87" t="inlineStr">
        <is>
          <t>Bitstream (MB)</t>
        </is>
      </c>
      <c r="E93" s="294" t="n"/>
      <c r="F93" s="259" t="inlineStr">
        <is>
          <t>Test</t>
        </is>
      </c>
      <c r="H93" s="87" t="inlineStr">
        <is>
          <t>Bitstream (MB)</t>
        </is>
      </c>
      <c r="I93" s="9" t="n"/>
      <c r="J93" s="257" t="inlineStr">
        <is>
          <t>%</t>
        </is>
      </c>
      <c r="L93" s="257" t="inlineStr">
        <is>
          <t>YUV-SSIM</t>
        </is>
      </c>
      <c r="N93" s="258" t="n"/>
      <c r="O93" s="85" t="n"/>
      <c r="P93" s="3" t="n"/>
      <c r="R93" s="255" t="n"/>
      <c r="U93" s="255" t="n"/>
      <c r="V93" s="255" t="n"/>
      <c r="X93" s="255" t="n"/>
    </row>
    <row r="94">
      <c r="B94" s="191" t="inlineStr">
        <is>
          <t>Anchor</t>
        </is>
      </c>
      <c r="C94" s="130" t="inlineStr">
        <is>
          <t>Test point</t>
        </is>
      </c>
      <c r="D94" s="86" t="inlineStr">
        <is>
          <t>Total</t>
        </is>
      </c>
      <c r="E94" s="294" t="n"/>
      <c r="F94" s="191" t="inlineStr">
        <is>
          <t>Anchor</t>
        </is>
      </c>
      <c r="G94" s="130" t="inlineStr">
        <is>
          <t>Test point</t>
        </is>
      </c>
      <c r="H94" s="86" t="inlineStr">
        <is>
          <t>Total</t>
        </is>
      </c>
      <c r="I94" s="9" t="n"/>
      <c r="J94" s="93" t="n"/>
      <c r="L94" s="192">
        <f>CONCATENATE(B$2," ",L92)</f>
        <v/>
      </c>
      <c r="M94" s="193">
        <f>CONCATENATE(F$2," ",L92)</f>
        <v/>
      </c>
      <c r="N94" s="194" t="inlineStr">
        <is>
          <t>Delta</t>
        </is>
      </c>
      <c r="O94" s="2" t="n"/>
      <c r="P94" s="3" t="inlineStr">
        <is>
          <t>BD-rate</t>
        </is>
      </c>
      <c r="Q94" s="2" t="n"/>
      <c r="R94" s="2" t="n"/>
      <c r="S94" s="2" t="n"/>
      <c r="T94" s="2" t="n"/>
      <c r="U94" s="2" t="n"/>
      <c r="V94" s="2" t="n"/>
      <c r="X94" s="195" t="n"/>
      <c r="Y94" s="195" t="n"/>
      <c r="Z94" s="195" t="n"/>
    </row>
    <row r="95">
      <c r="B95" s="122">
        <f>B92</f>
        <v/>
      </c>
      <c r="C95" s="130" t="inlineStr">
        <is>
          <t>r01</t>
        </is>
      </c>
      <c r="D95" s="295">
        <f>0.000001*INDIRECT($B95&amp;"!E5")</f>
        <v/>
      </c>
      <c r="E95" s="294" t="n"/>
      <c r="F95" s="122">
        <f>F92</f>
        <v/>
      </c>
      <c r="G95" s="130" t="inlineStr">
        <is>
          <t>r01</t>
        </is>
      </c>
      <c r="H95" s="295">
        <f>0.000001*INDIRECT($B95&amp;"!AC5")</f>
        <v/>
      </c>
      <c r="I95" s="9" t="n"/>
      <c r="J95" s="296">
        <f>H95/D95-1</f>
        <v/>
      </c>
      <c r="L95" s="94">
        <f>INDIRECT($B95&amp;"!"&amp;L$3&amp;"5")</f>
        <v/>
      </c>
      <c r="M95" s="95">
        <f>INDIRECT($B95&amp;"!"&amp;M$3&amp;"5")</f>
        <v/>
      </c>
      <c r="N95" s="96">
        <f>M95-L95</f>
        <v/>
      </c>
      <c r="O95" s="294" t="n"/>
      <c r="P95" s="296">
        <f>bdRateExtend(D95:D99,L95:L99,H95:H99,M95:M99)</f>
        <v/>
      </c>
      <c r="Q95" s="294" t="n"/>
      <c r="R95" s="9" t="n"/>
      <c r="S95" s="9" t="n"/>
      <c r="T95" s="9" t="n"/>
      <c r="U95" s="9" t="n"/>
      <c r="V95" s="297" t="n"/>
      <c r="X95" s="6" t="n"/>
      <c r="Y95" s="6" t="n"/>
      <c r="Z95" s="81" t="n"/>
      <c r="AB95" s="298" t="n"/>
    </row>
    <row r="96">
      <c r="B96" s="122">
        <f>B95</f>
        <v/>
      </c>
      <c r="C96" s="130" t="inlineStr">
        <is>
          <t>r02</t>
        </is>
      </c>
      <c r="D96" s="295">
        <f>0.000001*INDIRECT($B96&amp;"!E6")</f>
        <v/>
      </c>
      <c r="E96" s="294" t="n"/>
      <c r="F96" s="122">
        <f>F95</f>
        <v/>
      </c>
      <c r="G96" s="130" t="inlineStr">
        <is>
          <t>r02</t>
        </is>
      </c>
      <c r="H96" s="295">
        <f>0.000001*INDIRECT($B96&amp;"!AC6")</f>
        <v/>
      </c>
      <c r="I96" s="9" t="n"/>
      <c r="J96" s="296">
        <f>H96/D96-1</f>
        <v/>
      </c>
      <c r="L96" s="94">
        <f>INDIRECT($B96&amp;"!"&amp;L$3&amp;"6")</f>
        <v/>
      </c>
      <c r="M96" s="95">
        <f>INDIRECT($B96&amp;"!"&amp;M$3&amp;"6")</f>
        <v/>
      </c>
      <c r="N96" s="96">
        <f>M96-L96</f>
        <v/>
      </c>
      <c r="O96" s="294" t="n"/>
      <c r="P96" s="3" t="n"/>
      <c r="Q96" s="294" t="n"/>
      <c r="R96" s="9" t="n"/>
      <c r="S96" s="9" t="n"/>
      <c r="T96" s="9" t="n"/>
      <c r="U96" s="9" t="n"/>
      <c r="V96" s="297" t="n"/>
      <c r="X96" s="6" t="n"/>
      <c r="Y96" s="6" t="n"/>
      <c r="Z96" s="81" t="n"/>
    </row>
    <row r="97">
      <c r="B97" s="122">
        <f>B96</f>
        <v/>
      </c>
      <c r="C97" s="130" t="inlineStr">
        <is>
          <t>r03</t>
        </is>
      </c>
      <c r="D97" s="295">
        <f>0.000001*INDIRECT($B97&amp;"!E7")</f>
        <v/>
      </c>
      <c r="E97" s="294" t="n"/>
      <c r="F97" s="122">
        <f>F96</f>
        <v/>
      </c>
      <c r="G97" s="130" t="inlineStr">
        <is>
          <t>r03</t>
        </is>
      </c>
      <c r="H97" s="295">
        <f>0.000001*INDIRECT($B97&amp;"!AC7")</f>
        <v/>
      </c>
      <c r="I97" s="9" t="n"/>
      <c r="J97" s="296">
        <f>H97/D97-1</f>
        <v/>
      </c>
      <c r="L97" s="94">
        <f>INDIRECT($B97&amp;"!"&amp;L$3&amp;"7")</f>
        <v/>
      </c>
      <c r="M97" s="95">
        <f>INDIRECT($B97&amp;"!"&amp;M$3&amp;"7")</f>
        <v/>
      </c>
      <c r="N97" s="96">
        <f>M97-L97</f>
        <v/>
      </c>
      <c r="O97" s="294" t="n"/>
      <c r="P97" s="217" t="n"/>
      <c r="Q97" s="294" t="n"/>
      <c r="R97" s="9" t="n"/>
      <c r="S97" s="9" t="n"/>
      <c r="T97" s="9" t="n"/>
      <c r="U97" s="9" t="n"/>
      <c r="V97" s="297" t="n"/>
      <c r="X97" s="6" t="n"/>
      <c r="Y97" s="6" t="n"/>
      <c r="Z97" s="81" t="n"/>
    </row>
    <row r="98">
      <c r="B98" s="122">
        <f>B97</f>
        <v/>
      </c>
      <c r="C98" s="130" t="inlineStr">
        <is>
          <t>r04</t>
        </is>
      </c>
      <c r="D98" s="295">
        <f>0.000001*INDIRECT($B98&amp;"!E8")</f>
        <v/>
      </c>
      <c r="E98" s="294" t="n"/>
      <c r="F98" s="122">
        <f>F97</f>
        <v/>
      </c>
      <c r="G98" s="130" t="inlineStr">
        <is>
          <t>r04</t>
        </is>
      </c>
      <c r="H98" s="295">
        <f>0.000001*INDIRECT($B98&amp;"!AC8")</f>
        <v/>
      </c>
      <c r="I98" s="9" t="n"/>
      <c r="J98" s="296">
        <f>H98/D98-1</f>
        <v/>
      </c>
      <c r="L98" s="94">
        <f>INDIRECT($B98&amp;"!"&amp;L$3&amp;"8")</f>
        <v/>
      </c>
      <c r="M98" s="95">
        <f>INDIRECT($B98&amp;"!"&amp;M$3&amp;"8")</f>
        <v/>
      </c>
      <c r="N98" s="96">
        <f>M98-L98</f>
        <v/>
      </c>
      <c r="O98" s="294" t="n"/>
      <c r="P98" s="303" t="n"/>
      <c r="Q98" s="294" t="n"/>
      <c r="R98" s="9" t="n"/>
      <c r="S98" s="9" t="n"/>
      <c r="T98" s="9" t="n"/>
      <c r="U98" s="9" t="n"/>
      <c r="V98" s="297" t="n"/>
      <c r="X98" s="6" t="n"/>
      <c r="Y98" s="6" t="n"/>
      <c r="Z98" s="81" t="n"/>
    </row>
    <row r="99" ht="16.5" customHeight="1" s="256" thickBot="1">
      <c r="B99" s="122">
        <f>B98</f>
        <v/>
      </c>
      <c r="C99" s="130" t="inlineStr">
        <is>
          <t>r05</t>
        </is>
      </c>
      <c r="D99" s="295">
        <f>0.000001*INDIRECT($B99&amp;"!E9")</f>
        <v/>
      </c>
      <c r="E99" s="294" t="n"/>
      <c r="F99" s="122">
        <f>F98</f>
        <v/>
      </c>
      <c r="G99" s="130" t="inlineStr">
        <is>
          <t>r05</t>
        </is>
      </c>
      <c r="H99" s="295">
        <f>0.000001*INDIRECT($B99&amp;"!AC9")</f>
        <v/>
      </c>
      <c r="I99" s="9" t="n"/>
      <c r="J99" s="296">
        <f>H99/D99-1</f>
        <v/>
      </c>
      <c r="L99" s="94">
        <f>INDIRECT($B99&amp;"!"&amp;L$3&amp;"9")</f>
        <v/>
      </c>
      <c r="M99" s="95">
        <f>INDIRECT($B99&amp;"!"&amp;M$3&amp;"9")</f>
        <v/>
      </c>
      <c r="N99" s="96">
        <f>M99-L99</f>
        <v/>
      </c>
      <c r="O99" s="294" t="n"/>
      <c r="P99" s="299" t="n"/>
      <c r="Q99" s="294" t="n"/>
      <c r="R99" s="9" t="n"/>
      <c r="S99" s="9" t="n"/>
      <c r="T99" s="9" t="n"/>
      <c r="U99" s="9" t="n"/>
      <c r="V99" s="297" t="n"/>
      <c r="X99" s="6" t="n"/>
      <c r="Y99" s="6" t="n"/>
      <c r="Z99" s="81" t="n"/>
      <c r="AB99" s="298" t="n"/>
    </row>
    <row r="100" ht="16.5" customHeight="1" s="256">
      <c r="B100" s="109" t="n"/>
      <c r="C100" s="110" t="n"/>
      <c r="D100" s="300" t="n"/>
      <c r="F100" s="109" t="n"/>
      <c r="G100" s="110" t="n"/>
      <c r="H100" s="300" t="n"/>
      <c r="J100" s="98">
        <f>MIN(D95:D99,H95:H99)</f>
        <v/>
      </c>
      <c r="L100" s="99" t="n"/>
      <c r="M100" s="100" t="n"/>
      <c r="N100" s="101" t="n"/>
      <c r="O100" s="294" t="n"/>
      <c r="P100" s="264" t="n"/>
      <c r="Q100" s="294" t="n"/>
      <c r="R100" s="9" t="n"/>
      <c r="S100" s="9" t="n"/>
      <c r="T100" s="9" t="n"/>
      <c r="U100" s="9" t="n"/>
      <c r="V100" s="83" t="n"/>
      <c r="X100" s="6" t="n"/>
      <c r="Y100" s="6" t="n"/>
      <c r="Z100" s="81" t="n"/>
    </row>
    <row r="101" ht="16.5" customHeight="1" s="256" thickBot="1">
      <c r="B101" s="89" t="n"/>
      <c r="C101" s="92" t="n"/>
      <c r="D101" s="301" t="n"/>
      <c r="E101" s="294" t="n"/>
      <c r="F101" s="89" t="n"/>
      <c r="G101" s="92" t="n"/>
      <c r="H101" s="301" t="n"/>
      <c r="I101" s="9" t="n"/>
      <c r="J101" s="102">
        <f>MAX(D95:D99,H95:H99)</f>
        <v/>
      </c>
      <c r="L101" s="103">
        <f>L100</f>
        <v/>
      </c>
      <c r="M101" s="104">
        <f>M100</f>
        <v/>
      </c>
      <c r="N101" s="97" t="n"/>
      <c r="O101" s="294" t="n"/>
      <c r="P101" s="5" t="n"/>
      <c r="Q101" s="294" t="n"/>
      <c r="R101" s="9" t="n"/>
      <c r="S101" s="9" t="n"/>
      <c r="T101" s="9" t="n"/>
      <c r="U101" s="9" t="n"/>
      <c r="V101" s="83" t="n"/>
      <c r="X101" s="84" t="n"/>
      <c r="Y101" s="84" t="n"/>
      <c r="Z101" s="81" t="n"/>
    </row>
    <row r="102" ht="18" customHeight="1" s="256" thickBot="1"/>
    <row r="103">
      <c r="B103" s="261" t="inlineStr">
        <is>
          <t>Tango_Duo</t>
        </is>
      </c>
      <c r="C103" s="262" t="n"/>
      <c r="D103" s="263" t="n"/>
      <c r="E103" s="2" t="n"/>
      <c r="F103" s="261">
        <f>B103</f>
        <v/>
      </c>
      <c r="G103" s="262" t="n"/>
      <c r="H103" s="263" t="n"/>
      <c r="I103" s="2" t="n"/>
      <c r="J103" s="264" t="n"/>
      <c r="L103" s="264">
        <f>F103</f>
        <v/>
      </c>
      <c r="M103" s="262" t="n"/>
      <c r="N103" s="263" t="n"/>
      <c r="O103" s="195" t="n"/>
      <c r="P103" s="264" t="n"/>
      <c r="U103" s="265" t="n"/>
      <c r="V103" s="265" t="n"/>
      <c r="X103" s="265" t="n"/>
    </row>
    <row r="104">
      <c r="B104" s="259" t="inlineStr">
        <is>
          <t>Test</t>
        </is>
      </c>
      <c r="D104" s="87" t="inlineStr">
        <is>
          <t>Bitstream (MB)</t>
        </is>
      </c>
      <c r="E104" s="294" t="n"/>
      <c r="F104" s="259" t="inlineStr">
        <is>
          <t>Test</t>
        </is>
      </c>
      <c r="H104" s="87" t="inlineStr">
        <is>
          <t>Bitstream (MB)</t>
        </is>
      </c>
      <c r="I104" s="9" t="n"/>
      <c r="J104" s="257" t="inlineStr">
        <is>
          <t>%</t>
        </is>
      </c>
      <c r="L104" s="257" t="inlineStr">
        <is>
          <t>YUV-SSIM</t>
        </is>
      </c>
      <c r="N104" s="258" t="n"/>
      <c r="O104" s="85" t="n"/>
      <c r="P104" s="3" t="n"/>
      <c r="R104" s="255" t="n"/>
      <c r="U104" s="255" t="n"/>
      <c r="V104" s="255" t="n"/>
      <c r="X104" s="255" t="n"/>
    </row>
    <row r="105">
      <c r="B105" s="191" t="inlineStr">
        <is>
          <t>Anchor</t>
        </is>
      </c>
      <c r="C105" s="130" t="inlineStr">
        <is>
          <t>Test point</t>
        </is>
      </c>
      <c r="D105" s="86" t="inlineStr">
        <is>
          <t>Total</t>
        </is>
      </c>
      <c r="E105" s="294" t="n"/>
      <c r="F105" s="191" t="inlineStr">
        <is>
          <t>Anchor</t>
        </is>
      </c>
      <c r="G105" s="130" t="inlineStr">
        <is>
          <t>Test point</t>
        </is>
      </c>
      <c r="H105" s="86" t="inlineStr">
        <is>
          <t>Total</t>
        </is>
      </c>
      <c r="I105" s="9" t="n"/>
      <c r="J105" s="93" t="n"/>
      <c r="L105" s="192">
        <f>CONCATENATE(B$2," ",L103)</f>
        <v/>
      </c>
      <c r="M105" s="193">
        <f>CONCATENATE(F$2," ",L103)</f>
        <v/>
      </c>
      <c r="N105" s="194" t="inlineStr">
        <is>
          <t>Delta</t>
        </is>
      </c>
      <c r="O105" s="2" t="n"/>
      <c r="P105" s="3" t="inlineStr">
        <is>
          <t>BD-rate</t>
        </is>
      </c>
      <c r="Q105" s="2" t="n"/>
      <c r="R105" s="2" t="n"/>
      <c r="S105" s="2" t="n"/>
      <c r="T105" s="2" t="n"/>
      <c r="U105" s="2" t="n"/>
      <c r="V105" s="2" t="n"/>
      <c r="X105" s="195" t="n"/>
      <c r="Y105" s="195" t="n"/>
      <c r="Z105" s="195" t="n"/>
    </row>
    <row r="106">
      <c r="B106" s="122">
        <f>B103</f>
        <v/>
      </c>
      <c r="C106" s="130" t="inlineStr">
        <is>
          <t>r01</t>
        </is>
      </c>
      <c r="D106" s="295">
        <f>0.000001*INDIRECT($B106&amp;"!E5")</f>
        <v/>
      </c>
      <c r="E106" s="294" t="n"/>
      <c r="F106" s="122">
        <f>F103</f>
        <v/>
      </c>
      <c r="G106" s="130" t="inlineStr">
        <is>
          <t>r01</t>
        </is>
      </c>
      <c r="H106" s="295">
        <f>0.000001*INDIRECT($B106&amp;"!AC5")</f>
        <v/>
      </c>
      <c r="I106" s="9" t="n"/>
      <c r="J106" s="296">
        <f>H106/D106-1</f>
        <v/>
      </c>
      <c r="L106" s="94">
        <f>INDIRECT($B106&amp;"!"&amp;L$3&amp;"5")</f>
        <v/>
      </c>
      <c r="M106" s="95">
        <f>INDIRECT($B106&amp;"!"&amp;M$3&amp;"5")</f>
        <v/>
      </c>
      <c r="N106" s="96">
        <f>M106-L106</f>
        <v/>
      </c>
      <c r="O106" s="294" t="n"/>
      <c r="P106" s="296">
        <f>bdRateExtend(D106:D110,L106:L110,H106:H110,M106:M110)</f>
        <v/>
      </c>
      <c r="Q106" s="294" t="n"/>
      <c r="R106" s="9" t="n"/>
      <c r="S106" s="9" t="n"/>
      <c r="T106" s="9" t="n"/>
      <c r="U106" s="9" t="n"/>
      <c r="V106" s="297" t="n"/>
      <c r="X106" s="6" t="n"/>
      <c r="Y106" s="6" t="n"/>
      <c r="Z106" s="81" t="n"/>
      <c r="AB106" s="298" t="n"/>
    </row>
    <row r="107">
      <c r="B107" s="122">
        <f>B106</f>
        <v/>
      </c>
      <c r="C107" s="130" t="inlineStr">
        <is>
          <t>r02</t>
        </is>
      </c>
      <c r="D107" s="295">
        <f>0.000001*INDIRECT($B107&amp;"!E6")</f>
        <v/>
      </c>
      <c r="E107" s="294" t="n"/>
      <c r="F107" s="122">
        <f>F106</f>
        <v/>
      </c>
      <c r="G107" s="130" t="inlineStr">
        <is>
          <t>r02</t>
        </is>
      </c>
      <c r="H107" s="295">
        <f>0.000001*INDIRECT($B107&amp;"!AC6")</f>
        <v/>
      </c>
      <c r="I107" s="9" t="n"/>
      <c r="J107" s="296">
        <f>H107/D107-1</f>
        <v/>
      </c>
      <c r="L107" s="94">
        <f>INDIRECT($B107&amp;"!"&amp;L$3&amp;"6")</f>
        <v/>
      </c>
      <c r="M107" s="95">
        <f>INDIRECT($B107&amp;"!"&amp;M$3&amp;"6")</f>
        <v/>
      </c>
      <c r="N107" s="96">
        <f>M107-L107</f>
        <v/>
      </c>
      <c r="O107" s="294" t="n"/>
      <c r="P107" s="3" t="n"/>
      <c r="Q107" s="294" t="n"/>
      <c r="R107" s="9" t="n"/>
      <c r="S107" s="9" t="n"/>
      <c r="T107" s="9" t="n"/>
      <c r="U107" s="9" t="n"/>
      <c r="V107" s="297" t="n"/>
      <c r="X107" s="6" t="n"/>
      <c r="Y107" s="6" t="n"/>
      <c r="Z107" s="81" t="n"/>
    </row>
    <row r="108">
      <c r="B108" s="122">
        <f>B107</f>
        <v/>
      </c>
      <c r="C108" s="130" t="inlineStr">
        <is>
          <t>r03</t>
        </is>
      </c>
      <c r="D108" s="295">
        <f>0.000001*INDIRECT($B108&amp;"!E7")</f>
        <v/>
      </c>
      <c r="E108" s="294" t="n"/>
      <c r="F108" s="122">
        <f>F107</f>
        <v/>
      </c>
      <c r="G108" s="130" t="inlineStr">
        <is>
          <t>r03</t>
        </is>
      </c>
      <c r="H108" s="295">
        <f>0.000001*INDIRECT($B108&amp;"!AC7")</f>
        <v/>
      </c>
      <c r="I108" s="9" t="n"/>
      <c r="J108" s="296">
        <f>H108/D108-1</f>
        <v/>
      </c>
      <c r="L108" s="94">
        <f>INDIRECT($B108&amp;"!"&amp;L$3&amp;"7")</f>
        <v/>
      </c>
      <c r="M108" s="95">
        <f>INDIRECT($B108&amp;"!"&amp;M$3&amp;"7")</f>
        <v/>
      </c>
      <c r="N108" s="96">
        <f>M108-L108</f>
        <v/>
      </c>
      <c r="O108" s="294" t="n"/>
      <c r="P108" s="217" t="n"/>
      <c r="Q108" s="294" t="n"/>
      <c r="R108" s="9" t="n"/>
      <c r="S108" s="9" t="n"/>
      <c r="T108" s="9" t="n"/>
      <c r="U108" s="9" t="n"/>
      <c r="V108" s="297" t="n"/>
      <c r="X108" s="6" t="n"/>
      <c r="Y108" s="6" t="n"/>
      <c r="Z108" s="81" t="n"/>
    </row>
    <row r="109">
      <c r="B109" s="122">
        <f>B108</f>
        <v/>
      </c>
      <c r="C109" s="130" t="inlineStr">
        <is>
          <t>r04</t>
        </is>
      </c>
      <c r="D109" s="295">
        <f>0.000001*INDIRECT($B109&amp;"!E8")</f>
        <v/>
      </c>
      <c r="E109" s="294" t="n"/>
      <c r="F109" s="122">
        <f>F108</f>
        <v/>
      </c>
      <c r="G109" s="130" t="inlineStr">
        <is>
          <t>r04</t>
        </is>
      </c>
      <c r="H109" s="295">
        <f>0.000001*INDIRECT($B109&amp;"!AC8")</f>
        <v/>
      </c>
      <c r="I109" s="9" t="n"/>
      <c r="J109" s="296">
        <f>H109/D109-1</f>
        <v/>
      </c>
      <c r="L109" s="94">
        <f>INDIRECT($B109&amp;"!"&amp;L$3&amp;"8")</f>
        <v/>
      </c>
      <c r="M109" s="95">
        <f>INDIRECT($B109&amp;"!"&amp;M$3&amp;"8")</f>
        <v/>
      </c>
      <c r="N109" s="96">
        <f>M109-L109</f>
        <v/>
      </c>
      <c r="O109" s="294" t="n"/>
      <c r="P109" s="303" t="n"/>
      <c r="Q109" s="294" t="n"/>
      <c r="R109" s="9" t="n"/>
      <c r="S109" s="9" t="n"/>
      <c r="T109" s="9" t="n"/>
      <c r="U109" s="9" t="n"/>
      <c r="V109" s="297" t="n"/>
      <c r="X109" s="6" t="n"/>
      <c r="Y109" s="6" t="n"/>
      <c r="Z109" s="81" t="n"/>
    </row>
    <row r="110" ht="16.5" customHeight="1" s="256" thickBot="1">
      <c r="B110" s="122">
        <f>B109</f>
        <v/>
      </c>
      <c r="C110" s="130" t="inlineStr">
        <is>
          <t>r05</t>
        </is>
      </c>
      <c r="D110" s="295">
        <f>0.000001*INDIRECT($B110&amp;"!E9")</f>
        <v/>
      </c>
      <c r="E110" s="294" t="n"/>
      <c r="F110" s="122">
        <f>F109</f>
        <v/>
      </c>
      <c r="G110" s="130" t="inlineStr">
        <is>
          <t>r05</t>
        </is>
      </c>
      <c r="H110" s="295">
        <f>0.000001*INDIRECT($B110&amp;"!AC9")</f>
        <v/>
      </c>
      <c r="I110" s="9" t="n"/>
      <c r="J110" s="296">
        <f>H110/D110-1</f>
        <v/>
      </c>
      <c r="L110" s="94">
        <f>INDIRECT($B110&amp;"!"&amp;L$3&amp;"9")</f>
        <v/>
      </c>
      <c r="M110" s="95">
        <f>INDIRECT($B110&amp;"!"&amp;M$3&amp;"9")</f>
        <v/>
      </c>
      <c r="N110" s="96">
        <f>M110-L110</f>
        <v/>
      </c>
      <c r="O110" s="294" t="n"/>
      <c r="P110" s="299" t="n"/>
      <c r="Q110" s="294" t="n"/>
      <c r="R110" s="9" t="n"/>
      <c r="S110" s="9" t="n"/>
      <c r="T110" s="9" t="n"/>
      <c r="U110" s="9" t="n"/>
      <c r="V110" s="297" t="n"/>
      <c r="X110" s="6" t="n"/>
      <c r="Y110" s="6" t="n"/>
      <c r="Z110" s="81" t="n"/>
      <c r="AB110" s="298" t="n"/>
    </row>
    <row r="111" ht="16.5" customHeight="1" s="256">
      <c r="B111" s="109" t="n"/>
      <c r="C111" s="110" t="n"/>
      <c r="D111" s="300" t="n"/>
      <c r="F111" s="109" t="n"/>
      <c r="G111" s="110" t="n"/>
      <c r="H111" s="300" t="n"/>
      <c r="J111" s="98">
        <f>MIN(D106:D110,H106:H110)</f>
        <v/>
      </c>
      <c r="L111" s="99" t="n"/>
      <c r="M111" s="100" t="n"/>
      <c r="N111" s="101" t="n"/>
      <c r="O111" s="294" t="n"/>
      <c r="P111" s="264" t="n"/>
      <c r="Q111" s="294" t="n"/>
      <c r="R111" s="9" t="n"/>
      <c r="S111" s="9" t="n"/>
      <c r="T111" s="9" t="n"/>
      <c r="U111" s="9" t="n"/>
      <c r="V111" s="83" t="n"/>
      <c r="X111" s="6" t="n"/>
      <c r="Y111" s="6" t="n"/>
      <c r="Z111" s="81" t="n"/>
    </row>
    <row r="112" ht="16.5" customHeight="1" s="256" thickBot="1">
      <c r="B112" s="89" t="n"/>
      <c r="C112" s="92" t="n"/>
      <c r="D112" s="301" t="n"/>
      <c r="E112" s="294" t="n"/>
      <c r="F112" s="89" t="n"/>
      <c r="G112" s="92" t="n"/>
      <c r="H112" s="301" t="n"/>
      <c r="I112" s="9" t="n"/>
      <c r="J112" s="102">
        <f>MAX(D106:D110,H106:H110)</f>
        <v/>
      </c>
      <c r="L112" s="103">
        <f>L111</f>
        <v/>
      </c>
      <c r="M112" s="104">
        <f>M111</f>
        <v/>
      </c>
      <c r="N112" s="97" t="n"/>
      <c r="O112" s="294" t="n"/>
      <c r="P112" s="5" t="n"/>
      <c r="Q112" s="294" t="n"/>
      <c r="R112" s="9" t="n"/>
      <c r="S112" s="9" t="n"/>
      <c r="T112" s="9" t="n"/>
      <c r="U112" s="9" t="n"/>
      <c r="V112" s="83" t="n"/>
      <c r="X112" s="84" t="n"/>
      <c r="Y112" s="84" t="n"/>
      <c r="Z112" s="81" t="n"/>
    </row>
    <row r="113" ht="18" customHeight="1" s="256" thickBot="1"/>
    <row r="114">
      <c r="B114" s="261" t="inlineStr">
        <is>
          <t>Solo_Tango_Female</t>
        </is>
      </c>
      <c r="C114" s="262" t="n"/>
      <c r="D114" s="263" t="n"/>
      <c r="E114" s="2" t="n"/>
      <c r="F114" s="261">
        <f>B114</f>
        <v/>
      </c>
      <c r="G114" s="262" t="n"/>
      <c r="H114" s="263" t="n"/>
      <c r="J114" s="264" t="n"/>
      <c r="L114" s="264">
        <f>F114</f>
        <v/>
      </c>
      <c r="M114" s="262" t="n"/>
      <c r="N114" s="263" t="n"/>
      <c r="O114" s="195" t="n"/>
      <c r="P114" s="264" t="n"/>
    </row>
    <row r="115">
      <c r="B115" s="259" t="inlineStr">
        <is>
          <t>Test</t>
        </is>
      </c>
      <c r="D115" s="87" t="inlineStr">
        <is>
          <t>Bitstream (MB)</t>
        </is>
      </c>
      <c r="E115" s="294" t="n"/>
      <c r="F115" s="259" t="inlineStr">
        <is>
          <t>Test</t>
        </is>
      </c>
      <c r="H115" s="87" t="inlineStr">
        <is>
          <t>Bitstream (MB)</t>
        </is>
      </c>
      <c r="J115" s="257" t="inlineStr">
        <is>
          <t>%</t>
        </is>
      </c>
      <c r="L115" s="257" t="inlineStr">
        <is>
          <t>YUV-SSIM</t>
        </is>
      </c>
      <c r="N115" s="258" t="n"/>
      <c r="O115" s="85" t="n"/>
      <c r="P115" s="3" t="n"/>
    </row>
    <row r="116">
      <c r="B116" s="191" t="inlineStr">
        <is>
          <t>Anchor</t>
        </is>
      </c>
      <c r="C116" s="130" t="inlineStr">
        <is>
          <t>Test point</t>
        </is>
      </c>
      <c r="D116" s="86" t="inlineStr">
        <is>
          <t>Total</t>
        </is>
      </c>
      <c r="E116" s="294" t="n"/>
      <c r="F116" s="191" t="inlineStr">
        <is>
          <t>Anchor</t>
        </is>
      </c>
      <c r="G116" s="130" t="inlineStr">
        <is>
          <t>Test point</t>
        </is>
      </c>
      <c r="H116" s="86" t="inlineStr">
        <is>
          <t>Total</t>
        </is>
      </c>
      <c r="J116" s="93" t="n"/>
      <c r="L116" s="192">
        <f>CONCATENATE(B$2," ",L114)</f>
        <v/>
      </c>
      <c r="M116" s="193">
        <f>CONCATENATE(F$2," ",L114)</f>
        <v/>
      </c>
      <c r="N116" s="194" t="inlineStr">
        <is>
          <t>Delta</t>
        </is>
      </c>
      <c r="O116" s="2" t="n"/>
      <c r="P116" s="3" t="inlineStr">
        <is>
          <t>BD-rate</t>
        </is>
      </c>
      <c r="AB116" s="298" t="n"/>
    </row>
    <row r="117">
      <c r="B117" s="122">
        <f>B114</f>
        <v/>
      </c>
      <c r="C117" s="130" t="inlineStr">
        <is>
          <t>r01</t>
        </is>
      </c>
      <c r="D117" s="295">
        <f>0.000001*INDIRECT($B117&amp;"!E5")</f>
        <v/>
      </c>
      <c r="E117" s="294" t="n"/>
      <c r="F117" s="122">
        <f>F114</f>
        <v/>
      </c>
      <c r="G117" s="130" t="inlineStr">
        <is>
          <t>r01</t>
        </is>
      </c>
      <c r="H117" s="295">
        <f>0.000001*INDIRECT($B117&amp;"!AC5")</f>
        <v/>
      </c>
      <c r="J117" s="296">
        <f>H117/D117-1</f>
        <v/>
      </c>
      <c r="L117" s="94">
        <f>INDIRECT($B117&amp;"!"&amp;L$3&amp;"5")</f>
        <v/>
      </c>
      <c r="M117" s="95">
        <f>INDIRECT($B117&amp;"!"&amp;M$3&amp;"5")</f>
        <v/>
      </c>
      <c r="N117" s="96">
        <f>M117-L117</f>
        <v/>
      </c>
      <c r="O117" s="294" t="n"/>
      <c r="P117" s="296">
        <f>bdRateExtend(D117:D121,L117:L121,H117:H121,M117:M121)</f>
        <v/>
      </c>
    </row>
    <row r="118">
      <c r="B118" s="122">
        <f>B117</f>
        <v/>
      </c>
      <c r="C118" s="130" t="inlineStr">
        <is>
          <t>r02</t>
        </is>
      </c>
      <c r="D118" s="295">
        <f>0.000001*INDIRECT($B118&amp;"!E6")</f>
        <v/>
      </c>
      <c r="E118" s="294" t="n"/>
      <c r="F118" s="122">
        <f>F117</f>
        <v/>
      </c>
      <c r="G118" s="130" t="inlineStr">
        <is>
          <t>r02</t>
        </is>
      </c>
      <c r="H118" s="295">
        <f>0.000001*INDIRECT($B118&amp;"!AC6")</f>
        <v/>
      </c>
      <c r="J118" s="296">
        <f>H118/D118-1</f>
        <v/>
      </c>
      <c r="L118" s="94">
        <f>INDIRECT($B118&amp;"!"&amp;L$3&amp;"6")</f>
        <v/>
      </c>
      <c r="M118" s="95">
        <f>INDIRECT($B118&amp;"!"&amp;M$3&amp;"6")</f>
        <v/>
      </c>
      <c r="N118" s="96">
        <f>M118-L118</f>
        <v/>
      </c>
      <c r="O118" s="294" t="n"/>
      <c r="P118" s="3" t="n"/>
    </row>
    <row r="119" ht="16.5" customHeight="1" s="256">
      <c r="B119" s="122">
        <f>B118</f>
        <v/>
      </c>
      <c r="C119" s="130" t="inlineStr">
        <is>
          <t>r03</t>
        </is>
      </c>
      <c r="D119" s="295">
        <f>0.000001*INDIRECT($B119&amp;"!E7")</f>
        <v/>
      </c>
      <c r="E119" s="294" t="n"/>
      <c r="F119" s="122">
        <f>F118</f>
        <v/>
      </c>
      <c r="G119" s="130" t="inlineStr">
        <is>
          <t>r03</t>
        </is>
      </c>
      <c r="H119" s="295">
        <f>0.000001*INDIRECT($B119&amp;"!AC7")</f>
        <v/>
      </c>
      <c r="J119" s="296">
        <f>H119/D119-1</f>
        <v/>
      </c>
      <c r="L119" s="94">
        <f>INDIRECT($B119&amp;"!"&amp;L$3&amp;"7")</f>
        <v/>
      </c>
      <c r="M119" s="95">
        <f>INDIRECT($B119&amp;"!"&amp;M$3&amp;"7")</f>
        <v/>
      </c>
      <c r="N119" s="96">
        <f>M119-L119</f>
        <v/>
      </c>
      <c r="O119" s="294" t="n"/>
      <c r="P119" s="217" t="n"/>
      <c r="AB119" s="298" t="n"/>
    </row>
    <row r="120">
      <c r="B120" s="122">
        <f>B119</f>
        <v/>
      </c>
      <c r="C120" s="130" t="inlineStr">
        <is>
          <t>r04</t>
        </is>
      </c>
      <c r="D120" s="295">
        <f>0.000001*INDIRECT($B120&amp;"!E8")</f>
        <v/>
      </c>
      <c r="E120" s="294" t="n"/>
      <c r="F120" s="122">
        <f>F119</f>
        <v/>
      </c>
      <c r="G120" s="130" t="inlineStr">
        <is>
          <t>r04</t>
        </is>
      </c>
      <c r="H120" s="295">
        <f>0.000001*INDIRECT($B120&amp;"!AC8")</f>
        <v/>
      </c>
      <c r="J120" s="296">
        <f>H120/D120-1</f>
        <v/>
      </c>
      <c r="L120" s="94">
        <f>INDIRECT($B120&amp;"!"&amp;L$3&amp;"8")</f>
        <v/>
      </c>
      <c r="M120" s="95">
        <f>INDIRECT($B120&amp;"!"&amp;M$3&amp;"8")</f>
        <v/>
      </c>
      <c r="N120" s="96">
        <f>M120-L120</f>
        <v/>
      </c>
      <c r="O120" s="294" t="n"/>
      <c r="P120" s="303" t="n"/>
    </row>
    <row r="121" ht="16.5" customHeight="1" s="256" thickBot="1">
      <c r="B121" s="122">
        <f>B120</f>
        <v/>
      </c>
      <c r="C121" s="130" t="inlineStr">
        <is>
          <t>r05</t>
        </is>
      </c>
      <c r="D121" s="295">
        <f>0.000001*INDIRECT($B121&amp;"!E9")</f>
        <v/>
      </c>
      <c r="E121" s="294" t="n"/>
      <c r="F121" s="122">
        <f>F120</f>
        <v/>
      </c>
      <c r="G121" s="130" t="inlineStr">
        <is>
          <t>r05</t>
        </is>
      </c>
      <c r="H121" s="295">
        <f>0.000001*INDIRECT($B121&amp;"!AC9")</f>
        <v/>
      </c>
      <c r="J121" s="296">
        <f>H121/D121-1</f>
        <v/>
      </c>
      <c r="L121" s="94">
        <f>INDIRECT($B121&amp;"!"&amp;L$3&amp;"9")</f>
        <v/>
      </c>
      <c r="M121" s="95">
        <f>INDIRECT($B121&amp;"!"&amp;M$3&amp;"9")</f>
        <v/>
      </c>
      <c r="N121" s="96">
        <f>M121-L121</f>
        <v/>
      </c>
      <c r="O121" s="294" t="n"/>
      <c r="P121" s="299" t="n"/>
    </row>
    <row r="122" ht="16.5" customHeight="1" s="256">
      <c r="B122" s="109" t="n"/>
      <c r="C122" s="110" t="n"/>
      <c r="D122" s="300" t="n"/>
      <c r="F122" s="109" t="n"/>
      <c r="G122" s="110" t="n"/>
      <c r="H122" s="300" t="n"/>
      <c r="J122" s="98">
        <f>MIN(D117:D121,H117:H121)</f>
        <v/>
      </c>
      <c r="L122" s="99" t="n"/>
      <c r="M122" s="100" t="n"/>
      <c r="N122" s="101" t="n"/>
      <c r="O122" s="294" t="n"/>
      <c r="P122" s="264" t="n"/>
    </row>
    <row r="123" ht="18" customHeight="1" s="256" thickBot="1">
      <c r="B123" s="89" t="n"/>
      <c r="C123" s="92" t="n"/>
      <c r="D123" s="301" t="n"/>
      <c r="E123" s="294" t="n"/>
      <c r="F123" s="89" t="n"/>
      <c r="G123" s="92" t="n"/>
      <c r="H123" s="301" t="n"/>
      <c r="J123" s="102">
        <f>MAX(D117:D121,H117:H121)</f>
        <v/>
      </c>
      <c r="L123" s="103">
        <f>L122</f>
        <v/>
      </c>
      <c r="M123" s="104">
        <f>M122</f>
        <v/>
      </c>
      <c r="N123" s="97" t="n"/>
      <c r="O123" s="294" t="n"/>
      <c r="P123" s="5" t="n"/>
    </row>
    <row r="124" ht="18" customHeight="1" s="256" thickBot="1"/>
    <row r="125">
      <c r="B125" s="261" t="inlineStr">
        <is>
          <t>Solo_Tango_Male</t>
        </is>
      </c>
      <c r="C125" s="262" t="n"/>
      <c r="D125" s="263" t="n"/>
      <c r="E125" s="2" t="n"/>
      <c r="F125" s="261">
        <f>B125</f>
        <v/>
      </c>
      <c r="G125" s="262" t="n"/>
      <c r="H125" s="263" t="n"/>
      <c r="J125" s="264" t="n"/>
      <c r="L125" s="264">
        <f>F125</f>
        <v/>
      </c>
      <c r="M125" s="262" t="n"/>
      <c r="N125" s="263" t="n"/>
      <c r="O125" s="195" t="n"/>
      <c r="P125" s="264" t="n"/>
    </row>
    <row r="126">
      <c r="B126" s="259" t="inlineStr">
        <is>
          <t>Test</t>
        </is>
      </c>
      <c r="D126" s="87" t="inlineStr">
        <is>
          <t>Bitstream (MB)</t>
        </is>
      </c>
      <c r="E126" s="294" t="n"/>
      <c r="F126" s="259" t="inlineStr">
        <is>
          <t>Test</t>
        </is>
      </c>
      <c r="H126" s="87" t="inlineStr">
        <is>
          <t>Bitstream (MB)</t>
        </is>
      </c>
      <c r="J126" s="257" t="inlineStr">
        <is>
          <t>%</t>
        </is>
      </c>
      <c r="L126" s="257" t="inlineStr">
        <is>
          <t>YUV-SSIM</t>
        </is>
      </c>
      <c r="N126" s="258" t="n"/>
      <c r="O126" s="85" t="n"/>
      <c r="P126" s="3" t="n"/>
      <c r="AB126" s="298" t="n"/>
    </row>
    <row r="127">
      <c r="B127" s="191" t="inlineStr">
        <is>
          <t>Anchor</t>
        </is>
      </c>
      <c r="C127" s="130" t="inlineStr">
        <is>
          <t>Test point</t>
        </is>
      </c>
      <c r="D127" s="86" t="inlineStr">
        <is>
          <t>Total</t>
        </is>
      </c>
      <c r="E127" s="294" t="n"/>
      <c r="F127" s="191" t="inlineStr">
        <is>
          <t>Anchor</t>
        </is>
      </c>
      <c r="G127" s="130" t="inlineStr">
        <is>
          <t>Test point</t>
        </is>
      </c>
      <c r="H127" s="86" t="inlineStr">
        <is>
          <t>Total</t>
        </is>
      </c>
      <c r="J127" s="93" t="n"/>
      <c r="L127" s="192">
        <f>CONCATENATE(B$2," ",L125)</f>
        <v/>
      </c>
      <c r="M127" s="193">
        <f>CONCATENATE(F$2," ",L125)</f>
        <v/>
      </c>
      <c r="N127" s="194" t="inlineStr">
        <is>
          <t>Delta</t>
        </is>
      </c>
      <c r="O127" s="2" t="n"/>
      <c r="P127" s="3" t="inlineStr">
        <is>
          <t>BD-rate</t>
        </is>
      </c>
    </row>
    <row r="128">
      <c r="B128" s="122">
        <f>B125</f>
        <v/>
      </c>
      <c r="C128" s="130" t="inlineStr">
        <is>
          <t>r01</t>
        </is>
      </c>
      <c r="D128" s="295">
        <f>0.000001*INDIRECT($B128&amp;"!E5")</f>
        <v/>
      </c>
      <c r="E128" s="294" t="n"/>
      <c r="F128" s="122">
        <f>F125</f>
        <v/>
      </c>
      <c r="G128" s="130" t="inlineStr">
        <is>
          <t>r01</t>
        </is>
      </c>
      <c r="H128" s="295">
        <f>0.000001*INDIRECT($B128&amp;"!AC5")</f>
        <v/>
      </c>
      <c r="J128" s="296">
        <f>H128/D128-1</f>
        <v/>
      </c>
      <c r="L128" s="94">
        <f>INDIRECT($B128&amp;"!"&amp;L$3&amp;"5")</f>
        <v/>
      </c>
      <c r="M128" s="95">
        <f>INDIRECT($B128&amp;"!"&amp;M$3&amp;"5")</f>
        <v/>
      </c>
      <c r="N128" s="96">
        <f>M128-L128</f>
        <v/>
      </c>
      <c r="O128" s="294" t="n"/>
      <c r="P128" s="296">
        <f>bdRateExtend(D128:D132,L128:L132,H128:H132,M128:M132)</f>
        <v/>
      </c>
    </row>
    <row r="129" ht="16.5" customHeight="1" s="256">
      <c r="B129" s="122">
        <f>B128</f>
        <v/>
      </c>
      <c r="C129" s="130" t="inlineStr">
        <is>
          <t>r02</t>
        </is>
      </c>
      <c r="D129" s="295">
        <f>0.000001*INDIRECT($B129&amp;"!E6")</f>
        <v/>
      </c>
      <c r="E129" s="294" t="n"/>
      <c r="F129" s="122">
        <f>F128</f>
        <v/>
      </c>
      <c r="G129" s="130" t="inlineStr">
        <is>
          <t>r02</t>
        </is>
      </c>
      <c r="H129" s="295">
        <f>0.000001*INDIRECT($B129&amp;"!AC6")</f>
        <v/>
      </c>
      <c r="J129" s="296">
        <f>H129/D129-1</f>
        <v/>
      </c>
      <c r="L129" s="94">
        <f>INDIRECT($B129&amp;"!"&amp;L$3&amp;"6")</f>
        <v/>
      </c>
      <c r="M129" s="95">
        <f>INDIRECT($B129&amp;"!"&amp;M$3&amp;"6")</f>
        <v/>
      </c>
      <c r="N129" s="96">
        <f>M129-L129</f>
        <v/>
      </c>
      <c r="O129" s="294" t="n"/>
      <c r="P129" s="3" t="n"/>
      <c r="AB129" s="298" t="n"/>
    </row>
    <row r="130">
      <c r="B130" s="122">
        <f>B129</f>
        <v/>
      </c>
      <c r="C130" s="130" t="inlineStr">
        <is>
          <t>r03</t>
        </is>
      </c>
      <c r="D130" s="295">
        <f>0.000001*INDIRECT($B130&amp;"!E7")</f>
        <v/>
      </c>
      <c r="E130" s="294" t="n"/>
      <c r="F130" s="122">
        <f>F129</f>
        <v/>
      </c>
      <c r="G130" s="130" t="inlineStr">
        <is>
          <t>r03</t>
        </is>
      </c>
      <c r="H130" s="295">
        <f>0.000001*INDIRECT($B130&amp;"!AC7")</f>
        <v/>
      </c>
      <c r="J130" s="296">
        <f>H130/D130-1</f>
        <v/>
      </c>
      <c r="L130" s="94">
        <f>INDIRECT($B130&amp;"!"&amp;L$3&amp;"7")</f>
        <v/>
      </c>
      <c r="M130" s="95">
        <f>INDIRECT($B130&amp;"!"&amp;M$3&amp;"7")</f>
        <v/>
      </c>
      <c r="N130" s="96">
        <f>M130-L130</f>
        <v/>
      </c>
      <c r="O130" s="294" t="n"/>
      <c r="P130" s="217" t="n"/>
    </row>
    <row r="131" ht="16.5" customHeight="1" s="256">
      <c r="B131" s="122">
        <f>B130</f>
        <v/>
      </c>
      <c r="C131" s="130" t="inlineStr">
        <is>
          <t>r04</t>
        </is>
      </c>
      <c r="D131" s="295">
        <f>0.000001*INDIRECT($B131&amp;"!E8")</f>
        <v/>
      </c>
      <c r="E131" s="294" t="n"/>
      <c r="F131" s="122">
        <f>F130</f>
        <v/>
      </c>
      <c r="G131" s="130" t="inlineStr">
        <is>
          <t>r04</t>
        </is>
      </c>
      <c r="H131" s="295">
        <f>0.000001*INDIRECT($B131&amp;"!AC8")</f>
        <v/>
      </c>
      <c r="J131" s="296">
        <f>H131/D131-1</f>
        <v/>
      </c>
      <c r="L131" s="94">
        <f>INDIRECT($B131&amp;"!"&amp;L$3&amp;"8")</f>
        <v/>
      </c>
      <c r="M131" s="95">
        <f>INDIRECT($B131&amp;"!"&amp;M$3&amp;"8")</f>
        <v/>
      </c>
      <c r="N131" s="96">
        <f>M131-L131</f>
        <v/>
      </c>
      <c r="O131" s="294" t="n"/>
      <c r="P131" s="303" t="n"/>
    </row>
    <row r="132" ht="16.5" customHeight="1" s="256" thickBot="1">
      <c r="B132" s="122">
        <f>B131</f>
        <v/>
      </c>
      <c r="C132" s="130" t="inlineStr">
        <is>
          <t>r05</t>
        </is>
      </c>
      <c r="D132" s="295">
        <f>0.000001*INDIRECT($B132&amp;"!E9")</f>
        <v/>
      </c>
      <c r="E132" s="294" t="n"/>
      <c r="F132" s="122">
        <f>F131</f>
        <v/>
      </c>
      <c r="G132" s="130" t="inlineStr">
        <is>
          <t>r05</t>
        </is>
      </c>
      <c r="H132" s="295">
        <f>0.000001*INDIRECT($B132&amp;"!AC9")</f>
        <v/>
      </c>
      <c r="J132" s="296">
        <f>H132/D132-1</f>
        <v/>
      </c>
      <c r="L132" s="94">
        <f>INDIRECT($B132&amp;"!"&amp;L$3&amp;"9")</f>
        <v/>
      </c>
      <c r="M132" s="95">
        <f>INDIRECT($B132&amp;"!"&amp;M$3&amp;"9")</f>
        <v/>
      </c>
      <c r="N132" s="96">
        <f>M132-L132</f>
        <v/>
      </c>
      <c r="O132" s="294" t="n"/>
      <c r="P132" s="299" t="n"/>
    </row>
    <row r="133">
      <c r="B133" s="109" t="n"/>
      <c r="C133" s="110" t="n"/>
      <c r="D133" s="300" t="n"/>
      <c r="F133" s="109" t="n"/>
      <c r="G133" s="110" t="n"/>
      <c r="H133" s="300" t="n"/>
      <c r="J133" s="98">
        <f>MIN(D128:D132,H128:H132)</f>
        <v/>
      </c>
      <c r="L133" s="99" t="n"/>
      <c r="M133" s="100" t="n"/>
      <c r="N133" s="101" t="n"/>
      <c r="O133" s="294" t="n"/>
      <c r="P133" s="264" t="n"/>
    </row>
    <row r="134" ht="18" customHeight="1" s="256" thickBot="1">
      <c r="B134" s="89" t="n"/>
      <c r="C134" s="92" t="n"/>
      <c r="D134" s="301" t="n"/>
      <c r="E134" s="294" t="n"/>
      <c r="F134" s="89" t="n"/>
      <c r="G134" s="92" t="n"/>
      <c r="H134" s="301" t="n"/>
      <c r="J134" s="102">
        <f>MAX(D128:D132,H128:H132)</f>
        <v/>
      </c>
      <c r="L134" s="103">
        <f>L133</f>
        <v/>
      </c>
      <c r="M134" s="104">
        <f>M133</f>
        <v/>
      </c>
      <c r="N134" s="97" t="n"/>
      <c r="O134" s="294" t="n"/>
      <c r="P134" s="5" t="n"/>
    </row>
    <row r="135" ht="18" customHeight="1" s="256" thickBot="1"/>
    <row r="136">
      <c r="B136" s="261" t="inlineStr">
        <is>
          <t>BlueBackpack_UVGgs_0100</t>
        </is>
      </c>
      <c r="C136" s="262" t="n"/>
      <c r="D136" s="263" t="n"/>
      <c r="E136" s="2" t="n"/>
      <c r="F136" s="261">
        <f>B136</f>
        <v/>
      </c>
      <c r="G136" s="262" t="n"/>
      <c r="H136" s="263" t="n"/>
      <c r="J136" s="264" t="n"/>
      <c r="L136" s="264">
        <f>F136</f>
        <v/>
      </c>
      <c r="M136" s="262" t="n"/>
      <c r="N136" s="263" t="n"/>
      <c r="O136" s="195" t="n"/>
      <c r="P136" s="264" t="n"/>
      <c r="AB136" s="298" t="n"/>
    </row>
    <row r="137">
      <c r="B137" s="259" t="inlineStr">
        <is>
          <t>Test</t>
        </is>
      </c>
      <c r="D137" s="87" t="inlineStr">
        <is>
          <t>Bitstream (MB)</t>
        </is>
      </c>
      <c r="E137" s="294" t="n"/>
      <c r="F137" s="259" t="inlineStr">
        <is>
          <t>Test</t>
        </is>
      </c>
      <c r="H137" s="87" t="inlineStr">
        <is>
          <t>Bitstream (MB)</t>
        </is>
      </c>
      <c r="J137" s="257" t="inlineStr">
        <is>
          <t>%</t>
        </is>
      </c>
      <c r="L137" s="257" t="inlineStr">
        <is>
          <t>YUV-SSIM</t>
        </is>
      </c>
      <c r="N137" s="258" t="n"/>
      <c r="O137" s="85" t="n"/>
      <c r="P137" s="3" t="n"/>
    </row>
    <row r="138">
      <c r="B138" s="191" t="inlineStr">
        <is>
          <t>Anchor</t>
        </is>
      </c>
      <c r="C138" s="130" t="inlineStr">
        <is>
          <t>Test point</t>
        </is>
      </c>
      <c r="D138" s="86" t="inlineStr">
        <is>
          <t>Total</t>
        </is>
      </c>
      <c r="E138" s="294" t="n"/>
      <c r="F138" s="191" t="inlineStr">
        <is>
          <t>Anchor</t>
        </is>
      </c>
      <c r="G138" s="130" t="inlineStr">
        <is>
          <t>Test point</t>
        </is>
      </c>
      <c r="H138" s="86" t="inlineStr">
        <is>
          <t>Total</t>
        </is>
      </c>
      <c r="J138" s="93" t="n"/>
      <c r="L138" s="192">
        <f>CONCATENATE(B$2," ",L136)</f>
        <v/>
      </c>
      <c r="M138" s="193">
        <f>CONCATENATE(F$2," ",L136)</f>
        <v/>
      </c>
      <c r="N138" s="194" t="inlineStr">
        <is>
          <t>Delta</t>
        </is>
      </c>
      <c r="O138" s="2" t="n"/>
      <c r="P138" s="3" t="inlineStr">
        <is>
          <t>BD-rate</t>
        </is>
      </c>
    </row>
    <row r="139" ht="16.5" customHeight="1" s="256">
      <c r="B139" s="122">
        <f>B136</f>
        <v/>
      </c>
      <c r="C139" s="130" t="inlineStr">
        <is>
          <t>r01</t>
        </is>
      </c>
      <c r="D139" s="295">
        <f>0.000001*INDIRECT($B139&amp;"!E5")</f>
        <v/>
      </c>
      <c r="E139" s="294" t="n"/>
      <c r="F139" s="122">
        <f>F136</f>
        <v/>
      </c>
      <c r="G139" s="130" t="inlineStr">
        <is>
          <t>r01</t>
        </is>
      </c>
      <c r="H139" s="295">
        <f>0.000001*INDIRECT($B139&amp;"!AC5")</f>
        <v/>
      </c>
      <c r="J139" s="296">
        <f>H139/D139-1</f>
        <v/>
      </c>
      <c r="L139" s="94">
        <f>INDIRECT($B139&amp;"!"&amp;L$3&amp;"5")</f>
        <v/>
      </c>
      <c r="M139" s="95">
        <f>INDIRECT($B139&amp;"!"&amp;M$3&amp;"5")</f>
        <v/>
      </c>
      <c r="N139" s="96">
        <f>M139-L139</f>
        <v/>
      </c>
      <c r="O139" s="294" t="n"/>
      <c r="P139" s="296">
        <f>bdRateExtend(D139:D143,L139:L143,H139:H143,M139:M143)</f>
        <v/>
      </c>
      <c r="AB139" s="298" t="n"/>
    </row>
    <row r="140">
      <c r="B140" s="122">
        <f>B139</f>
        <v/>
      </c>
      <c r="C140" s="130" t="inlineStr">
        <is>
          <t>r02</t>
        </is>
      </c>
      <c r="D140" s="295">
        <f>0.000001*INDIRECT($B140&amp;"!E6")</f>
        <v/>
      </c>
      <c r="E140" s="294" t="n"/>
      <c r="F140" s="122">
        <f>F139</f>
        <v/>
      </c>
      <c r="G140" s="130" t="inlineStr">
        <is>
          <t>r02</t>
        </is>
      </c>
      <c r="H140" s="295">
        <f>0.000001*INDIRECT($B140&amp;"!AC6")</f>
        <v/>
      </c>
      <c r="J140" s="296">
        <f>H140/D140-1</f>
        <v/>
      </c>
      <c r="L140" s="94">
        <f>INDIRECT($B140&amp;"!"&amp;L$3&amp;"6")</f>
        <v/>
      </c>
      <c r="M140" s="95">
        <f>INDIRECT($B140&amp;"!"&amp;M$3&amp;"6")</f>
        <v/>
      </c>
      <c r="N140" s="96">
        <f>M140-L140</f>
        <v/>
      </c>
      <c r="O140" s="294" t="n"/>
      <c r="P140" s="3" t="n"/>
    </row>
    <row r="141" ht="16.5" customHeight="1" s="256">
      <c r="B141" s="122">
        <f>B140</f>
        <v/>
      </c>
      <c r="C141" s="130" t="inlineStr">
        <is>
          <t>r03</t>
        </is>
      </c>
      <c r="D141" s="295">
        <f>0.000001*INDIRECT($B141&amp;"!E7")</f>
        <v/>
      </c>
      <c r="E141" s="294" t="n"/>
      <c r="F141" s="122">
        <f>F140</f>
        <v/>
      </c>
      <c r="G141" s="130" t="inlineStr">
        <is>
          <t>r03</t>
        </is>
      </c>
      <c r="H141" s="295">
        <f>0.000001*INDIRECT($B141&amp;"!AC7")</f>
        <v/>
      </c>
      <c r="J141" s="296">
        <f>H141/D141-1</f>
        <v/>
      </c>
      <c r="L141" s="94">
        <f>INDIRECT($B141&amp;"!"&amp;L$3&amp;"7")</f>
        <v/>
      </c>
      <c r="M141" s="95">
        <f>INDIRECT($B141&amp;"!"&amp;M$3&amp;"7")</f>
        <v/>
      </c>
      <c r="N141" s="96">
        <f>M141-L141</f>
        <v/>
      </c>
      <c r="O141" s="294" t="n"/>
      <c r="P141" s="217" t="n"/>
    </row>
    <row r="142" ht="16.5" customHeight="1" s="256">
      <c r="B142" s="122">
        <f>B141</f>
        <v/>
      </c>
      <c r="C142" s="130" t="inlineStr">
        <is>
          <t>r04</t>
        </is>
      </c>
      <c r="D142" s="295">
        <f>0.000001*INDIRECT($B142&amp;"!E8")</f>
        <v/>
      </c>
      <c r="E142" s="294" t="n"/>
      <c r="F142" s="122">
        <f>F141</f>
        <v/>
      </c>
      <c r="G142" s="130" t="inlineStr">
        <is>
          <t>r04</t>
        </is>
      </c>
      <c r="H142" s="295">
        <f>0.000001*INDIRECT($B142&amp;"!AC8")</f>
        <v/>
      </c>
      <c r="J142" s="296">
        <f>H142/D142-1</f>
        <v/>
      </c>
      <c r="L142" s="94">
        <f>INDIRECT($B142&amp;"!"&amp;L$3&amp;"8")</f>
        <v/>
      </c>
      <c r="M142" s="95">
        <f>INDIRECT($B142&amp;"!"&amp;M$3&amp;"8")</f>
        <v/>
      </c>
      <c r="N142" s="96">
        <f>M142-L142</f>
        <v/>
      </c>
      <c r="O142" s="294" t="n"/>
      <c r="P142" s="303" t="n"/>
    </row>
    <row r="143" ht="18" customHeight="1" s="256" thickBot="1">
      <c r="B143" s="122">
        <f>B142</f>
        <v/>
      </c>
      <c r="C143" s="130" t="inlineStr">
        <is>
          <t>r05</t>
        </is>
      </c>
      <c r="D143" s="295">
        <f>0.000001*INDIRECT($B143&amp;"!E9")</f>
        <v/>
      </c>
      <c r="E143" s="294" t="n"/>
      <c r="F143" s="122">
        <f>F142</f>
        <v/>
      </c>
      <c r="G143" s="130" t="inlineStr">
        <is>
          <t>r05</t>
        </is>
      </c>
      <c r="H143" s="295">
        <f>0.000001*INDIRECT($B143&amp;"!AC9")</f>
        <v/>
      </c>
      <c r="J143" s="296">
        <f>H143/D143-1</f>
        <v/>
      </c>
      <c r="L143" s="94">
        <f>INDIRECT($B143&amp;"!"&amp;L$3&amp;"9")</f>
        <v/>
      </c>
      <c r="M143" s="95">
        <f>INDIRECT($B143&amp;"!"&amp;M$3&amp;"9")</f>
        <v/>
      </c>
      <c r="N143" s="96">
        <f>M143-L143</f>
        <v/>
      </c>
      <c r="O143" s="294" t="n"/>
      <c r="P143" s="299" t="n"/>
    </row>
    <row r="144">
      <c r="B144" s="109" t="n"/>
      <c r="C144" s="110" t="n"/>
      <c r="D144" s="300" t="n"/>
      <c r="F144" s="109" t="n"/>
      <c r="G144" s="110" t="n"/>
      <c r="H144" s="300" t="n"/>
      <c r="J144" s="98">
        <f>MIN(D139:D143,H139:H143)</f>
        <v/>
      </c>
      <c r="L144" s="99" t="n"/>
      <c r="M144" s="100" t="n"/>
      <c r="N144" s="101" t="n"/>
      <c r="O144" s="294" t="n"/>
      <c r="P144" s="264" t="n"/>
    </row>
    <row r="145" ht="18" customHeight="1" s="256" thickBot="1">
      <c r="B145" s="89" t="n"/>
      <c r="C145" s="92" t="n"/>
      <c r="D145" s="301" t="n"/>
      <c r="E145" s="294" t="n"/>
      <c r="F145" s="89" t="n"/>
      <c r="G145" s="92" t="n"/>
      <c r="H145" s="301" t="n"/>
      <c r="J145" s="102">
        <f>MAX(D139:D143,H139:H143)</f>
        <v/>
      </c>
      <c r="L145" s="103">
        <f>L144</f>
        <v/>
      </c>
      <c r="M145" s="104">
        <f>M144</f>
        <v/>
      </c>
      <c r="N145" s="97" t="n"/>
      <c r="O145" s="294" t="n"/>
      <c r="P145" s="5" t="n"/>
    </row>
    <row r="146" ht="18" customHeight="1" s="256" thickBot="1">
      <c r="B146" s="114" t="n"/>
      <c r="C146" s="114" t="n"/>
      <c r="D146" s="302" t="n"/>
      <c r="E146" s="294" t="n"/>
      <c r="F146" s="114" t="n"/>
      <c r="G146" s="114" t="n"/>
      <c r="H146" s="302" t="n"/>
      <c r="AB146" s="298" t="n"/>
    </row>
    <row r="147">
      <c r="B147" s="261" t="inlineStr">
        <is>
          <t>BlueBackpack_UVGgs_0200</t>
        </is>
      </c>
      <c r="C147" s="262" t="n"/>
      <c r="D147" s="263" t="n"/>
      <c r="E147" s="2" t="n"/>
      <c r="F147" s="261">
        <f>B147</f>
        <v/>
      </c>
      <c r="G147" s="262" t="n"/>
      <c r="H147" s="263" t="n"/>
      <c r="J147" s="264" t="n"/>
      <c r="L147" s="264">
        <f>F147</f>
        <v/>
      </c>
      <c r="M147" s="262" t="n"/>
      <c r="N147" s="263" t="n"/>
      <c r="O147" s="195" t="n"/>
      <c r="P147" s="264" t="n"/>
    </row>
    <row r="148">
      <c r="B148" s="259" t="inlineStr">
        <is>
          <t>Test</t>
        </is>
      </c>
      <c r="D148" s="87" t="inlineStr">
        <is>
          <t>Bitstream (MB)</t>
        </is>
      </c>
      <c r="E148" s="294" t="n"/>
      <c r="F148" s="259" t="inlineStr">
        <is>
          <t>Test</t>
        </is>
      </c>
      <c r="H148" s="87" t="inlineStr">
        <is>
          <t>Bitstream (MB)</t>
        </is>
      </c>
      <c r="J148" s="257" t="inlineStr">
        <is>
          <t>%</t>
        </is>
      </c>
      <c r="L148" s="257" t="inlineStr">
        <is>
          <t>YUV-SSIM</t>
        </is>
      </c>
      <c r="N148" s="258" t="n"/>
      <c r="O148" s="85" t="n"/>
      <c r="P148" s="3" t="n"/>
    </row>
    <row r="149" ht="16.5" customHeight="1" s="256">
      <c r="B149" s="191" t="inlineStr">
        <is>
          <t>Anchor</t>
        </is>
      </c>
      <c r="C149" s="130" t="inlineStr">
        <is>
          <t>Test point</t>
        </is>
      </c>
      <c r="D149" s="86" t="inlineStr">
        <is>
          <t>Total</t>
        </is>
      </c>
      <c r="E149" s="294" t="n"/>
      <c r="F149" s="191" t="inlineStr">
        <is>
          <t>Anchor</t>
        </is>
      </c>
      <c r="G149" s="130" t="inlineStr">
        <is>
          <t>Test point</t>
        </is>
      </c>
      <c r="H149" s="86" t="inlineStr">
        <is>
          <t>Total</t>
        </is>
      </c>
      <c r="J149" s="93" t="n"/>
      <c r="L149" s="192">
        <f>CONCATENATE(B$2," ",L147)</f>
        <v/>
      </c>
      <c r="M149" s="193">
        <f>CONCATENATE(F$2," ",L147)</f>
        <v/>
      </c>
      <c r="N149" s="194" t="inlineStr">
        <is>
          <t>Delta</t>
        </is>
      </c>
      <c r="O149" s="2" t="n"/>
      <c r="P149" s="3" t="inlineStr">
        <is>
          <t>BD-rate</t>
        </is>
      </c>
      <c r="AB149" s="298" t="n"/>
    </row>
    <row r="150">
      <c r="B150" s="122">
        <f>B147</f>
        <v/>
      </c>
      <c r="C150" s="130" t="inlineStr">
        <is>
          <t>r01</t>
        </is>
      </c>
      <c r="D150" s="295">
        <f>0.000001*INDIRECT($B150&amp;"!E5")</f>
        <v/>
      </c>
      <c r="E150" s="294" t="n"/>
      <c r="F150" s="122">
        <f>F147</f>
        <v/>
      </c>
      <c r="G150" s="130" t="inlineStr">
        <is>
          <t>r01</t>
        </is>
      </c>
      <c r="H150" s="295">
        <f>0.000001*INDIRECT($B150&amp;"!AC5")</f>
        <v/>
      </c>
      <c r="J150" s="296">
        <f>H150/D150-1</f>
        <v/>
      </c>
      <c r="L150" s="94">
        <f>INDIRECT($B150&amp;"!"&amp;L$3&amp;"5")</f>
        <v/>
      </c>
      <c r="M150" s="95">
        <f>INDIRECT($B150&amp;"!"&amp;M$3&amp;"5")</f>
        <v/>
      </c>
      <c r="N150" s="96">
        <f>M150-L150</f>
        <v/>
      </c>
      <c r="O150" s="294" t="n"/>
      <c r="P150" s="296">
        <f>bdRateExtend(D150:D154,L150:L154,H150:H154,M150:M154)</f>
        <v/>
      </c>
    </row>
    <row r="151" ht="16.5" customHeight="1" s="256">
      <c r="B151" s="122">
        <f>B150</f>
        <v/>
      </c>
      <c r="C151" s="130" t="inlineStr">
        <is>
          <t>r02</t>
        </is>
      </c>
      <c r="D151" s="295">
        <f>0.000001*INDIRECT($B151&amp;"!E6")</f>
        <v/>
      </c>
      <c r="E151" s="294" t="n"/>
      <c r="F151" s="122">
        <f>F150</f>
        <v/>
      </c>
      <c r="G151" s="130" t="inlineStr">
        <is>
          <t>r02</t>
        </is>
      </c>
      <c r="H151" s="295">
        <f>0.000001*INDIRECT($B151&amp;"!AC6")</f>
        <v/>
      </c>
      <c r="J151" s="296">
        <f>H151/D151-1</f>
        <v/>
      </c>
      <c r="L151" s="94">
        <f>INDIRECT($B151&amp;"!"&amp;L$3&amp;"6")</f>
        <v/>
      </c>
      <c r="M151" s="95">
        <f>INDIRECT($B151&amp;"!"&amp;M$3&amp;"6")</f>
        <v/>
      </c>
      <c r="N151" s="96">
        <f>M151-L151</f>
        <v/>
      </c>
      <c r="O151" s="294" t="n"/>
      <c r="P151" s="3" t="n"/>
    </row>
    <row r="152" ht="16.5" customHeight="1" s="256">
      <c r="B152" s="122">
        <f>B151</f>
        <v/>
      </c>
      <c r="C152" s="130" t="inlineStr">
        <is>
          <t>r03</t>
        </is>
      </c>
      <c r="D152" s="295">
        <f>0.000001*INDIRECT($B152&amp;"!E7")</f>
        <v/>
      </c>
      <c r="E152" s="294" t="n"/>
      <c r="F152" s="122">
        <f>F151</f>
        <v/>
      </c>
      <c r="G152" s="130" t="inlineStr">
        <is>
          <t>r03</t>
        </is>
      </c>
      <c r="H152" s="295">
        <f>0.000001*INDIRECT($B152&amp;"!AC7")</f>
        <v/>
      </c>
      <c r="J152" s="296">
        <f>H152/D152-1</f>
        <v/>
      </c>
      <c r="L152" s="94">
        <f>INDIRECT($B152&amp;"!"&amp;L$3&amp;"7")</f>
        <v/>
      </c>
      <c r="M152" s="95">
        <f>INDIRECT($B152&amp;"!"&amp;M$3&amp;"7")</f>
        <v/>
      </c>
      <c r="N152" s="96">
        <f>M152-L152</f>
        <v/>
      </c>
      <c r="O152" s="294" t="n"/>
      <c r="P152" s="217" t="n"/>
    </row>
    <row r="153">
      <c r="B153" s="122">
        <f>B152</f>
        <v/>
      </c>
      <c r="C153" s="130" t="inlineStr">
        <is>
          <t>r04</t>
        </is>
      </c>
      <c r="D153" s="295">
        <f>0.000001*INDIRECT($B153&amp;"!E8")</f>
        <v/>
      </c>
      <c r="E153" s="294" t="n"/>
      <c r="F153" s="122">
        <f>F152</f>
        <v/>
      </c>
      <c r="G153" s="130" t="inlineStr">
        <is>
          <t>r04</t>
        </is>
      </c>
      <c r="H153" s="295">
        <f>0.000001*INDIRECT($B153&amp;"!AC8")</f>
        <v/>
      </c>
      <c r="J153" s="296">
        <f>H153/D153-1</f>
        <v/>
      </c>
      <c r="L153" s="94">
        <f>INDIRECT($B153&amp;"!"&amp;L$3&amp;"8")</f>
        <v/>
      </c>
      <c r="M153" s="95">
        <f>INDIRECT($B153&amp;"!"&amp;M$3&amp;"8")</f>
        <v/>
      </c>
      <c r="N153" s="96">
        <f>M153-L153</f>
        <v/>
      </c>
      <c r="O153" s="294" t="n"/>
      <c r="P153" s="303" t="n"/>
    </row>
    <row r="154" ht="18" customHeight="1" s="256" thickBot="1">
      <c r="B154" s="122">
        <f>B153</f>
        <v/>
      </c>
      <c r="C154" s="130" t="inlineStr">
        <is>
          <t>r05</t>
        </is>
      </c>
      <c r="D154" s="295">
        <f>0.000001*INDIRECT($B154&amp;"!E9")</f>
        <v/>
      </c>
      <c r="E154" s="294" t="n"/>
      <c r="F154" s="122">
        <f>F153</f>
        <v/>
      </c>
      <c r="G154" s="130" t="inlineStr">
        <is>
          <t>r05</t>
        </is>
      </c>
      <c r="H154" s="295">
        <f>0.000001*INDIRECT($B154&amp;"!AC9")</f>
        <v/>
      </c>
      <c r="J154" s="296">
        <f>H154/D154-1</f>
        <v/>
      </c>
      <c r="L154" s="94">
        <f>INDIRECT($B154&amp;"!"&amp;L$3&amp;"9")</f>
        <v/>
      </c>
      <c r="M154" s="95">
        <f>INDIRECT($B154&amp;"!"&amp;M$3&amp;"9")</f>
        <v/>
      </c>
      <c r="N154" s="96">
        <f>M154-L154</f>
        <v/>
      </c>
      <c r="O154" s="294" t="n"/>
      <c r="P154" s="299" t="n"/>
    </row>
    <row r="155">
      <c r="B155" s="109" t="n"/>
      <c r="C155" s="110" t="n"/>
      <c r="D155" s="300" t="n"/>
      <c r="F155" s="109" t="n"/>
      <c r="G155" s="110" t="n"/>
      <c r="H155" s="300" t="n"/>
      <c r="J155" s="98">
        <f>MIN(D150:D154,H150:H154)</f>
        <v/>
      </c>
      <c r="L155" s="99" t="n"/>
      <c r="M155" s="100" t="n"/>
      <c r="N155" s="101" t="n"/>
      <c r="O155" s="294" t="n"/>
      <c r="P155" s="264" t="n"/>
    </row>
    <row r="156" ht="18" customHeight="1" s="256" thickBot="1">
      <c r="B156" s="89" t="n"/>
      <c r="C156" s="92" t="n"/>
      <c r="D156" s="301" t="n"/>
      <c r="E156" s="294" t="n"/>
      <c r="F156" s="89" t="n"/>
      <c r="G156" s="92" t="n"/>
      <c r="H156" s="301" t="n"/>
      <c r="J156" s="102">
        <f>MAX(D150:D154,H150:H154)</f>
        <v/>
      </c>
      <c r="L156" s="103">
        <f>L155</f>
        <v/>
      </c>
      <c r="M156" s="104">
        <f>M155</f>
        <v/>
      </c>
      <c r="N156" s="97" t="n"/>
      <c r="O156" s="294" t="n"/>
      <c r="P156" s="5" t="n"/>
      <c r="AB156" s="298" t="n"/>
    </row>
    <row r="157" ht="18" customHeight="1" s="256" thickBot="1"/>
    <row r="158">
      <c r="B158" s="261" t="inlineStr">
        <is>
          <t>FlowerDance_UVGgs_0000</t>
        </is>
      </c>
      <c r="C158" s="262" t="n"/>
      <c r="D158" s="263" t="n"/>
      <c r="E158" s="2" t="n"/>
      <c r="F158" s="261">
        <f>B158</f>
        <v/>
      </c>
      <c r="G158" s="262" t="n"/>
      <c r="H158" s="263" t="n"/>
      <c r="J158" s="264" t="n"/>
      <c r="L158" s="264">
        <f>F158</f>
        <v/>
      </c>
      <c r="M158" s="262" t="n"/>
      <c r="N158" s="263" t="n"/>
      <c r="O158" s="195" t="n"/>
      <c r="P158" s="264" t="n"/>
    </row>
    <row r="159" ht="16.5" customHeight="1" s="256">
      <c r="B159" s="259" t="inlineStr">
        <is>
          <t>Test</t>
        </is>
      </c>
      <c r="D159" s="87" t="inlineStr">
        <is>
          <t>Bitstream (MB)</t>
        </is>
      </c>
      <c r="E159" s="294" t="n"/>
      <c r="F159" s="259" t="inlineStr">
        <is>
          <t>Test</t>
        </is>
      </c>
      <c r="H159" s="87" t="inlineStr">
        <is>
          <t>Bitstream (MB)</t>
        </is>
      </c>
      <c r="J159" s="257" t="inlineStr">
        <is>
          <t>%</t>
        </is>
      </c>
      <c r="L159" s="257" t="inlineStr">
        <is>
          <t>YUV-SSIM</t>
        </is>
      </c>
      <c r="N159" s="258" t="n"/>
      <c r="O159" s="85" t="n"/>
      <c r="P159" s="3" t="n"/>
      <c r="AB159" s="298" t="n"/>
    </row>
    <row r="160">
      <c r="B160" s="191" t="inlineStr">
        <is>
          <t>Anchor</t>
        </is>
      </c>
      <c r="C160" s="130" t="inlineStr">
        <is>
          <t>Test point</t>
        </is>
      </c>
      <c r="D160" s="86" t="inlineStr">
        <is>
          <t>Total</t>
        </is>
      </c>
      <c r="E160" s="294" t="n"/>
      <c r="F160" s="191" t="inlineStr">
        <is>
          <t>Anchor</t>
        </is>
      </c>
      <c r="G160" s="130" t="inlineStr">
        <is>
          <t>Test point</t>
        </is>
      </c>
      <c r="H160" s="86" t="inlineStr">
        <is>
          <t>Total</t>
        </is>
      </c>
      <c r="J160" s="93" t="n"/>
      <c r="L160" s="192">
        <f>CONCATENATE(B$2," ",L158)</f>
        <v/>
      </c>
      <c r="M160" s="193">
        <f>CONCATENATE(F$2," ",L158)</f>
        <v/>
      </c>
      <c r="N160" s="194" t="inlineStr">
        <is>
          <t>Delta</t>
        </is>
      </c>
      <c r="O160" s="2" t="n"/>
      <c r="P160" s="3" t="inlineStr">
        <is>
          <t>BD-rate</t>
        </is>
      </c>
    </row>
    <row r="161" ht="16.5" customHeight="1" s="256">
      <c r="B161" s="122">
        <f>B158</f>
        <v/>
      </c>
      <c r="C161" s="130" t="inlineStr">
        <is>
          <t>r01</t>
        </is>
      </c>
      <c r="D161" s="295">
        <f>0.000001*INDIRECT($B161&amp;"!E5")</f>
        <v/>
      </c>
      <c r="E161" s="294" t="n"/>
      <c r="F161" s="122">
        <f>F158</f>
        <v/>
      </c>
      <c r="G161" s="130" t="inlineStr">
        <is>
          <t>r01</t>
        </is>
      </c>
      <c r="H161" s="295">
        <f>0.000001*INDIRECT($B161&amp;"!AC5")</f>
        <v/>
      </c>
      <c r="J161" s="296">
        <f>H161/D161-1</f>
        <v/>
      </c>
      <c r="L161" s="94">
        <f>INDIRECT($B161&amp;"!"&amp;L$3&amp;"5")</f>
        <v/>
      </c>
      <c r="M161" s="95">
        <f>INDIRECT($B161&amp;"!"&amp;M$3&amp;"5")</f>
        <v/>
      </c>
      <c r="N161" s="96">
        <f>M161-L161</f>
        <v/>
      </c>
      <c r="O161" s="294" t="n"/>
      <c r="P161" s="296">
        <f>bdRateExtend(D161:D165,L161:L165,H161:H165,M161:M165)</f>
        <v/>
      </c>
    </row>
    <row r="162" ht="16.5" customHeight="1" s="256">
      <c r="B162" s="122">
        <f>B161</f>
        <v/>
      </c>
      <c r="C162" s="130" t="inlineStr">
        <is>
          <t>r02</t>
        </is>
      </c>
      <c r="D162" s="295">
        <f>0.000001*INDIRECT($B162&amp;"!E6")</f>
        <v/>
      </c>
      <c r="E162" s="294" t="n"/>
      <c r="F162" s="122">
        <f>F161</f>
        <v/>
      </c>
      <c r="G162" s="130" t="inlineStr">
        <is>
          <t>r02</t>
        </is>
      </c>
      <c r="H162" s="295">
        <f>0.000001*INDIRECT($B162&amp;"!AC6")</f>
        <v/>
      </c>
      <c r="J162" s="296">
        <f>H162/D162-1</f>
        <v/>
      </c>
      <c r="L162" s="94">
        <f>INDIRECT($B162&amp;"!"&amp;L$3&amp;"6")</f>
        <v/>
      </c>
      <c r="M162" s="95">
        <f>INDIRECT($B162&amp;"!"&amp;M$3&amp;"6")</f>
        <v/>
      </c>
      <c r="N162" s="96">
        <f>M162-L162</f>
        <v/>
      </c>
      <c r="O162" s="294" t="n"/>
      <c r="P162" s="3" t="n"/>
    </row>
    <row r="163">
      <c r="B163" s="122">
        <f>B162</f>
        <v/>
      </c>
      <c r="C163" s="130" t="inlineStr">
        <is>
          <t>r03</t>
        </is>
      </c>
      <c r="D163" s="295">
        <f>0.000001*INDIRECT($B163&amp;"!E7")</f>
        <v/>
      </c>
      <c r="E163" s="294" t="n"/>
      <c r="F163" s="122">
        <f>F162</f>
        <v/>
      </c>
      <c r="G163" s="130" t="inlineStr">
        <is>
          <t>r03</t>
        </is>
      </c>
      <c r="H163" s="295">
        <f>0.000001*INDIRECT($B163&amp;"!AC7")</f>
        <v/>
      </c>
      <c r="J163" s="296">
        <f>H163/D163-1</f>
        <v/>
      </c>
      <c r="L163" s="94">
        <f>INDIRECT($B163&amp;"!"&amp;L$3&amp;"7")</f>
        <v/>
      </c>
      <c r="M163" s="95">
        <f>INDIRECT($B163&amp;"!"&amp;M$3&amp;"7")</f>
        <v/>
      </c>
      <c r="N163" s="96">
        <f>M163-L163</f>
        <v/>
      </c>
      <c r="O163" s="294" t="n"/>
      <c r="P163" s="217" t="n"/>
    </row>
    <row r="164">
      <c r="B164" s="122">
        <f>B163</f>
        <v/>
      </c>
      <c r="C164" s="130" t="inlineStr">
        <is>
          <t>r04</t>
        </is>
      </c>
      <c r="D164" s="295">
        <f>0.000001*INDIRECT($B164&amp;"!E8")</f>
        <v/>
      </c>
      <c r="E164" s="294" t="n"/>
      <c r="F164" s="122">
        <f>F163</f>
        <v/>
      </c>
      <c r="G164" s="130" t="inlineStr">
        <is>
          <t>r04</t>
        </is>
      </c>
      <c r="H164" s="295">
        <f>0.000001*INDIRECT($B164&amp;"!AC8")</f>
        <v/>
      </c>
      <c r="J164" s="296">
        <f>H164/D164-1</f>
        <v/>
      </c>
      <c r="L164" s="94">
        <f>INDIRECT($B164&amp;"!"&amp;L$3&amp;"8")</f>
        <v/>
      </c>
      <c r="M164" s="95">
        <f>INDIRECT($B164&amp;"!"&amp;M$3&amp;"8")</f>
        <v/>
      </c>
      <c r="N164" s="96">
        <f>M164-L164</f>
        <v/>
      </c>
      <c r="O164" s="294" t="n"/>
      <c r="P164" s="303" t="n"/>
    </row>
    <row r="165" ht="18" customHeight="1" s="256" thickBot="1">
      <c r="B165" s="122">
        <f>B164</f>
        <v/>
      </c>
      <c r="C165" s="130" t="inlineStr">
        <is>
          <t>r05</t>
        </is>
      </c>
      <c r="D165" s="295">
        <f>0.000001*INDIRECT($B165&amp;"!E9")</f>
        <v/>
      </c>
      <c r="E165" s="294" t="n"/>
      <c r="F165" s="122">
        <f>F164</f>
        <v/>
      </c>
      <c r="G165" s="130" t="inlineStr">
        <is>
          <t>r05</t>
        </is>
      </c>
      <c r="H165" s="295">
        <f>0.000001*INDIRECT($B165&amp;"!AC9")</f>
        <v/>
      </c>
      <c r="J165" s="296">
        <f>H165/D165-1</f>
        <v/>
      </c>
      <c r="L165" s="94">
        <f>INDIRECT($B165&amp;"!"&amp;L$3&amp;"9")</f>
        <v/>
      </c>
      <c r="M165" s="95">
        <f>INDIRECT($B165&amp;"!"&amp;M$3&amp;"9")</f>
        <v/>
      </c>
      <c r="N165" s="96">
        <f>M165-L165</f>
        <v/>
      </c>
      <c r="O165" s="294" t="n"/>
      <c r="P165" s="299" t="n"/>
    </row>
    <row r="166">
      <c r="B166" s="109" t="n"/>
      <c r="C166" s="110" t="n"/>
      <c r="D166" s="300" t="n"/>
      <c r="F166" s="109" t="n"/>
      <c r="G166" s="110" t="n"/>
      <c r="H166" s="300" t="n"/>
      <c r="J166" s="98">
        <f>MIN(D161:D165,H161:H165)</f>
        <v/>
      </c>
      <c r="L166" s="99" t="n"/>
      <c r="M166" s="100" t="n"/>
      <c r="N166" s="101" t="n"/>
      <c r="O166" s="294" t="n"/>
      <c r="P166" s="264" t="n"/>
      <c r="AB166" s="298" t="n"/>
    </row>
    <row r="167" ht="18" customHeight="1" s="256" thickBot="1">
      <c r="B167" s="89" t="n"/>
      <c r="C167" s="92" t="n"/>
      <c r="D167" s="301" t="n"/>
      <c r="E167" s="294" t="n"/>
      <c r="F167" s="89" t="n"/>
      <c r="G167" s="92" t="n"/>
      <c r="H167" s="301" t="n"/>
      <c r="J167" s="102">
        <f>MAX(D161:D165,H161:H165)</f>
        <v/>
      </c>
      <c r="L167" s="103">
        <f>L166</f>
        <v/>
      </c>
      <c r="M167" s="104">
        <f>M166</f>
        <v/>
      </c>
      <c r="N167" s="97" t="n"/>
      <c r="O167" s="294" t="n"/>
      <c r="P167" s="5" t="n"/>
    </row>
    <row r="168" ht="18" customHeight="1" s="256" thickBot="1"/>
    <row r="169" ht="16.5" customHeight="1" s="256">
      <c r="B169" s="261" t="inlineStr">
        <is>
          <t>FlowerDance_UVGgs_0200</t>
        </is>
      </c>
      <c r="C169" s="262" t="n"/>
      <c r="D169" s="263" t="n"/>
      <c r="E169" s="2" t="n"/>
      <c r="F169" s="261">
        <f>B169</f>
        <v/>
      </c>
      <c r="G169" s="262" t="n"/>
      <c r="H169" s="263" t="n"/>
      <c r="J169" s="264" t="n"/>
      <c r="L169" s="264">
        <f>F169</f>
        <v/>
      </c>
      <c r="M169" s="262" t="n"/>
      <c r="N169" s="263" t="n"/>
      <c r="O169" s="195" t="n"/>
      <c r="P169" s="264" t="n"/>
      <c r="AB169" s="298" t="n"/>
    </row>
    <row r="170">
      <c r="B170" s="259" t="inlineStr">
        <is>
          <t>Test</t>
        </is>
      </c>
      <c r="D170" s="87" t="inlineStr">
        <is>
          <t>Bitstream (MB)</t>
        </is>
      </c>
      <c r="E170" s="294" t="n"/>
      <c r="F170" s="259" t="inlineStr">
        <is>
          <t>Test</t>
        </is>
      </c>
      <c r="H170" s="87" t="inlineStr">
        <is>
          <t>Bitstream (MB)</t>
        </is>
      </c>
      <c r="J170" s="257" t="inlineStr">
        <is>
          <t>%</t>
        </is>
      </c>
      <c r="L170" s="257" t="inlineStr">
        <is>
          <t>YUV-SSIM</t>
        </is>
      </c>
      <c r="N170" s="258" t="n"/>
      <c r="O170" s="85" t="n"/>
      <c r="P170" s="3" t="n"/>
    </row>
    <row r="171" ht="16.5" customHeight="1" s="256">
      <c r="B171" s="191" t="inlineStr">
        <is>
          <t>Anchor</t>
        </is>
      </c>
      <c r="C171" s="130" t="inlineStr">
        <is>
          <t>Test point</t>
        </is>
      </c>
      <c r="D171" s="86" t="inlineStr">
        <is>
          <t>Total</t>
        </is>
      </c>
      <c r="E171" s="294" t="n"/>
      <c r="F171" s="191" t="inlineStr">
        <is>
          <t>Anchor</t>
        </is>
      </c>
      <c r="G171" s="130" t="inlineStr">
        <is>
          <t>Test point</t>
        </is>
      </c>
      <c r="H171" s="86" t="inlineStr">
        <is>
          <t>Total</t>
        </is>
      </c>
      <c r="J171" s="93" t="n"/>
      <c r="L171" s="192">
        <f>CONCATENATE(B$2," ",L169)</f>
        <v/>
      </c>
      <c r="M171" s="193">
        <f>CONCATENATE(F$2," ",L169)</f>
        <v/>
      </c>
      <c r="N171" s="194" t="inlineStr">
        <is>
          <t>Delta</t>
        </is>
      </c>
      <c r="O171" s="2" t="n"/>
      <c r="P171" s="3" t="inlineStr">
        <is>
          <t>BD-rate</t>
        </is>
      </c>
    </row>
    <row r="172" ht="16.5" customHeight="1" s="256">
      <c r="B172" s="122">
        <f>B169</f>
        <v/>
      </c>
      <c r="C172" s="130" t="inlineStr">
        <is>
          <t>r01</t>
        </is>
      </c>
      <c r="D172" s="295">
        <f>0.000001*INDIRECT($B172&amp;"!E5")</f>
        <v/>
      </c>
      <c r="E172" s="294" t="n"/>
      <c r="F172" s="122">
        <f>F169</f>
        <v/>
      </c>
      <c r="G172" s="130" t="inlineStr">
        <is>
          <t>r01</t>
        </is>
      </c>
      <c r="H172" s="295">
        <f>0.000001*INDIRECT($B172&amp;"!AC5")</f>
        <v/>
      </c>
      <c r="J172" s="296">
        <f>H172/D172-1</f>
        <v/>
      </c>
      <c r="L172" s="94">
        <f>INDIRECT($B172&amp;"!"&amp;L$3&amp;"5")</f>
        <v/>
      </c>
      <c r="M172" s="95">
        <f>INDIRECT($B172&amp;"!"&amp;M$3&amp;"5")</f>
        <v/>
      </c>
      <c r="N172" s="96">
        <f>M172-L172</f>
        <v/>
      </c>
      <c r="O172" s="294" t="n"/>
      <c r="P172" s="296">
        <f>bdRateExtend(D172:D176,L172:L176,H172:H176,M172:M176)</f>
        <v/>
      </c>
    </row>
    <row r="173">
      <c r="B173" s="122">
        <f>B172</f>
        <v/>
      </c>
      <c r="C173" s="130" t="inlineStr">
        <is>
          <t>r02</t>
        </is>
      </c>
      <c r="D173" s="295">
        <f>0.000001*INDIRECT($B173&amp;"!E6")</f>
        <v/>
      </c>
      <c r="E173" s="294" t="n"/>
      <c r="F173" s="122">
        <f>F172</f>
        <v/>
      </c>
      <c r="G173" s="130" t="inlineStr">
        <is>
          <t>r02</t>
        </is>
      </c>
      <c r="H173" s="295">
        <f>0.000001*INDIRECT($B173&amp;"!AC6")</f>
        <v/>
      </c>
      <c r="J173" s="296">
        <f>H173/D173-1</f>
        <v/>
      </c>
      <c r="L173" s="94">
        <f>INDIRECT($B173&amp;"!"&amp;L$3&amp;"6")</f>
        <v/>
      </c>
      <c r="M173" s="95">
        <f>INDIRECT($B173&amp;"!"&amp;M$3&amp;"6")</f>
        <v/>
      </c>
      <c r="N173" s="96">
        <f>M173-L173</f>
        <v/>
      </c>
      <c r="O173" s="294" t="n"/>
      <c r="P173" s="3" t="n"/>
    </row>
    <row r="174">
      <c r="B174" s="122">
        <f>B173</f>
        <v/>
      </c>
      <c r="C174" s="130" t="inlineStr">
        <is>
          <t>r03</t>
        </is>
      </c>
      <c r="D174" s="295">
        <f>0.000001*INDIRECT($B174&amp;"!E7")</f>
        <v/>
      </c>
      <c r="E174" s="294" t="n"/>
      <c r="F174" s="122">
        <f>F173</f>
        <v/>
      </c>
      <c r="G174" s="130" t="inlineStr">
        <is>
          <t>r03</t>
        </is>
      </c>
      <c r="H174" s="295">
        <f>0.000001*INDIRECT($B174&amp;"!AC7")</f>
        <v/>
      </c>
      <c r="J174" s="296">
        <f>H174/D174-1</f>
        <v/>
      </c>
      <c r="L174" s="94">
        <f>INDIRECT($B174&amp;"!"&amp;L$3&amp;"7")</f>
        <v/>
      </c>
      <c r="M174" s="95">
        <f>INDIRECT($B174&amp;"!"&amp;M$3&amp;"7")</f>
        <v/>
      </c>
      <c r="N174" s="96">
        <f>M174-L174</f>
        <v/>
      </c>
      <c r="O174" s="294" t="n"/>
      <c r="P174" s="217" t="n"/>
    </row>
    <row r="175">
      <c r="B175" s="122">
        <f>B174</f>
        <v/>
      </c>
      <c r="C175" s="130" t="inlineStr">
        <is>
          <t>r04</t>
        </is>
      </c>
      <c r="D175" s="295">
        <f>0.000001*INDIRECT($B175&amp;"!E8")</f>
        <v/>
      </c>
      <c r="E175" s="294" t="n"/>
      <c r="F175" s="122">
        <f>F174</f>
        <v/>
      </c>
      <c r="G175" s="130" t="inlineStr">
        <is>
          <t>r04</t>
        </is>
      </c>
      <c r="H175" s="295">
        <f>0.000001*INDIRECT($B175&amp;"!AC8")</f>
        <v/>
      </c>
      <c r="J175" s="296">
        <f>H175/D175-1</f>
        <v/>
      </c>
      <c r="L175" s="94">
        <f>INDIRECT($B175&amp;"!"&amp;L$3&amp;"8")</f>
        <v/>
      </c>
      <c r="M175" s="95">
        <f>INDIRECT($B175&amp;"!"&amp;M$3&amp;"8")</f>
        <v/>
      </c>
      <c r="N175" s="96">
        <f>M175-L175</f>
        <v/>
      </c>
      <c r="O175" s="294" t="n"/>
      <c r="P175" s="303" t="n"/>
    </row>
    <row r="176" ht="18" customHeight="1" s="256" thickBot="1">
      <c r="B176" s="122">
        <f>B175</f>
        <v/>
      </c>
      <c r="C176" s="130" t="inlineStr">
        <is>
          <t>r05</t>
        </is>
      </c>
      <c r="D176" s="295">
        <f>0.000001*INDIRECT($B176&amp;"!E9")</f>
        <v/>
      </c>
      <c r="E176" s="294" t="n"/>
      <c r="F176" s="122">
        <f>F175</f>
        <v/>
      </c>
      <c r="G176" s="130" t="inlineStr">
        <is>
          <t>r05</t>
        </is>
      </c>
      <c r="H176" s="295">
        <f>0.000001*INDIRECT($B176&amp;"!AC9")</f>
        <v/>
      </c>
      <c r="J176" s="296">
        <f>H176/D176-1</f>
        <v/>
      </c>
      <c r="L176" s="94">
        <f>INDIRECT($B176&amp;"!"&amp;L$3&amp;"9")</f>
        <v/>
      </c>
      <c r="M176" s="95">
        <f>INDIRECT($B176&amp;"!"&amp;M$3&amp;"9")</f>
        <v/>
      </c>
      <c r="N176" s="96">
        <f>M176-L176</f>
        <v/>
      </c>
      <c r="O176" s="294" t="n"/>
      <c r="P176" s="299" t="n"/>
      <c r="AB176" s="298" t="n"/>
    </row>
    <row r="177">
      <c r="B177" s="109" t="n"/>
      <c r="C177" s="110" t="n"/>
      <c r="D177" s="300" t="n"/>
      <c r="F177" s="109" t="n"/>
      <c r="G177" s="110" t="n"/>
      <c r="H177" s="300" t="n"/>
      <c r="J177" s="98">
        <f>MIN(D172:D176,H172:H176)</f>
        <v/>
      </c>
      <c r="L177" s="99" t="n"/>
      <c r="M177" s="100" t="n"/>
      <c r="N177" s="101" t="n"/>
      <c r="O177" s="294" t="n"/>
      <c r="P177" s="264" t="n"/>
    </row>
    <row r="178" ht="18" customHeight="1" s="256" thickBot="1">
      <c r="B178" s="89" t="n"/>
      <c r="C178" s="92" t="n"/>
      <c r="D178" s="301" t="n"/>
      <c r="E178" s="294" t="n"/>
      <c r="F178" s="89" t="n"/>
      <c r="G178" s="92" t="n"/>
      <c r="H178" s="301" t="n"/>
      <c r="J178" s="102">
        <f>MAX(D172:D176,H172:H176)</f>
        <v/>
      </c>
      <c r="L178" s="103">
        <f>L177</f>
        <v/>
      </c>
      <c r="M178" s="104">
        <f>M177</f>
        <v/>
      </c>
      <c r="N178" s="97" t="n"/>
      <c r="O178" s="294" t="n"/>
      <c r="P178" s="5" t="n"/>
    </row>
    <row r="179" ht="16.5" customHeight="1" s="256" thickBot="1">
      <c r="AB179" s="298" t="n"/>
    </row>
    <row r="180">
      <c r="B180" s="261" t="inlineStr">
        <is>
          <t>Gymnast_UVGgs_0100</t>
        </is>
      </c>
      <c r="C180" s="262" t="n"/>
      <c r="D180" s="263" t="n"/>
      <c r="E180" s="2" t="n"/>
      <c r="F180" s="261">
        <f>B180</f>
        <v/>
      </c>
      <c r="G180" s="262" t="n"/>
      <c r="H180" s="263" t="n"/>
      <c r="J180" s="264" t="n"/>
      <c r="L180" s="264">
        <f>F180</f>
        <v/>
      </c>
      <c r="M180" s="262" t="n"/>
      <c r="N180" s="263" t="n"/>
      <c r="O180" s="195" t="n"/>
      <c r="P180" s="264" t="n"/>
    </row>
    <row r="181" ht="16.5" customHeight="1" s="256">
      <c r="B181" s="259" t="inlineStr">
        <is>
          <t>Test</t>
        </is>
      </c>
      <c r="D181" s="87" t="inlineStr">
        <is>
          <t>Bitstream (MB)</t>
        </is>
      </c>
      <c r="E181" s="294" t="n"/>
      <c r="F181" s="259" t="inlineStr">
        <is>
          <t>Test</t>
        </is>
      </c>
      <c r="H181" s="87" t="inlineStr">
        <is>
          <t>Bitstream (MB)</t>
        </is>
      </c>
      <c r="J181" s="257" t="inlineStr">
        <is>
          <t>%</t>
        </is>
      </c>
      <c r="L181" s="257" t="inlineStr">
        <is>
          <t>YUV-SSIM</t>
        </is>
      </c>
      <c r="N181" s="258" t="n"/>
      <c r="O181" s="85" t="n"/>
      <c r="P181" s="3" t="n"/>
    </row>
    <row r="182" ht="16.5" customHeight="1" s="256">
      <c r="B182" s="191" t="inlineStr">
        <is>
          <t>Anchor</t>
        </is>
      </c>
      <c r="C182" s="130" t="inlineStr">
        <is>
          <t>Test point</t>
        </is>
      </c>
      <c r="D182" s="86" t="inlineStr">
        <is>
          <t>Total</t>
        </is>
      </c>
      <c r="E182" s="294" t="n"/>
      <c r="F182" s="191" t="inlineStr">
        <is>
          <t>Anchor</t>
        </is>
      </c>
      <c r="G182" s="130" t="inlineStr">
        <is>
          <t>Test point</t>
        </is>
      </c>
      <c r="H182" s="86" t="inlineStr">
        <is>
          <t>Total</t>
        </is>
      </c>
      <c r="J182" s="93" t="n"/>
      <c r="L182" s="192">
        <f>CONCATENATE(B$2," ",L180)</f>
        <v/>
      </c>
      <c r="M182" s="193">
        <f>CONCATENATE(F$2," ",L180)</f>
        <v/>
      </c>
      <c r="N182" s="194" t="inlineStr">
        <is>
          <t>Delta</t>
        </is>
      </c>
      <c r="O182" s="2" t="n"/>
      <c r="P182" s="3" t="inlineStr">
        <is>
          <t>BD-rate</t>
        </is>
      </c>
    </row>
    <row r="183">
      <c r="B183" s="122">
        <f>B180</f>
        <v/>
      </c>
      <c r="C183" s="130" t="inlineStr">
        <is>
          <t>r01</t>
        </is>
      </c>
      <c r="D183" s="295">
        <f>0.000001*INDIRECT($B183&amp;"!E5")</f>
        <v/>
      </c>
      <c r="E183" s="294" t="n"/>
      <c r="F183" s="122">
        <f>F180</f>
        <v/>
      </c>
      <c r="G183" s="130" t="inlineStr">
        <is>
          <t>r01</t>
        </is>
      </c>
      <c r="H183" s="295">
        <f>0.000001*INDIRECT($B183&amp;"!AC5")</f>
        <v/>
      </c>
      <c r="J183" s="296">
        <f>H183/D183-1</f>
        <v/>
      </c>
      <c r="L183" s="94">
        <f>INDIRECT($B183&amp;"!"&amp;L$3&amp;"5")</f>
        <v/>
      </c>
      <c r="M183" s="95">
        <f>INDIRECT($B183&amp;"!"&amp;M$3&amp;"5")</f>
        <v/>
      </c>
      <c r="N183" s="96">
        <f>M183-L183</f>
        <v/>
      </c>
      <c r="O183" s="294" t="n"/>
      <c r="P183" s="296">
        <f>bdRateExtend(D183:D187,L183:L187,H183:H187,M183:M187)</f>
        <v/>
      </c>
    </row>
    <row r="184">
      <c r="B184" s="122">
        <f>B183</f>
        <v/>
      </c>
      <c r="C184" s="130" t="inlineStr">
        <is>
          <t>r02</t>
        </is>
      </c>
      <c r="D184" s="295">
        <f>0.000001*INDIRECT($B184&amp;"!E6")</f>
        <v/>
      </c>
      <c r="E184" s="294" t="n"/>
      <c r="F184" s="122">
        <f>F183</f>
        <v/>
      </c>
      <c r="G184" s="130" t="inlineStr">
        <is>
          <t>r02</t>
        </is>
      </c>
      <c r="H184" s="295">
        <f>0.000001*INDIRECT($B184&amp;"!AC6")</f>
        <v/>
      </c>
      <c r="J184" s="296">
        <f>H184/D184-1</f>
        <v/>
      </c>
      <c r="L184" s="94">
        <f>INDIRECT($B184&amp;"!"&amp;L$3&amp;"6")</f>
        <v/>
      </c>
      <c r="M184" s="95">
        <f>INDIRECT($B184&amp;"!"&amp;M$3&amp;"6")</f>
        <v/>
      </c>
      <c r="N184" s="96">
        <f>M184-L184</f>
        <v/>
      </c>
      <c r="O184" s="294" t="n"/>
      <c r="P184" s="3" t="n"/>
    </row>
    <row r="185">
      <c r="B185" s="122">
        <f>B184</f>
        <v/>
      </c>
      <c r="C185" s="130" t="inlineStr">
        <is>
          <t>r03</t>
        </is>
      </c>
      <c r="D185" s="295">
        <f>0.000001*INDIRECT($B185&amp;"!E7")</f>
        <v/>
      </c>
      <c r="E185" s="294" t="n"/>
      <c r="F185" s="122">
        <f>F184</f>
        <v/>
      </c>
      <c r="G185" s="130" t="inlineStr">
        <is>
          <t>r03</t>
        </is>
      </c>
      <c r="H185" s="295">
        <f>0.000001*INDIRECT($B185&amp;"!AC7")</f>
        <v/>
      </c>
      <c r="J185" s="296">
        <f>H185/D185-1</f>
        <v/>
      </c>
      <c r="L185" s="94">
        <f>INDIRECT($B185&amp;"!"&amp;L$3&amp;"7")</f>
        <v/>
      </c>
      <c r="M185" s="95">
        <f>INDIRECT($B185&amp;"!"&amp;M$3&amp;"7")</f>
        <v/>
      </c>
      <c r="N185" s="96">
        <f>M185-L185</f>
        <v/>
      </c>
      <c r="O185" s="294" t="n"/>
      <c r="P185" s="217" t="n"/>
    </row>
    <row r="186">
      <c r="B186" s="122">
        <f>B185</f>
        <v/>
      </c>
      <c r="C186" s="130" t="inlineStr">
        <is>
          <t>r04</t>
        </is>
      </c>
      <c r="D186" s="295">
        <f>0.000001*INDIRECT($B186&amp;"!E8")</f>
        <v/>
      </c>
      <c r="E186" s="294" t="n"/>
      <c r="F186" s="122">
        <f>F185</f>
        <v/>
      </c>
      <c r="G186" s="130" t="inlineStr">
        <is>
          <t>r04</t>
        </is>
      </c>
      <c r="H186" s="295">
        <f>0.000001*INDIRECT($B186&amp;"!AC8")</f>
        <v/>
      </c>
      <c r="J186" s="296">
        <f>H186/D186-1</f>
        <v/>
      </c>
      <c r="L186" s="94">
        <f>INDIRECT($B186&amp;"!"&amp;L$3&amp;"8")</f>
        <v/>
      </c>
      <c r="M186" s="95">
        <f>INDIRECT($B186&amp;"!"&amp;M$3&amp;"8")</f>
        <v/>
      </c>
      <c r="N186" s="96">
        <f>M186-L186</f>
        <v/>
      </c>
      <c r="O186" s="294" t="n"/>
      <c r="P186" s="303" t="n"/>
      <c r="AB186" s="298" t="n"/>
    </row>
    <row r="187" ht="18" customHeight="1" s="256" thickBot="1">
      <c r="B187" s="122">
        <f>B186</f>
        <v/>
      </c>
      <c r="C187" s="130" t="inlineStr">
        <is>
          <t>r05</t>
        </is>
      </c>
      <c r="D187" s="295">
        <f>0.000001*INDIRECT($B187&amp;"!E9")</f>
        <v/>
      </c>
      <c r="E187" s="294" t="n"/>
      <c r="F187" s="122">
        <f>F186</f>
        <v/>
      </c>
      <c r="G187" s="130" t="inlineStr">
        <is>
          <t>r05</t>
        </is>
      </c>
      <c r="H187" s="295">
        <f>0.000001*INDIRECT($B187&amp;"!AC9")</f>
        <v/>
      </c>
      <c r="J187" s="296">
        <f>H187/D187-1</f>
        <v/>
      </c>
      <c r="L187" s="94">
        <f>INDIRECT($B187&amp;"!"&amp;L$3&amp;"9")</f>
        <v/>
      </c>
      <c r="M187" s="95">
        <f>INDIRECT($B187&amp;"!"&amp;M$3&amp;"9")</f>
        <v/>
      </c>
      <c r="N187" s="96">
        <f>M187-L187</f>
        <v/>
      </c>
      <c r="O187" s="294" t="n"/>
      <c r="P187" s="299" t="n"/>
    </row>
    <row r="188">
      <c r="B188" s="109" t="n"/>
      <c r="C188" s="110" t="n"/>
      <c r="D188" s="300" t="n"/>
      <c r="F188" s="109" t="n"/>
      <c r="G188" s="110" t="n"/>
      <c r="H188" s="300" t="n"/>
      <c r="J188" s="98">
        <f>MIN(D183:D187,H183:H187)</f>
        <v/>
      </c>
      <c r="L188" s="99" t="n"/>
      <c r="M188" s="100" t="n"/>
      <c r="N188" s="101" t="n"/>
      <c r="O188" s="294" t="n"/>
      <c r="P188" s="264" t="n"/>
    </row>
    <row r="189" ht="16.5" customHeight="1" s="256" thickBot="1">
      <c r="B189" s="89" t="n"/>
      <c r="C189" s="92" t="n"/>
      <c r="D189" s="301" t="n"/>
      <c r="E189" s="294" t="n"/>
      <c r="F189" s="89" t="n"/>
      <c r="G189" s="92" t="n"/>
      <c r="H189" s="301" t="n"/>
      <c r="J189" s="102">
        <f>MAX(D183:D187,H183:H187)</f>
        <v/>
      </c>
      <c r="L189" s="103">
        <f>L188</f>
        <v/>
      </c>
      <c r="M189" s="104">
        <f>M188</f>
        <v/>
      </c>
      <c r="N189" s="97" t="n"/>
      <c r="O189" s="294" t="n"/>
      <c r="P189" s="5" t="n"/>
      <c r="AB189" s="298" t="n"/>
    </row>
    <row r="190" ht="18" customHeight="1" s="256" thickBot="1"/>
    <row r="191" ht="16.5" customHeight="1" s="256">
      <c r="B191" s="261" t="inlineStr">
        <is>
          <t>Gymnast_UVGgs_0200</t>
        </is>
      </c>
      <c r="C191" s="262" t="n"/>
      <c r="D191" s="263" t="n"/>
      <c r="E191" s="2" t="n"/>
      <c r="F191" s="261">
        <f>B191</f>
        <v/>
      </c>
      <c r="G191" s="262" t="n"/>
      <c r="H191" s="263" t="n"/>
      <c r="J191" s="264" t="n"/>
      <c r="L191" s="264">
        <f>F191</f>
        <v/>
      </c>
      <c r="M191" s="262" t="n"/>
      <c r="N191" s="263" t="n"/>
      <c r="O191" s="195" t="n"/>
      <c r="P191" s="264" t="n"/>
    </row>
    <row r="192" ht="16.5" customHeight="1" s="256">
      <c r="B192" s="259" t="inlineStr">
        <is>
          <t>Test</t>
        </is>
      </c>
      <c r="D192" s="87" t="inlineStr">
        <is>
          <t>Bitstream (MB)</t>
        </is>
      </c>
      <c r="E192" s="294" t="n"/>
      <c r="F192" s="259" t="inlineStr">
        <is>
          <t>Test</t>
        </is>
      </c>
      <c r="H192" s="87" t="inlineStr">
        <is>
          <t>Bitstream (MB)</t>
        </is>
      </c>
      <c r="J192" s="257" t="inlineStr">
        <is>
          <t>%</t>
        </is>
      </c>
      <c r="L192" s="257" t="inlineStr">
        <is>
          <t>YUV-SSIM</t>
        </is>
      </c>
      <c r="N192" s="258" t="n"/>
      <c r="O192" s="85" t="n"/>
      <c r="P192" s="3" t="n"/>
    </row>
    <row r="193">
      <c r="B193" s="191" t="inlineStr">
        <is>
          <t>Anchor</t>
        </is>
      </c>
      <c r="C193" s="130" t="inlineStr">
        <is>
          <t>Test point</t>
        </is>
      </c>
      <c r="D193" s="86" t="inlineStr">
        <is>
          <t>Total</t>
        </is>
      </c>
      <c r="E193" s="294" t="n"/>
      <c r="F193" s="191" t="inlineStr">
        <is>
          <t>Anchor</t>
        </is>
      </c>
      <c r="G193" s="130" t="inlineStr">
        <is>
          <t>Test point</t>
        </is>
      </c>
      <c r="H193" s="86" t="inlineStr">
        <is>
          <t>Total</t>
        </is>
      </c>
      <c r="J193" s="93" t="n"/>
      <c r="L193" s="192">
        <f>CONCATENATE(B$2," ",L191)</f>
        <v/>
      </c>
      <c r="M193" s="193">
        <f>CONCATENATE(F$2," ",L191)</f>
        <v/>
      </c>
      <c r="N193" s="194" t="inlineStr">
        <is>
          <t>Delta</t>
        </is>
      </c>
      <c r="O193" s="2" t="n"/>
      <c r="P193" s="3" t="inlineStr">
        <is>
          <t>BD-rate</t>
        </is>
      </c>
    </row>
    <row r="194">
      <c r="B194" s="122">
        <f>B191</f>
        <v/>
      </c>
      <c r="C194" s="130" t="inlineStr">
        <is>
          <t>r01</t>
        </is>
      </c>
      <c r="D194" s="295">
        <f>0.000001*INDIRECT($B194&amp;"!E5")</f>
        <v/>
      </c>
      <c r="E194" s="294" t="n"/>
      <c r="F194" s="122">
        <f>F191</f>
        <v/>
      </c>
      <c r="G194" s="130" t="inlineStr">
        <is>
          <t>r01</t>
        </is>
      </c>
      <c r="H194" s="295">
        <f>0.000001*INDIRECT($B194&amp;"!AC5")</f>
        <v/>
      </c>
      <c r="J194" s="296">
        <f>H194/D194-1</f>
        <v/>
      </c>
      <c r="L194" s="94">
        <f>INDIRECT($B194&amp;"!"&amp;L$3&amp;"5")</f>
        <v/>
      </c>
      <c r="M194" s="95">
        <f>INDIRECT($B194&amp;"!"&amp;M$3&amp;"5")</f>
        <v/>
      </c>
      <c r="N194" s="96">
        <f>M194-L194</f>
        <v/>
      </c>
      <c r="O194" s="294" t="n"/>
      <c r="P194" s="296">
        <f>bdRateExtend(D194:D198,L194:L198,H194:H198,M194:M198)</f>
        <v/>
      </c>
    </row>
    <row r="195">
      <c r="B195" s="122">
        <f>B194</f>
        <v/>
      </c>
      <c r="C195" s="130" t="inlineStr">
        <is>
          <t>r02</t>
        </is>
      </c>
      <c r="D195" s="295">
        <f>0.000001*INDIRECT($B195&amp;"!E6")</f>
        <v/>
      </c>
      <c r="E195" s="294" t="n"/>
      <c r="F195" s="122">
        <f>F194</f>
        <v/>
      </c>
      <c r="G195" s="130" t="inlineStr">
        <is>
          <t>r02</t>
        </is>
      </c>
      <c r="H195" s="295">
        <f>0.000001*INDIRECT($B195&amp;"!AC6")</f>
        <v/>
      </c>
      <c r="J195" s="296">
        <f>H195/D195-1</f>
        <v/>
      </c>
      <c r="L195" s="94">
        <f>INDIRECT($B195&amp;"!"&amp;L$3&amp;"6")</f>
        <v/>
      </c>
      <c r="M195" s="95">
        <f>INDIRECT($B195&amp;"!"&amp;M$3&amp;"6")</f>
        <v/>
      </c>
      <c r="N195" s="96">
        <f>M195-L195</f>
        <v/>
      </c>
      <c r="O195" s="294" t="n"/>
      <c r="P195" s="3" t="n"/>
    </row>
    <row r="196">
      <c r="B196" s="122">
        <f>B195</f>
        <v/>
      </c>
      <c r="C196" s="130" t="inlineStr">
        <is>
          <t>r03</t>
        </is>
      </c>
      <c r="D196" s="295">
        <f>0.000001*INDIRECT($B196&amp;"!E7")</f>
        <v/>
      </c>
      <c r="E196" s="294" t="n"/>
      <c r="F196" s="122">
        <f>F195</f>
        <v/>
      </c>
      <c r="G196" s="130" t="inlineStr">
        <is>
          <t>r03</t>
        </is>
      </c>
      <c r="H196" s="295">
        <f>0.000001*INDIRECT($B196&amp;"!AC7")</f>
        <v/>
      </c>
      <c r="J196" s="296">
        <f>H196/D196-1</f>
        <v/>
      </c>
      <c r="L196" s="94">
        <f>INDIRECT($B196&amp;"!"&amp;L$3&amp;"7")</f>
        <v/>
      </c>
      <c r="M196" s="95">
        <f>INDIRECT($B196&amp;"!"&amp;M$3&amp;"7")</f>
        <v/>
      </c>
      <c r="N196" s="96">
        <f>M196-L196</f>
        <v/>
      </c>
      <c r="O196" s="294" t="n"/>
      <c r="P196" s="217" t="n"/>
      <c r="AB196" s="298" t="n"/>
    </row>
    <row r="197">
      <c r="B197" s="122">
        <f>B196</f>
        <v/>
      </c>
      <c r="C197" s="130" t="inlineStr">
        <is>
          <t>r04</t>
        </is>
      </c>
      <c r="D197" s="295">
        <f>0.000001*INDIRECT($B197&amp;"!E8")</f>
        <v/>
      </c>
      <c r="E197" s="294" t="n"/>
      <c r="F197" s="122">
        <f>F196</f>
        <v/>
      </c>
      <c r="G197" s="130" t="inlineStr">
        <is>
          <t>r04</t>
        </is>
      </c>
      <c r="H197" s="295">
        <f>0.000001*INDIRECT($B197&amp;"!AC8")</f>
        <v/>
      </c>
      <c r="J197" s="296">
        <f>H197/D197-1</f>
        <v/>
      </c>
      <c r="L197" s="94">
        <f>INDIRECT($B197&amp;"!"&amp;L$3&amp;"8")</f>
        <v/>
      </c>
      <c r="M197" s="95">
        <f>INDIRECT($B197&amp;"!"&amp;M$3&amp;"8")</f>
        <v/>
      </c>
      <c r="N197" s="96">
        <f>M197-L197</f>
        <v/>
      </c>
      <c r="O197" s="294" t="n"/>
      <c r="P197" s="303" t="n"/>
    </row>
    <row r="198" ht="18" customHeight="1" s="256" thickBot="1">
      <c r="B198" s="122">
        <f>B197</f>
        <v/>
      </c>
      <c r="C198" s="130" t="inlineStr">
        <is>
          <t>r05</t>
        </is>
      </c>
      <c r="D198" s="295">
        <f>0.000001*INDIRECT($B198&amp;"!E9")</f>
        <v/>
      </c>
      <c r="E198" s="294" t="n"/>
      <c r="F198" s="122">
        <f>F197</f>
        <v/>
      </c>
      <c r="G198" s="130" t="inlineStr">
        <is>
          <t>r05</t>
        </is>
      </c>
      <c r="H198" s="295">
        <f>0.000001*INDIRECT($B198&amp;"!AC9")</f>
        <v/>
      </c>
      <c r="J198" s="296">
        <f>H198/D198-1</f>
        <v/>
      </c>
      <c r="L198" s="94">
        <f>INDIRECT($B198&amp;"!"&amp;L$3&amp;"9")</f>
        <v/>
      </c>
      <c r="M198" s="95">
        <f>INDIRECT($B198&amp;"!"&amp;M$3&amp;"9")</f>
        <v/>
      </c>
      <c r="N198" s="96">
        <f>M198-L198</f>
        <v/>
      </c>
      <c r="O198" s="294" t="n"/>
      <c r="P198" s="299" t="n"/>
    </row>
    <row r="199" ht="16.5" customHeight="1" s="256">
      <c r="B199" s="109" t="n"/>
      <c r="C199" s="110" t="n"/>
      <c r="D199" s="300" t="n"/>
      <c r="F199" s="109" t="n"/>
      <c r="G199" s="110" t="n"/>
      <c r="H199" s="300" t="n"/>
      <c r="J199" s="98">
        <f>MIN(D194:D198,H194:H198)</f>
        <v/>
      </c>
      <c r="L199" s="99" t="n"/>
      <c r="M199" s="100" t="n"/>
      <c r="N199" s="101" t="n"/>
      <c r="O199" s="294" t="n"/>
      <c r="P199" s="264" t="n"/>
      <c r="AB199" s="298" t="n"/>
    </row>
    <row r="200" ht="18" customHeight="1" s="256" thickBot="1">
      <c r="B200" s="89" t="n"/>
      <c r="C200" s="92" t="n"/>
      <c r="D200" s="301" t="n"/>
      <c r="E200" s="294" t="n"/>
      <c r="F200" s="89" t="n"/>
      <c r="G200" s="92" t="n"/>
      <c r="H200" s="301" t="n"/>
      <c r="J200" s="102">
        <f>MAX(D194:D198,H194:H198)</f>
        <v/>
      </c>
      <c r="L200" s="103">
        <f>L199</f>
        <v/>
      </c>
      <c r="M200" s="104">
        <f>M199</f>
        <v/>
      </c>
      <c r="N200" s="97" t="n"/>
      <c r="O200" s="294" t="n"/>
      <c r="P200" s="5" t="n"/>
    </row>
    <row r="201" ht="16.5" customHeight="1" s="256" thickBot="1"/>
    <row r="202" ht="16.5" customHeight="1" s="256">
      <c r="B202" s="261" t="inlineStr">
        <is>
          <t>artwork</t>
        </is>
      </c>
      <c r="C202" s="262" t="n"/>
      <c r="D202" s="263" t="n"/>
      <c r="E202" s="2" t="n"/>
      <c r="F202" s="261">
        <f>B202</f>
        <v/>
      </c>
      <c r="G202" s="262" t="n"/>
      <c r="H202" s="263" t="n"/>
      <c r="J202" s="264" t="n"/>
      <c r="L202" s="264">
        <f>F202</f>
        <v/>
      </c>
      <c r="M202" s="262" t="n"/>
      <c r="N202" s="263" t="n"/>
      <c r="O202" s="195" t="n"/>
      <c r="P202" s="264" t="n"/>
    </row>
    <row r="203">
      <c r="B203" s="259" t="inlineStr">
        <is>
          <t>Test</t>
        </is>
      </c>
      <c r="D203" s="87" t="inlineStr">
        <is>
          <t>Bitstream (MB)</t>
        </is>
      </c>
      <c r="E203" s="294" t="n"/>
      <c r="F203" s="259" t="inlineStr">
        <is>
          <t>Test</t>
        </is>
      </c>
      <c r="H203" s="87" t="inlineStr">
        <is>
          <t>Bitstream (MB)</t>
        </is>
      </c>
      <c r="J203" s="257" t="inlineStr">
        <is>
          <t>%</t>
        </is>
      </c>
      <c r="L203" s="257" t="inlineStr">
        <is>
          <t>YUV-SSIM</t>
        </is>
      </c>
      <c r="N203" s="258" t="n"/>
      <c r="O203" s="85" t="n"/>
      <c r="P203" s="3" t="n"/>
    </row>
    <row r="204">
      <c r="B204" s="191" t="inlineStr">
        <is>
          <t>Anchor</t>
        </is>
      </c>
      <c r="C204" s="130" t="inlineStr">
        <is>
          <t>Test point</t>
        </is>
      </c>
      <c r="D204" s="86" t="inlineStr">
        <is>
          <t>Total</t>
        </is>
      </c>
      <c r="E204" s="294" t="n"/>
      <c r="F204" s="191" t="inlineStr">
        <is>
          <t>Anchor</t>
        </is>
      </c>
      <c r="G204" s="130" t="inlineStr">
        <is>
          <t>Test point</t>
        </is>
      </c>
      <c r="H204" s="86" t="inlineStr">
        <is>
          <t>Total</t>
        </is>
      </c>
      <c r="J204" s="93" t="n"/>
      <c r="L204" s="192">
        <f>CONCATENATE(B$2," ",L202)</f>
        <v/>
      </c>
      <c r="M204" s="193">
        <f>CONCATENATE(F$2," ",L202)</f>
        <v/>
      </c>
      <c r="N204" s="194" t="inlineStr">
        <is>
          <t>Delta</t>
        </is>
      </c>
      <c r="O204" s="2" t="n"/>
      <c r="P204" s="3" t="inlineStr">
        <is>
          <t>BD-rate</t>
        </is>
      </c>
    </row>
    <row r="205">
      <c r="B205" s="122">
        <f>B202</f>
        <v/>
      </c>
      <c r="C205" s="130" t="inlineStr">
        <is>
          <t>r01</t>
        </is>
      </c>
      <c r="D205" s="295">
        <f>0.000001*INDIRECT($B205&amp;"!E5")</f>
        <v/>
      </c>
      <c r="E205" s="294" t="n"/>
      <c r="F205" s="122">
        <f>F202</f>
        <v/>
      </c>
      <c r="G205" s="130" t="inlineStr">
        <is>
          <t>r01</t>
        </is>
      </c>
      <c r="H205" s="295">
        <f>0.000001*INDIRECT($B205&amp;"!AC5")</f>
        <v/>
      </c>
      <c r="J205" s="296">
        <f>H205/D205-1</f>
        <v/>
      </c>
      <c r="L205" s="94">
        <f>INDIRECT($B205&amp;"!"&amp;L$3&amp;"5")</f>
        <v/>
      </c>
      <c r="M205" s="95">
        <f>INDIRECT($B205&amp;"!"&amp;M$3&amp;"5")</f>
        <v/>
      </c>
      <c r="N205" s="96">
        <f>M205-L205</f>
        <v/>
      </c>
      <c r="O205" s="294" t="n"/>
      <c r="P205" s="296">
        <f>bdRateExtend(D205:D209,L205:L209,H205:H209,M205:M209)</f>
        <v/>
      </c>
    </row>
    <row r="206">
      <c r="B206" s="122">
        <f>B205</f>
        <v/>
      </c>
      <c r="C206" s="130" t="inlineStr">
        <is>
          <t>r02</t>
        </is>
      </c>
      <c r="D206" s="295">
        <f>0.000001*INDIRECT($B206&amp;"!E6")</f>
        <v/>
      </c>
      <c r="E206" s="294" t="n"/>
      <c r="F206" s="122">
        <f>F205</f>
        <v/>
      </c>
      <c r="G206" s="130" t="inlineStr">
        <is>
          <t>r02</t>
        </is>
      </c>
      <c r="H206" s="295">
        <f>0.000001*INDIRECT($B206&amp;"!AC6")</f>
        <v/>
      </c>
      <c r="J206" s="296">
        <f>H206/D206-1</f>
        <v/>
      </c>
      <c r="L206" s="94">
        <f>INDIRECT($B206&amp;"!"&amp;L$3&amp;"6")</f>
        <v/>
      </c>
      <c r="M206" s="95">
        <f>INDIRECT($B206&amp;"!"&amp;M$3&amp;"6")</f>
        <v/>
      </c>
      <c r="N206" s="96">
        <f>M206-L206</f>
        <v/>
      </c>
      <c r="O206" s="294" t="n"/>
      <c r="P206" s="3" t="n"/>
      <c r="AB206" s="298" t="n"/>
    </row>
    <row r="207">
      <c r="B207" s="122">
        <f>B206</f>
        <v/>
      </c>
      <c r="C207" s="130" t="inlineStr">
        <is>
          <t>r03</t>
        </is>
      </c>
      <c r="D207" s="295">
        <f>0.000001*INDIRECT($B207&amp;"!E7")</f>
        <v/>
      </c>
      <c r="E207" s="294" t="n"/>
      <c r="F207" s="122">
        <f>F206</f>
        <v/>
      </c>
      <c r="G207" s="130" t="inlineStr">
        <is>
          <t>r03</t>
        </is>
      </c>
      <c r="H207" s="295">
        <f>0.000001*INDIRECT($B207&amp;"!AC7")</f>
        <v/>
      </c>
      <c r="J207" s="296">
        <f>H207/D207-1</f>
        <v/>
      </c>
      <c r="L207" s="94">
        <f>INDIRECT($B207&amp;"!"&amp;L$3&amp;"7")</f>
        <v/>
      </c>
      <c r="M207" s="95">
        <f>INDIRECT($B207&amp;"!"&amp;M$3&amp;"7")</f>
        <v/>
      </c>
      <c r="N207" s="96">
        <f>M207-L207</f>
        <v/>
      </c>
      <c r="O207" s="294" t="n"/>
      <c r="P207" s="217" t="n"/>
    </row>
    <row r="208">
      <c r="B208" s="122">
        <f>B207</f>
        <v/>
      </c>
      <c r="C208" s="130" t="inlineStr">
        <is>
          <t>r04</t>
        </is>
      </c>
      <c r="D208" s="295">
        <f>0.000001*INDIRECT($B208&amp;"!E8")</f>
        <v/>
      </c>
      <c r="E208" s="294" t="n"/>
      <c r="F208" s="122">
        <f>F207</f>
        <v/>
      </c>
      <c r="G208" s="130" t="inlineStr">
        <is>
          <t>r04</t>
        </is>
      </c>
      <c r="H208" s="295">
        <f>0.000001*INDIRECT($B208&amp;"!AC8")</f>
        <v/>
      </c>
      <c r="J208" s="296">
        <f>H208/D208-1</f>
        <v/>
      </c>
      <c r="L208" s="94">
        <f>INDIRECT($B208&amp;"!"&amp;L$3&amp;"8")</f>
        <v/>
      </c>
      <c r="M208" s="95">
        <f>INDIRECT($B208&amp;"!"&amp;M$3&amp;"8")</f>
        <v/>
      </c>
      <c r="N208" s="96">
        <f>M208-L208</f>
        <v/>
      </c>
      <c r="O208" s="294" t="n"/>
      <c r="P208" s="303" t="n"/>
    </row>
    <row r="209" ht="16.5" customHeight="1" s="256" thickBot="1">
      <c r="B209" s="122">
        <f>B208</f>
        <v/>
      </c>
      <c r="C209" s="130" t="inlineStr">
        <is>
          <t>r05</t>
        </is>
      </c>
      <c r="D209" s="295">
        <f>0.000001*INDIRECT($B209&amp;"!E9")</f>
        <v/>
      </c>
      <c r="E209" s="294" t="n"/>
      <c r="F209" s="122">
        <f>F208</f>
        <v/>
      </c>
      <c r="G209" s="130" t="inlineStr">
        <is>
          <t>r05</t>
        </is>
      </c>
      <c r="H209" s="295">
        <f>0.000001*INDIRECT($B209&amp;"!AC9")</f>
        <v/>
      </c>
      <c r="J209" s="296">
        <f>H209/D209-1</f>
        <v/>
      </c>
      <c r="L209" s="94">
        <f>INDIRECT($B209&amp;"!"&amp;L$3&amp;"9")</f>
        <v/>
      </c>
      <c r="M209" s="95">
        <f>INDIRECT($B209&amp;"!"&amp;M$3&amp;"9")</f>
        <v/>
      </c>
      <c r="N209" s="96">
        <f>M209-L209</f>
        <v/>
      </c>
      <c r="O209" s="294" t="n"/>
      <c r="P209" s="299" t="n"/>
      <c r="AB209" s="298" t="n"/>
    </row>
    <row r="210">
      <c r="B210" s="109" t="n"/>
      <c r="C210" s="110" t="n"/>
      <c r="D210" s="300" t="n"/>
      <c r="F210" s="109" t="n"/>
      <c r="G210" s="110" t="n"/>
      <c r="H210" s="300" t="n"/>
      <c r="J210" s="98">
        <f>MIN(D205:D209,H205:H209)</f>
        <v/>
      </c>
      <c r="L210" s="99" t="n"/>
      <c r="M210" s="100" t="n"/>
      <c r="N210" s="101" t="n"/>
      <c r="O210" s="294" t="n"/>
      <c r="P210" s="264" t="n"/>
    </row>
    <row r="211" ht="16.5" customHeight="1" s="256" thickBot="1">
      <c r="B211" s="89" t="n"/>
      <c r="C211" s="92" t="n"/>
      <c r="D211" s="301" t="n"/>
      <c r="E211" s="294" t="n"/>
      <c r="F211" s="89" t="n"/>
      <c r="G211" s="92" t="n"/>
      <c r="H211" s="301" t="n"/>
      <c r="J211" s="102">
        <f>MAX(D205:D209,H205:H209)</f>
        <v/>
      </c>
      <c r="L211" s="103">
        <f>L210</f>
        <v/>
      </c>
      <c r="M211" s="104">
        <f>M210</f>
        <v/>
      </c>
      <c r="N211" s="97" t="n"/>
      <c r="O211" s="294" t="n"/>
      <c r="P211" s="5" t="n"/>
    </row>
    <row r="212" ht="16.5" customHeight="1" s="256" thickBot="1"/>
    <row r="213">
      <c r="B213" s="261" t="inlineStr">
        <is>
          <t>panda</t>
        </is>
      </c>
      <c r="C213" s="262" t="n"/>
      <c r="D213" s="263" t="n"/>
      <c r="E213" s="2" t="n"/>
      <c r="F213" s="261">
        <f>B213</f>
        <v/>
      </c>
      <c r="G213" s="262" t="n"/>
      <c r="H213" s="263" t="n"/>
      <c r="J213" s="264" t="n"/>
      <c r="L213" s="264">
        <f>F213</f>
        <v/>
      </c>
      <c r="M213" s="262" t="n"/>
      <c r="N213" s="263" t="n"/>
      <c r="O213" s="195" t="n"/>
      <c r="P213" s="264" t="n"/>
    </row>
    <row r="214">
      <c r="B214" s="259" t="inlineStr">
        <is>
          <t>Test</t>
        </is>
      </c>
      <c r="D214" s="87" t="inlineStr">
        <is>
          <t>Bitstream (MB)</t>
        </is>
      </c>
      <c r="E214" s="294" t="n"/>
      <c r="F214" s="259" t="inlineStr">
        <is>
          <t>Test</t>
        </is>
      </c>
      <c r="H214" s="87" t="inlineStr">
        <is>
          <t>Bitstream (MB)</t>
        </is>
      </c>
      <c r="J214" s="257" t="inlineStr">
        <is>
          <t>%</t>
        </is>
      </c>
      <c r="L214" s="257" t="inlineStr">
        <is>
          <t>YUV-SSIM</t>
        </is>
      </c>
      <c r="N214" s="258" t="n"/>
      <c r="O214" s="85" t="n"/>
      <c r="P214" s="3" t="n"/>
    </row>
    <row r="215">
      <c r="B215" s="191" t="inlineStr">
        <is>
          <t>Anchor</t>
        </is>
      </c>
      <c r="C215" s="130" t="inlineStr">
        <is>
          <t>Test point</t>
        </is>
      </c>
      <c r="D215" s="86" t="inlineStr">
        <is>
          <t>Total</t>
        </is>
      </c>
      <c r="E215" s="294" t="n"/>
      <c r="F215" s="191" t="inlineStr">
        <is>
          <t>Anchor</t>
        </is>
      </c>
      <c r="G215" s="130" t="inlineStr">
        <is>
          <t>Test point</t>
        </is>
      </c>
      <c r="H215" s="86" t="inlineStr">
        <is>
          <t>Total</t>
        </is>
      </c>
      <c r="I215" s="2" t="n"/>
      <c r="J215" s="93" t="n"/>
      <c r="L215" s="192">
        <f>CONCATENATE(B$2," ",L213)</f>
        <v/>
      </c>
      <c r="M215" s="193">
        <f>CONCATENATE(F$2," ",L213)</f>
        <v/>
      </c>
      <c r="N215" s="194" t="inlineStr">
        <is>
          <t>Delta</t>
        </is>
      </c>
      <c r="O215" s="2" t="n"/>
      <c r="P215" s="3" t="inlineStr">
        <is>
          <t>BD-rate</t>
        </is>
      </c>
      <c r="Q215" s="2" t="n"/>
      <c r="R215" s="2" t="n"/>
      <c r="S215" s="2" t="n"/>
      <c r="T215" s="2" t="n"/>
      <c r="U215" s="2" t="n"/>
      <c r="V215" s="2" t="n"/>
      <c r="X215" s="195" t="n"/>
      <c r="Y215" s="195" t="n"/>
      <c r="Z215" s="195" t="n"/>
    </row>
    <row r="216">
      <c r="B216" s="122">
        <f>B213</f>
        <v/>
      </c>
      <c r="C216" s="130" t="inlineStr">
        <is>
          <t>r01</t>
        </is>
      </c>
      <c r="D216" s="295">
        <f>0.000001*INDIRECT($B216&amp;"!E5")</f>
        <v/>
      </c>
      <c r="E216" s="294" t="n"/>
      <c r="F216" s="122">
        <f>F213</f>
        <v/>
      </c>
      <c r="G216" s="130" t="inlineStr">
        <is>
          <t>r01</t>
        </is>
      </c>
      <c r="H216" s="295">
        <f>0.000001*INDIRECT($B216&amp;"!AC5")</f>
        <v/>
      </c>
      <c r="I216" s="9" t="n"/>
      <c r="J216" s="296">
        <f>H216/D216-1</f>
        <v/>
      </c>
      <c r="L216" s="94">
        <f>INDIRECT($B216&amp;"!"&amp;L$3&amp;"5")</f>
        <v/>
      </c>
      <c r="M216" s="95">
        <f>INDIRECT($B216&amp;"!"&amp;M$3&amp;"5")</f>
        <v/>
      </c>
      <c r="N216" s="96">
        <f>M216-L216</f>
        <v/>
      </c>
      <c r="O216" s="294" t="n"/>
      <c r="P216" s="296">
        <f>bdRateExtend(D216:D220,L216:L220,H216:H220,M216:M220)</f>
        <v/>
      </c>
      <c r="Q216" s="294" t="n"/>
      <c r="R216" s="9" t="n"/>
      <c r="S216" s="9" t="n"/>
      <c r="T216" s="9" t="n"/>
      <c r="U216" s="9" t="n"/>
      <c r="V216" s="297" t="n"/>
      <c r="X216" s="6" t="n"/>
      <c r="Y216" s="6" t="n"/>
      <c r="Z216" s="81" t="n"/>
      <c r="AB216" s="298" t="n"/>
    </row>
    <row r="217">
      <c r="B217" s="122">
        <f>B216</f>
        <v/>
      </c>
      <c r="C217" s="130" t="inlineStr">
        <is>
          <t>r02</t>
        </is>
      </c>
      <c r="D217" s="295">
        <f>0.000001*INDIRECT($B217&amp;"!E6")</f>
        <v/>
      </c>
      <c r="E217" s="294" t="n"/>
      <c r="F217" s="122">
        <f>F216</f>
        <v/>
      </c>
      <c r="G217" s="130" t="inlineStr">
        <is>
          <t>r02</t>
        </is>
      </c>
      <c r="H217" s="295">
        <f>0.000001*INDIRECT($B217&amp;"!AC6")</f>
        <v/>
      </c>
      <c r="I217" s="9" t="n"/>
      <c r="J217" s="296">
        <f>H217/D217-1</f>
        <v/>
      </c>
      <c r="L217" s="94">
        <f>INDIRECT($B217&amp;"!"&amp;L$3&amp;"6")</f>
        <v/>
      </c>
      <c r="M217" s="95">
        <f>INDIRECT($B217&amp;"!"&amp;M$3&amp;"6")</f>
        <v/>
      </c>
      <c r="N217" s="96">
        <f>M217-L217</f>
        <v/>
      </c>
      <c r="O217" s="294" t="n"/>
      <c r="P217" s="3" t="n"/>
      <c r="Q217" s="294" t="n"/>
      <c r="R217" s="9" t="n"/>
      <c r="S217" s="9" t="n"/>
      <c r="T217" s="9" t="n"/>
      <c r="U217" s="9" t="n"/>
      <c r="V217" s="297" t="n"/>
      <c r="X217" s="6" t="n"/>
      <c r="Y217" s="6" t="n"/>
      <c r="Z217" s="81" t="n"/>
    </row>
    <row r="218">
      <c r="B218" s="122">
        <f>B217</f>
        <v/>
      </c>
      <c r="C218" s="130" t="inlineStr">
        <is>
          <t>r03</t>
        </is>
      </c>
      <c r="D218" s="295">
        <f>0.000001*INDIRECT($B218&amp;"!E7")</f>
        <v/>
      </c>
      <c r="E218" s="294" t="n"/>
      <c r="F218" s="122">
        <f>F217</f>
        <v/>
      </c>
      <c r="G218" s="130" t="inlineStr">
        <is>
          <t>r03</t>
        </is>
      </c>
      <c r="H218" s="295">
        <f>0.000001*INDIRECT($B218&amp;"!AC7")</f>
        <v/>
      </c>
      <c r="I218" s="9" t="n"/>
      <c r="J218" s="296">
        <f>H218/D218-1</f>
        <v/>
      </c>
      <c r="L218" s="94">
        <f>INDIRECT($B218&amp;"!"&amp;L$3&amp;"7")</f>
        <v/>
      </c>
      <c r="M218" s="95">
        <f>INDIRECT($B218&amp;"!"&amp;M$3&amp;"7")</f>
        <v/>
      </c>
      <c r="N218" s="96">
        <f>M218-L218</f>
        <v/>
      </c>
      <c r="O218" s="294" t="n"/>
      <c r="P218" s="217" t="n"/>
      <c r="Q218" s="294" t="n"/>
      <c r="R218" s="9" t="n"/>
      <c r="S218" s="9" t="n"/>
      <c r="T218" s="9" t="n"/>
      <c r="U218" s="9" t="n"/>
      <c r="V218" s="297" t="n"/>
      <c r="X218" s="6" t="n"/>
      <c r="Y218" s="6" t="n"/>
      <c r="Z218" s="81" t="n"/>
    </row>
    <row r="219" ht="16.5" customHeight="1" s="256">
      <c r="B219" s="122">
        <f>B218</f>
        <v/>
      </c>
      <c r="C219" s="130" t="inlineStr">
        <is>
          <t>r04</t>
        </is>
      </c>
      <c r="D219" s="295">
        <f>0.000001*INDIRECT($B219&amp;"!E8")</f>
        <v/>
      </c>
      <c r="E219" s="294" t="n"/>
      <c r="F219" s="122">
        <f>F218</f>
        <v/>
      </c>
      <c r="G219" s="130" t="inlineStr">
        <is>
          <t>r04</t>
        </is>
      </c>
      <c r="H219" s="295">
        <f>0.000001*INDIRECT($B219&amp;"!AC8")</f>
        <v/>
      </c>
      <c r="I219" s="9" t="n"/>
      <c r="J219" s="296">
        <f>H219/D219-1</f>
        <v/>
      </c>
      <c r="L219" s="94">
        <f>INDIRECT($B219&amp;"!"&amp;L$3&amp;"8")</f>
        <v/>
      </c>
      <c r="M219" s="95">
        <f>INDIRECT($B219&amp;"!"&amp;M$3&amp;"8")</f>
        <v/>
      </c>
      <c r="N219" s="96">
        <f>M219-L219</f>
        <v/>
      </c>
      <c r="O219" s="294" t="n"/>
      <c r="P219" s="303" t="n"/>
      <c r="Q219" s="294" t="n"/>
      <c r="R219" s="9" t="n"/>
      <c r="S219" s="9" t="n"/>
      <c r="T219" s="9" t="n"/>
      <c r="U219" s="9" t="n"/>
      <c r="V219" s="297" t="n"/>
      <c r="X219" s="6" t="n"/>
      <c r="Y219" s="6" t="n"/>
      <c r="Z219" s="81" t="n"/>
      <c r="AB219" s="298" t="n"/>
    </row>
    <row r="220" ht="18" customHeight="1" s="256" thickBot="1">
      <c r="B220" s="122">
        <f>B219</f>
        <v/>
      </c>
      <c r="C220" s="130" t="inlineStr">
        <is>
          <t>r05</t>
        </is>
      </c>
      <c r="D220" s="295">
        <f>0.000001*INDIRECT($B220&amp;"!E9")</f>
        <v/>
      </c>
      <c r="E220" s="294" t="n"/>
      <c r="F220" s="122">
        <f>F219</f>
        <v/>
      </c>
      <c r="G220" s="130" t="inlineStr">
        <is>
          <t>r05</t>
        </is>
      </c>
      <c r="H220" s="295">
        <f>0.000001*INDIRECT($B220&amp;"!AC9")</f>
        <v/>
      </c>
      <c r="I220" s="9" t="n"/>
      <c r="J220" s="296">
        <f>H220/D220-1</f>
        <v/>
      </c>
      <c r="L220" s="94">
        <f>INDIRECT($B220&amp;"!"&amp;L$3&amp;"9")</f>
        <v/>
      </c>
      <c r="M220" s="95">
        <f>INDIRECT($B220&amp;"!"&amp;M$3&amp;"9")</f>
        <v/>
      </c>
      <c r="N220" s="96">
        <f>M220-L220</f>
        <v/>
      </c>
      <c r="O220" s="294" t="n"/>
      <c r="P220" s="299" t="n"/>
      <c r="Q220" s="294" t="n"/>
      <c r="R220" s="9" t="n"/>
      <c r="S220" s="9" t="n"/>
      <c r="T220" s="9" t="n"/>
      <c r="U220" s="9" t="n"/>
      <c r="V220" s="83" t="n"/>
      <c r="X220" s="6" t="n"/>
      <c r="Y220" s="6" t="n"/>
      <c r="Z220" s="81" t="n"/>
    </row>
    <row r="221" ht="16.5" customHeight="1" s="256">
      <c r="B221" s="109" t="n"/>
      <c r="C221" s="110" t="n"/>
      <c r="D221" s="300" t="n"/>
      <c r="F221" s="109" t="n"/>
      <c r="G221" s="110" t="n"/>
      <c r="H221" s="300" t="n"/>
      <c r="I221" s="9" t="n"/>
      <c r="J221" s="98">
        <f>MIN(D216:D220,H216:H220)</f>
        <v/>
      </c>
      <c r="L221" s="99" t="n"/>
      <c r="M221" s="100" t="n"/>
      <c r="N221" s="101" t="n"/>
      <c r="O221" s="294" t="n"/>
      <c r="P221" s="264" t="n"/>
      <c r="Q221" s="294" t="n"/>
      <c r="R221" s="9" t="n"/>
      <c r="S221" s="9" t="n"/>
      <c r="T221" s="9" t="n"/>
      <c r="U221" s="9" t="n"/>
      <c r="V221" s="83" t="n"/>
      <c r="X221" s="84" t="n"/>
      <c r="Y221" s="84" t="n"/>
      <c r="Z221" s="81" t="n"/>
    </row>
    <row r="222" ht="18" customHeight="1" s="256" thickBot="1">
      <c r="B222" s="89" t="n"/>
      <c r="C222" s="92" t="n"/>
      <c r="D222" s="301" t="n"/>
      <c r="E222" s="294" t="n"/>
      <c r="F222" s="89" t="n"/>
      <c r="G222" s="92" t="n"/>
      <c r="H222" s="301" t="n"/>
      <c r="J222" s="102">
        <f>MAX(D216:D220,H216:H220)</f>
        <v/>
      </c>
      <c r="L222" s="103">
        <f>L221</f>
        <v/>
      </c>
      <c r="M222" s="104">
        <f>M221</f>
        <v/>
      </c>
      <c r="N222" s="97" t="n"/>
      <c r="O222" s="294" t="n"/>
      <c r="P222" s="5" t="n"/>
    </row>
    <row r="223" ht="18" customHeight="1" s="256" thickBot="1"/>
    <row r="224">
      <c r="B224" s="261" t="inlineStr">
        <is>
          <t>wukong</t>
        </is>
      </c>
      <c r="C224" s="262" t="n"/>
      <c r="D224" s="263" t="n"/>
      <c r="E224" s="2" t="n"/>
      <c r="F224" s="261">
        <f>B224</f>
        <v/>
      </c>
      <c r="G224" s="262" t="n"/>
      <c r="H224" s="263" t="n"/>
      <c r="J224" s="264" t="n"/>
      <c r="L224" s="264">
        <f>F224</f>
        <v/>
      </c>
      <c r="M224" s="262" t="n"/>
      <c r="N224" s="263" t="n"/>
      <c r="O224" s="195" t="n"/>
      <c r="P224" s="264" t="n"/>
    </row>
    <row r="225">
      <c r="B225" s="259" t="inlineStr">
        <is>
          <t>Test</t>
        </is>
      </c>
      <c r="D225" s="87" t="inlineStr">
        <is>
          <t>Bitstream (MB)</t>
        </is>
      </c>
      <c r="E225" s="294" t="n"/>
      <c r="F225" s="259" t="inlineStr">
        <is>
          <t>Test</t>
        </is>
      </c>
      <c r="H225" s="87" t="inlineStr">
        <is>
          <t>Bitstream (MB)</t>
        </is>
      </c>
      <c r="J225" s="257" t="inlineStr">
        <is>
          <t>%</t>
        </is>
      </c>
      <c r="L225" s="257" t="inlineStr">
        <is>
          <t>YUV-SSIM</t>
        </is>
      </c>
      <c r="N225" s="258" t="n"/>
      <c r="O225" s="85" t="n"/>
      <c r="P225" s="3" t="n"/>
    </row>
    <row r="226">
      <c r="B226" s="191" t="inlineStr">
        <is>
          <t>Anchor</t>
        </is>
      </c>
      <c r="C226" s="130" t="inlineStr">
        <is>
          <t>Test point</t>
        </is>
      </c>
      <c r="D226" s="86" t="inlineStr">
        <is>
          <t>Total</t>
        </is>
      </c>
      <c r="E226" s="294" t="n"/>
      <c r="F226" s="191" t="inlineStr">
        <is>
          <t>Anchor</t>
        </is>
      </c>
      <c r="G226" s="130" t="inlineStr">
        <is>
          <t>Test point</t>
        </is>
      </c>
      <c r="H226" s="86" t="inlineStr">
        <is>
          <t>Total</t>
        </is>
      </c>
      <c r="J226" s="93" t="n"/>
      <c r="L226" s="192">
        <f>CONCATENATE(B$2," ",L224)</f>
        <v/>
      </c>
      <c r="M226" s="193">
        <f>CONCATENATE(F$2," ",L224)</f>
        <v/>
      </c>
      <c r="N226" s="194" t="inlineStr">
        <is>
          <t>Delta</t>
        </is>
      </c>
      <c r="O226" s="2" t="n"/>
      <c r="P226" s="3" t="inlineStr">
        <is>
          <t>BD-rate</t>
        </is>
      </c>
    </row>
    <row r="227">
      <c r="B227" s="122">
        <f>B224</f>
        <v/>
      </c>
      <c r="C227" s="130" t="inlineStr">
        <is>
          <t>r01</t>
        </is>
      </c>
      <c r="D227" s="295">
        <f>0.000001*INDIRECT($B227&amp;"!E5")</f>
        <v/>
      </c>
      <c r="E227" s="294" t="n"/>
      <c r="F227" s="122">
        <f>F224</f>
        <v/>
      </c>
      <c r="G227" s="130" t="inlineStr">
        <is>
          <t>r01</t>
        </is>
      </c>
      <c r="H227" s="295">
        <f>0.000001*INDIRECT($B227&amp;"!AC5")</f>
        <v/>
      </c>
      <c r="J227" s="296">
        <f>H227/D227-1</f>
        <v/>
      </c>
      <c r="L227" s="94">
        <f>INDIRECT($B227&amp;"!"&amp;L$3&amp;"5")</f>
        <v/>
      </c>
      <c r="M227" s="95">
        <f>INDIRECT($B227&amp;"!"&amp;M$3&amp;"5")</f>
        <v/>
      </c>
      <c r="N227" s="96">
        <f>M227-L227</f>
        <v/>
      </c>
      <c r="O227" s="294" t="n"/>
      <c r="P227" s="296">
        <f>bdRateExtend(D227:D231,L227:L231,H227:H231,M227:M231)</f>
        <v/>
      </c>
    </row>
    <row r="228">
      <c r="B228" s="122">
        <f>B227</f>
        <v/>
      </c>
      <c r="C228" s="130" t="inlineStr">
        <is>
          <t>r02</t>
        </is>
      </c>
      <c r="D228" s="295">
        <f>0.000001*INDIRECT($B228&amp;"!E6")</f>
        <v/>
      </c>
      <c r="E228" s="294" t="n"/>
      <c r="F228" s="122">
        <f>F227</f>
        <v/>
      </c>
      <c r="G228" s="130" t="inlineStr">
        <is>
          <t>r02</t>
        </is>
      </c>
      <c r="H228" s="295">
        <f>0.000001*INDIRECT($B228&amp;"!AC6")</f>
        <v/>
      </c>
      <c r="J228" s="296">
        <f>H228/D228-1</f>
        <v/>
      </c>
      <c r="L228" s="94">
        <f>INDIRECT($B228&amp;"!"&amp;L$3&amp;"6")</f>
        <v/>
      </c>
      <c r="M228" s="95">
        <f>INDIRECT($B228&amp;"!"&amp;M$3&amp;"6")</f>
        <v/>
      </c>
      <c r="N228" s="96">
        <f>M228-L228</f>
        <v/>
      </c>
      <c r="O228" s="294" t="n"/>
      <c r="P228" s="3" t="n"/>
    </row>
    <row r="229">
      <c r="B229" s="122">
        <f>B228</f>
        <v/>
      </c>
      <c r="C229" s="130" t="inlineStr">
        <is>
          <t>r03</t>
        </is>
      </c>
      <c r="D229" s="295">
        <f>0.000001*INDIRECT($B229&amp;"!E7")</f>
        <v/>
      </c>
      <c r="E229" s="294" t="n"/>
      <c r="F229" s="122">
        <f>F228</f>
        <v/>
      </c>
      <c r="G229" s="130" t="inlineStr">
        <is>
          <t>r03</t>
        </is>
      </c>
      <c r="H229" s="295">
        <f>0.000001*INDIRECT($B229&amp;"!AC7")</f>
        <v/>
      </c>
      <c r="J229" s="296">
        <f>H229/D229-1</f>
        <v/>
      </c>
      <c r="L229" s="94">
        <f>INDIRECT($B229&amp;"!"&amp;L$3&amp;"7")</f>
        <v/>
      </c>
      <c r="M229" s="95">
        <f>INDIRECT($B229&amp;"!"&amp;M$3&amp;"7")</f>
        <v/>
      </c>
      <c r="N229" s="96">
        <f>M229-L229</f>
        <v/>
      </c>
      <c r="O229" s="294" t="n"/>
      <c r="P229" s="217" t="n"/>
    </row>
    <row r="230">
      <c r="B230" s="122">
        <f>B229</f>
        <v/>
      </c>
      <c r="C230" s="130" t="inlineStr">
        <is>
          <t>r04</t>
        </is>
      </c>
      <c r="D230" s="295">
        <f>0.000001*INDIRECT($B230&amp;"!E8")</f>
        <v/>
      </c>
      <c r="E230" s="294" t="n"/>
      <c r="F230" s="122">
        <f>F229</f>
        <v/>
      </c>
      <c r="G230" s="130" t="inlineStr">
        <is>
          <t>r04</t>
        </is>
      </c>
      <c r="H230" s="295">
        <f>0.000001*INDIRECT($B230&amp;"!AC8")</f>
        <v/>
      </c>
      <c r="J230" s="296">
        <f>H230/D230-1</f>
        <v/>
      </c>
      <c r="L230" s="94">
        <f>INDIRECT($B230&amp;"!"&amp;L$3&amp;"8")</f>
        <v/>
      </c>
      <c r="M230" s="95">
        <f>INDIRECT($B230&amp;"!"&amp;M$3&amp;"8")</f>
        <v/>
      </c>
      <c r="N230" s="96">
        <f>M230-L230</f>
        <v/>
      </c>
      <c r="O230" s="294" t="n"/>
      <c r="P230" s="303" t="n"/>
    </row>
    <row r="231" ht="18" customHeight="1" s="256" thickBot="1">
      <c r="B231" s="122">
        <f>B230</f>
        <v/>
      </c>
      <c r="C231" s="130" t="inlineStr">
        <is>
          <t>r05</t>
        </is>
      </c>
      <c r="D231" s="295">
        <f>0.000001*INDIRECT($B231&amp;"!E9")</f>
        <v/>
      </c>
      <c r="E231" s="294" t="n"/>
      <c r="F231" s="122">
        <f>F230</f>
        <v/>
      </c>
      <c r="G231" s="130" t="inlineStr">
        <is>
          <t>r05</t>
        </is>
      </c>
      <c r="H231" s="295">
        <f>0.000001*INDIRECT($B231&amp;"!AC9")</f>
        <v/>
      </c>
      <c r="J231" s="296">
        <f>H231/D231-1</f>
        <v/>
      </c>
      <c r="L231" s="94">
        <f>INDIRECT($B231&amp;"!"&amp;L$3&amp;"9")</f>
        <v/>
      </c>
      <c r="M231" s="95">
        <f>INDIRECT($B231&amp;"!"&amp;M$3&amp;"9")</f>
        <v/>
      </c>
      <c r="N231" s="96">
        <f>M231-L231</f>
        <v/>
      </c>
      <c r="O231" s="294" t="n"/>
      <c r="P231" s="299" t="n"/>
    </row>
    <row r="232">
      <c r="B232" s="109" t="n"/>
      <c r="C232" s="110" t="n"/>
      <c r="D232" s="300" t="n"/>
      <c r="F232" s="109" t="n"/>
      <c r="G232" s="110" t="n"/>
      <c r="H232" s="300" t="n"/>
      <c r="J232" s="98">
        <f>MIN(D227:D231,H227:H231)</f>
        <v/>
      </c>
      <c r="L232" s="99" t="n"/>
      <c r="M232" s="100" t="n"/>
      <c r="N232" s="101" t="n"/>
      <c r="O232" s="294" t="n"/>
      <c r="P232" s="264" t="n"/>
    </row>
    <row r="233" ht="18" customHeight="1" s="256" thickBot="1">
      <c r="B233" s="89" t="n"/>
      <c r="C233" s="92" t="n"/>
      <c r="D233" s="301" t="n"/>
      <c r="E233" s="294" t="n"/>
      <c r="F233" s="89" t="n"/>
      <c r="G233" s="92" t="n"/>
      <c r="H233" s="301" t="n"/>
      <c r="J233" s="102">
        <f>MAX(D227:D231,H227:H231)</f>
        <v/>
      </c>
      <c r="L233" s="103">
        <f>L232</f>
        <v/>
      </c>
      <c r="M233" s="104">
        <f>M232</f>
        <v/>
      </c>
      <c r="N233" s="97" t="n"/>
      <c r="O233" s="294" t="n"/>
      <c r="P233" s="5" t="n"/>
    </row>
  </sheetData>
  <mergeCells count="159"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B4:D4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F202:H202"/>
    <mergeCell ref="B70:D70"/>
    <mergeCell ref="R49:T49"/>
    <mergeCell ref="F148:G148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B59:D59"/>
    <mergeCell ref="B202:D202"/>
    <mergeCell ref="L37:N37"/>
    <mergeCell ref="F158:H158"/>
    <mergeCell ref="F225:G225"/>
    <mergeCell ref="F59:H59"/>
    <mergeCell ref="F15:H15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F224:H224"/>
    <mergeCell ref="B71:C71"/>
    <mergeCell ref="L4:N4"/>
    <mergeCell ref="X15:Z15"/>
    <mergeCell ref="L104:N104"/>
    <mergeCell ref="B214:C214"/>
    <mergeCell ref="F81:H81"/>
    <mergeCell ref="F192:G192"/>
    <mergeCell ref="L147:N147"/>
    <mergeCell ref="X38:Z38"/>
    <mergeCell ref="L159:N159"/>
    <mergeCell ref="B60:C60"/>
    <mergeCell ref="X26:Z26"/>
    <mergeCell ref="F203:G203"/>
    <mergeCell ref="L81:N81"/>
    <mergeCell ref="F181:G181"/>
    <mergeCell ref="F37:H37"/>
    <mergeCell ref="B82:C82"/>
    <mergeCell ref="L148:N148"/>
    <mergeCell ref="B170:C170"/>
    <mergeCell ref="B148:C148"/>
    <mergeCell ref="X81:Z81"/>
    <mergeCell ref="B114:D114"/>
    <mergeCell ref="R93:T93"/>
    <mergeCell ref="L27:N27"/>
    <mergeCell ref="L203:N203"/>
    <mergeCell ref="X71:Z71"/>
    <mergeCell ref="F115:G115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X4:Z4"/>
    <mergeCell ref="L158:N158"/>
    <mergeCell ref="B225:C225"/>
    <mergeCell ref="B181:C181"/>
    <mergeCell ref="B15:D15"/>
    <mergeCell ref="F48:H48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X82:Z82"/>
    <mergeCell ref="B2:D2"/>
  </mergeCells>
  <conditionalFormatting sqref="U19:U22">
    <cfRule type="dataBar" priority="1185">
      <dataBar>
        <cfvo type="min"/>
        <cfvo type="max"/>
        <color rgb="FF008AEF"/>
      </dataBar>
    </cfRule>
  </conditionalFormatting>
  <conditionalFormatting sqref="Z23:Z24">
    <cfRule type="cellIs" priority="1177" operator="lessThan" dxfId="1" stopIfTrue="1">
      <formula>-0.01</formula>
    </cfRule>
    <cfRule type="cellIs" priority="1178" operator="greaterThan" dxfId="0" stopIfTrue="1">
      <formula>0.01</formula>
    </cfRule>
  </conditionalFormatting>
  <conditionalFormatting sqref="R23:T24">
    <cfRule type="dataBar" priority="1175">
      <dataBar>
        <cfvo type="min"/>
        <cfvo type="max"/>
        <color rgb="FF008AEF"/>
      </dataBar>
    </cfRule>
  </conditionalFormatting>
  <conditionalFormatting sqref="U23:U24">
    <cfRule type="dataBar" priority="1179">
      <dataBar>
        <cfvo type="min"/>
        <cfvo type="max"/>
        <color rgb="FF008AEF"/>
      </dataBar>
    </cfRule>
  </conditionalFormatting>
  <conditionalFormatting sqref="AB18">
    <cfRule type="cellIs" priority="1172" operator="greaterThan" dxfId="1">
      <formula>0.03</formula>
    </cfRule>
    <cfRule type="cellIs" priority="1173" operator="lessThan" dxfId="0" stopIfTrue="1">
      <formula>-0.03</formula>
    </cfRule>
  </conditionalFormatting>
  <conditionalFormatting sqref="AB22">
    <cfRule type="cellIs" priority="1170" operator="lessThan" dxfId="1">
      <formula>-0.03</formula>
    </cfRule>
    <cfRule type="cellIs" priority="1171" operator="greaterThan" dxfId="0" stopIfTrue="1">
      <formula>0.03</formula>
    </cfRule>
  </conditionalFormatting>
  <conditionalFormatting sqref="Z18">
    <cfRule type="cellIs" priority="1168" operator="lessThan" dxfId="1" stopIfTrue="1">
      <formula>-0.01</formula>
    </cfRule>
    <cfRule type="cellIs" priority="1169" operator="greaterThan" dxfId="0" stopIfTrue="1">
      <formula>0.01</formula>
    </cfRule>
  </conditionalFormatting>
  <conditionalFormatting sqref="Z19">
    <cfRule type="cellIs" priority="1166" operator="lessThan" dxfId="1" stopIfTrue="1">
      <formula>-0.01</formula>
    </cfRule>
    <cfRule type="cellIs" priority="1167" operator="greaterThan" dxfId="0" stopIfTrue="1">
      <formula>0.01</formula>
    </cfRule>
  </conditionalFormatting>
  <conditionalFormatting sqref="Z20:Z21">
    <cfRule type="cellIs" priority="1164" operator="lessThan" dxfId="1" stopIfTrue="1">
      <formula>-0.01</formula>
    </cfRule>
    <cfRule type="cellIs" priority="1165" operator="greaterThan" dxfId="0" stopIfTrue="1">
      <formula>0.01</formula>
    </cfRule>
  </conditionalFormatting>
  <conditionalFormatting sqref="Z22">
    <cfRule type="cellIs" priority="1162" operator="lessThan" dxfId="1" stopIfTrue="1">
      <formula>-0.01</formula>
    </cfRule>
    <cfRule type="cellIs" priority="1163" operator="greaterThan" dxfId="0" stopIfTrue="1">
      <formula>0.01</formula>
    </cfRule>
  </conditionalFormatting>
  <conditionalFormatting sqref="V18:V22">
    <cfRule type="cellIs" priority="1160" operator="greaterThan" dxfId="1">
      <formula>0.03</formula>
    </cfRule>
    <cfRule type="cellIs" priority="1161" operator="lessThan" dxfId="0" stopIfTrue="1">
      <formula>-0.03</formula>
    </cfRule>
  </conditionalFormatting>
  <conditionalFormatting sqref="R19:T19">
    <cfRule type="dataBar" priority="1159">
      <dataBar>
        <cfvo type="min"/>
        <cfvo type="max"/>
        <color rgb="FF008AEF"/>
      </dataBar>
    </cfRule>
  </conditionalFormatting>
  <conditionalFormatting sqref="R20:T21">
    <cfRule type="dataBar" priority="1158">
      <dataBar>
        <cfvo type="min"/>
        <cfvo type="max"/>
        <color rgb="FF008AEF"/>
      </dataBar>
    </cfRule>
  </conditionalFormatting>
  <conditionalFormatting sqref="R22:T22">
    <cfRule type="dataBar" priority="1157">
      <dataBar>
        <cfvo type="min"/>
        <cfvo type="max"/>
        <color rgb="FF008AEF"/>
      </dataBar>
    </cfRule>
  </conditionalFormatting>
  <conditionalFormatting sqref="R18:U18">
    <cfRule type="dataBar" priority="1174">
      <dataBar>
        <cfvo type="min"/>
        <cfvo type="max"/>
        <color rgb="FF008AEF"/>
      </dataBar>
    </cfRule>
  </conditionalFormatting>
  <conditionalFormatting sqref="Z34:Z35">
    <cfRule type="cellIs" priority="1154" operator="lessThan" dxfId="1" stopIfTrue="1">
      <formula>-0.01</formula>
    </cfRule>
    <cfRule type="cellIs" priority="1155" operator="greaterThan" dxfId="0" stopIfTrue="1">
      <formula>0.01</formula>
    </cfRule>
  </conditionalFormatting>
  <conditionalFormatting sqref="R34:T35">
    <cfRule type="dataBar" priority="1153">
      <dataBar>
        <cfvo type="min"/>
        <cfvo type="max"/>
        <color rgb="FF008AEF"/>
      </dataBar>
    </cfRule>
  </conditionalFormatting>
  <conditionalFormatting sqref="U34:U35">
    <cfRule type="dataBar" priority="1156">
      <dataBar>
        <cfvo type="min"/>
        <cfvo type="max"/>
        <color rgb="FF008AEF"/>
      </dataBar>
    </cfRule>
  </conditionalFormatting>
  <conditionalFormatting sqref="AB29">
    <cfRule type="cellIs" priority="1150" operator="greaterThan" dxfId="1">
      <formula>0.03</formula>
    </cfRule>
    <cfRule type="cellIs" priority="1151" operator="lessThan" dxfId="0" stopIfTrue="1">
      <formula>-0.03</formula>
    </cfRule>
  </conditionalFormatting>
  <conditionalFormatting sqref="AB33">
    <cfRule type="cellIs" priority="1148" operator="lessThan" dxfId="1">
      <formula>-0.03</formula>
    </cfRule>
    <cfRule type="cellIs" priority="1149" operator="greaterThan" dxfId="0" stopIfTrue="1">
      <formula>0.03</formula>
    </cfRule>
  </conditionalFormatting>
  <conditionalFormatting sqref="Z29">
    <cfRule type="cellIs" priority="1146" operator="lessThan" dxfId="1" stopIfTrue="1">
      <formula>-0.01</formula>
    </cfRule>
    <cfRule type="cellIs" priority="1147" operator="greaterThan" dxfId="0" stopIfTrue="1">
      <formula>0.01</formula>
    </cfRule>
  </conditionalFormatting>
  <conditionalFormatting sqref="Z30">
    <cfRule type="cellIs" priority="1144" operator="lessThan" dxfId="1" stopIfTrue="1">
      <formula>-0.01</formula>
    </cfRule>
    <cfRule type="cellIs" priority="1145" operator="greaterThan" dxfId="0" stopIfTrue="1">
      <formula>0.01</formula>
    </cfRule>
  </conditionalFormatting>
  <conditionalFormatting sqref="Z31:Z32">
    <cfRule type="cellIs" priority="1142" operator="lessThan" dxfId="1" stopIfTrue="1">
      <formula>-0.01</formula>
    </cfRule>
    <cfRule type="cellIs" priority="1143" operator="greaterThan" dxfId="0" stopIfTrue="1">
      <formula>0.01</formula>
    </cfRule>
  </conditionalFormatting>
  <conditionalFormatting sqref="Z33">
    <cfRule type="cellIs" priority="1140" operator="lessThan" dxfId="1" stopIfTrue="1">
      <formula>-0.01</formula>
    </cfRule>
    <cfRule type="cellIs" priority="1141" operator="greaterThan" dxfId="0" stopIfTrue="1">
      <formula>0.01</formula>
    </cfRule>
  </conditionalFormatting>
  <conditionalFormatting sqref="V29:V33">
    <cfRule type="cellIs" priority="1138" operator="greaterThan" dxfId="1">
      <formula>0.03</formula>
    </cfRule>
    <cfRule type="cellIs" priority="1139" operator="lessThan" dxfId="0" stopIfTrue="1">
      <formula>-0.03</formula>
    </cfRule>
  </conditionalFormatting>
  <conditionalFormatting sqref="R30:T30">
    <cfRule type="dataBar" priority="1137">
      <dataBar>
        <cfvo type="min"/>
        <cfvo type="max"/>
        <color rgb="FF008AEF"/>
      </dataBar>
    </cfRule>
  </conditionalFormatting>
  <conditionalFormatting sqref="R31:T32">
    <cfRule type="dataBar" priority="1136">
      <dataBar>
        <cfvo type="min"/>
        <cfvo type="max"/>
        <color rgb="FF008AEF"/>
      </dataBar>
    </cfRule>
  </conditionalFormatting>
  <conditionalFormatting sqref="R33:T33">
    <cfRule type="dataBar" priority="1135">
      <dataBar>
        <cfvo type="min"/>
        <cfvo type="max"/>
        <color rgb="FF008AEF"/>
      </dataBar>
    </cfRule>
  </conditionalFormatting>
  <conditionalFormatting sqref="R29:U29 U30:U33">
    <cfRule type="dataBar" priority="1152">
      <dataBar>
        <cfvo type="min"/>
        <cfvo type="max"/>
        <color rgb="FF008AEF"/>
      </dataBar>
    </cfRule>
  </conditionalFormatting>
  <conditionalFormatting sqref="Z45:Z46">
    <cfRule type="cellIs" priority="1132" operator="lessThan" dxfId="1" stopIfTrue="1">
      <formula>-0.01</formula>
    </cfRule>
    <cfRule type="cellIs" priority="1133" operator="greaterThan" dxfId="0" stopIfTrue="1">
      <formula>0.01</formula>
    </cfRule>
  </conditionalFormatting>
  <conditionalFormatting sqref="R45:T46">
    <cfRule type="dataBar" priority="1131">
      <dataBar>
        <cfvo type="min"/>
        <cfvo type="max"/>
        <color rgb="FF008AEF"/>
      </dataBar>
    </cfRule>
  </conditionalFormatting>
  <conditionalFormatting sqref="U45:U46">
    <cfRule type="dataBar" priority="1134">
      <dataBar>
        <cfvo type="min"/>
        <cfvo type="max"/>
        <color rgb="FF008AEF"/>
      </dataBar>
    </cfRule>
  </conditionalFormatting>
  <conditionalFormatting sqref="AB40">
    <cfRule type="cellIs" priority="1128" operator="greaterThan" dxfId="1">
      <formula>0.03</formula>
    </cfRule>
    <cfRule type="cellIs" priority="1129" operator="lessThan" dxfId="0" stopIfTrue="1">
      <formula>-0.03</formula>
    </cfRule>
  </conditionalFormatting>
  <conditionalFormatting sqref="AB44">
    <cfRule type="cellIs" priority="1126" operator="lessThan" dxfId="1">
      <formula>-0.03</formula>
    </cfRule>
    <cfRule type="cellIs" priority="1127" operator="greaterThan" dxfId="0" stopIfTrue="1">
      <formula>0.03</formula>
    </cfRule>
  </conditionalFormatting>
  <conditionalFormatting sqref="Z40">
    <cfRule type="cellIs" priority="1124" operator="lessThan" dxfId="1" stopIfTrue="1">
      <formula>-0.01</formula>
    </cfRule>
    <cfRule type="cellIs" priority="1125" operator="greaterThan" dxfId="0" stopIfTrue="1">
      <formula>0.01</formula>
    </cfRule>
  </conditionalFormatting>
  <conditionalFormatting sqref="Z41">
    <cfRule type="cellIs" priority="1122" operator="lessThan" dxfId="1" stopIfTrue="1">
      <formula>-0.01</formula>
    </cfRule>
    <cfRule type="cellIs" priority="1123" operator="greaterThan" dxfId="0" stopIfTrue="1">
      <formula>0.01</formula>
    </cfRule>
  </conditionalFormatting>
  <conditionalFormatting sqref="Z42:Z43">
    <cfRule type="cellIs" priority="1120" operator="lessThan" dxfId="1" stopIfTrue="1">
      <formula>-0.01</formula>
    </cfRule>
    <cfRule type="cellIs" priority="1121" operator="greaterThan" dxfId="0" stopIfTrue="1">
      <formula>0.01</formula>
    </cfRule>
  </conditionalFormatting>
  <conditionalFormatting sqref="Z44">
    <cfRule type="cellIs" priority="1118" operator="lessThan" dxfId="1" stopIfTrue="1">
      <formula>-0.01</formula>
    </cfRule>
    <cfRule type="cellIs" priority="1119" operator="greaterThan" dxfId="0" stopIfTrue="1">
      <formula>0.01</formula>
    </cfRule>
  </conditionalFormatting>
  <conditionalFormatting sqref="V40:V44">
    <cfRule type="cellIs" priority="1116" operator="greaterThan" dxfId="1">
      <formula>0.03</formula>
    </cfRule>
    <cfRule type="cellIs" priority="1117" operator="lessThan" dxfId="0" stopIfTrue="1">
      <formula>-0.03</formula>
    </cfRule>
  </conditionalFormatting>
  <conditionalFormatting sqref="R41:T41">
    <cfRule type="dataBar" priority="1115">
      <dataBar>
        <cfvo type="min"/>
        <cfvo type="max"/>
        <color rgb="FF008AEF"/>
      </dataBar>
    </cfRule>
  </conditionalFormatting>
  <conditionalFormatting sqref="R42:T43">
    <cfRule type="dataBar" priority="1114">
      <dataBar>
        <cfvo type="min"/>
        <cfvo type="max"/>
        <color rgb="FF008AEF"/>
      </dataBar>
    </cfRule>
  </conditionalFormatting>
  <conditionalFormatting sqref="R44:T44">
    <cfRule type="dataBar" priority="1113">
      <dataBar>
        <cfvo type="min"/>
        <cfvo type="max"/>
        <color rgb="FF008AEF"/>
      </dataBar>
    </cfRule>
  </conditionalFormatting>
  <conditionalFormatting sqref="R40:U40 U41:U44">
    <cfRule type="dataBar" priority="1130">
      <dataBar>
        <cfvo type="min"/>
        <cfvo type="max"/>
        <color rgb="FF008AEF"/>
      </dataBar>
    </cfRule>
  </conditionalFormatting>
  <conditionalFormatting sqref="Z56:Z57">
    <cfRule type="cellIs" priority="1110" operator="lessThan" dxfId="1" stopIfTrue="1">
      <formula>-0.01</formula>
    </cfRule>
    <cfRule type="cellIs" priority="1111" operator="greaterThan" dxfId="0" stopIfTrue="1">
      <formula>0.01</formula>
    </cfRule>
  </conditionalFormatting>
  <conditionalFormatting sqref="R56:T57">
    <cfRule type="dataBar" priority="1109">
      <dataBar>
        <cfvo type="min"/>
        <cfvo type="max"/>
        <color rgb="FF008AEF"/>
      </dataBar>
    </cfRule>
  </conditionalFormatting>
  <conditionalFormatting sqref="U56:U57">
    <cfRule type="dataBar" priority="1112">
      <dataBar>
        <cfvo type="min"/>
        <cfvo type="max"/>
        <color rgb="FF008AEF"/>
      </dataBar>
    </cfRule>
  </conditionalFormatting>
  <conditionalFormatting sqref="AB51">
    <cfRule type="cellIs" priority="1106" operator="greaterThan" dxfId="1">
      <formula>0.03</formula>
    </cfRule>
    <cfRule type="cellIs" priority="1107" operator="lessThan" dxfId="0" stopIfTrue="1">
      <formula>-0.03</formula>
    </cfRule>
  </conditionalFormatting>
  <conditionalFormatting sqref="AB55">
    <cfRule type="cellIs" priority="1104" operator="lessThan" dxfId="1">
      <formula>-0.03</formula>
    </cfRule>
    <cfRule type="cellIs" priority="1105" operator="greaterThan" dxfId="0" stopIfTrue="1">
      <formula>0.03</formula>
    </cfRule>
  </conditionalFormatting>
  <conditionalFormatting sqref="Z51">
    <cfRule type="cellIs" priority="1102" operator="lessThan" dxfId="1" stopIfTrue="1">
      <formula>-0.01</formula>
    </cfRule>
    <cfRule type="cellIs" priority="1103" operator="greaterThan" dxfId="0" stopIfTrue="1">
      <formula>0.01</formula>
    </cfRule>
  </conditionalFormatting>
  <conditionalFormatting sqref="Z52">
    <cfRule type="cellIs" priority="1100" operator="lessThan" dxfId="1" stopIfTrue="1">
      <formula>-0.01</formula>
    </cfRule>
    <cfRule type="cellIs" priority="1101" operator="greaterThan" dxfId="0" stopIfTrue="1">
      <formula>0.01</formula>
    </cfRule>
  </conditionalFormatting>
  <conditionalFormatting sqref="Z53:Z54">
    <cfRule type="cellIs" priority="1098" operator="lessThan" dxfId="1" stopIfTrue="1">
      <formula>-0.01</formula>
    </cfRule>
    <cfRule type="cellIs" priority="1099" operator="greaterThan" dxfId="0" stopIfTrue="1">
      <formula>0.01</formula>
    </cfRule>
  </conditionalFormatting>
  <conditionalFormatting sqref="Z55">
    <cfRule type="cellIs" priority="1096" operator="lessThan" dxfId="1" stopIfTrue="1">
      <formula>-0.01</formula>
    </cfRule>
    <cfRule type="cellIs" priority="1097" operator="greaterThan" dxfId="0" stopIfTrue="1">
      <formula>0.01</formula>
    </cfRule>
  </conditionalFormatting>
  <conditionalFormatting sqref="V51:V55">
    <cfRule type="cellIs" priority="1094" operator="greaterThan" dxfId="1">
      <formula>0.03</formula>
    </cfRule>
    <cfRule type="cellIs" priority="1095" operator="lessThan" dxfId="0" stopIfTrue="1">
      <formula>-0.03</formula>
    </cfRule>
  </conditionalFormatting>
  <conditionalFormatting sqref="R52:T52">
    <cfRule type="dataBar" priority="1093">
      <dataBar>
        <cfvo type="min"/>
        <cfvo type="max"/>
        <color rgb="FF008AEF"/>
      </dataBar>
    </cfRule>
  </conditionalFormatting>
  <conditionalFormatting sqref="R53:T54">
    <cfRule type="dataBar" priority="1092">
      <dataBar>
        <cfvo type="min"/>
        <cfvo type="max"/>
        <color rgb="FF008AEF"/>
      </dataBar>
    </cfRule>
  </conditionalFormatting>
  <conditionalFormatting sqref="R55:T55">
    <cfRule type="dataBar" priority="1091">
      <dataBar>
        <cfvo type="min"/>
        <cfvo type="max"/>
        <color rgb="FF008AEF"/>
      </dataBar>
    </cfRule>
  </conditionalFormatting>
  <conditionalFormatting sqref="R51:U51 U52:U55">
    <cfRule type="dataBar" priority="1108">
      <dataBar>
        <cfvo type="min"/>
        <cfvo type="max"/>
        <color rgb="FF008AEF"/>
      </dataBar>
    </cfRule>
  </conditionalFormatting>
  <conditionalFormatting sqref="Z67:Z68">
    <cfRule type="cellIs" priority="1088" operator="lessThan" dxfId="1" stopIfTrue="1">
      <formula>-0.01</formula>
    </cfRule>
    <cfRule type="cellIs" priority="1089" operator="greaterThan" dxfId="0" stopIfTrue="1">
      <formula>0.01</formula>
    </cfRule>
  </conditionalFormatting>
  <conditionalFormatting sqref="R67:T68">
    <cfRule type="dataBar" priority="1087">
      <dataBar>
        <cfvo type="min"/>
        <cfvo type="max"/>
        <color rgb="FF008AEF"/>
      </dataBar>
    </cfRule>
  </conditionalFormatting>
  <conditionalFormatting sqref="U67:U68">
    <cfRule type="dataBar" priority="1090">
      <dataBar>
        <cfvo type="min"/>
        <cfvo type="max"/>
        <color rgb="FF008AEF"/>
      </dataBar>
    </cfRule>
  </conditionalFormatting>
  <conditionalFormatting sqref="AB62">
    <cfRule type="cellIs" priority="1084" operator="greaterThan" dxfId="1">
      <formula>0.03</formula>
    </cfRule>
    <cfRule type="cellIs" priority="1085" operator="lessThan" dxfId="0" stopIfTrue="1">
      <formula>-0.03</formula>
    </cfRule>
  </conditionalFormatting>
  <conditionalFormatting sqref="AB66">
    <cfRule type="cellIs" priority="1082" operator="lessThan" dxfId="1">
      <formula>-0.03</formula>
    </cfRule>
    <cfRule type="cellIs" priority="1083" operator="greaterThan" dxfId="0" stopIfTrue="1">
      <formula>0.03</formula>
    </cfRule>
  </conditionalFormatting>
  <conditionalFormatting sqref="Z62">
    <cfRule type="cellIs" priority="1080" operator="lessThan" dxfId="1" stopIfTrue="1">
      <formula>-0.01</formula>
    </cfRule>
    <cfRule type="cellIs" priority="1081" operator="greaterThan" dxfId="0" stopIfTrue="1">
      <formula>0.01</formula>
    </cfRule>
  </conditionalFormatting>
  <conditionalFormatting sqref="Z63">
    <cfRule type="cellIs" priority="1078" operator="lessThan" dxfId="1" stopIfTrue="1">
      <formula>-0.01</formula>
    </cfRule>
    <cfRule type="cellIs" priority="1079" operator="greaterThan" dxfId="0" stopIfTrue="1">
      <formula>0.01</formula>
    </cfRule>
  </conditionalFormatting>
  <conditionalFormatting sqref="Z64:Z65">
    <cfRule type="cellIs" priority="1076" operator="lessThan" dxfId="1" stopIfTrue="1">
      <formula>-0.01</formula>
    </cfRule>
    <cfRule type="cellIs" priority="1077" operator="greaterThan" dxfId="0" stopIfTrue="1">
      <formula>0.01</formula>
    </cfRule>
  </conditionalFormatting>
  <conditionalFormatting sqref="Z66">
    <cfRule type="cellIs" priority="1074" operator="lessThan" dxfId="1" stopIfTrue="1">
      <formula>-0.01</formula>
    </cfRule>
    <cfRule type="cellIs" priority="1075" operator="greaterThan" dxfId="0" stopIfTrue="1">
      <formula>0.01</formula>
    </cfRule>
  </conditionalFormatting>
  <conditionalFormatting sqref="V62:V66">
    <cfRule type="cellIs" priority="1072" operator="greaterThan" dxfId="1">
      <formula>0.03</formula>
    </cfRule>
    <cfRule type="cellIs" priority="1073" operator="lessThan" dxfId="0" stopIfTrue="1">
      <formula>-0.03</formula>
    </cfRule>
  </conditionalFormatting>
  <conditionalFormatting sqref="R63:T63">
    <cfRule type="dataBar" priority="1071">
      <dataBar>
        <cfvo type="min"/>
        <cfvo type="max"/>
        <color rgb="FF008AEF"/>
      </dataBar>
    </cfRule>
  </conditionalFormatting>
  <conditionalFormatting sqref="R64:T65">
    <cfRule type="dataBar" priority="1070">
      <dataBar>
        <cfvo type="min"/>
        <cfvo type="max"/>
        <color rgb="FF008AEF"/>
      </dataBar>
    </cfRule>
  </conditionalFormatting>
  <conditionalFormatting sqref="R66:T66">
    <cfRule type="dataBar" priority="1069">
      <dataBar>
        <cfvo type="min"/>
        <cfvo type="max"/>
        <color rgb="FF008AEF"/>
      </dataBar>
    </cfRule>
  </conditionalFormatting>
  <conditionalFormatting sqref="R62:U62 U63:U66">
    <cfRule type="dataBar" priority="1086">
      <dataBar>
        <cfvo type="min"/>
        <cfvo type="max"/>
        <color rgb="FF008AEF"/>
      </dataBar>
    </cfRule>
  </conditionalFormatting>
  <conditionalFormatting sqref="Z78:Z79">
    <cfRule type="cellIs" priority="1066" operator="lessThan" dxfId="1" stopIfTrue="1">
      <formula>-0.01</formula>
    </cfRule>
    <cfRule type="cellIs" priority="1067" operator="greaterThan" dxfId="0" stopIfTrue="1">
      <formula>0.01</formula>
    </cfRule>
  </conditionalFormatting>
  <conditionalFormatting sqref="R78:T79">
    <cfRule type="dataBar" priority="1065">
      <dataBar>
        <cfvo type="min"/>
        <cfvo type="max"/>
        <color rgb="FF008AEF"/>
      </dataBar>
    </cfRule>
  </conditionalFormatting>
  <conditionalFormatting sqref="U78:U79">
    <cfRule type="dataBar" priority="1068">
      <dataBar>
        <cfvo type="min"/>
        <cfvo type="max"/>
        <color rgb="FF008AEF"/>
      </dataBar>
    </cfRule>
  </conditionalFormatting>
  <conditionalFormatting sqref="AB73">
    <cfRule type="cellIs" priority="1062" operator="greaterThan" dxfId="1">
      <formula>0.03</formula>
    </cfRule>
    <cfRule type="cellIs" priority="1063" operator="lessThan" dxfId="0" stopIfTrue="1">
      <formula>-0.03</formula>
    </cfRule>
  </conditionalFormatting>
  <conditionalFormatting sqref="AB77">
    <cfRule type="cellIs" priority="1060" operator="lessThan" dxfId="1">
      <formula>-0.03</formula>
    </cfRule>
    <cfRule type="cellIs" priority="1061" operator="greaterThan" dxfId="0" stopIfTrue="1">
      <formula>0.03</formula>
    </cfRule>
  </conditionalFormatting>
  <conditionalFormatting sqref="Z73">
    <cfRule type="cellIs" priority="1058" operator="lessThan" dxfId="1" stopIfTrue="1">
      <formula>-0.01</formula>
    </cfRule>
    <cfRule type="cellIs" priority="1059" operator="greaterThan" dxfId="0" stopIfTrue="1">
      <formula>0.01</formula>
    </cfRule>
  </conditionalFormatting>
  <conditionalFormatting sqref="Z74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Z75:Z76">
    <cfRule type="cellIs" priority="1054" operator="lessThan" dxfId="1" stopIfTrue="1">
      <formula>-0.01</formula>
    </cfRule>
    <cfRule type="cellIs" priority="1055" operator="greaterThan" dxfId="0" stopIfTrue="1">
      <formula>0.01</formula>
    </cfRule>
  </conditionalFormatting>
  <conditionalFormatting sqref="Z77">
    <cfRule type="cellIs" priority="1052" operator="lessThan" dxfId="1" stopIfTrue="1">
      <formula>-0.01</formula>
    </cfRule>
    <cfRule type="cellIs" priority="1053" operator="greaterThan" dxfId="0" stopIfTrue="1">
      <formula>0.01</formula>
    </cfRule>
  </conditionalFormatting>
  <conditionalFormatting sqref="V73:V77">
    <cfRule type="cellIs" priority="1050" operator="greaterThan" dxfId="1">
      <formula>0.03</formula>
    </cfRule>
    <cfRule type="cellIs" priority="1051" operator="lessThan" dxfId="0" stopIfTrue="1">
      <formula>-0.03</formula>
    </cfRule>
  </conditionalFormatting>
  <conditionalFormatting sqref="R74:T74">
    <cfRule type="dataBar" priority="1049">
      <dataBar>
        <cfvo type="min"/>
        <cfvo type="max"/>
        <color rgb="FF008AEF"/>
      </dataBar>
    </cfRule>
  </conditionalFormatting>
  <conditionalFormatting sqref="R75:T76">
    <cfRule type="dataBar" priority="1048">
      <dataBar>
        <cfvo type="min"/>
        <cfvo type="max"/>
        <color rgb="FF008AEF"/>
      </dataBar>
    </cfRule>
  </conditionalFormatting>
  <conditionalFormatting sqref="R77:T77">
    <cfRule type="dataBar" priority="1047">
      <dataBar>
        <cfvo type="min"/>
        <cfvo type="max"/>
        <color rgb="FF008AEF"/>
      </dataBar>
    </cfRule>
  </conditionalFormatting>
  <conditionalFormatting sqref="R73:U73 U74:U77">
    <cfRule type="dataBar" priority="1064">
      <dataBar>
        <cfvo type="min"/>
        <cfvo type="max"/>
        <color rgb="FF008AEF"/>
      </dataBar>
    </cfRule>
  </conditionalFormatting>
  <conditionalFormatting sqref="AB116">
    <cfRule type="cellIs" priority="987" operator="greaterThan" dxfId="1">
      <formula>0.03</formula>
    </cfRule>
    <cfRule type="cellIs" priority="988" operator="lessThan" dxfId="0" stopIfTrue="1">
      <formula>-0.03</formula>
    </cfRule>
  </conditionalFormatting>
  <conditionalFormatting sqref="AB119">
    <cfRule type="cellIs" priority="985" operator="lessThan" dxfId="1">
      <formula>-0.03</formula>
    </cfRule>
    <cfRule type="cellIs" priority="986" operator="greaterThan" dxfId="0" stopIfTrue="1">
      <formula>0.03</formula>
    </cfRule>
  </conditionalFormatting>
  <conditionalFormatting sqref="AB126">
    <cfRule type="cellIs" priority="983" operator="greaterThan" dxfId="1">
      <formula>0.03</formula>
    </cfRule>
    <cfRule type="cellIs" priority="984" operator="lessThan" dxfId="0" stopIfTrue="1">
      <formula>-0.03</formula>
    </cfRule>
  </conditionalFormatting>
  <conditionalFormatting sqref="AB129">
    <cfRule type="cellIs" priority="981" operator="lessThan" dxfId="1">
      <formula>-0.03</formula>
    </cfRule>
    <cfRule type="cellIs" priority="982" operator="greaterThan" dxfId="0" stopIfTrue="1">
      <formula>0.03</formula>
    </cfRule>
  </conditionalFormatting>
  <conditionalFormatting sqref="AB136">
    <cfRule type="cellIs" priority="979" operator="greaterThan" dxfId="1">
      <formula>0.03</formula>
    </cfRule>
    <cfRule type="cellIs" priority="980" operator="lessThan" dxfId="0" stopIfTrue="1">
      <formula>-0.03</formula>
    </cfRule>
  </conditionalFormatting>
  <conditionalFormatting sqref="AB139">
    <cfRule type="cellIs" priority="977" operator="lessThan" dxfId="1">
      <formula>-0.03</formula>
    </cfRule>
    <cfRule type="cellIs" priority="978" operator="greaterThan" dxfId="0" stopIfTrue="1">
      <formula>0.03</formula>
    </cfRule>
  </conditionalFormatting>
  <conditionalFormatting sqref="AB146">
    <cfRule type="cellIs" priority="975" operator="greaterThan" dxfId="1">
      <formula>0.03</formula>
    </cfRule>
    <cfRule type="cellIs" priority="976" operator="lessThan" dxfId="0" stopIfTrue="1">
      <formula>-0.03</formula>
    </cfRule>
  </conditionalFormatting>
  <conditionalFormatting sqref="AB149">
    <cfRule type="cellIs" priority="973" operator="lessThan" dxfId="1">
      <formula>-0.03</formula>
    </cfRule>
    <cfRule type="cellIs" priority="974" operator="greaterThan" dxfId="0" stopIfTrue="1">
      <formula>0.03</formula>
    </cfRule>
  </conditionalFormatting>
  <conditionalFormatting sqref="AB156">
    <cfRule type="cellIs" priority="971" operator="greaterThan" dxfId="1">
      <formula>0.03</formula>
    </cfRule>
    <cfRule type="cellIs" priority="972" operator="lessThan" dxfId="0" stopIfTrue="1">
      <formula>-0.03</formula>
    </cfRule>
  </conditionalFormatting>
  <conditionalFormatting sqref="AB159">
    <cfRule type="cellIs" priority="969" operator="lessThan" dxfId="1">
      <formula>-0.03</formula>
    </cfRule>
    <cfRule type="cellIs" priority="970" operator="greaterThan" dxfId="0" stopIfTrue="1">
      <formula>0.03</formula>
    </cfRule>
  </conditionalFormatting>
  <conditionalFormatting sqref="AB166">
    <cfRule type="cellIs" priority="967" operator="greaterThan" dxfId="1">
      <formula>0.03</formula>
    </cfRule>
    <cfRule type="cellIs" priority="968" operator="lessThan" dxfId="0" stopIfTrue="1">
      <formula>-0.03</formula>
    </cfRule>
  </conditionalFormatting>
  <conditionalFormatting sqref="AB169">
    <cfRule type="cellIs" priority="965" operator="lessThan" dxfId="1">
      <formula>-0.03</formula>
    </cfRule>
    <cfRule type="cellIs" priority="966" operator="greaterThan" dxfId="0" stopIfTrue="1">
      <formula>0.03</formula>
    </cfRule>
  </conditionalFormatting>
  <conditionalFormatting sqref="AB176">
    <cfRule type="cellIs" priority="963" operator="greaterThan" dxfId="1">
      <formula>0.03</formula>
    </cfRule>
    <cfRule type="cellIs" priority="964" operator="lessThan" dxfId="0" stopIfTrue="1">
      <formula>-0.03</formula>
    </cfRule>
  </conditionalFormatting>
  <conditionalFormatting sqref="AB179">
    <cfRule type="cellIs" priority="961" operator="lessThan" dxfId="1">
      <formula>-0.03</formula>
    </cfRule>
    <cfRule type="cellIs" priority="962" operator="greaterThan" dxfId="0" stopIfTrue="1">
      <formula>0.03</formula>
    </cfRule>
  </conditionalFormatting>
  <conditionalFormatting sqref="AB186">
    <cfRule type="cellIs" priority="959" operator="greaterThan" dxfId="1">
      <formula>0.03</formula>
    </cfRule>
    <cfRule type="cellIs" priority="960" operator="lessThan" dxfId="0" stopIfTrue="1">
      <formula>-0.03</formula>
    </cfRule>
  </conditionalFormatting>
  <conditionalFormatting sqref="AB189">
    <cfRule type="cellIs" priority="957" operator="lessThan" dxfId="1">
      <formula>-0.03</formula>
    </cfRule>
    <cfRule type="cellIs" priority="958" operator="greaterThan" dxfId="0" stopIfTrue="1">
      <formula>0.03</formula>
    </cfRule>
  </conditionalFormatting>
  <conditionalFormatting sqref="AB196">
    <cfRule type="cellIs" priority="955" operator="greaterThan" dxfId="1">
      <formula>0.03</formula>
    </cfRule>
    <cfRule type="cellIs" priority="956" operator="lessThan" dxfId="0" stopIfTrue="1">
      <formula>-0.03</formula>
    </cfRule>
  </conditionalFormatting>
  <conditionalFormatting sqref="AB199">
    <cfRule type="cellIs" priority="953" operator="lessThan" dxfId="1">
      <formula>-0.03</formula>
    </cfRule>
    <cfRule type="cellIs" priority="954" operator="greaterThan" dxfId="0" stopIfTrue="1">
      <formula>0.03</formula>
    </cfRule>
  </conditionalFormatting>
  <conditionalFormatting sqref="AB206">
    <cfRule type="cellIs" priority="951" operator="greaterThan" dxfId="1">
      <formula>0.03</formula>
    </cfRule>
    <cfRule type="cellIs" priority="952" operator="lessThan" dxfId="0" stopIfTrue="1">
      <formula>-0.03</formula>
    </cfRule>
  </conditionalFormatting>
  <conditionalFormatting sqref="AB209">
    <cfRule type="cellIs" priority="949" operator="lessThan" dxfId="1">
      <formula>-0.03</formula>
    </cfRule>
    <cfRule type="cellIs" priority="950" operator="greaterThan" dxfId="0" stopIfTrue="1">
      <formula>0.03</formula>
    </cfRule>
  </conditionalFormatting>
  <conditionalFormatting sqref="Z220:Z221">
    <cfRule type="cellIs" priority="946" operator="lessThan" dxfId="1" stopIfTrue="1">
      <formula>-0.01</formula>
    </cfRule>
    <cfRule type="cellIs" priority="947" operator="greaterThan" dxfId="0" stopIfTrue="1">
      <formula>0.01</formula>
    </cfRule>
  </conditionalFormatting>
  <conditionalFormatting sqref="I220:I221">
    <cfRule type="dataBar" priority="945">
      <dataBar>
        <cfvo type="min"/>
        <cfvo type="max"/>
        <color rgb="FF008AEF"/>
      </dataBar>
    </cfRule>
  </conditionalFormatting>
  <conditionalFormatting sqref="R220:T221">
    <cfRule type="dataBar" priority="944">
      <dataBar>
        <cfvo type="min"/>
        <cfvo type="max"/>
        <color rgb="FF008AEF"/>
      </dataBar>
    </cfRule>
  </conditionalFormatting>
  <conditionalFormatting sqref="U220:U221">
    <cfRule type="dataBar" priority="948">
      <dataBar>
        <cfvo type="min"/>
        <cfvo type="max"/>
        <color rgb="FF008AEF"/>
      </dataBar>
    </cfRule>
  </conditionalFormatting>
  <conditionalFormatting sqref="AB216">
    <cfRule type="cellIs" priority="941" operator="greaterThan" dxfId="1">
      <formula>0.03</formula>
    </cfRule>
    <cfRule type="cellIs" priority="942" operator="lessThan" dxfId="0" stopIfTrue="1">
      <formula>-0.03</formula>
    </cfRule>
  </conditionalFormatting>
  <conditionalFormatting sqref="AB219">
    <cfRule type="cellIs" priority="939" operator="lessThan" dxfId="1">
      <formula>-0.03</formula>
    </cfRule>
    <cfRule type="cellIs" priority="940" operator="greaterThan" dxfId="0" stopIfTrue="1">
      <formula>0.03</formula>
    </cfRule>
  </conditionalFormatting>
  <conditionalFormatting sqref="I216">
    <cfRule type="dataBar" priority="938">
      <dataBar>
        <cfvo type="min"/>
        <cfvo type="max"/>
        <color rgb="FF008AEF"/>
      </dataBar>
    </cfRule>
  </conditionalFormatting>
  <conditionalFormatting sqref="Z216">
    <cfRule type="cellIs" priority="936" operator="lessThan" dxfId="1" stopIfTrue="1">
      <formula>-0.01</formula>
    </cfRule>
    <cfRule type="cellIs" priority="937" operator="greaterThan" dxfId="0" stopIfTrue="1">
      <formula>0.01</formula>
    </cfRule>
  </conditionalFormatting>
  <conditionalFormatting sqref="Z217">
    <cfRule type="cellIs" priority="934" operator="lessThan" dxfId="1" stopIfTrue="1">
      <formula>-0.01</formula>
    </cfRule>
    <cfRule type="cellIs" priority="935" operator="greaterThan" dxfId="0" stopIfTrue="1">
      <formula>0.01</formula>
    </cfRule>
  </conditionalFormatting>
  <conditionalFormatting sqref="Z218">
    <cfRule type="cellIs" priority="932" operator="lessThan" dxfId="1" stopIfTrue="1">
      <formula>-0.01</formula>
    </cfRule>
    <cfRule type="cellIs" priority="933" operator="greaterThan" dxfId="0" stopIfTrue="1">
      <formula>0.01</formula>
    </cfRule>
  </conditionalFormatting>
  <conditionalFormatting sqref="Z219">
    <cfRule type="cellIs" priority="930" operator="lessThan" dxfId="1" stopIfTrue="1">
      <formula>-0.01</formula>
    </cfRule>
    <cfRule type="cellIs" priority="931" operator="greaterThan" dxfId="0" stopIfTrue="1">
      <formula>0.01</formula>
    </cfRule>
  </conditionalFormatting>
  <conditionalFormatting sqref="V216:V219">
    <cfRule type="cellIs" priority="928" operator="greaterThan" dxfId="1">
      <formula>0.03</formula>
    </cfRule>
    <cfRule type="cellIs" priority="929" operator="lessThan" dxfId="0" stopIfTrue="1">
      <formula>-0.03</formula>
    </cfRule>
  </conditionalFormatting>
  <conditionalFormatting sqref="I217">
    <cfRule type="dataBar" priority="927">
      <dataBar>
        <cfvo type="min"/>
        <cfvo type="max"/>
        <color rgb="FF008AEF"/>
      </dataBar>
    </cfRule>
  </conditionalFormatting>
  <conditionalFormatting sqref="I218">
    <cfRule type="dataBar" priority="926">
      <dataBar>
        <cfvo type="min"/>
        <cfvo type="max"/>
        <color rgb="FF008AEF"/>
      </dataBar>
    </cfRule>
  </conditionalFormatting>
  <conditionalFormatting sqref="I219">
    <cfRule type="dataBar" priority="925">
      <dataBar>
        <cfvo type="min"/>
        <cfvo type="max"/>
        <color rgb="FF008AEF"/>
      </dataBar>
    </cfRule>
  </conditionalFormatting>
  <conditionalFormatting sqref="R217:T217">
    <cfRule type="dataBar" priority="924">
      <dataBar>
        <cfvo type="min"/>
        <cfvo type="max"/>
        <color rgb="FF008AEF"/>
      </dataBar>
    </cfRule>
  </conditionalFormatting>
  <conditionalFormatting sqref="R218:T218">
    <cfRule type="dataBar" priority="923">
      <dataBar>
        <cfvo type="min"/>
        <cfvo type="max"/>
        <color rgb="FF008AEF"/>
      </dataBar>
    </cfRule>
  </conditionalFormatting>
  <conditionalFormatting sqref="R219:T219">
    <cfRule type="dataBar" priority="922">
      <dataBar>
        <cfvo type="min"/>
        <cfvo type="max"/>
        <color rgb="FF008AEF"/>
      </dataBar>
    </cfRule>
  </conditionalFormatting>
  <conditionalFormatting sqref="R216:U216 U217:U219">
    <cfRule type="dataBar" priority="943">
      <dataBar>
        <cfvo type="min"/>
        <cfvo type="max"/>
        <color rgb="FF008AEF"/>
      </dataBar>
    </cfRule>
  </conditionalFormatting>
  <conditionalFormatting sqref="I35">
    <cfRule type="dataBar" priority="907">
      <dataBar>
        <cfvo type="min"/>
        <cfvo type="max"/>
        <color rgb="FF008AEF"/>
      </dataBar>
    </cfRule>
  </conditionalFormatting>
  <conditionalFormatting sqref="I27">
    <cfRule type="dataBar" priority="906">
      <dataBar>
        <cfvo type="min"/>
        <cfvo type="max"/>
        <color rgb="FF008AEF"/>
      </dataBar>
    </cfRule>
  </conditionalFormatting>
  <conditionalFormatting sqref="I28">
    <cfRule type="dataBar" priority="905">
      <dataBar>
        <cfvo type="min"/>
        <cfvo type="max"/>
        <color rgb="FF008AEF"/>
      </dataBar>
    </cfRule>
  </conditionalFormatting>
  <conditionalFormatting sqref="I45:I46">
    <cfRule type="dataBar" priority="902">
      <dataBar>
        <cfvo type="min"/>
        <cfvo type="max"/>
        <color rgb="FF008AEF"/>
      </dataBar>
    </cfRule>
  </conditionalFormatting>
  <conditionalFormatting sqref="I40">
    <cfRule type="dataBar" priority="901">
      <dataBar>
        <cfvo type="min"/>
        <cfvo type="max"/>
        <color rgb="FF008AEF"/>
      </dataBar>
    </cfRule>
    <cfRule type="dataBar" priority="894">
      <dataBar>
        <cfvo type="min"/>
        <cfvo type="max"/>
        <color rgb="FF008AEF"/>
      </dataBar>
    </cfRule>
  </conditionalFormatting>
  <conditionalFormatting sqref="I41">
    <cfRule type="dataBar" priority="900">
      <dataBar>
        <cfvo type="min"/>
        <cfvo type="max"/>
        <color rgb="FF008AEF"/>
      </dataBar>
    </cfRule>
    <cfRule type="dataBar" priority="893">
      <dataBar>
        <cfvo type="min"/>
        <cfvo type="max"/>
        <color rgb="FF008AEF"/>
      </dataBar>
    </cfRule>
  </conditionalFormatting>
  <conditionalFormatting sqref="I42:I43">
    <cfRule type="dataBar" priority="899">
      <dataBar>
        <cfvo type="min"/>
        <cfvo type="max"/>
        <color rgb="FF008AEF"/>
      </dataBar>
    </cfRule>
  </conditionalFormatting>
  <conditionalFormatting sqref="I44">
    <cfRule type="dataBar" priority="898">
      <dataBar>
        <cfvo type="min"/>
        <cfvo type="max"/>
        <color rgb="FF008AEF"/>
      </dataBar>
    </cfRule>
  </conditionalFormatting>
  <conditionalFormatting sqref="I42:I44">
    <cfRule type="dataBar" priority="897">
      <dataBar>
        <cfvo type="min"/>
        <cfvo type="max"/>
        <color rgb="FF008AEF"/>
      </dataBar>
    </cfRule>
  </conditionalFormatting>
  <conditionalFormatting sqref="I38">
    <cfRule type="dataBar" priority="896">
      <dataBar>
        <cfvo type="min"/>
        <cfvo type="max"/>
        <color rgb="FF008AEF"/>
      </dataBar>
    </cfRule>
  </conditionalFormatting>
  <conditionalFormatting sqref="I39">
    <cfRule type="dataBar" priority="895">
      <dataBar>
        <cfvo type="min"/>
        <cfvo type="max"/>
        <color rgb="FF008AEF"/>
      </dataBar>
    </cfRule>
  </conditionalFormatting>
  <conditionalFormatting sqref="I56:I57">
    <cfRule type="dataBar" priority="890">
      <dataBar>
        <cfvo type="min"/>
        <cfvo type="max"/>
        <color rgb="FF008AEF"/>
      </dataBar>
    </cfRule>
  </conditionalFormatting>
  <conditionalFormatting sqref="I51">
    <cfRule type="dataBar" priority="889">
      <dataBar>
        <cfvo type="min"/>
        <cfvo type="max"/>
        <color rgb="FF008AEF"/>
      </dataBar>
    </cfRule>
    <cfRule type="dataBar" priority="882">
      <dataBar>
        <cfvo type="min"/>
        <cfvo type="max"/>
        <color rgb="FF008AEF"/>
      </dataBar>
    </cfRule>
  </conditionalFormatting>
  <conditionalFormatting sqref="I52">
    <cfRule type="dataBar" priority="888">
      <dataBar>
        <cfvo type="min"/>
        <cfvo type="max"/>
        <color rgb="FF008AEF"/>
      </dataBar>
    </cfRule>
    <cfRule type="dataBar" priority="881">
      <dataBar>
        <cfvo type="min"/>
        <cfvo type="max"/>
        <color rgb="FF008AEF"/>
      </dataBar>
    </cfRule>
  </conditionalFormatting>
  <conditionalFormatting sqref="I53:I54">
    <cfRule type="dataBar" priority="887">
      <dataBar>
        <cfvo type="min"/>
        <cfvo type="max"/>
        <color rgb="FF008AEF"/>
      </dataBar>
    </cfRule>
  </conditionalFormatting>
  <conditionalFormatting sqref="I55">
    <cfRule type="dataBar" priority="886">
      <dataBar>
        <cfvo type="min"/>
        <cfvo type="max"/>
        <color rgb="FF008AEF"/>
      </dataBar>
    </cfRule>
  </conditionalFormatting>
  <conditionalFormatting sqref="I53:I55">
    <cfRule type="dataBar" priority="885">
      <dataBar>
        <cfvo type="min"/>
        <cfvo type="max"/>
        <color rgb="FF008AEF"/>
      </dataBar>
    </cfRule>
  </conditionalFormatting>
  <conditionalFormatting sqref="I49">
    <cfRule type="dataBar" priority="884">
      <dataBar>
        <cfvo type="min"/>
        <cfvo type="max"/>
        <color rgb="FF008AEF"/>
      </dataBar>
    </cfRule>
  </conditionalFormatting>
  <conditionalFormatting sqref="I50">
    <cfRule type="dataBar" priority="883">
      <dataBar>
        <cfvo type="min"/>
        <cfvo type="max"/>
        <color rgb="FF008AEF"/>
      </dataBar>
    </cfRule>
  </conditionalFormatting>
  <conditionalFormatting sqref="I68">
    <cfRule type="dataBar" priority="864">
      <dataBar>
        <cfvo type="min"/>
        <cfvo type="max"/>
        <color rgb="FF008AEF"/>
      </dataBar>
    </cfRule>
  </conditionalFormatting>
  <conditionalFormatting sqref="I60">
    <cfRule type="dataBar" priority="863">
      <dataBar>
        <cfvo type="min"/>
        <cfvo type="max"/>
        <color rgb="FF008AEF"/>
      </dataBar>
    </cfRule>
  </conditionalFormatting>
  <conditionalFormatting sqref="I61">
    <cfRule type="dataBar" priority="862">
      <dataBar>
        <cfvo type="min"/>
        <cfvo type="max"/>
        <color rgb="FF008AEF"/>
      </dataBar>
    </cfRule>
  </conditionalFormatting>
  <conditionalFormatting sqref="I79">
    <cfRule type="dataBar" priority="859">
      <dataBar>
        <cfvo type="min"/>
        <cfvo type="max"/>
        <color rgb="FF008AEF"/>
      </dataBar>
    </cfRule>
  </conditionalFormatting>
  <conditionalFormatting sqref="I71">
    <cfRule type="dataBar" priority="858">
      <dataBar>
        <cfvo type="min"/>
        <cfvo type="max"/>
        <color rgb="FF008AEF"/>
      </dataBar>
    </cfRule>
  </conditionalFormatting>
  <conditionalFormatting sqref="I72">
    <cfRule type="dataBar" priority="857">
      <dataBar>
        <cfvo type="min"/>
        <cfvo type="max"/>
        <color rgb="FF008AEF"/>
      </dataBar>
    </cfRule>
  </conditionalFormatting>
  <conditionalFormatting sqref="I34">
    <cfRule type="dataBar" priority="820">
      <dataBar>
        <cfvo type="min"/>
        <cfvo type="max"/>
        <color rgb="FF008AEF"/>
      </dataBar>
    </cfRule>
  </conditionalFormatting>
  <conditionalFormatting sqref="I29">
    <cfRule type="dataBar" priority="819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30">
    <cfRule type="dataBar" priority="818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31:I32">
    <cfRule type="dataBar" priority="817">
      <dataBar>
        <cfvo type="min"/>
        <cfvo type="max"/>
        <color rgb="FF008AEF"/>
      </dataBar>
    </cfRule>
  </conditionalFormatting>
  <conditionalFormatting sqref="I33">
    <cfRule type="dataBar" priority="816">
      <dataBar>
        <cfvo type="min"/>
        <cfvo type="max"/>
        <color rgb="FF008AEF"/>
      </dataBar>
    </cfRule>
  </conditionalFormatting>
  <conditionalFormatting sqref="I31:I33">
    <cfRule type="dataBar" priority="815">
      <dataBar>
        <cfvo type="min"/>
        <cfvo type="max"/>
        <color rgb="FF008AEF"/>
      </dataBar>
    </cfRule>
  </conditionalFormatting>
  <conditionalFormatting sqref="I67">
    <cfRule type="dataBar" priority="748">
      <dataBar>
        <cfvo type="min"/>
        <cfvo type="max"/>
        <color rgb="FF008AEF"/>
      </dataBar>
    </cfRule>
  </conditionalFormatting>
  <conditionalFormatting sqref="I62">
    <cfRule type="dataBar" priority="747">
      <dataBar>
        <cfvo type="min"/>
        <cfvo type="max"/>
        <color rgb="FF008AEF"/>
      </dataBar>
    </cfRule>
    <cfRule type="dataBar" priority="742">
      <dataBar>
        <cfvo type="min"/>
        <cfvo type="max"/>
        <color rgb="FF008AEF"/>
      </dataBar>
    </cfRule>
  </conditionalFormatting>
  <conditionalFormatting sqref="I63">
    <cfRule type="dataBar" priority="746">
      <dataBar>
        <cfvo type="min"/>
        <cfvo type="max"/>
        <color rgb="FF008AEF"/>
      </dataBar>
    </cfRule>
    <cfRule type="dataBar" priority="741">
      <dataBar>
        <cfvo type="min"/>
        <cfvo type="max"/>
        <color rgb="FF008AEF"/>
      </dataBar>
    </cfRule>
  </conditionalFormatting>
  <conditionalFormatting sqref="I64:I65">
    <cfRule type="dataBar" priority="745">
      <dataBar>
        <cfvo type="min"/>
        <cfvo type="max"/>
        <color rgb="FF008AEF"/>
      </dataBar>
    </cfRule>
  </conditionalFormatting>
  <conditionalFormatting sqref="I66">
    <cfRule type="dataBar" priority="744">
      <dataBar>
        <cfvo type="min"/>
        <cfvo type="max"/>
        <color rgb="FF008AEF"/>
      </dataBar>
    </cfRule>
  </conditionalFormatting>
  <conditionalFormatting sqref="I64:I66">
    <cfRule type="dataBar" priority="743">
      <dataBar>
        <cfvo type="min"/>
        <cfvo type="max"/>
        <color rgb="FF008AEF"/>
      </dataBar>
    </cfRule>
  </conditionalFormatting>
  <conditionalFormatting sqref="I78">
    <cfRule type="dataBar" priority="724">
      <dataBar>
        <cfvo type="min"/>
        <cfvo type="max"/>
        <color rgb="FF008AEF"/>
      </dataBar>
    </cfRule>
  </conditionalFormatting>
  <conditionalFormatting sqref="I73">
    <cfRule type="dataBar" priority="723">
      <dataBar>
        <cfvo type="min"/>
        <cfvo type="max"/>
        <color rgb="FF008AEF"/>
      </dataBar>
    </cfRule>
    <cfRule type="dataBar" priority="718">
      <dataBar>
        <cfvo type="min"/>
        <cfvo type="max"/>
        <color rgb="FF008AEF"/>
      </dataBar>
    </cfRule>
  </conditionalFormatting>
  <conditionalFormatting sqref="I74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75:I76">
    <cfRule type="dataBar" priority="721">
      <dataBar>
        <cfvo type="min"/>
        <cfvo type="max"/>
        <color rgb="FF008AEF"/>
      </dataBar>
    </cfRule>
  </conditionalFormatting>
  <conditionalFormatting sqref="I77">
    <cfRule type="dataBar" priority="720">
      <dataBar>
        <cfvo type="min"/>
        <cfvo type="max"/>
        <color rgb="FF008AEF"/>
      </dataBar>
    </cfRule>
  </conditionalFormatting>
  <conditionalFormatting sqref="I75:I77">
    <cfRule type="dataBar" priority="719">
      <dataBar>
        <cfvo type="min"/>
        <cfvo type="max"/>
        <color rgb="FF008AEF"/>
      </dataBar>
    </cfRule>
  </conditionalFormatting>
  <conditionalFormatting sqref="Z89:Z90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AB84">
    <cfRule type="cellIs" priority="645" operator="greaterThan" dxfId="1">
      <formula>0.03</formula>
    </cfRule>
    <cfRule type="cellIs" priority="646" operator="lessThan" dxfId="0" stopIfTrue="1">
      <formula>-0.03</formula>
    </cfRule>
  </conditionalFormatting>
  <conditionalFormatting sqref="AB88">
    <cfRule type="cellIs" priority="643" operator="lessThan" dxfId="1">
      <formula>-0.03</formula>
    </cfRule>
    <cfRule type="cellIs" priority="644" operator="greaterThan" dxfId="0" stopIfTrue="1">
      <formula>0.03</formula>
    </cfRule>
  </conditionalFormatting>
  <conditionalFormatting sqref="Z84">
    <cfRule type="cellIs" priority="641" operator="lessThan" dxfId="1" stopIfTrue="1">
      <formula>-0.01</formula>
    </cfRule>
    <cfRule type="cellIs" priority="642" operator="greaterThan" dxfId="0" stopIfTrue="1">
      <formula>0.01</formula>
    </cfRule>
  </conditionalFormatting>
  <conditionalFormatting sqref="Z85">
    <cfRule type="cellIs" priority="639" operator="lessThan" dxfId="1" stopIfTrue="1">
      <formula>-0.01</formula>
    </cfRule>
    <cfRule type="cellIs" priority="640" operator="greaterThan" dxfId="0" stopIfTrue="1">
      <formula>0.01</formula>
    </cfRule>
  </conditionalFormatting>
  <conditionalFormatting sqref="Z86:Z87">
    <cfRule type="cellIs" priority="637" operator="lessThan" dxfId="1" stopIfTrue="1">
      <formula>-0.01</formula>
    </cfRule>
    <cfRule type="cellIs" priority="638" operator="greaterThan" dxfId="0" stopIfTrue="1">
      <formula>0.01</formula>
    </cfRule>
  </conditionalFormatting>
  <conditionalFormatting sqref="Z88">
    <cfRule type="cellIs" priority="635" operator="lessThan" dxfId="1" stopIfTrue="1">
      <formula>-0.01</formula>
    </cfRule>
    <cfRule type="cellIs" priority="636" operator="greaterThan" dxfId="0" stopIfTrue="1">
      <formula>0.01</formula>
    </cfRule>
  </conditionalFormatting>
  <conditionalFormatting sqref="V84:V88">
    <cfRule type="cellIs" priority="633" operator="greaterThan" dxfId="1">
      <formula>0.03</formula>
    </cfRule>
    <cfRule type="cellIs" priority="634" operator="lessThan" dxfId="0" stopIfTrue="1">
      <formula>-0.03</formula>
    </cfRule>
  </conditionalFormatting>
  <conditionalFormatting sqref="R85:T85">
    <cfRule type="dataBar" priority="632">
      <dataBar>
        <cfvo type="min"/>
        <cfvo type="max"/>
        <color rgb="FF008AEF"/>
      </dataBar>
    </cfRule>
  </conditionalFormatting>
  <conditionalFormatting sqref="R86:T87">
    <cfRule type="dataBar" priority="631">
      <dataBar>
        <cfvo type="min"/>
        <cfvo type="max"/>
        <color rgb="FF008AEF"/>
      </dataBar>
    </cfRule>
  </conditionalFormatting>
  <conditionalFormatting sqref="R88:T88">
    <cfRule type="dataBar" priority="630">
      <dataBar>
        <cfvo type="min"/>
        <cfvo type="max"/>
        <color rgb="FF008AEF"/>
      </dataBar>
    </cfRule>
  </conditionalFormatting>
  <conditionalFormatting sqref="R84:U84 U85:U88">
    <cfRule type="dataBar" priority="647">
      <dataBar>
        <cfvo type="min"/>
        <cfvo type="max"/>
        <color rgb="FF008AEF"/>
      </dataBar>
    </cfRule>
  </conditionalFormatting>
  <conditionalFormatting sqref="I89">
    <cfRule type="dataBar" priority="625">
      <dataBar>
        <cfvo type="min"/>
        <cfvo type="max"/>
        <color rgb="FF008AEF"/>
      </dataBar>
    </cfRule>
  </conditionalFormatting>
  <conditionalFormatting sqref="R89:T90">
    <cfRule type="dataBar" priority="650">
      <dataBar>
        <cfvo type="min"/>
        <cfvo type="max"/>
        <color rgb="FF008AEF"/>
      </dataBar>
    </cfRule>
  </conditionalFormatting>
  <conditionalFormatting sqref="U89:U90">
    <cfRule type="dataBar" priority="651">
      <dataBar>
        <cfvo type="min"/>
        <cfvo type="max"/>
        <color rgb="FF008AEF"/>
      </dataBar>
    </cfRule>
  </conditionalFormatting>
  <conditionalFormatting sqref="I90">
    <cfRule type="dataBar" priority="652">
      <dataBar>
        <cfvo type="min"/>
        <cfvo type="max"/>
        <color rgb="FF008AEF"/>
      </dataBar>
    </cfRule>
  </conditionalFormatting>
  <conditionalFormatting sqref="Z100:Z101">
    <cfRule type="cellIs" priority="597" operator="lessThan" dxfId="1" stopIfTrue="1">
      <formula>-0.01</formula>
    </cfRule>
    <cfRule type="cellIs" priority="598" operator="greaterThan" dxfId="0" stopIfTrue="1">
      <formula>0.01</formula>
    </cfRule>
  </conditionalFormatting>
  <conditionalFormatting sqref="AB95">
    <cfRule type="cellIs" priority="594" operator="greaterThan" dxfId="1">
      <formula>0.03</formula>
    </cfRule>
    <cfRule type="cellIs" priority="595" operator="lessThan" dxfId="0" stopIfTrue="1">
      <formula>-0.03</formula>
    </cfRule>
  </conditionalFormatting>
  <conditionalFormatting sqref="AB99">
    <cfRule type="cellIs" priority="592" operator="lessThan" dxfId="1">
      <formula>-0.03</formula>
    </cfRule>
    <cfRule type="cellIs" priority="593" operator="greaterThan" dxfId="0" stopIfTrue="1">
      <formula>0.03</formula>
    </cfRule>
  </conditionalFormatting>
  <conditionalFormatting sqref="Z95">
    <cfRule type="cellIs" priority="590" operator="lessThan" dxfId="1" stopIfTrue="1">
      <formula>-0.01</formula>
    </cfRule>
    <cfRule type="cellIs" priority="591" operator="greaterThan" dxfId="0" stopIfTrue="1">
      <formula>0.01</formula>
    </cfRule>
  </conditionalFormatting>
  <conditionalFormatting sqref="Z96">
    <cfRule type="cellIs" priority="588" operator="lessThan" dxfId="1" stopIfTrue="1">
      <formula>-0.01</formula>
    </cfRule>
    <cfRule type="cellIs" priority="589" operator="greaterThan" dxfId="0" stopIfTrue="1">
      <formula>0.01</formula>
    </cfRule>
  </conditionalFormatting>
  <conditionalFormatting sqref="Z97:Z98">
    <cfRule type="cellIs" priority="586" operator="lessThan" dxfId="1" stopIfTrue="1">
      <formula>-0.01</formula>
    </cfRule>
    <cfRule type="cellIs" priority="587" operator="greaterThan" dxfId="0" stopIfTrue="1">
      <formula>0.01</formula>
    </cfRule>
  </conditionalFormatting>
  <conditionalFormatting sqref="Z99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V95:V99">
    <cfRule type="cellIs" priority="582" operator="greaterThan" dxfId="1">
      <formula>0.03</formula>
    </cfRule>
    <cfRule type="cellIs" priority="583" operator="lessThan" dxfId="0" stopIfTrue="1">
      <formula>-0.03</formula>
    </cfRule>
  </conditionalFormatting>
  <conditionalFormatting sqref="R96:T96">
    <cfRule type="dataBar" priority="581">
      <dataBar>
        <cfvo type="min"/>
        <cfvo type="max"/>
        <color rgb="FF008AEF"/>
      </dataBar>
    </cfRule>
  </conditionalFormatting>
  <conditionalFormatting sqref="R97:T98">
    <cfRule type="dataBar" priority="580">
      <dataBar>
        <cfvo type="min"/>
        <cfvo type="max"/>
        <color rgb="FF008AEF"/>
      </dataBar>
    </cfRule>
  </conditionalFormatting>
  <conditionalFormatting sqref="R99:T99">
    <cfRule type="dataBar" priority="579">
      <dataBar>
        <cfvo type="min"/>
        <cfvo type="max"/>
        <color rgb="FF008AEF"/>
      </dataBar>
    </cfRule>
  </conditionalFormatting>
  <conditionalFormatting sqref="R95:U95 U96:U99">
    <cfRule type="dataBar" priority="596">
      <dataBar>
        <cfvo type="min"/>
        <cfvo type="max"/>
        <color rgb="FF008AEF"/>
      </dataBar>
    </cfRule>
  </conditionalFormatting>
  <conditionalFormatting sqref="I100">
    <cfRule type="dataBar" priority="574">
      <dataBar>
        <cfvo type="min"/>
        <cfvo type="max"/>
        <color rgb="FF008AEF"/>
      </dataBar>
    </cfRule>
  </conditionalFormatting>
  <conditionalFormatting sqref="R100:T101">
    <cfRule type="dataBar" priority="599">
      <dataBar>
        <cfvo type="min"/>
        <cfvo type="max"/>
        <color rgb="FF008AEF"/>
      </dataBar>
    </cfRule>
  </conditionalFormatting>
  <conditionalFormatting sqref="U100:U101">
    <cfRule type="dataBar" priority="600">
      <dataBar>
        <cfvo type="min"/>
        <cfvo type="max"/>
        <color rgb="FF008AEF"/>
      </dataBar>
    </cfRule>
  </conditionalFormatting>
  <conditionalFormatting sqref="I101">
    <cfRule type="dataBar" priority="601">
      <dataBar>
        <cfvo type="min"/>
        <cfvo type="max"/>
        <color rgb="FF008AEF"/>
      </dataBar>
    </cfRule>
  </conditionalFormatting>
  <conditionalFormatting sqref="Z111:Z112">
    <cfRule type="cellIs" priority="546" operator="lessThan" dxfId="1" stopIfTrue="1">
      <formula>-0.01</formula>
    </cfRule>
    <cfRule type="cellIs" priority="547" operator="greaterThan" dxfId="0" stopIfTrue="1">
      <formula>0.01</formula>
    </cfRule>
  </conditionalFormatting>
  <conditionalFormatting sqref="AB106">
    <cfRule type="cellIs" priority="543" operator="greaterThan" dxfId="1">
      <formula>0.03</formula>
    </cfRule>
    <cfRule type="cellIs" priority="544" operator="lessThan" dxfId="0" stopIfTrue="1">
      <formula>-0.03</formula>
    </cfRule>
  </conditionalFormatting>
  <conditionalFormatting sqref="AB110">
    <cfRule type="cellIs" priority="541" operator="lessThan" dxfId="1">
      <formula>-0.03</formula>
    </cfRule>
    <cfRule type="cellIs" priority="542" operator="greaterThan" dxfId="0" stopIfTrue="1">
      <formula>0.03</formula>
    </cfRule>
  </conditionalFormatting>
  <conditionalFormatting sqref="Z106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Z107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Z108:Z109">
    <cfRule type="cellIs" priority="535" operator="lessThan" dxfId="1" stopIfTrue="1">
      <formula>-0.01</formula>
    </cfRule>
    <cfRule type="cellIs" priority="536" operator="greaterThan" dxfId="0" stopIfTrue="1">
      <formula>0.01</formula>
    </cfRule>
  </conditionalFormatting>
  <conditionalFormatting sqref="Z110">
    <cfRule type="cellIs" priority="533" operator="lessThan" dxfId="1" stopIfTrue="1">
      <formula>-0.01</formula>
    </cfRule>
    <cfRule type="cellIs" priority="534" operator="greaterThan" dxfId="0" stopIfTrue="1">
      <formula>0.01</formula>
    </cfRule>
  </conditionalFormatting>
  <conditionalFormatting sqref="V106:V110">
    <cfRule type="cellIs" priority="531" operator="greaterThan" dxfId="1">
      <formula>0.03</formula>
    </cfRule>
    <cfRule type="cellIs" priority="532" operator="lessThan" dxfId="0" stopIfTrue="1">
      <formula>-0.03</formula>
    </cfRule>
  </conditionalFormatting>
  <conditionalFormatting sqref="R107:T107">
    <cfRule type="dataBar" priority="530">
      <dataBar>
        <cfvo type="min"/>
        <cfvo type="max"/>
        <color rgb="FF008AEF"/>
      </dataBar>
    </cfRule>
  </conditionalFormatting>
  <conditionalFormatting sqref="R108:T109">
    <cfRule type="dataBar" priority="529">
      <dataBar>
        <cfvo type="min"/>
        <cfvo type="max"/>
        <color rgb="FF008AEF"/>
      </dataBar>
    </cfRule>
  </conditionalFormatting>
  <conditionalFormatting sqref="R110:T110">
    <cfRule type="dataBar" priority="528">
      <dataBar>
        <cfvo type="min"/>
        <cfvo type="max"/>
        <color rgb="FF008AEF"/>
      </dataBar>
    </cfRule>
  </conditionalFormatting>
  <conditionalFormatting sqref="R106:U106 U107:U110">
    <cfRule type="dataBar" priority="545">
      <dataBar>
        <cfvo type="min"/>
        <cfvo type="max"/>
        <color rgb="FF008AEF"/>
      </dataBar>
    </cfRule>
  </conditionalFormatting>
  <conditionalFormatting sqref="I111">
    <cfRule type="dataBar" priority="523">
      <dataBar>
        <cfvo type="min"/>
        <cfvo type="max"/>
        <color rgb="FF008AEF"/>
      </dataBar>
    </cfRule>
  </conditionalFormatting>
  <conditionalFormatting sqref="R111:T112">
    <cfRule type="dataBar" priority="548">
      <dataBar>
        <cfvo type="min"/>
        <cfvo type="max"/>
        <color rgb="FF008AEF"/>
      </dataBar>
    </cfRule>
  </conditionalFormatting>
  <conditionalFormatting sqref="U111:U112">
    <cfRule type="dataBar" priority="549">
      <dataBar>
        <cfvo type="min"/>
        <cfvo type="max"/>
        <color rgb="FF008AEF"/>
      </dataBar>
    </cfRule>
  </conditionalFormatting>
  <conditionalFormatting sqref="I112">
    <cfRule type="dataBar" priority="550">
      <dataBar>
        <cfvo type="min"/>
        <cfvo type="max"/>
        <color rgb="FF008AEF"/>
      </dataBar>
    </cfRule>
  </conditionalFormatting>
  <conditionalFormatting sqref="I82">
    <cfRule type="dataBar" priority="499">
      <dataBar>
        <cfvo type="min"/>
        <cfvo type="max"/>
        <color rgb="FF008AEF"/>
      </dataBar>
    </cfRule>
  </conditionalFormatting>
  <conditionalFormatting sqref="I83">
    <cfRule type="dataBar" priority="498">
      <dataBar>
        <cfvo type="min"/>
        <cfvo type="max"/>
        <color rgb="FF008AEF"/>
      </dataBar>
    </cfRule>
  </conditionalFormatting>
  <conditionalFormatting sqref="I84">
    <cfRule type="dataBar" priority="497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85">
    <cfRule type="dataBar" priority="496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86:I87">
    <cfRule type="dataBar" priority="495">
      <dataBar>
        <cfvo type="min"/>
        <cfvo type="max"/>
        <color rgb="FF008AEF"/>
      </dataBar>
    </cfRule>
  </conditionalFormatting>
  <conditionalFormatting sqref="I88">
    <cfRule type="dataBar" priority="494">
      <dataBar>
        <cfvo type="min"/>
        <cfvo type="max"/>
        <color rgb="FF008AEF"/>
      </dataBar>
    </cfRule>
  </conditionalFormatting>
  <conditionalFormatting sqref="I86:I88">
    <cfRule type="dataBar" priority="493">
      <dataBar>
        <cfvo type="min"/>
        <cfvo type="max"/>
        <color rgb="FF008AEF"/>
      </dataBar>
    </cfRule>
  </conditionalFormatting>
  <conditionalFormatting sqref="I93">
    <cfRule type="dataBar" priority="476">
      <dataBar>
        <cfvo type="min"/>
        <cfvo type="max"/>
        <color rgb="FF008AEF"/>
      </dataBar>
    </cfRule>
  </conditionalFormatting>
  <conditionalFormatting sqref="I94">
    <cfRule type="dataBar" priority="475">
      <dataBar>
        <cfvo type="min"/>
        <cfvo type="max"/>
        <color rgb="FF008AEF"/>
      </dataBar>
    </cfRule>
  </conditionalFormatting>
  <conditionalFormatting sqref="I95">
    <cfRule type="dataBar" priority="474">
      <dataBar>
        <cfvo type="min"/>
        <cfvo type="max"/>
        <color rgb="FF008AEF"/>
      </dataBar>
    </cfRule>
    <cfRule type="dataBar" priority="469">
      <dataBar>
        <cfvo type="min"/>
        <cfvo type="max"/>
        <color rgb="FF008AEF"/>
      </dataBar>
    </cfRule>
  </conditionalFormatting>
  <conditionalFormatting sqref="I96">
    <cfRule type="dataBar" priority="473">
      <dataBar>
        <cfvo type="min"/>
        <cfvo type="max"/>
        <color rgb="FF008AEF"/>
      </dataBar>
    </cfRule>
    <cfRule type="dataBar" priority="468">
      <dataBar>
        <cfvo type="min"/>
        <cfvo type="max"/>
        <color rgb="FF008AEF"/>
      </dataBar>
    </cfRule>
  </conditionalFormatting>
  <conditionalFormatting sqref="I97:I98">
    <cfRule type="dataBar" priority="472">
      <dataBar>
        <cfvo type="min"/>
        <cfvo type="max"/>
        <color rgb="FF008AEF"/>
      </dataBar>
    </cfRule>
  </conditionalFormatting>
  <conditionalFormatting sqref="I99">
    <cfRule type="dataBar" priority="471">
      <dataBar>
        <cfvo type="min"/>
        <cfvo type="max"/>
        <color rgb="FF008AEF"/>
      </dataBar>
    </cfRule>
  </conditionalFormatting>
  <conditionalFormatting sqref="I97:I99">
    <cfRule type="dataBar" priority="470">
      <dataBar>
        <cfvo type="min"/>
        <cfvo type="max"/>
        <color rgb="FF008AEF"/>
      </dataBar>
    </cfRule>
  </conditionalFormatting>
  <conditionalFormatting sqref="I104">
    <cfRule type="dataBar" priority="453">
      <dataBar>
        <cfvo type="min"/>
        <cfvo type="max"/>
        <color rgb="FF008AEF"/>
      </dataBar>
    </cfRule>
  </conditionalFormatting>
  <conditionalFormatting sqref="I105">
    <cfRule type="dataBar" priority="452">
      <dataBar>
        <cfvo type="min"/>
        <cfvo type="max"/>
        <color rgb="FF008AEF"/>
      </dataBar>
    </cfRule>
  </conditionalFormatting>
  <conditionalFormatting sqref="I106">
    <cfRule type="dataBar" priority="451">
      <dataBar>
        <cfvo type="min"/>
        <cfvo type="max"/>
        <color rgb="FF008AEF"/>
      </dataBar>
    </cfRule>
    <cfRule type="dataBar" priority="446">
      <dataBar>
        <cfvo type="min"/>
        <cfvo type="max"/>
        <color rgb="FF008AEF"/>
      </dataBar>
    </cfRule>
  </conditionalFormatting>
  <conditionalFormatting sqref="I107">
    <cfRule type="dataBar" priority="450">
      <dataBar>
        <cfvo type="min"/>
        <cfvo type="max"/>
        <color rgb="FF008AEF"/>
      </dataBar>
    </cfRule>
    <cfRule type="dataBar" priority="445">
      <dataBar>
        <cfvo type="min"/>
        <cfvo type="max"/>
        <color rgb="FF008AEF"/>
      </dataBar>
    </cfRule>
  </conditionalFormatting>
  <conditionalFormatting sqref="I108:I109">
    <cfRule type="dataBar" priority="449">
      <dataBar>
        <cfvo type="min"/>
        <cfvo type="max"/>
        <color rgb="FF008AEF"/>
      </dataBar>
    </cfRule>
  </conditionalFormatting>
  <conditionalFormatting sqref="I110">
    <cfRule type="dataBar" priority="448">
      <dataBar>
        <cfvo type="min"/>
        <cfvo type="max"/>
        <color rgb="FF008AEF"/>
      </dataBar>
    </cfRule>
  </conditionalFormatting>
  <conditionalFormatting sqref="I108:I110">
    <cfRule type="dataBar" priority="447">
      <dataBar>
        <cfvo type="min"/>
        <cfvo type="max"/>
        <color rgb="FF008AEF"/>
      </dataBar>
    </cfRule>
  </conditionalFormatting>
  <conditionalFormatting sqref="U8:U11">
    <cfRule type="dataBar" priority="430">
      <dataBar>
        <cfvo type="min"/>
        <cfvo type="max"/>
        <color rgb="FF008AEF"/>
      </dataBar>
    </cfRule>
  </conditionalFormatting>
  <conditionalFormatting sqref="Z12:Z13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R12:T13">
    <cfRule type="dataBar" priority="425">
      <dataBar>
        <cfvo type="min"/>
        <cfvo type="max"/>
        <color rgb="FF008AEF"/>
      </dataBar>
    </cfRule>
  </conditionalFormatting>
  <conditionalFormatting sqref="U12:U13">
    <cfRule type="dataBar" priority="429">
      <dataBar>
        <cfvo type="min"/>
        <cfvo type="max"/>
        <color rgb="FF008AEF"/>
      </dataBar>
    </cfRule>
  </conditionalFormatting>
  <conditionalFormatting sqref="AB7">
    <cfRule type="cellIs" priority="422" operator="greaterThan" dxfId="1">
      <formula>0.03</formula>
    </cfRule>
    <cfRule type="cellIs" priority="423" operator="lessThan" dxfId="0" stopIfTrue="1">
      <formula>-0.03</formula>
    </cfRule>
  </conditionalFormatting>
  <conditionalFormatting sqref="AB11">
    <cfRule type="cellIs" priority="420" operator="lessThan" dxfId="1">
      <formula>-0.03</formula>
    </cfRule>
    <cfRule type="cellIs" priority="421" operator="greaterThan" dxfId="0" stopIfTrue="1">
      <formula>0.03</formula>
    </cfRule>
  </conditionalFormatting>
  <conditionalFormatting sqref="Z7">
    <cfRule type="cellIs" priority="418" operator="lessThan" dxfId="1" stopIfTrue="1">
      <formula>-0.01</formula>
    </cfRule>
    <cfRule type="cellIs" priority="419" operator="greaterThan" dxfId="0" stopIfTrue="1">
      <formula>0.01</formula>
    </cfRule>
  </conditionalFormatting>
  <conditionalFormatting sqref="Z8">
    <cfRule type="cellIs" priority="416" operator="lessThan" dxfId="1" stopIfTrue="1">
      <formula>-0.01</formula>
    </cfRule>
    <cfRule type="cellIs" priority="417" operator="greaterThan" dxfId="0" stopIfTrue="1">
      <formula>0.01</formula>
    </cfRule>
  </conditionalFormatting>
  <conditionalFormatting sqref="Z9:Z10">
    <cfRule type="cellIs" priority="414" operator="lessThan" dxfId="1" stopIfTrue="1">
      <formula>-0.01</formula>
    </cfRule>
    <cfRule type="cellIs" priority="415" operator="greaterThan" dxfId="0" stopIfTrue="1">
      <formula>0.01</formula>
    </cfRule>
  </conditionalFormatting>
  <conditionalFormatting sqref="Z11">
    <cfRule type="cellIs" priority="412" operator="lessThan" dxfId="1" stopIfTrue="1">
      <formula>-0.01</formula>
    </cfRule>
    <cfRule type="cellIs" priority="413" operator="greaterThan" dxfId="0" stopIfTrue="1">
      <formula>0.01</formula>
    </cfRule>
  </conditionalFormatting>
  <conditionalFormatting sqref="V7:V11">
    <cfRule type="cellIs" priority="410" operator="greaterThan" dxfId="1">
      <formula>0.03</formula>
    </cfRule>
    <cfRule type="cellIs" priority="411" operator="lessThan" dxfId="0" stopIfTrue="1">
      <formula>-0.03</formula>
    </cfRule>
  </conditionalFormatting>
  <conditionalFormatting sqref="R8:T8">
    <cfRule type="dataBar" priority="409">
      <dataBar>
        <cfvo type="min"/>
        <cfvo type="max"/>
        <color rgb="FF008AEF"/>
      </dataBar>
    </cfRule>
  </conditionalFormatting>
  <conditionalFormatting sqref="R9:T10">
    <cfRule type="dataBar" priority="408">
      <dataBar>
        <cfvo type="min"/>
        <cfvo type="max"/>
        <color rgb="FF008AEF"/>
      </dataBar>
    </cfRule>
  </conditionalFormatting>
  <conditionalFormatting sqref="R11:T11">
    <cfRule type="dataBar" priority="407">
      <dataBar>
        <cfvo type="min"/>
        <cfvo type="max"/>
        <color rgb="FF008AEF"/>
      </dataBar>
    </cfRule>
  </conditionalFormatting>
  <conditionalFormatting sqref="R7:U7">
    <cfRule type="dataBar" priority="424">
      <dataBar>
        <cfvo type="min"/>
        <cfvo type="max"/>
        <color rgb="FF008AEF"/>
      </dataBar>
    </cfRule>
  </conditionalFormatting>
  <conditionalFormatting sqref="I13">
    <cfRule type="dataBar" priority="378">
      <dataBar>
        <cfvo type="min"/>
        <cfvo type="max"/>
        <color rgb="FF008AEF"/>
      </dataBar>
    </cfRule>
  </conditionalFormatting>
  <conditionalFormatting sqref="I5">
    <cfRule type="dataBar" priority="377">
      <dataBar>
        <cfvo type="min"/>
        <cfvo type="max"/>
        <color rgb="FF008AEF"/>
      </dataBar>
    </cfRule>
  </conditionalFormatting>
  <conditionalFormatting sqref="I6">
    <cfRule type="dataBar" priority="376">
      <dataBar>
        <cfvo type="min"/>
        <cfvo type="max"/>
        <color rgb="FF008AEF"/>
      </dataBar>
    </cfRule>
  </conditionalFormatting>
  <conditionalFormatting sqref="N13">
    <cfRule type="cellIs" priority="374" operator="lessThan" dxfId="1" stopIfTrue="1">
      <formula>-0.01</formula>
    </cfRule>
    <cfRule type="cellIs" priority="375" operator="greaterThan" dxfId="0" stopIfTrue="1">
      <formula>0.01</formula>
    </cfRule>
  </conditionalFormatting>
  <conditionalFormatting sqref="I12">
    <cfRule type="dataBar" priority="373">
      <dataBar>
        <cfvo type="min"/>
        <cfvo type="max"/>
        <color rgb="FF008AEF"/>
      </dataBar>
    </cfRule>
  </conditionalFormatting>
  <conditionalFormatting sqref="I7"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8"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9:I10">
    <cfRule type="dataBar" priority="370">
      <dataBar>
        <cfvo type="min"/>
        <cfvo type="max"/>
        <color rgb="FF008AEF"/>
      </dataBar>
    </cfRule>
  </conditionalFormatting>
  <conditionalFormatting sqref="I11">
    <cfRule type="dataBar" priority="369">
      <dataBar>
        <cfvo type="min"/>
        <cfvo type="max"/>
        <color rgb="FF008AEF"/>
      </dataBar>
    </cfRule>
  </conditionalFormatting>
  <conditionalFormatting sqref="I9:I11">
    <cfRule type="dataBar" priority="368">
      <dataBar>
        <cfvo type="min"/>
        <cfvo type="max"/>
        <color rgb="FF008AEF"/>
      </dataBar>
    </cfRule>
  </conditionalFormatting>
  <conditionalFormatting sqref="J7:J11">
    <cfRule type="cellIs" priority="364" operator="greaterThan" dxfId="1">
      <formula>0.03</formula>
    </cfRule>
    <cfRule type="cellIs" priority="365" operator="lessThan" dxfId="0" stopIfTrue="1">
      <formula>-0.03</formula>
    </cfRule>
  </conditionalFormatting>
  <conditionalFormatting sqref="N12">
    <cfRule type="cellIs" priority="362" operator="lessThan" dxfId="1" stopIfTrue="1">
      <formula>-0.01</formula>
    </cfRule>
    <cfRule type="cellIs" priority="363" operator="greaterThan" dxfId="0" stopIfTrue="1">
      <formula>0.01</formula>
    </cfRule>
  </conditionalFormatting>
  <conditionalFormatting sqref="N7">
    <cfRule type="cellIs" priority="360" operator="lessThan" dxfId="1" stopIfTrue="1">
      <formula>-0.01</formula>
    </cfRule>
    <cfRule type="cellIs" priority="361" operator="greaterThan" dxfId="0" stopIfTrue="1">
      <formula>0.01</formula>
    </cfRule>
  </conditionalFormatting>
  <conditionalFormatting sqref="N8">
    <cfRule type="cellIs" priority="358" operator="lessThan" dxfId="1" stopIfTrue="1">
      <formula>-0.01</formula>
    </cfRule>
    <cfRule type="cellIs" priority="359" operator="greaterThan" dxfId="0" stopIfTrue="1">
      <formula>0.01</formula>
    </cfRule>
  </conditionalFormatting>
  <conditionalFormatting sqref="N9:N11">
    <cfRule type="cellIs" priority="356" operator="lessThan" dxfId="1" stopIfTrue="1">
      <formula>-0.01</formula>
    </cfRule>
    <cfRule type="cellIs" priority="357" operator="greaterThan" dxfId="0" stopIfTrue="1">
      <formula>0.01</formula>
    </cfRule>
  </conditionalFormatting>
  <conditionalFormatting sqref="P7">
    <cfRule type="cellIs" priority="352" operator="greaterThan" dxfId="1">
      <formula>0.03</formula>
    </cfRule>
    <cfRule type="cellIs" priority="353" operator="lessThan" dxfId="0" stopIfTrue="1">
      <formula>-0.03</formula>
    </cfRule>
  </conditionalFormatting>
  <conditionalFormatting sqref="P11">
    <cfRule type="cellIs" priority="350" operator="lessThan" dxfId="1">
      <formula>-0.03</formula>
    </cfRule>
    <cfRule type="cellIs" priority="351" operator="greaterThan" dxfId="0" stopIfTrue="1">
      <formula>0.03</formula>
    </cfRule>
  </conditionalFormatting>
  <conditionalFormatting sqref="I24">
    <cfRule type="dataBar" priority="349">
      <dataBar>
        <cfvo type="min"/>
        <cfvo type="max"/>
        <color rgb="FF008AEF"/>
      </dataBar>
    </cfRule>
  </conditionalFormatting>
  <conditionalFormatting sqref="I16">
    <cfRule type="dataBar" priority="348">
      <dataBar>
        <cfvo type="min"/>
        <cfvo type="max"/>
        <color rgb="FF008AEF"/>
      </dataBar>
    </cfRule>
  </conditionalFormatting>
  <conditionalFormatting sqref="I17">
    <cfRule type="dataBar" priority="347">
      <dataBar>
        <cfvo type="min"/>
        <cfvo type="max"/>
        <color rgb="FF008AEF"/>
      </dataBar>
    </cfRule>
  </conditionalFormatting>
  <conditionalFormatting sqref="I23">
    <cfRule type="dataBar" priority="344">
      <dataBar>
        <cfvo type="min"/>
        <cfvo type="max"/>
        <color rgb="FF008AEF"/>
      </dataBar>
    </cfRule>
  </conditionalFormatting>
  <conditionalFormatting sqref="I18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9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20:I21">
    <cfRule type="dataBar" priority="341">
      <dataBar>
        <cfvo type="min"/>
        <cfvo type="max"/>
        <color rgb="FF008AEF"/>
      </dataBar>
    </cfRule>
  </conditionalFormatting>
  <conditionalFormatting sqref="I22">
    <cfRule type="dataBar" priority="340">
      <dataBar>
        <cfvo type="min"/>
        <cfvo type="max"/>
        <color rgb="FF008AEF"/>
      </dataBar>
    </cfRule>
  </conditionalFormatting>
  <conditionalFormatting sqref="I20:I22">
    <cfRule type="dataBar" priority="339">
      <dataBar>
        <cfvo type="min"/>
        <cfvo type="max"/>
        <color rgb="FF008AEF"/>
      </dataBar>
    </cfRule>
  </conditionalFormatting>
  <conditionalFormatting sqref="N24">
    <cfRule type="cellIs" priority="319" operator="lessThan" dxfId="1" stopIfTrue="1">
      <formula>-0.01</formula>
    </cfRule>
    <cfRule type="cellIs" priority="320" operator="greaterThan" dxfId="0" stopIfTrue="1">
      <formula>0.01</formula>
    </cfRule>
  </conditionalFormatting>
  <conditionalFormatting sqref="J18:J22">
    <cfRule type="cellIs" priority="317" operator="greaterThan" dxfId="1">
      <formula>0.03</formula>
    </cfRule>
    <cfRule type="cellIs" priority="318" operator="lessThan" dxfId="0" stopIfTrue="1">
      <formula>-0.03</formula>
    </cfRule>
  </conditionalFormatting>
  <conditionalFormatting sqref="N23">
    <cfRule type="cellIs" priority="315" operator="lessThan" dxfId="1" stopIfTrue="1">
      <formula>-0.01</formula>
    </cfRule>
    <cfRule type="cellIs" priority="316" operator="greaterThan" dxfId="0" stopIfTrue="1">
      <formula>0.01</formula>
    </cfRule>
  </conditionalFormatting>
  <conditionalFormatting sqref="N18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N19">
    <cfRule type="cellIs" priority="311" operator="lessThan" dxfId="1" stopIfTrue="1">
      <formula>-0.01</formula>
    </cfRule>
    <cfRule type="cellIs" priority="312" operator="greaterThan" dxfId="0" stopIfTrue="1">
      <formula>0.01</formula>
    </cfRule>
  </conditionalFormatting>
  <conditionalFormatting sqref="N20:N22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P18">
    <cfRule type="cellIs" priority="307" operator="greaterThan" dxfId="1">
      <formula>0.03</formula>
    </cfRule>
    <cfRule type="cellIs" priority="308" operator="lessThan" dxfId="0" stopIfTrue="1">
      <formula>-0.03</formula>
    </cfRule>
  </conditionalFormatting>
  <conditionalFormatting sqref="P22">
    <cfRule type="cellIs" priority="305" operator="lessThan" dxfId="1">
      <formula>-0.03</formula>
    </cfRule>
    <cfRule type="cellIs" priority="306" operator="greaterThan" dxfId="0" stopIfTrue="1">
      <formula>0.03</formula>
    </cfRule>
  </conditionalFormatting>
  <conditionalFormatting sqref="N35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J29:J33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N34">
    <cfRule type="cellIs" priority="299" operator="lessThan" dxfId="1" stopIfTrue="1">
      <formula>-0.01</formula>
    </cfRule>
    <cfRule type="cellIs" priority="300" operator="greaterThan" dxfId="0" stopIfTrue="1">
      <formula>0.01</formula>
    </cfRule>
  </conditionalFormatting>
  <conditionalFormatting sqref="N29">
    <cfRule type="cellIs" priority="297" operator="lessThan" dxfId="1" stopIfTrue="1">
      <formula>-0.01</formula>
    </cfRule>
    <cfRule type="cellIs" priority="298" operator="greaterThan" dxfId="0" stopIfTrue="1">
      <formula>0.01</formula>
    </cfRule>
  </conditionalFormatting>
  <conditionalFormatting sqref="N30">
    <cfRule type="cellIs" priority="295" operator="lessThan" dxfId="1" stopIfTrue="1">
      <formula>-0.01</formula>
    </cfRule>
    <cfRule type="cellIs" priority="296" operator="greaterThan" dxfId="0" stopIfTrue="1">
      <formula>0.01</formula>
    </cfRule>
  </conditionalFormatting>
  <conditionalFormatting sqref="N31:N33">
    <cfRule type="cellIs" priority="293" operator="lessThan" dxfId="1" stopIfTrue="1">
      <formula>-0.01</formula>
    </cfRule>
    <cfRule type="cellIs" priority="294" operator="greaterThan" dxfId="0" stopIfTrue="1">
      <formula>0.01</formula>
    </cfRule>
  </conditionalFormatting>
  <conditionalFormatting sqref="P29">
    <cfRule type="cellIs" priority="291" operator="greaterThan" dxfId="1">
      <formula>0.03</formula>
    </cfRule>
    <cfRule type="cellIs" priority="292" operator="lessThan" dxfId="0" stopIfTrue="1">
      <formula>-0.03</formula>
    </cfRule>
  </conditionalFormatting>
  <conditionalFormatting sqref="P33">
    <cfRule type="cellIs" priority="289" operator="lessThan" dxfId="1">
      <formula>-0.03</formula>
    </cfRule>
    <cfRule type="cellIs" priority="290" operator="greaterThan" dxfId="0" stopIfTrue="1">
      <formula>0.03</formula>
    </cfRule>
  </conditionalFormatting>
  <conditionalFormatting sqref="N46">
    <cfRule type="cellIs" priority="287" operator="lessThan" dxfId="1" stopIfTrue="1">
      <formula>-0.01</formula>
    </cfRule>
    <cfRule type="cellIs" priority="288" operator="greaterThan" dxfId="0" stopIfTrue="1">
      <formula>0.01</formula>
    </cfRule>
  </conditionalFormatting>
  <conditionalFormatting sqref="J40:J44">
    <cfRule type="cellIs" priority="285" operator="greaterThan" dxfId="1">
      <formula>0.03</formula>
    </cfRule>
    <cfRule type="cellIs" priority="286" operator="lessThan" dxfId="0" stopIfTrue="1">
      <formula>-0.03</formula>
    </cfRule>
  </conditionalFormatting>
  <conditionalFormatting sqref="N45">
    <cfRule type="cellIs" priority="283" operator="lessThan" dxfId="1" stopIfTrue="1">
      <formula>-0.01</formula>
    </cfRule>
    <cfRule type="cellIs" priority="284" operator="greaterThan" dxfId="0" stopIfTrue="1">
      <formula>0.01</formula>
    </cfRule>
  </conditionalFormatting>
  <conditionalFormatting sqref="N40">
    <cfRule type="cellIs" priority="281" operator="lessThan" dxfId="1" stopIfTrue="1">
      <formula>-0.01</formula>
    </cfRule>
    <cfRule type="cellIs" priority="282" operator="greaterThan" dxfId="0" stopIfTrue="1">
      <formula>0.01</formula>
    </cfRule>
  </conditionalFormatting>
  <conditionalFormatting sqref="N41">
    <cfRule type="cellIs" priority="279" operator="lessThan" dxfId="1" stopIfTrue="1">
      <formula>-0.01</formula>
    </cfRule>
    <cfRule type="cellIs" priority="280" operator="greaterThan" dxfId="0" stopIfTrue="1">
      <formula>0.01</formula>
    </cfRule>
  </conditionalFormatting>
  <conditionalFormatting sqref="N42:N44">
    <cfRule type="cellIs" priority="277" operator="lessThan" dxfId="1" stopIfTrue="1">
      <formula>-0.01</formula>
    </cfRule>
    <cfRule type="cellIs" priority="278" operator="greaterThan" dxfId="0" stopIfTrue="1">
      <formula>0.01</formula>
    </cfRule>
  </conditionalFormatting>
  <conditionalFormatting sqref="P40">
    <cfRule type="cellIs" priority="275" operator="greaterThan" dxfId="1">
      <formula>0.03</formula>
    </cfRule>
    <cfRule type="cellIs" priority="276" operator="lessThan" dxfId="0" stopIfTrue="1">
      <formula>-0.03</formula>
    </cfRule>
  </conditionalFormatting>
  <conditionalFormatting sqref="P44">
    <cfRule type="cellIs" priority="273" operator="lessThan" dxfId="1">
      <formula>-0.03</formula>
    </cfRule>
    <cfRule type="cellIs" priority="274" operator="greaterThan" dxfId="0" stopIfTrue="1">
      <formula>0.03</formula>
    </cfRule>
  </conditionalFormatting>
  <conditionalFormatting sqref="N57">
    <cfRule type="cellIs" priority="271" operator="lessThan" dxfId="1" stopIfTrue="1">
      <formula>-0.01</formula>
    </cfRule>
    <cfRule type="cellIs" priority="272" operator="greaterThan" dxfId="0" stopIfTrue="1">
      <formula>0.01</formula>
    </cfRule>
  </conditionalFormatting>
  <conditionalFormatting sqref="J51:J55">
    <cfRule type="cellIs" priority="269" operator="greaterThan" dxfId="1">
      <formula>0.03</formula>
    </cfRule>
    <cfRule type="cellIs" priority="270" operator="lessThan" dxfId="0" stopIfTrue="1">
      <formula>-0.03</formula>
    </cfRule>
  </conditionalFormatting>
  <conditionalFormatting sqref="N56">
    <cfRule type="cellIs" priority="267" operator="lessThan" dxfId="1" stopIfTrue="1">
      <formula>-0.01</formula>
    </cfRule>
    <cfRule type="cellIs" priority="268" operator="greaterThan" dxfId="0" stopIfTrue="1">
      <formula>0.01</formula>
    </cfRule>
  </conditionalFormatting>
  <conditionalFormatting sqref="N51">
    <cfRule type="cellIs" priority="265" operator="lessThan" dxfId="1" stopIfTrue="1">
      <formula>-0.01</formula>
    </cfRule>
    <cfRule type="cellIs" priority="266" operator="greaterThan" dxfId="0" stopIfTrue="1">
      <formula>0.01</formula>
    </cfRule>
  </conditionalFormatting>
  <conditionalFormatting sqref="N52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53:N5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P51">
    <cfRule type="cellIs" priority="259" operator="greaterThan" dxfId="1">
      <formula>0.03</formula>
    </cfRule>
    <cfRule type="cellIs" priority="260" operator="lessThan" dxfId="0" stopIfTrue="1">
      <formula>-0.03</formula>
    </cfRule>
  </conditionalFormatting>
  <conditionalFormatting sqref="P55">
    <cfRule type="cellIs" priority="257" operator="lessThan" dxfId="1">
      <formula>-0.03</formula>
    </cfRule>
    <cfRule type="cellIs" priority="258" operator="greaterThan" dxfId="0" stopIfTrue="1">
      <formula>0.03</formula>
    </cfRule>
  </conditionalFormatting>
  <conditionalFormatting sqref="N68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J62:J66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N67">
    <cfRule type="cellIs" priority="251" operator="lessThan" dxfId="1" stopIfTrue="1">
      <formula>-0.01</formula>
    </cfRule>
    <cfRule type="cellIs" priority="252" operator="greaterThan" dxfId="0" stopIfTrue="1">
      <formula>0.01</formula>
    </cfRule>
  </conditionalFormatting>
  <conditionalFormatting sqref="N62">
    <cfRule type="cellIs" priority="249" operator="lessThan" dxfId="1" stopIfTrue="1">
      <formula>-0.01</formula>
    </cfRule>
    <cfRule type="cellIs" priority="250" operator="greaterThan" dxfId="0" stopIfTrue="1">
      <formula>0.01</formula>
    </cfRule>
  </conditionalFormatting>
  <conditionalFormatting sqref="N63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N64:N66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P62">
    <cfRule type="cellIs" priority="243" operator="greaterThan" dxfId="1">
      <formula>0.03</formula>
    </cfRule>
    <cfRule type="cellIs" priority="244" operator="lessThan" dxfId="0" stopIfTrue="1">
      <formula>-0.03</formula>
    </cfRule>
  </conditionalFormatting>
  <conditionalFormatting sqref="P66">
    <cfRule type="cellIs" priority="241" operator="lessThan" dxfId="1">
      <formula>-0.03</formula>
    </cfRule>
    <cfRule type="cellIs" priority="242" operator="greaterThan" dxfId="0" stopIfTrue="1">
      <formula>0.03</formula>
    </cfRule>
  </conditionalFormatting>
  <conditionalFormatting sqref="N79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J73:J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N78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3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4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N75:N77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P73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P77">
    <cfRule type="cellIs" priority="225" operator="lessThan" dxfId="1">
      <formula>-0.03</formula>
    </cfRule>
    <cfRule type="cellIs" priority="226" operator="greaterThan" dxfId="0" stopIfTrue="1">
      <formula>0.03</formula>
    </cfRule>
  </conditionalFormatting>
  <conditionalFormatting sqref="N90">
    <cfRule type="cellIs" priority="223" operator="lessThan" dxfId="1" stopIfTrue="1">
      <formula>-0.01</formula>
    </cfRule>
    <cfRule type="cellIs" priority="224" operator="greaterThan" dxfId="0" stopIfTrue="1">
      <formula>0.01</formula>
    </cfRule>
  </conditionalFormatting>
  <conditionalFormatting sqref="J84:J88">
    <cfRule type="cellIs" priority="221" operator="greaterThan" dxfId="1">
      <formula>0.03</formula>
    </cfRule>
    <cfRule type="cellIs" priority="222" operator="lessThan" dxfId="0" stopIfTrue="1">
      <formula>-0.03</formula>
    </cfRule>
  </conditionalFormatting>
  <conditionalFormatting sqref="N89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N84">
    <cfRule type="cellIs" priority="217" operator="lessThan" dxfId="1" stopIfTrue="1">
      <formula>-0.01</formula>
    </cfRule>
    <cfRule type="cellIs" priority="218" operator="greaterThan" dxfId="0" stopIfTrue="1">
      <formula>0.01</formula>
    </cfRule>
  </conditionalFormatting>
  <conditionalFormatting sqref="N85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6:N88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P84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P88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N101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J95:J99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N100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N95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N96">
    <cfRule type="cellIs" priority="199" operator="lessThan" dxfId="1" stopIfTrue="1">
      <formula>-0.01</formula>
    </cfRule>
    <cfRule type="cellIs" priority="200" operator="greaterThan" dxfId="0" stopIfTrue="1">
      <formula>0.01</formula>
    </cfRule>
  </conditionalFormatting>
  <conditionalFormatting sqref="N97:N99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P95">
    <cfRule type="cellIs" priority="195" operator="greaterThan" dxfId="1">
      <formula>0.03</formula>
    </cfRule>
    <cfRule type="cellIs" priority="196" operator="lessThan" dxfId="0" stopIfTrue="1">
      <formula>-0.03</formula>
    </cfRule>
  </conditionalFormatting>
  <conditionalFormatting sqref="P99">
    <cfRule type="cellIs" priority="193" operator="lessThan" dxfId="1">
      <formula>-0.03</formula>
    </cfRule>
    <cfRule type="cellIs" priority="194" operator="greaterThan" dxfId="0" stopIfTrue="1">
      <formula>0.03</formula>
    </cfRule>
  </conditionalFormatting>
  <conditionalFormatting sqref="N112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J106:J110">
    <cfRule type="cellIs" priority="189" operator="greaterThan" dxfId="1">
      <formula>0.03</formula>
    </cfRule>
    <cfRule type="cellIs" priority="190" operator="lessThan" dxfId="0" stopIfTrue="1">
      <formula>-0.03</formula>
    </cfRule>
  </conditionalFormatting>
  <conditionalFormatting sqref="N111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106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107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N108:N110">
    <cfRule type="cellIs" priority="181" operator="lessThan" dxfId="1" stopIfTrue="1">
      <formula>-0.01</formula>
    </cfRule>
    <cfRule type="cellIs" priority="182" operator="greaterThan" dxfId="0" stopIfTrue="1">
      <formula>0.01</formula>
    </cfRule>
  </conditionalFormatting>
  <conditionalFormatting sqref="P106">
    <cfRule type="cellIs" priority="179" operator="greaterThan" dxfId="1">
      <formula>0.03</formula>
    </cfRule>
    <cfRule type="cellIs" priority="180" operator="lessThan" dxfId="0" stopIfTrue="1">
      <formula>-0.03</formula>
    </cfRule>
  </conditionalFormatting>
  <conditionalFormatting sqref="P110">
    <cfRule type="cellIs" priority="177" operator="lessThan" dxfId="1">
      <formula>-0.03</formula>
    </cfRule>
    <cfRule type="cellIs" priority="178" operator="greaterThan" dxfId="0" stopIfTrue="1">
      <formula>0.03</formula>
    </cfRule>
  </conditionalFormatting>
  <conditionalFormatting sqref="N123">
    <cfRule type="cellIs" priority="175" operator="lessThan" dxfId="1" stopIfTrue="1">
      <formula>-0.01</formula>
    </cfRule>
    <cfRule type="cellIs" priority="176" operator="greaterThan" dxfId="0" stopIfTrue="1">
      <formula>0.01</formula>
    </cfRule>
  </conditionalFormatting>
  <conditionalFormatting sqref="J117:J121">
    <cfRule type="cellIs" priority="173" operator="greaterThan" dxfId="1">
      <formula>0.03</formula>
    </cfRule>
    <cfRule type="cellIs" priority="174" operator="lessThan" dxfId="0" stopIfTrue="1">
      <formula>-0.03</formula>
    </cfRule>
  </conditionalFormatting>
  <conditionalFormatting sqref="N122">
    <cfRule type="cellIs" priority="171" operator="lessThan" dxfId="1" stopIfTrue="1">
      <formula>-0.01</formula>
    </cfRule>
    <cfRule type="cellIs" priority="172" operator="greaterThan" dxfId="0" stopIfTrue="1">
      <formula>0.01</formula>
    </cfRule>
  </conditionalFormatting>
  <conditionalFormatting sqref="N117">
    <cfRule type="cellIs" priority="169" operator="lessThan" dxfId="1" stopIfTrue="1">
      <formula>-0.01</formula>
    </cfRule>
    <cfRule type="cellIs" priority="170" operator="greaterThan" dxfId="0" stopIfTrue="1">
      <formula>0.01</formula>
    </cfRule>
  </conditionalFormatting>
  <conditionalFormatting sqref="N118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119:N121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P117">
    <cfRule type="cellIs" priority="163" operator="greaterThan" dxfId="1">
      <formula>0.03</formula>
    </cfRule>
    <cfRule type="cellIs" priority="164" operator="lessThan" dxfId="0" stopIfTrue="1">
      <formula>-0.03</formula>
    </cfRule>
  </conditionalFormatting>
  <conditionalFormatting sqref="P121">
    <cfRule type="cellIs" priority="161" operator="lessThan" dxfId="1">
      <formula>-0.03</formula>
    </cfRule>
    <cfRule type="cellIs" priority="162" operator="greaterThan" dxfId="0" stopIfTrue="1">
      <formula>0.03</formula>
    </cfRule>
  </conditionalFormatting>
  <conditionalFormatting sqref="N134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J128:J132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N133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N128">
    <cfRule type="cellIs" priority="153" operator="lessThan" dxfId="1" stopIfTrue="1">
      <formula>-0.01</formula>
    </cfRule>
    <cfRule type="cellIs" priority="154" operator="greaterThan" dxfId="0" stopIfTrue="1">
      <formula>0.01</formula>
    </cfRule>
  </conditionalFormatting>
  <conditionalFormatting sqref="N129">
    <cfRule type="cellIs" priority="151" operator="lessThan" dxfId="1" stopIfTrue="1">
      <formula>-0.01</formula>
    </cfRule>
    <cfRule type="cellIs" priority="152" operator="greaterThan" dxfId="0" stopIfTrue="1">
      <formula>0.01</formula>
    </cfRule>
  </conditionalFormatting>
  <conditionalFormatting sqref="N130:N132">
    <cfRule type="cellIs" priority="149" operator="lessThan" dxfId="1" stopIfTrue="1">
      <formula>-0.01</formula>
    </cfRule>
    <cfRule type="cellIs" priority="150" operator="greaterThan" dxfId="0" stopIfTrue="1">
      <formula>0.01</formula>
    </cfRule>
  </conditionalFormatting>
  <conditionalFormatting sqref="P128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P132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N14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J139:J143">
    <cfRule type="cellIs" priority="141" operator="greaterThan" dxfId="1">
      <formula>0.03</formula>
    </cfRule>
    <cfRule type="cellIs" priority="142" operator="lessThan" dxfId="0" stopIfTrue="1">
      <formula>-0.03</formula>
    </cfRule>
  </conditionalFormatting>
  <conditionalFormatting sqref="N144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N13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N140">
    <cfRule type="cellIs" priority="135" operator="lessThan" dxfId="1" stopIfTrue="1">
      <formula>-0.01</formula>
    </cfRule>
    <cfRule type="cellIs" priority="136" operator="greaterThan" dxfId="0" stopIfTrue="1">
      <formula>0.01</formula>
    </cfRule>
  </conditionalFormatting>
  <conditionalFormatting sqref="N141:N143">
    <cfRule type="cellIs" priority="133" operator="lessThan" dxfId="1" stopIfTrue="1">
      <formula>-0.01</formula>
    </cfRule>
    <cfRule type="cellIs" priority="134" operator="greaterThan" dxfId="0" stopIfTrue="1">
      <formula>0.01</formula>
    </cfRule>
  </conditionalFormatting>
  <conditionalFormatting sqref="P139">
    <cfRule type="cellIs" priority="131" operator="greaterThan" dxfId="1">
      <formula>0.03</formula>
    </cfRule>
    <cfRule type="cellIs" priority="132" operator="lessThan" dxfId="0" stopIfTrue="1">
      <formula>-0.03</formula>
    </cfRule>
  </conditionalFormatting>
  <conditionalFormatting sqref="P143">
    <cfRule type="cellIs" priority="129" operator="lessThan" dxfId="1">
      <formula>-0.03</formula>
    </cfRule>
    <cfRule type="cellIs" priority="130" operator="greaterThan" dxfId="0" stopIfTrue="1">
      <formula>0.03</formula>
    </cfRule>
  </conditionalFormatting>
  <conditionalFormatting sqref="N156">
    <cfRule type="cellIs" priority="127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J150:J154">
    <cfRule type="cellIs" priority="125" operator="greaterThan" dxfId="1">
      <formula>0.03</formula>
    </cfRule>
    <cfRule type="cellIs" priority="126" operator="lessThan" dxfId="0" stopIfTrue="1">
      <formula>-0.03</formula>
    </cfRule>
  </conditionalFormatting>
  <conditionalFormatting sqref="N155">
    <cfRule type="cellIs" priority="123" operator="lessThan" dxfId="1" stopIfTrue="1">
      <formula>-0.01</formula>
    </cfRule>
    <cfRule type="cellIs" priority="124" operator="greaterThan" dxfId="0" stopIfTrue="1">
      <formula>0.01</formula>
    </cfRule>
  </conditionalFormatting>
  <conditionalFormatting sqref="N150">
    <cfRule type="cellIs" priority="121" operator="lessThan" dxfId="1" stopIfTrue="1">
      <formula>-0.01</formula>
    </cfRule>
    <cfRule type="cellIs" priority="122" operator="greaterThan" dxfId="0" stopIfTrue="1">
      <formula>0.01</formula>
    </cfRule>
  </conditionalFormatting>
  <conditionalFormatting sqref="N151">
    <cfRule type="cellIs" priority="119" operator="lessThan" dxfId="1" stopIfTrue="1">
      <formula>-0.01</formula>
    </cfRule>
    <cfRule type="cellIs" priority="120" operator="greaterThan" dxfId="0" stopIfTrue="1">
      <formula>0.01</formula>
    </cfRule>
  </conditionalFormatting>
  <conditionalFormatting sqref="N152:N154">
    <cfRule type="cellIs" priority="117" operator="lessThan" dxfId="1" stopIfTrue="1">
      <formula>-0.01</formula>
    </cfRule>
    <cfRule type="cellIs" priority="118" operator="greaterThan" dxfId="0" stopIfTrue="1">
      <formula>0.01</formula>
    </cfRule>
  </conditionalFormatting>
  <conditionalFormatting sqref="P150">
    <cfRule type="cellIs" priority="115" operator="greaterThan" dxfId="1">
      <formula>0.03</formula>
    </cfRule>
    <cfRule type="cellIs" priority="116" operator="lessThan" dxfId="0" stopIfTrue="1">
      <formula>-0.03</formula>
    </cfRule>
  </conditionalFormatting>
  <conditionalFormatting sqref="P154">
    <cfRule type="cellIs" priority="113" operator="lessThan" dxfId="1">
      <formula>-0.03</formula>
    </cfRule>
    <cfRule type="cellIs" priority="114" operator="greaterThan" dxfId="0" stopIfTrue="1">
      <formula>0.03</formula>
    </cfRule>
  </conditionalFormatting>
  <conditionalFormatting sqref="N167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J161:J165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N166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161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162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N163:N165">
    <cfRule type="cellIs" priority="101" operator="lessThan" dxfId="1" stopIfTrue="1">
      <formula>-0.01</formula>
    </cfRule>
    <cfRule type="cellIs" priority="102" operator="greaterThan" dxfId="0" stopIfTrue="1">
      <formula>0.01</formula>
    </cfRule>
  </conditionalFormatting>
  <conditionalFormatting sqref="P161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P165">
    <cfRule type="cellIs" priority="97" operator="lessThan" dxfId="1">
      <formula>-0.03</formula>
    </cfRule>
    <cfRule type="cellIs" priority="98" operator="greaterThan" dxfId="0" stopIfTrue="1">
      <formula>0.03</formula>
    </cfRule>
  </conditionalFormatting>
  <conditionalFormatting sqref="N178">
    <cfRule type="cellIs" priority="95" operator="lessThan" dxfId="1" stopIfTrue="1">
      <formula>-0.01</formula>
    </cfRule>
    <cfRule type="cellIs" priority="96" operator="greaterThan" dxfId="0" stopIfTrue="1">
      <formula>0.01</formula>
    </cfRule>
  </conditionalFormatting>
  <conditionalFormatting sqref="J172:J176">
    <cfRule type="cellIs" priority="93" operator="greaterThan" dxfId="1">
      <formula>0.03</formula>
    </cfRule>
    <cfRule type="cellIs" priority="94" operator="lessThan" dxfId="0" stopIfTrue="1">
      <formula>-0.03</formula>
    </cfRule>
  </conditionalFormatting>
  <conditionalFormatting sqref="N177">
    <cfRule type="cellIs" priority="91" operator="lessThan" dxfId="1" stopIfTrue="1">
      <formula>-0.01</formula>
    </cfRule>
    <cfRule type="cellIs" priority="92" operator="greaterThan" dxfId="0" stopIfTrue="1">
      <formula>0.01</formula>
    </cfRule>
  </conditionalFormatting>
  <conditionalFormatting sqref="N172">
    <cfRule type="cellIs" priority="89" operator="lessThan" dxfId="1" stopIfTrue="1">
      <formula>-0.01</formula>
    </cfRule>
    <cfRule type="cellIs" priority="90" operator="greaterThan" dxfId="0" stopIfTrue="1">
      <formula>0.01</formula>
    </cfRule>
  </conditionalFormatting>
  <conditionalFormatting sqref="N173">
    <cfRule type="cellIs" priority="87" operator="lessThan" dxfId="1" stopIfTrue="1">
      <formula>-0.01</formula>
    </cfRule>
    <cfRule type="cellIs" priority="88" operator="greaterThan" dxfId="0" stopIfTrue="1">
      <formula>0.01</formula>
    </cfRule>
  </conditionalFormatting>
  <conditionalFormatting sqref="N174:N176">
    <cfRule type="cellIs" priority="85" operator="lessThan" dxfId="1" stopIfTrue="1">
      <formula>-0.01</formula>
    </cfRule>
    <cfRule type="cellIs" priority="86" operator="greaterThan" dxfId="0" stopIfTrue="1">
      <formula>0.01</formula>
    </cfRule>
  </conditionalFormatting>
  <conditionalFormatting sqref="P172">
    <cfRule type="cellIs" priority="83" operator="greaterThan" dxfId="1">
      <formula>0.03</formula>
    </cfRule>
    <cfRule type="cellIs" priority="84" operator="lessThan" dxfId="0" stopIfTrue="1">
      <formula>-0.03</formula>
    </cfRule>
  </conditionalFormatting>
  <conditionalFormatting sqref="P176">
    <cfRule type="cellIs" priority="81" operator="lessThan" dxfId="1">
      <formula>-0.03</formula>
    </cfRule>
    <cfRule type="cellIs" priority="82" operator="greaterThan" dxfId="0" stopIfTrue="1">
      <formula>0.03</formula>
    </cfRule>
  </conditionalFormatting>
  <conditionalFormatting sqref="N189">
    <cfRule type="cellIs" priority="79" operator="lessThan" dxfId="1" stopIfTrue="1">
      <formula>-0.01</formula>
    </cfRule>
    <cfRule type="cellIs" priority="80" operator="greaterThan" dxfId="0" stopIfTrue="1">
      <formula>0.01</formula>
    </cfRule>
  </conditionalFormatting>
  <conditionalFormatting sqref="J183:J187">
    <cfRule type="cellIs" priority="77" operator="greaterThan" dxfId="1">
      <formula>0.03</formula>
    </cfRule>
    <cfRule type="cellIs" priority="78" operator="lessThan" dxfId="0" stopIfTrue="1">
      <formula>-0.03</formula>
    </cfRule>
  </conditionalFormatting>
  <conditionalFormatting sqref="N188">
    <cfRule type="cellIs" priority="75" operator="lessThan" dxfId="1" stopIfTrue="1">
      <formula>-0.01</formula>
    </cfRule>
    <cfRule type="cellIs" priority="76" operator="greaterThan" dxfId="0" stopIfTrue="1">
      <formula>0.01</formula>
    </cfRule>
  </conditionalFormatting>
  <conditionalFormatting sqref="N183">
    <cfRule type="cellIs" priority="73" operator="lessThan" dxfId="1" stopIfTrue="1">
      <formula>-0.01</formula>
    </cfRule>
    <cfRule type="cellIs" priority="74" operator="greaterThan" dxfId="0" stopIfTrue="1">
      <formula>0.01</formula>
    </cfRule>
  </conditionalFormatting>
  <conditionalFormatting sqref="N184">
    <cfRule type="cellIs" priority="71" operator="lessThan" dxfId="1" stopIfTrue="1">
      <formula>-0.01</formula>
    </cfRule>
    <cfRule type="cellIs" priority="72" operator="greaterThan" dxfId="0" stopIfTrue="1">
      <formula>0.01</formula>
    </cfRule>
  </conditionalFormatting>
  <conditionalFormatting sqref="N185:N187">
    <cfRule type="cellIs" priority="69" operator="lessThan" dxfId="1" stopIfTrue="1">
      <formula>-0.01</formula>
    </cfRule>
    <cfRule type="cellIs" priority="70" operator="greaterThan" dxfId="0" stopIfTrue="1">
      <formula>0.01</formula>
    </cfRule>
  </conditionalFormatting>
  <conditionalFormatting sqref="P183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P187">
    <cfRule type="cellIs" priority="65" operator="lessThan" dxfId="1">
      <formula>-0.03</formula>
    </cfRule>
    <cfRule type="cellIs" priority="66" operator="greaterThan" dxfId="0" stopIfTrue="1">
      <formula>0.03</formula>
    </cfRule>
  </conditionalFormatting>
  <conditionalFormatting sqref="N200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J194:J198">
    <cfRule type="cellIs" priority="61" operator="greaterThan" dxfId="1">
      <formula>0.03</formula>
    </cfRule>
    <cfRule type="cellIs" priority="62" operator="lessThan" dxfId="0" stopIfTrue="1">
      <formula>-0.03</formula>
    </cfRule>
  </conditionalFormatting>
  <conditionalFormatting sqref="N19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94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N195">
    <cfRule type="cellIs" priority="55" operator="lessThan" dxfId="1" stopIfTrue="1">
      <formula>-0.01</formula>
    </cfRule>
    <cfRule type="cellIs" priority="56" operator="greaterThan" dxfId="0" stopIfTrue="1">
      <formula>0.01</formula>
    </cfRule>
  </conditionalFormatting>
  <conditionalFormatting sqref="N196:N198">
    <cfRule type="cellIs" priority="53" operator="lessThan" dxfId="1" stopIfTrue="1">
      <formula>-0.01</formula>
    </cfRule>
    <cfRule type="cellIs" priority="54" operator="greaterThan" dxfId="0" stopIfTrue="1">
      <formula>0.01</formula>
    </cfRule>
  </conditionalFormatting>
  <conditionalFormatting sqref="P194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P198">
    <cfRule type="cellIs" priority="49" operator="lessThan" dxfId="1">
      <formula>-0.03</formula>
    </cfRule>
    <cfRule type="cellIs" priority="50" operator="greaterThan" dxfId="0" stopIfTrue="1">
      <formula>0.03</formula>
    </cfRule>
  </conditionalFormatting>
  <conditionalFormatting sqref="N211">
    <cfRule type="cellIs" priority="47" operator="lessThan" dxfId="1" stopIfTrue="1">
      <formula>-0.01</formula>
    </cfRule>
    <cfRule type="cellIs" priority="48" operator="greaterThan" dxfId="0" stopIfTrue="1">
      <formula>0.01</formula>
    </cfRule>
  </conditionalFormatting>
  <conditionalFormatting sqref="J205:J209">
    <cfRule type="cellIs" priority="45" operator="greaterThan" dxfId="1">
      <formula>0.03</formula>
    </cfRule>
    <cfRule type="cellIs" priority="46" operator="lessThan" dxfId="0" stopIfTrue="1">
      <formula>-0.03</formula>
    </cfRule>
  </conditionalFormatting>
  <conditionalFormatting sqref="N210">
    <cfRule type="cellIs" priority="43" operator="lessThan" dxfId="1" stopIfTrue="1">
      <formula>-0.01</formula>
    </cfRule>
    <cfRule type="cellIs" priority="44" operator="greaterThan" dxfId="0" stopIfTrue="1">
      <formula>0.01</formula>
    </cfRule>
  </conditionalFormatting>
  <conditionalFormatting sqref="N205">
    <cfRule type="cellIs" priority="41" operator="lessThan" dxfId="1" stopIfTrue="1">
      <formula>-0.01</formula>
    </cfRule>
    <cfRule type="cellIs" priority="42" operator="greaterThan" dxfId="0" stopIfTrue="1">
      <formula>0.01</formula>
    </cfRule>
  </conditionalFormatting>
  <conditionalFormatting sqref="N206">
    <cfRule type="cellIs" priority="39" operator="lessThan" dxfId="1" stopIfTrue="1">
      <formula>-0.01</formula>
    </cfRule>
    <cfRule type="cellIs" priority="40" operator="greaterThan" dxfId="0" stopIfTrue="1">
      <formula>0.01</formula>
    </cfRule>
  </conditionalFormatting>
  <conditionalFormatting sqref="N207:N209">
    <cfRule type="cellIs" priority="37" operator="lessThan" dxfId="1" stopIfTrue="1">
      <formula>-0.01</formula>
    </cfRule>
    <cfRule type="cellIs" priority="38" operator="greaterThan" dxfId="0" stopIfTrue="1">
      <formula>0.01</formula>
    </cfRule>
  </conditionalFormatting>
  <conditionalFormatting sqref="P205">
    <cfRule type="cellIs" priority="35" operator="greaterThan" dxfId="1">
      <formula>0.03</formula>
    </cfRule>
    <cfRule type="cellIs" priority="36" operator="lessThan" dxfId="0" stopIfTrue="1">
      <formula>-0.03</formula>
    </cfRule>
  </conditionalFormatting>
  <conditionalFormatting sqref="P209">
    <cfRule type="cellIs" priority="33" operator="lessThan" dxfId="1">
      <formula>-0.03</formula>
    </cfRule>
    <cfRule type="cellIs" priority="34" operator="greaterThan" dxfId="0" stopIfTrue="1">
      <formula>0.03</formula>
    </cfRule>
  </conditionalFormatting>
  <conditionalFormatting sqref="N222">
    <cfRule type="cellIs" priority="31" operator="lessThan" dxfId="1" stopIfTrue="1">
      <formula>-0.01</formula>
    </cfRule>
    <cfRule type="cellIs" priority="32" operator="greaterThan" dxfId="0" stopIfTrue="1">
      <formula>0.01</formula>
    </cfRule>
  </conditionalFormatting>
  <conditionalFormatting sqref="J216:J220">
    <cfRule type="cellIs" priority="29" operator="greaterThan" dxfId="1">
      <formula>0.03</formula>
    </cfRule>
    <cfRule type="cellIs" priority="30" operator="lessThan" dxfId="0" stopIfTrue="1">
      <formula>-0.03</formula>
    </cfRule>
  </conditionalFormatting>
  <conditionalFormatting sqref="N221">
    <cfRule type="cellIs" priority="27" operator="lessThan" dxfId="1" stopIfTrue="1">
      <formula>-0.01</formula>
    </cfRule>
    <cfRule type="cellIs" priority="28" operator="greaterThan" dxfId="0" stopIfTrue="1">
      <formula>0.01</formula>
    </cfRule>
  </conditionalFormatting>
  <conditionalFormatting sqref="N216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N217">
    <cfRule type="cellIs" priority="23" operator="lessThan" dxfId="1" stopIfTrue="1">
      <formula>-0.01</formula>
    </cfRule>
    <cfRule type="cellIs" priority="24" operator="greaterThan" dxfId="0" stopIfTrue="1">
      <formula>0.01</formula>
    </cfRule>
  </conditionalFormatting>
  <conditionalFormatting sqref="N218:N220">
    <cfRule type="cellIs" priority="21" operator="lessThan" dxfId="1" stopIfTrue="1">
      <formula>-0.01</formula>
    </cfRule>
    <cfRule type="cellIs" priority="22" operator="greaterThan" dxfId="0" stopIfTrue="1">
      <formula>0.01</formula>
    </cfRule>
  </conditionalFormatting>
  <conditionalFormatting sqref="P216">
    <cfRule type="cellIs" priority="19" operator="greaterThan" dxfId="1">
      <formula>0.03</formula>
    </cfRule>
    <cfRule type="cellIs" priority="20" operator="lessThan" dxfId="0" stopIfTrue="1">
      <formula>-0.03</formula>
    </cfRule>
  </conditionalFormatting>
  <conditionalFormatting sqref="P220">
    <cfRule type="cellIs" priority="17" operator="lessThan" dxfId="1">
      <formula>-0.03</formula>
    </cfRule>
    <cfRule type="cellIs" priority="18" operator="greaterThan" dxfId="0" stopIfTrue="1">
      <formula>0.03</formula>
    </cfRule>
  </conditionalFormatting>
  <conditionalFormatting sqref="N233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227:J23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232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227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228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229:N23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22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23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>
  <sheetPr codeName="Sheet45">
    <outlinePr summaryBelow="1" summaryRight="1"/>
    <pageSetUpPr/>
  </sheetPr>
  <dimension ref="A1:BR71"/>
  <sheetViews>
    <sheetView workbookViewId="0">
      <selection activeCell="Q19" sqref="Q19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796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8"/>
    <col width="10" customWidth="1" style="267" min="29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bartender_track</t>
        </is>
      </c>
      <c r="C2" s="285">
        <f>CONCATENATE("Summary [ ",'Summary (auto)'!$C$3,"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",'Summary (auto)'!$C$4,"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",'Summary (auto)'!$C$3,"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",'Summary (auto)'!$C$4,"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51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>
        <v>714628</v>
      </c>
      <c r="F16" s="147" t="n">
        <v>956567</v>
      </c>
      <c r="G16" s="183" t="n">
        <v>177914</v>
      </c>
      <c r="H16" s="183" t="n">
        <v>73122</v>
      </c>
      <c r="I16" s="183" t="n">
        <v>171606</v>
      </c>
      <c r="J16" s="183" t="n">
        <v>1429354</v>
      </c>
      <c r="K16" s="78" t="n">
        <v>899053</v>
      </c>
      <c r="L16" s="78" t="n">
        <v>305750</v>
      </c>
      <c r="M16" s="78" t="n"/>
      <c r="N16" s="70" t="n"/>
      <c r="O16" s="323" t="n"/>
      <c r="P16" s="199" t="n">
        <v>33.455</v>
      </c>
      <c r="Q16" s="199" t="n">
        <v>11.779</v>
      </c>
      <c r="R16" s="199" t="n">
        <v>17.308</v>
      </c>
      <c r="S16" s="199" t="n">
        <v>0.466</v>
      </c>
      <c r="T16" s="199" t="n">
        <v>31.199</v>
      </c>
      <c r="U16" s="199" t="n">
        <v>11.711</v>
      </c>
      <c r="V16" s="199" t="n">
        <v>682956</v>
      </c>
      <c r="W16" s="199" t="n">
        <v>404548</v>
      </c>
      <c r="X16" s="161" t="n"/>
      <c r="Y16" s="286" t="n"/>
      <c r="Z16" s="282" t="n"/>
      <c r="AA16" s="32" t="inlineStr">
        <is>
          <t>r01</t>
        </is>
      </c>
      <c r="AB16" s="33" t="n"/>
      <c r="AC16" s="147" t="n">
        <v>714628</v>
      </c>
      <c r="AD16" s="147" t="n">
        <v>956567</v>
      </c>
      <c r="AE16" s="183" t="n">
        <v>177914</v>
      </c>
      <c r="AF16" s="183" t="n">
        <v>73122</v>
      </c>
      <c r="AG16" s="183" t="n">
        <v>171606</v>
      </c>
      <c r="AH16" s="183" t="n">
        <v>1429354</v>
      </c>
      <c r="AI16" s="78" t="n">
        <v>899053</v>
      </c>
      <c r="AJ16" s="78" t="n">
        <v>305750</v>
      </c>
      <c r="AK16" s="78" t="n">
        <v>980</v>
      </c>
      <c r="AL16" s="70" t="n"/>
      <c r="AM16" s="323" t="n"/>
      <c r="AN16" s="199" t="n">
        <v>46.405</v>
      </c>
      <c r="AO16" s="199" t="n">
        <v>23.291</v>
      </c>
      <c r="AP16" s="199" t="n">
        <v>25.032</v>
      </c>
      <c r="AQ16" s="199" t="n">
        <v>0.955</v>
      </c>
      <c r="AR16" s="199" t="n">
        <v>17.291</v>
      </c>
      <c r="AS16" s="199" t="n">
        <v>22.23600000000001</v>
      </c>
      <c r="AT16" s="199" t="n">
        <v>1217164</v>
      </c>
      <c r="AU16" s="199" t="n">
        <v>402568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>
        <v>714628</v>
      </c>
      <c r="F17" s="162" t="n">
        <v>1267061</v>
      </c>
      <c r="G17" s="184" t="n">
        <v>522266</v>
      </c>
      <c r="H17" s="184" t="n">
        <v>311315</v>
      </c>
      <c r="I17" s="184" t="n">
        <v>708633</v>
      </c>
      <c r="J17" s="184" t="n">
        <v>1850959</v>
      </c>
      <c r="K17" s="79" t="n">
        <v>1212049</v>
      </c>
      <c r="L17" s="79" t="n">
        <v>407696</v>
      </c>
      <c r="M17" s="79" t="n"/>
      <c r="N17" s="72" t="n"/>
      <c r="O17" s="311" t="n"/>
      <c r="P17" s="200" t="n">
        <v>33.522</v>
      </c>
      <c r="Q17" s="200" t="n">
        <v>11.572</v>
      </c>
      <c r="R17" s="200" t="n">
        <v>17.096</v>
      </c>
      <c r="S17" s="200" t="n">
        <v>0.476</v>
      </c>
      <c r="T17" s="200" t="n">
        <v>31.24000000000001</v>
      </c>
      <c r="U17" s="200" t="n">
        <v>11.511</v>
      </c>
      <c r="V17" s="200" t="n">
        <v>682928</v>
      </c>
      <c r="W17" s="200" t="n">
        <v>404528</v>
      </c>
      <c r="X17" s="163" t="n"/>
      <c r="Y17" s="286" t="n"/>
      <c r="Z17" s="269" t="n"/>
      <c r="AA17" s="34" t="inlineStr">
        <is>
          <t>r02</t>
        </is>
      </c>
      <c r="AB17" s="35" t="n"/>
      <c r="AC17" s="162" t="n">
        <v>714628</v>
      </c>
      <c r="AD17" s="162" t="n">
        <v>1267061</v>
      </c>
      <c r="AE17" s="184" t="n">
        <v>522266</v>
      </c>
      <c r="AF17" s="184" t="n">
        <v>311315</v>
      </c>
      <c r="AG17" s="184" t="n">
        <v>708633</v>
      </c>
      <c r="AH17" s="184" t="n">
        <v>1850959</v>
      </c>
      <c r="AI17" s="79" t="n">
        <v>1212049</v>
      </c>
      <c r="AJ17" s="79" t="n">
        <v>407696</v>
      </c>
      <c r="AK17" s="79" t="n">
        <v>979</v>
      </c>
      <c r="AL17" s="72" t="n"/>
      <c r="AM17" s="311" t="n"/>
      <c r="AN17" s="200" t="n">
        <v>48.928</v>
      </c>
      <c r="AO17" s="200" t="n">
        <v>23.757</v>
      </c>
      <c r="AP17" s="200" t="n">
        <v>28.765</v>
      </c>
      <c r="AQ17" s="200" t="n">
        <v>0.862</v>
      </c>
      <c r="AR17" s="200" t="n">
        <v>15.993</v>
      </c>
      <c r="AS17" s="200" t="n">
        <v>22.78900000000001</v>
      </c>
      <c r="AT17" s="200" t="n">
        <v>1216936</v>
      </c>
      <c r="AU17" s="200" t="n">
        <v>402844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>
        <v>714628</v>
      </c>
      <c r="F18" s="162" t="n">
        <v>1589969</v>
      </c>
      <c r="G18" s="184" t="n">
        <v>1108988</v>
      </c>
      <c r="H18" s="184" t="n">
        <v>849532</v>
      </c>
      <c r="I18" s="184" t="n">
        <v>1872269</v>
      </c>
      <c r="J18" s="184" t="n">
        <v>2286687</v>
      </c>
      <c r="K18" s="79" t="n">
        <v>1536339</v>
      </c>
      <c r="L18" s="79" t="n">
        <v>513443</v>
      </c>
      <c r="M18" s="79" t="n"/>
      <c r="N18" s="72" t="n"/>
      <c r="O18" s="311" t="n"/>
      <c r="P18" s="200" t="n">
        <v>34.117</v>
      </c>
      <c r="Q18" s="200" t="n">
        <v>12.22</v>
      </c>
      <c r="R18" s="200" t="n">
        <v>17.121</v>
      </c>
      <c r="S18" s="200" t="n">
        <v>0.462</v>
      </c>
      <c r="T18" s="200" t="n">
        <v>31.901</v>
      </c>
      <c r="U18" s="200" t="n">
        <v>12.157</v>
      </c>
      <c r="V18" s="200" t="n">
        <v>682960</v>
      </c>
      <c r="W18" s="200" t="n">
        <v>404716</v>
      </c>
      <c r="X18" s="163" t="n"/>
      <c r="Y18" s="286" t="n"/>
      <c r="Z18" s="269" t="n"/>
      <c r="AA18" s="34" t="inlineStr">
        <is>
          <t>r03</t>
        </is>
      </c>
      <c r="AB18" s="35" t="n"/>
      <c r="AC18" s="162" t="n">
        <v>714628</v>
      </c>
      <c r="AD18" s="162" t="n">
        <v>1589969</v>
      </c>
      <c r="AE18" s="184" t="n">
        <v>1108988</v>
      </c>
      <c r="AF18" s="184" t="n">
        <v>849532</v>
      </c>
      <c r="AG18" s="184" t="n">
        <v>1872269</v>
      </c>
      <c r="AH18" s="184" t="n">
        <v>2286687</v>
      </c>
      <c r="AI18" s="79" t="n">
        <v>1536339</v>
      </c>
      <c r="AJ18" s="79" t="n">
        <v>513443</v>
      </c>
      <c r="AK18" s="79" t="n">
        <v>977</v>
      </c>
      <c r="AL18" s="72" t="n"/>
      <c r="AM18" s="311" t="n"/>
      <c r="AN18" s="200" t="n">
        <v>50.439</v>
      </c>
      <c r="AO18" s="200" t="n">
        <v>22.02</v>
      </c>
      <c r="AP18" s="200" t="n">
        <v>28.396</v>
      </c>
      <c r="AQ18" s="200" t="n">
        <v>0.753</v>
      </c>
      <c r="AR18" s="200" t="n">
        <v>17.312</v>
      </c>
      <c r="AS18" s="200" t="n">
        <v>21.16200000000001</v>
      </c>
      <c r="AT18" s="200" t="n">
        <v>1217536</v>
      </c>
      <c r="AU18" s="200" t="n">
        <v>402940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>
        <v>714628</v>
      </c>
      <c r="F19" s="162" t="n">
        <v>1811154</v>
      </c>
      <c r="G19" s="184" t="n">
        <v>1889634</v>
      </c>
      <c r="H19" s="184" t="n">
        <v>1710269</v>
      </c>
      <c r="I19" s="184" t="n">
        <v>3704275</v>
      </c>
      <c r="J19" s="184" t="n">
        <v>2739396</v>
      </c>
      <c r="K19" s="79" t="n">
        <v>1876296</v>
      </c>
      <c r="L19" s="79" t="n">
        <v>624455</v>
      </c>
      <c r="M19" s="79" t="n"/>
      <c r="N19" s="72" t="n"/>
      <c r="O19" s="311" t="n"/>
      <c r="P19" s="200" t="n">
        <v>34.338</v>
      </c>
      <c r="Q19" s="200" t="n">
        <v>12.39</v>
      </c>
      <c r="R19" s="200" t="n">
        <v>17.155</v>
      </c>
      <c r="S19" s="200" t="n">
        <v>0.492</v>
      </c>
      <c r="T19" s="200" t="n">
        <v>32.066</v>
      </c>
      <c r="U19" s="200" t="n">
        <v>12.321</v>
      </c>
      <c r="V19" s="200" t="n">
        <v>683036</v>
      </c>
      <c r="W19" s="200" t="n">
        <v>404676</v>
      </c>
      <c r="X19" s="163" t="n"/>
      <c r="Y19" s="286" t="n"/>
      <c r="Z19" s="269" t="n"/>
      <c r="AA19" s="34" t="inlineStr">
        <is>
          <t>r04</t>
        </is>
      </c>
      <c r="AB19" s="35" t="n"/>
      <c r="AC19" s="162" t="n">
        <v>714628</v>
      </c>
      <c r="AD19" s="162" t="n">
        <v>1811154</v>
      </c>
      <c r="AE19" s="184" t="n">
        <v>1889634</v>
      </c>
      <c r="AF19" s="184" t="n">
        <v>1710269</v>
      </c>
      <c r="AG19" s="184" t="n">
        <v>3704275</v>
      </c>
      <c r="AH19" s="184" t="n">
        <v>2739396</v>
      </c>
      <c r="AI19" s="79" t="n">
        <v>1876296</v>
      </c>
      <c r="AJ19" s="79" t="n">
        <v>624455</v>
      </c>
      <c r="AK19" s="79" t="n">
        <v>961</v>
      </c>
      <c r="AL19" s="72" t="n"/>
      <c r="AM19" s="311" t="n"/>
      <c r="AN19" s="200" t="n">
        <v>47.535</v>
      </c>
      <c r="AO19" s="200" t="n">
        <v>25.157</v>
      </c>
      <c r="AP19" s="200" t="n">
        <v>27.725</v>
      </c>
      <c r="AQ19" s="200" t="n">
        <v>0.949</v>
      </c>
      <c r="AR19" s="200" t="n">
        <v>15.93</v>
      </c>
      <c r="AS19" s="200" t="n">
        <v>24.10800000000001</v>
      </c>
      <c r="AT19" s="200" t="n">
        <v>1218284</v>
      </c>
      <c r="AU19" s="200" t="n">
        <v>402844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>
        <v>714628</v>
      </c>
      <c r="F20" s="220" t="n">
        <v>1899296</v>
      </c>
      <c r="G20" s="184" t="n">
        <v>2449440</v>
      </c>
      <c r="H20" s="184" t="n">
        <v>2606089</v>
      </c>
      <c r="I20" s="184" t="n">
        <v>5569816</v>
      </c>
      <c r="J20" s="184" t="n">
        <v>3201939</v>
      </c>
      <c r="K20" s="79" t="n">
        <v>2225831</v>
      </c>
      <c r="L20" s="79" t="n">
        <v>738883</v>
      </c>
      <c r="M20" s="79" t="n"/>
      <c r="N20" s="72" t="n"/>
      <c r="O20" s="311" t="n"/>
      <c r="P20" s="200" t="n">
        <v>35.307</v>
      </c>
      <c r="Q20" s="200" t="n">
        <v>13.103</v>
      </c>
      <c r="R20" s="200" t="n">
        <v>17.426</v>
      </c>
      <c r="S20" s="200" t="n">
        <v>0.467</v>
      </c>
      <c r="T20" s="200" t="n">
        <v>33.01300000000001</v>
      </c>
      <c r="U20" s="200" t="n">
        <v>13.02600000000001</v>
      </c>
      <c r="V20" s="200" t="n">
        <v>682928</v>
      </c>
      <c r="W20" s="200" t="n">
        <v>406088</v>
      </c>
      <c r="X20" s="164" t="n"/>
      <c r="Y20" s="286" t="n"/>
      <c r="Z20" s="269" t="n"/>
      <c r="AA20" s="36" t="inlineStr">
        <is>
          <t>r05</t>
        </is>
      </c>
      <c r="AB20" s="48" t="n"/>
      <c r="AC20" s="220" t="n">
        <v>714628</v>
      </c>
      <c r="AD20" s="220" t="n">
        <v>1899296</v>
      </c>
      <c r="AE20" s="184" t="n">
        <v>2449440</v>
      </c>
      <c r="AF20" s="184" t="n">
        <v>2606089</v>
      </c>
      <c r="AG20" s="184" t="n">
        <v>5569816</v>
      </c>
      <c r="AH20" s="184" t="n">
        <v>3201939</v>
      </c>
      <c r="AI20" s="79" t="n">
        <v>2225831</v>
      </c>
      <c r="AJ20" s="79" t="n">
        <v>738883</v>
      </c>
      <c r="AK20" s="79" t="n">
        <v>948</v>
      </c>
      <c r="AL20" s="72" t="n"/>
      <c r="AM20" s="311" t="n"/>
      <c r="AN20" s="200" t="n">
        <v>49.635</v>
      </c>
      <c r="AO20" s="200" t="n">
        <v>23.88</v>
      </c>
      <c r="AP20" s="200" t="n">
        <v>28.894</v>
      </c>
      <c r="AQ20" s="200" t="n">
        <v>0.747</v>
      </c>
      <c r="AR20" s="200" t="n">
        <v>16.003</v>
      </c>
      <c r="AS20" s="200" t="n">
        <v>23.028</v>
      </c>
      <c r="AT20" s="200" t="n">
        <v>1217436</v>
      </c>
      <c r="AU20" s="200" t="n">
        <v>405268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",'Summary (auto)'!$C$3,"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",'Summary (auto)'!$C$4,"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30.73850000000001</v>
      </c>
      <c r="G33" s="239" t="n">
        <v>32.44619999999999</v>
      </c>
      <c r="H33" s="239" t="n">
        <v>0.9584476190476193</v>
      </c>
      <c r="I33" s="240" t="n">
        <v>0</v>
      </c>
      <c r="J33" s="240" t="n">
        <v>0</v>
      </c>
      <c r="K33" s="240" t="n">
        <v>0</v>
      </c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>
        <v>1140.392</v>
      </c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30.73848923</v>
      </c>
      <c r="AE33" s="239" t="n">
        <v>32.44620818</v>
      </c>
      <c r="AF33" s="239" t="n">
        <v>0.9584488799999999</v>
      </c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>
        <v>33.32674761904762</v>
      </c>
      <c r="G34" s="197" t="n">
        <v>36.29313333333334</v>
      </c>
      <c r="H34" s="197" t="n">
        <v>0.9773666666666665</v>
      </c>
      <c r="I34" s="79" t="n">
        <v>0</v>
      </c>
      <c r="J34" s="79" t="n">
        <v>0</v>
      </c>
      <c r="K34" s="79" t="n">
        <v>0</v>
      </c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>
        <v>1171.392</v>
      </c>
      <c r="Y34" s="286" t="n"/>
      <c r="Z34" s="269" t="n"/>
      <c r="AA34" s="34" t="inlineStr">
        <is>
          <t>r02</t>
        </is>
      </c>
      <c r="AB34" s="196" t="n"/>
      <c r="AC34" s="72" t="n"/>
      <c r="AD34" s="197" t="n">
        <v>33.3267617</v>
      </c>
      <c r="AE34" s="197" t="n">
        <v>36.29313893</v>
      </c>
      <c r="AF34" s="197" t="n">
        <v>0.97736822</v>
      </c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>
        <v>35.89164761904762</v>
      </c>
      <c r="G35" s="197" t="n">
        <v>40.74299523809524</v>
      </c>
      <c r="H35" s="197" t="n">
        <v>0.9900190476190476</v>
      </c>
      <c r="I35" s="79" t="n">
        <v>0</v>
      </c>
      <c r="J35" s="79" t="n">
        <v>0</v>
      </c>
      <c r="K35" s="79" t="n">
        <v>0</v>
      </c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>
        <v>1173.394</v>
      </c>
      <c r="Y35" s="286" t="n"/>
      <c r="Z35" s="269" t="n"/>
      <c r="AA35" s="34" t="inlineStr">
        <is>
          <t>r03</t>
        </is>
      </c>
      <c r="AB35" s="196" t="n"/>
      <c r="AC35" s="72" t="n"/>
      <c r="AD35" s="197" t="n">
        <v>35.89165368</v>
      </c>
      <c r="AE35" s="197" t="n">
        <v>40.74299561</v>
      </c>
      <c r="AF35" s="197" t="n">
        <v>0.99001956</v>
      </c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>
        <v>37.7372380952381</v>
      </c>
      <c r="G36" s="197" t="n">
        <v>43.84570476190476</v>
      </c>
      <c r="H36" s="197" t="n">
        <v>0.9949000000000002</v>
      </c>
      <c r="I36" s="79" t="n">
        <v>0</v>
      </c>
      <c r="J36" s="79" t="n">
        <v>0</v>
      </c>
      <c r="K36" s="79" t="n">
        <v>0</v>
      </c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>
        <v>1179.567</v>
      </c>
      <c r="Y36" s="286" t="n"/>
      <c r="Z36" s="269" t="n"/>
      <c r="AA36" s="34" t="inlineStr">
        <is>
          <t>r04</t>
        </is>
      </c>
      <c r="AB36" s="196" t="n"/>
      <c r="AC36" s="72" t="n"/>
      <c r="AD36" s="197" t="n">
        <v>37.73723956</v>
      </c>
      <c r="AE36" s="197" t="n">
        <v>43.84570222</v>
      </c>
      <c r="AF36" s="197" t="n">
        <v>0.9949111</v>
      </c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>
        <v>38.75284285714285</v>
      </c>
      <c r="G37" s="244" t="n">
        <v>45.01597142857143</v>
      </c>
      <c r="H37" s="244" t="n">
        <v>0.9961190476190476</v>
      </c>
      <c r="I37" s="219" t="n">
        <v>0</v>
      </c>
      <c r="J37" s="219" t="n">
        <v>0</v>
      </c>
      <c r="K37" s="219" t="n">
        <v>0</v>
      </c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>
        <v>1186.114</v>
      </c>
      <c r="Y37" s="286" t="n"/>
      <c r="Z37" s="275" t="n"/>
      <c r="AA37" s="36" t="inlineStr">
        <is>
          <t>r05</t>
        </is>
      </c>
      <c r="AB37" s="53" t="n"/>
      <c r="AC37" s="75" t="n"/>
      <c r="AD37" s="244" t="n">
        <v>38.7528384</v>
      </c>
      <c r="AE37" s="244" t="n">
        <v>45.01596448</v>
      </c>
      <c r="AF37" s="244" t="n">
        <v>0.99612947</v>
      </c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C2:X2"/>
    <mergeCell ref="BP3:BR3"/>
    <mergeCell ref="Z5:Z9"/>
    <mergeCell ref="Z33:Z37"/>
    <mergeCell ref="AA31:AV31"/>
    <mergeCell ref="X3:X4"/>
    <mergeCell ref="AO3:AO4"/>
    <mergeCell ref="AY31:BB31"/>
    <mergeCell ref="AQ3:AQ4"/>
    <mergeCell ref="BH14:BJ14"/>
    <mergeCell ref="Z21:Z22"/>
    <mergeCell ref="B5:B9"/>
    <mergeCell ref="Z23:Z27"/>
    <mergeCell ref="AA2:AV2"/>
    <mergeCell ref="C13:X13"/>
    <mergeCell ref="B33:B37"/>
    <mergeCell ref="U3:U4"/>
    <mergeCell ref="W3:W4"/>
    <mergeCell ref="AX33:AX37"/>
    <mergeCell ref="BB14:BC14"/>
    <mergeCell ref="BD14:BE14"/>
    <mergeCell ref="B16:B20"/>
    <mergeCell ref="B62:B66"/>
    <mergeCell ref="P3:P4"/>
    <mergeCell ref="AA13:AV13"/>
    <mergeCell ref="R3:R4"/>
    <mergeCell ref="T3:T4"/>
    <mergeCell ref="AR3:AR4"/>
    <mergeCell ref="BH3:BN3"/>
    <mergeCell ref="AS3:AS4"/>
    <mergeCell ref="AY2:BC2"/>
    <mergeCell ref="AU3:AU4"/>
    <mergeCell ref="B67:B71"/>
    <mergeCell ref="Z16:Z20"/>
    <mergeCell ref="B57:B61"/>
    <mergeCell ref="C31:X31"/>
    <mergeCell ref="V3:V4"/>
    <mergeCell ref="Q3:Q4"/>
    <mergeCell ref="AN3:AN4"/>
    <mergeCell ref="S3:S4"/>
    <mergeCell ref="AP3:AP4"/>
    <mergeCell ref="AX14:AY14"/>
    <mergeCell ref="AZ14:BA1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>
  <sheetPr codeName="Sheet46">
    <outlinePr summaryBelow="1" summaryRight="1"/>
    <pageSetUpPr/>
  </sheetPr>
  <dimension ref="A1:BR71"/>
  <sheetViews>
    <sheetView workbookViewId="0">
      <selection activeCell="Q36" sqref="Q36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breakfast_track</t>
        </is>
      </c>
      <c r="C2" s="285">
        <f>CONCATENATE("Summary [ ",'Summary (auto)'!$C$3,"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",'Summary (auto)'!$C$4,"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",'Summary (auto)'!$C$3,"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",'Summary (auto)'!$C$4,"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>
        <v>725616</v>
      </c>
      <c r="F16" s="147" t="n">
        <v>868855</v>
      </c>
      <c r="G16" s="183" t="n">
        <v>174131</v>
      </c>
      <c r="H16" s="183" t="n">
        <v>77623</v>
      </c>
      <c r="I16" s="183" t="n">
        <v>187280</v>
      </c>
      <c r="J16" s="183" t="n">
        <v>1387807</v>
      </c>
      <c r="K16" s="78" t="n">
        <v>894960</v>
      </c>
      <c r="L16" s="78" t="n">
        <v>295875</v>
      </c>
      <c r="M16" s="78" t="n"/>
      <c r="N16" s="70" t="n"/>
      <c r="O16" s="323" t="n"/>
      <c r="P16" s="199" t="n">
        <v>29.371</v>
      </c>
      <c r="Q16" s="199" t="n">
        <v>11.46</v>
      </c>
      <c r="R16" s="199" t="n">
        <v>13.845</v>
      </c>
      <c r="S16" s="199" t="n">
        <v>0.441</v>
      </c>
      <c r="T16" s="199" t="n">
        <v>27.343</v>
      </c>
      <c r="U16" s="199" t="n">
        <v>11.40399999999999</v>
      </c>
      <c r="V16" s="199" t="n">
        <v>635240</v>
      </c>
      <c r="W16" s="199" t="n">
        <v>376608</v>
      </c>
      <c r="X16" s="161" t="n"/>
      <c r="Y16" s="286" t="n"/>
      <c r="Z16" s="282" t="n"/>
      <c r="AA16" s="32" t="inlineStr">
        <is>
          <t>r01</t>
        </is>
      </c>
      <c r="AB16" s="33" t="n"/>
      <c r="AC16" s="147" t="n">
        <v>725616</v>
      </c>
      <c r="AD16" s="147" t="n">
        <v>868855</v>
      </c>
      <c r="AE16" s="183" t="n">
        <v>174131</v>
      </c>
      <c r="AF16" s="183" t="n">
        <v>77623</v>
      </c>
      <c r="AG16" s="183" t="n">
        <v>187280</v>
      </c>
      <c r="AH16" s="183" t="n">
        <v>1387807</v>
      </c>
      <c r="AI16" s="78" t="n">
        <v>894960</v>
      </c>
      <c r="AJ16" s="78" t="n">
        <v>295875</v>
      </c>
      <c r="AK16" s="78" t="n">
        <v>980</v>
      </c>
      <c r="AL16" s="70" t="n"/>
      <c r="AM16" s="323" t="n"/>
      <c r="AN16" s="199" t="n">
        <v>39.941</v>
      </c>
      <c r="AO16" s="199" t="n">
        <v>18.412</v>
      </c>
      <c r="AP16" s="199" t="n">
        <v>20.222</v>
      </c>
      <c r="AQ16" s="199" t="n">
        <v>0.696</v>
      </c>
      <c r="AR16" s="199" t="n">
        <v>15.851</v>
      </c>
      <c r="AS16" s="199" t="n">
        <v>17.53299999999999</v>
      </c>
      <c r="AT16" s="199" t="n">
        <v>1138368</v>
      </c>
      <c r="AU16" s="199" t="n">
        <v>374752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>
        <v>725616</v>
      </c>
      <c r="F17" s="162" t="n">
        <v>1151110</v>
      </c>
      <c r="G17" s="184" t="n">
        <v>462506</v>
      </c>
      <c r="H17" s="184" t="n">
        <v>288958</v>
      </c>
      <c r="I17" s="184" t="n">
        <v>647326</v>
      </c>
      <c r="J17" s="184" t="n">
        <v>1786285</v>
      </c>
      <c r="K17" s="79" t="n">
        <v>1186363</v>
      </c>
      <c r="L17" s="79" t="n">
        <v>390225</v>
      </c>
      <c r="M17" s="79" t="n"/>
      <c r="N17" s="72" t="n"/>
      <c r="O17" s="311" t="n"/>
      <c r="P17" s="200" t="n">
        <v>29.77</v>
      </c>
      <c r="Q17" s="200" t="n">
        <v>11.529</v>
      </c>
      <c r="R17" s="200" t="n">
        <v>13.96</v>
      </c>
      <c r="S17" s="200" t="n">
        <v>0.458</v>
      </c>
      <c r="T17" s="200" t="n">
        <v>27.65700000000001</v>
      </c>
      <c r="U17" s="200" t="n">
        <v>11.458</v>
      </c>
      <c r="V17" s="200" t="n">
        <v>635220</v>
      </c>
      <c r="W17" s="200" t="n">
        <v>376728</v>
      </c>
      <c r="X17" s="163" t="n"/>
      <c r="Y17" s="286" t="n"/>
      <c r="Z17" s="269" t="n"/>
      <c r="AA17" s="34" t="inlineStr">
        <is>
          <t>r02</t>
        </is>
      </c>
      <c r="AB17" s="35" t="n"/>
      <c r="AC17" s="162" t="n">
        <v>725616</v>
      </c>
      <c r="AD17" s="162" t="n">
        <v>1151110</v>
      </c>
      <c r="AE17" s="184" t="n">
        <v>462506</v>
      </c>
      <c r="AF17" s="184" t="n">
        <v>288958</v>
      </c>
      <c r="AG17" s="184" t="n">
        <v>647326</v>
      </c>
      <c r="AH17" s="184" t="n">
        <v>1786285</v>
      </c>
      <c r="AI17" s="79" t="n">
        <v>1186363</v>
      </c>
      <c r="AJ17" s="79" t="n">
        <v>390225</v>
      </c>
      <c r="AK17" s="79" t="n">
        <v>979</v>
      </c>
      <c r="AL17" s="72" t="n"/>
      <c r="AM17" s="311" t="n"/>
      <c r="AN17" s="200" t="n">
        <v>41.431</v>
      </c>
      <c r="AO17" s="200" t="n">
        <v>20.813</v>
      </c>
      <c r="AP17" s="200" t="n">
        <v>21.12</v>
      </c>
      <c r="AQ17" s="200" t="n">
        <v>0.796</v>
      </c>
      <c r="AR17" s="200" t="n">
        <v>16.595</v>
      </c>
      <c r="AS17" s="200" t="n">
        <v>19.898</v>
      </c>
      <c r="AT17" s="200" t="n">
        <v>1138092</v>
      </c>
      <c r="AU17" s="200" t="n">
        <v>375072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>
        <v>725616</v>
      </c>
      <c r="F18" s="162" t="n">
        <v>1440460</v>
      </c>
      <c r="G18" s="184" t="n">
        <v>952680</v>
      </c>
      <c r="H18" s="184" t="n">
        <v>724522</v>
      </c>
      <c r="I18" s="184" t="n">
        <v>1559567</v>
      </c>
      <c r="J18" s="184" t="n">
        <v>2199703</v>
      </c>
      <c r="K18" s="79" t="n">
        <v>1490140</v>
      </c>
      <c r="L18" s="79" t="n">
        <v>486942</v>
      </c>
      <c r="M18" s="79" t="n"/>
      <c r="N18" s="72" t="n"/>
      <c r="O18" s="311" t="n"/>
      <c r="P18" s="200" t="n">
        <v>30.259</v>
      </c>
      <c r="Q18" s="200" t="n">
        <v>11.699</v>
      </c>
      <c r="R18" s="200" t="n">
        <v>14.125</v>
      </c>
      <c r="S18" s="200" t="n">
        <v>0.45</v>
      </c>
      <c r="T18" s="200" t="n">
        <v>28.135</v>
      </c>
      <c r="U18" s="200" t="n">
        <v>11.632</v>
      </c>
      <c r="V18" s="200" t="n">
        <v>635388</v>
      </c>
      <c r="W18" s="200" t="n">
        <v>376608</v>
      </c>
      <c r="X18" s="163" t="n"/>
      <c r="Y18" s="286" t="n"/>
      <c r="Z18" s="269" t="n"/>
      <c r="AA18" s="34" t="inlineStr">
        <is>
          <t>r03</t>
        </is>
      </c>
      <c r="AB18" s="35" t="n"/>
      <c r="AC18" s="162" t="n">
        <v>725616</v>
      </c>
      <c r="AD18" s="162" t="n">
        <v>1440460</v>
      </c>
      <c r="AE18" s="184" t="n">
        <v>952680</v>
      </c>
      <c r="AF18" s="184" t="n">
        <v>724522</v>
      </c>
      <c r="AG18" s="184" t="n">
        <v>1559567</v>
      </c>
      <c r="AH18" s="184" t="n">
        <v>2199703</v>
      </c>
      <c r="AI18" s="79" t="n">
        <v>1490140</v>
      </c>
      <c r="AJ18" s="79" t="n">
        <v>486942</v>
      </c>
      <c r="AK18" s="79" t="n">
        <v>977</v>
      </c>
      <c r="AL18" s="72" t="n"/>
      <c r="AM18" s="311" t="n"/>
      <c r="AN18" s="200" t="n">
        <v>39.59</v>
      </c>
      <c r="AO18" s="200" t="n">
        <v>24.001</v>
      </c>
      <c r="AP18" s="200" t="n">
        <v>19.657</v>
      </c>
      <c r="AQ18" s="200" t="n">
        <v>0.882</v>
      </c>
      <c r="AR18" s="200" t="n">
        <v>16.251</v>
      </c>
      <c r="AS18" s="200" t="n">
        <v>23.022</v>
      </c>
      <c r="AT18" s="200" t="n">
        <v>1137616</v>
      </c>
      <c r="AU18" s="200" t="n">
        <v>374336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>
        <v>725616</v>
      </c>
      <c r="F19" s="162" t="n">
        <v>1635976</v>
      </c>
      <c r="G19" s="184" t="n">
        <v>1626410</v>
      </c>
      <c r="H19" s="184" t="n">
        <v>1438328</v>
      </c>
      <c r="I19" s="184" t="n">
        <v>3062099</v>
      </c>
      <c r="J19" s="184" t="n">
        <v>2626184</v>
      </c>
      <c r="K19" s="79" t="n">
        <v>1808268</v>
      </c>
      <c r="L19" s="79" t="n">
        <v>588043</v>
      </c>
      <c r="M19" s="79" t="n"/>
      <c r="N19" s="72" t="n"/>
      <c r="O19" s="311" t="n"/>
      <c r="P19" s="200" t="n">
        <v>30.563</v>
      </c>
      <c r="Q19" s="200" t="n">
        <v>12.323</v>
      </c>
      <c r="R19" s="200" t="n">
        <v>13.792</v>
      </c>
      <c r="S19" s="200" t="n">
        <v>0.439</v>
      </c>
      <c r="T19" s="200" t="n">
        <v>28.445</v>
      </c>
      <c r="U19" s="200" t="n">
        <v>12.271</v>
      </c>
      <c r="V19" s="200" t="n">
        <v>635380</v>
      </c>
      <c r="W19" s="200" t="n">
        <v>376816</v>
      </c>
      <c r="X19" s="163" t="n"/>
      <c r="Y19" s="286" t="n"/>
      <c r="Z19" s="269" t="n"/>
      <c r="AA19" s="34" t="inlineStr">
        <is>
          <t>r04</t>
        </is>
      </c>
      <c r="AB19" s="35" t="n"/>
      <c r="AC19" s="162" t="n">
        <v>725616</v>
      </c>
      <c r="AD19" s="162" t="n">
        <v>1635976</v>
      </c>
      <c r="AE19" s="184" t="n">
        <v>1626410</v>
      </c>
      <c r="AF19" s="184" t="n">
        <v>1438328</v>
      </c>
      <c r="AG19" s="184" t="n">
        <v>3062099</v>
      </c>
      <c r="AH19" s="184" t="n">
        <v>2626184</v>
      </c>
      <c r="AI19" s="79" t="n">
        <v>1808268</v>
      </c>
      <c r="AJ19" s="79" t="n">
        <v>588043</v>
      </c>
      <c r="AK19" s="79" t="n">
        <v>961</v>
      </c>
      <c r="AL19" s="72" t="n"/>
      <c r="AM19" s="311" t="n"/>
      <c r="AN19" s="200" t="n">
        <v>44.534</v>
      </c>
      <c r="AO19" s="200" t="n">
        <v>22.142</v>
      </c>
      <c r="AP19" s="200" t="n">
        <v>22.742</v>
      </c>
      <c r="AQ19" s="200" t="n">
        <v>0.87</v>
      </c>
      <c r="AR19" s="200" t="n">
        <v>17.421</v>
      </c>
      <c r="AS19" s="200" t="n">
        <v>21.16800000000002</v>
      </c>
      <c r="AT19" s="200" t="n">
        <v>1138644</v>
      </c>
      <c r="AU19" s="200" t="n">
        <v>375056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>
        <v>725616</v>
      </c>
      <c r="F20" s="220" t="n">
        <v>1715776</v>
      </c>
      <c r="G20" s="184" t="n">
        <v>2123016</v>
      </c>
      <c r="H20" s="184" t="n">
        <v>2211795</v>
      </c>
      <c r="I20" s="184" t="n">
        <v>4663204</v>
      </c>
      <c r="J20" s="184" t="n">
        <v>3059295</v>
      </c>
      <c r="K20" s="79" t="n">
        <v>2134054</v>
      </c>
      <c r="L20" s="79" t="n">
        <v>691714</v>
      </c>
      <c r="M20" s="79" t="n"/>
      <c r="N20" s="72" t="n"/>
      <c r="O20" s="311" t="n"/>
      <c r="P20" s="200" t="n">
        <v>30.917</v>
      </c>
      <c r="Q20" s="200" t="n">
        <v>12.373</v>
      </c>
      <c r="R20" s="200" t="n">
        <v>13.844</v>
      </c>
      <c r="S20" s="200" t="n">
        <v>0.439</v>
      </c>
      <c r="T20" s="200" t="n">
        <v>28.78499999999999</v>
      </c>
      <c r="U20" s="200" t="n">
        <v>12.303</v>
      </c>
      <c r="V20" s="200" t="n">
        <v>635328</v>
      </c>
      <c r="W20" s="200" t="n">
        <v>377328</v>
      </c>
      <c r="X20" s="164" t="n"/>
      <c r="Y20" s="286" t="n"/>
      <c r="Z20" s="269" t="n"/>
      <c r="AA20" s="36" t="inlineStr">
        <is>
          <t>r05</t>
        </is>
      </c>
      <c r="AB20" s="48" t="n"/>
      <c r="AC20" s="220" t="n">
        <v>725616</v>
      </c>
      <c r="AD20" s="220" t="n">
        <v>1715776</v>
      </c>
      <c r="AE20" s="184" t="n">
        <v>2123016</v>
      </c>
      <c r="AF20" s="184" t="n">
        <v>2211795</v>
      </c>
      <c r="AG20" s="184" t="n">
        <v>4663204</v>
      </c>
      <c r="AH20" s="184" t="n">
        <v>3059295</v>
      </c>
      <c r="AI20" s="79" t="n">
        <v>2134054</v>
      </c>
      <c r="AJ20" s="79" t="n">
        <v>691714</v>
      </c>
      <c r="AK20" s="79" t="n">
        <v>948</v>
      </c>
      <c r="AL20" s="72" t="n"/>
      <c r="AM20" s="311" t="n"/>
      <c r="AN20" s="200" t="n">
        <v>42</v>
      </c>
      <c r="AO20" s="200" t="n">
        <v>23.093</v>
      </c>
      <c r="AP20" s="200" t="n">
        <v>22.568</v>
      </c>
      <c r="AQ20" s="200" t="n">
        <v>0.882</v>
      </c>
      <c r="AR20" s="200" t="n">
        <v>15.642</v>
      </c>
      <c r="AS20" s="200" t="n">
        <v>22.10700000000001</v>
      </c>
      <c r="AT20" s="200" t="n">
        <v>1138740</v>
      </c>
      <c r="AU20" s="200" t="n">
        <v>375280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",'Summary (auto)'!$C$3,"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",'Summary (auto)'!$C$4,"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27.19622</v>
      </c>
      <c r="G33" s="239" t="n">
        <v>28.95416666666667</v>
      </c>
      <c r="H33" s="239" t="n">
        <v>0.94578</v>
      </c>
      <c r="I33" s="240" t="n">
        <v>0</v>
      </c>
      <c r="J33" s="240" t="n">
        <v>0</v>
      </c>
      <c r="K33" s="240" t="n">
        <v>0</v>
      </c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>
        <v>640.237</v>
      </c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27.19621512</v>
      </c>
      <c r="AE33" s="239" t="n">
        <v>28.95416653</v>
      </c>
      <c r="AF33" s="239" t="n">
        <v>0.94577754</v>
      </c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>
        <v>30.45301333333334</v>
      </c>
      <c r="G34" s="197" t="n">
        <v>32.82456</v>
      </c>
      <c r="H34" s="197" t="n">
        <v>0.9703266666666667</v>
      </c>
      <c r="I34" s="79" t="n">
        <v>0</v>
      </c>
      <c r="J34" s="79" t="n">
        <v>0</v>
      </c>
      <c r="K34" s="79" t="n">
        <v>0</v>
      </c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>
        <v>647.3269999999999</v>
      </c>
      <c r="Y34" s="286" t="n"/>
      <c r="Z34" s="269" t="n"/>
      <c r="AA34" s="34" t="inlineStr">
        <is>
          <t>r02</t>
        </is>
      </c>
      <c r="AB34" s="196" t="n"/>
      <c r="AC34" s="72" t="n"/>
      <c r="AD34" s="197" t="n">
        <v>30.45301422</v>
      </c>
      <c r="AE34" s="197" t="n">
        <v>32.82456502</v>
      </c>
      <c r="AF34" s="197" t="n">
        <v>0.97032219</v>
      </c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>
        <v>34.50045333333333</v>
      </c>
      <c r="G35" s="197" t="n">
        <v>38.28221333333333</v>
      </c>
      <c r="H35" s="197" t="n">
        <v>0.9865933333333334</v>
      </c>
      <c r="I35" s="79" t="n">
        <v>0</v>
      </c>
      <c r="J35" s="79" t="n">
        <v>0</v>
      </c>
      <c r="K35" s="79" t="n">
        <v>0</v>
      </c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>
        <v>653.2090000000001</v>
      </c>
      <c r="Y35" s="286" t="n"/>
      <c r="Z35" s="269" t="n"/>
      <c r="AA35" s="34" t="inlineStr">
        <is>
          <t>r03</t>
        </is>
      </c>
      <c r="AB35" s="196" t="n"/>
      <c r="AC35" s="72" t="n"/>
      <c r="AD35" s="197" t="n">
        <v>34.50043727</v>
      </c>
      <c r="AE35" s="197" t="n">
        <v>38.2822106</v>
      </c>
      <c r="AF35" s="197" t="n">
        <v>0.98658572</v>
      </c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>
        <v>36.63425333333333</v>
      </c>
      <c r="G36" s="197" t="n">
        <v>41.44167333333333</v>
      </c>
      <c r="H36" s="197" t="n">
        <v>0.9927333333333334</v>
      </c>
      <c r="I36" s="79" t="n">
        <v>0</v>
      </c>
      <c r="J36" s="79" t="n">
        <v>0</v>
      </c>
      <c r="K36" s="79" t="n">
        <v>0</v>
      </c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>
        <v>660.999</v>
      </c>
      <c r="Y36" s="286" t="n"/>
      <c r="Z36" s="269" t="n"/>
      <c r="AA36" s="34" t="inlineStr">
        <is>
          <t>r04</t>
        </is>
      </c>
      <c r="AB36" s="196" t="n"/>
      <c r="AC36" s="72" t="n"/>
      <c r="AD36" s="197" t="n">
        <v>36.63425565</v>
      </c>
      <c r="AE36" s="197" t="n">
        <v>41.44168284</v>
      </c>
      <c r="AF36" s="197" t="n">
        <v>0.99273786</v>
      </c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>
        <v>37.30777333333333</v>
      </c>
      <c r="G37" s="244" t="n">
        <v>42.22185333333334</v>
      </c>
      <c r="H37" s="244" t="n">
        <v>0.99438</v>
      </c>
      <c r="I37" s="219" t="n">
        <v>0</v>
      </c>
      <c r="J37" s="219" t="n">
        <v>0</v>
      </c>
      <c r="K37" s="219" t="n">
        <v>0</v>
      </c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>
        <v>667.9900000000001</v>
      </c>
      <c r="Y37" s="286" t="n"/>
      <c r="Z37" s="275" t="n"/>
      <c r="AA37" s="36" t="inlineStr">
        <is>
          <t>r05</t>
        </is>
      </c>
      <c r="AB37" s="53" t="n"/>
      <c r="AC37" s="75" t="n"/>
      <c r="AD37" s="244" t="n">
        <v>37.30776287</v>
      </c>
      <c r="AE37" s="244" t="n">
        <v>42.22185139</v>
      </c>
      <c r="AF37" s="244" t="n">
        <v>0.99438723</v>
      </c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>
  <sheetPr codeName="Sheet47">
    <outlinePr summaryBelow="1" summaryRight="1"/>
    <pageSetUpPr/>
  </sheetPr>
  <dimension ref="A1:BR71"/>
  <sheetViews>
    <sheetView workbookViewId="0">
      <selection activeCell="M19" sqref="M19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cinema_track</t>
        </is>
      </c>
      <c r="C2" s="285">
        <f>CONCATENATE("Summary [ ",'Summary (auto)'!$C$3,"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",'Summary (auto)'!$C$4,"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",'Summary (auto)'!$C$3,"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",'Summary (auto)'!$C$4,"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>
        <v>565005</v>
      </c>
      <c r="F16" s="147" t="n">
        <v>729495</v>
      </c>
      <c r="G16" s="183" t="n">
        <v>89826</v>
      </c>
      <c r="H16" s="183" t="n">
        <v>27364</v>
      </c>
      <c r="I16" s="183" t="n">
        <v>76297</v>
      </c>
      <c r="J16" s="183" t="n">
        <v>1071414</v>
      </c>
      <c r="K16" s="78" t="n">
        <v>628003</v>
      </c>
      <c r="L16" s="78" t="n">
        <v>231954</v>
      </c>
      <c r="M16" s="78" t="n"/>
      <c r="N16" s="70" t="n"/>
      <c r="O16" s="323" t="n"/>
      <c r="P16" s="199" t="n">
        <v>25.045</v>
      </c>
      <c r="Q16" s="199" t="n">
        <v>9.065</v>
      </c>
      <c r="R16" s="199" t="n">
        <v>12.692</v>
      </c>
      <c r="S16" s="199" t="n">
        <v>0.381</v>
      </c>
      <c r="T16" s="199" t="n">
        <v>23.376</v>
      </c>
      <c r="U16" s="199" t="n">
        <v>9.011000000000001</v>
      </c>
      <c r="V16" s="199" t="n">
        <v>509712</v>
      </c>
      <c r="W16" s="199" t="n">
        <v>302912</v>
      </c>
      <c r="X16" s="161" t="n"/>
      <c r="Y16" s="286" t="n"/>
      <c r="Z16" s="282" t="n"/>
      <c r="AA16" s="32" t="inlineStr">
        <is>
          <t>r01</t>
        </is>
      </c>
      <c r="AB16" s="33" t="n"/>
      <c r="AC16" s="147" t="n">
        <v>565005</v>
      </c>
      <c r="AD16" s="147" t="n">
        <v>729495</v>
      </c>
      <c r="AE16" s="183" t="n">
        <v>89826</v>
      </c>
      <c r="AF16" s="183" t="n">
        <v>27364</v>
      </c>
      <c r="AG16" s="183" t="n">
        <v>76297</v>
      </c>
      <c r="AH16" s="183" t="n">
        <v>1071414</v>
      </c>
      <c r="AI16" s="78" t="n">
        <v>628003</v>
      </c>
      <c r="AJ16" s="78" t="n">
        <v>231954</v>
      </c>
      <c r="AK16" s="78" t="n">
        <v>980</v>
      </c>
      <c r="AL16" s="70" t="n"/>
      <c r="AM16" s="323" t="n"/>
      <c r="AN16" s="199" t="n">
        <v>41.403</v>
      </c>
      <c r="AO16" s="199" t="n">
        <v>13.106</v>
      </c>
      <c r="AP16" s="199" t="n">
        <v>21.925</v>
      </c>
      <c r="AQ16" s="199" t="n">
        <v>0.5610000000000001</v>
      </c>
      <c r="AR16" s="199" t="n">
        <v>16.095</v>
      </c>
      <c r="AS16" s="199" t="n">
        <v>12.429</v>
      </c>
      <c r="AT16" s="199" t="n">
        <v>927008</v>
      </c>
      <c r="AU16" s="199" t="n">
        <v>301244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>
        <v>565005</v>
      </c>
      <c r="F17" s="162" t="n">
        <v>962334</v>
      </c>
      <c r="G17" s="184" t="n">
        <v>327198</v>
      </c>
      <c r="H17" s="184" t="n">
        <v>157773</v>
      </c>
      <c r="I17" s="184" t="n">
        <v>389208</v>
      </c>
      <c r="J17" s="184" t="n">
        <v>1386774</v>
      </c>
      <c r="K17" s="79" t="n">
        <v>857981</v>
      </c>
      <c r="L17" s="79" t="n">
        <v>307397</v>
      </c>
      <c r="M17" s="79" t="n"/>
      <c r="N17" s="72" t="n"/>
      <c r="O17" s="311" t="n"/>
      <c r="P17" s="200" t="n">
        <v>25.424</v>
      </c>
      <c r="Q17" s="200" t="n">
        <v>9.137</v>
      </c>
      <c r="R17" s="200" t="n">
        <v>12.693</v>
      </c>
      <c r="S17" s="200" t="n">
        <v>0.365</v>
      </c>
      <c r="T17" s="200" t="n">
        <v>23.75499999999998</v>
      </c>
      <c r="U17" s="200" t="n">
        <v>9.083000000000002</v>
      </c>
      <c r="V17" s="200" t="n">
        <v>509704</v>
      </c>
      <c r="W17" s="200" t="n">
        <v>302964</v>
      </c>
      <c r="X17" s="163" t="n"/>
      <c r="Y17" s="286" t="n"/>
      <c r="Z17" s="269" t="n"/>
      <c r="AA17" s="34" t="inlineStr">
        <is>
          <t>r02</t>
        </is>
      </c>
      <c r="AB17" s="35" t="n"/>
      <c r="AC17" s="162" t="n">
        <v>565005</v>
      </c>
      <c r="AD17" s="162" t="n">
        <v>962334</v>
      </c>
      <c r="AE17" s="184" t="n">
        <v>327198</v>
      </c>
      <c r="AF17" s="184" t="n">
        <v>157773</v>
      </c>
      <c r="AG17" s="184" t="n">
        <v>389208</v>
      </c>
      <c r="AH17" s="184" t="n">
        <v>1386774</v>
      </c>
      <c r="AI17" s="79" t="n">
        <v>857981</v>
      </c>
      <c r="AJ17" s="79" t="n">
        <v>307397</v>
      </c>
      <c r="AK17" s="79" t="n">
        <v>979</v>
      </c>
      <c r="AL17" s="72" t="n"/>
      <c r="AM17" s="311" t="n"/>
      <c r="AN17" s="200" t="n">
        <v>39.632</v>
      </c>
      <c r="AO17" s="200" t="n">
        <v>15.865</v>
      </c>
      <c r="AP17" s="200" t="n">
        <v>21.955</v>
      </c>
      <c r="AQ17" s="200" t="n">
        <v>0.5620000000000001</v>
      </c>
      <c r="AR17" s="200" t="n">
        <v>14.137</v>
      </c>
      <c r="AS17" s="200" t="n">
        <v>15.137</v>
      </c>
      <c r="AT17" s="200" t="n">
        <v>926996</v>
      </c>
      <c r="AU17" s="200" t="n">
        <v>300948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>
        <v>565005</v>
      </c>
      <c r="F18" s="162" t="n">
        <v>1204053</v>
      </c>
      <c r="G18" s="184" t="n">
        <v>755623</v>
      </c>
      <c r="H18" s="184" t="n">
        <v>525217</v>
      </c>
      <c r="I18" s="184" t="n">
        <v>1186407</v>
      </c>
      <c r="J18" s="184" t="n">
        <v>1711842</v>
      </c>
      <c r="K18" s="79" t="n">
        <v>1097861</v>
      </c>
      <c r="L18" s="79" t="n">
        <v>385186</v>
      </c>
      <c r="M18" s="79" t="n"/>
      <c r="N18" s="72" t="n"/>
      <c r="O18" s="311" t="n"/>
      <c r="P18" s="200" t="n">
        <v>26.008</v>
      </c>
      <c r="Q18" s="200" t="n">
        <v>9.263</v>
      </c>
      <c r="R18" s="200" t="n">
        <v>12.995</v>
      </c>
      <c r="S18" s="200" t="n">
        <v>0.361</v>
      </c>
      <c r="T18" s="200" t="n">
        <v>24.33</v>
      </c>
      <c r="U18" s="200" t="n">
        <v>9.211999999999998</v>
      </c>
      <c r="V18" s="200" t="n">
        <v>509704</v>
      </c>
      <c r="W18" s="200" t="n">
        <v>303016</v>
      </c>
      <c r="X18" s="163" t="n"/>
      <c r="Y18" s="286" t="n"/>
      <c r="Z18" s="269" t="n"/>
      <c r="AA18" s="34" t="inlineStr">
        <is>
          <t>r03</t>
        </is>
      </c>
      <c r="AB18" s="35" t="n"/>
      <c r="AC18" s="162" t="n">
        <v>565005</v>
      </c>
      <c r="AD18" s="162" t="n">
        <v>1204053</v>
      </c>
      <c r="AE18" s="184" t="n">
        <v>755623</v>
      </c>
      <c r="AF18" s="184" t="n">
        <v>525217</v>
      </c>
      <c r="AG18" s="184" t="n">
        <v>1186407</v>
      </c>
      <c r="AH18" s="184" t="n">
        <v>1711842</v>
      </c>
      <c r="AI18" s="79" t="n">
        <v>1097861</v>
      </c>
      <c r="AJ18" s="79" t="n">
        <v>385186</v>
      </c>
      <c r="AK18" s="79" t="n">
        <v>977</v>
      </c>
      <c r="AL18" s="72" t="n"/>
      <c r="AM18" s="311" t="n"/>
      <c r="AN18" s="200" t="n">
        <v>38.713</v>
      </c>
      <c r="AO18" s="200" t="n">
        <v>21.537</v>
      </c>
      <c r="AP18" s="200" t="n">
        <v>20.384</v>
      </c>
      <c r="AQ18" s="200" t="n">
        <v>0.633</v>
      </c>
      <c r="AR18" s="200" t="n">
        <v>14.657</v>
      </c>
      <c r="AS18" s="200" t="n">
        <v>20.818</v>
      </c>
      <c r="AT18" s="200" t="n">
        <v>926012</v>
      </c>
      <c r="AU18" s="200" t="n">
        <v>302244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>
        <v>565005</v>
      </c>
      <c r="F19" s="162" t="n">
        <v>1369446</v>
      </c>
      <c r="G19" s="184" t="n">
        <v>1328365</v>
      </c>
      <c r="H19" s="184" t="n">
        <v>1148744</v>
      </c>
      <c r="I19" s="184" t="n">
        <v>2517014</v>
      </c>
      <c r="J19" s="184" t="n">
        <v>2050463</v>
      </c>
      <c r="K19" s="79" t="n">
        <v>1350572</v>
      </c>
      <c r="L19" s="79" t="n">
        <v>465993</v>
      </c>
      <c r="M19" s="79" t="n"/>
      <c r="N19" s="72" t="n"/>
      <c r="O19" s="311" t="n"/>
      <c r="P19" s="200" t="n">
        <v>25.93</v>
      </c>
      <c r="Q19" s="200" t="n">
        <v>9.702999999999999</v>
      </c>
      <c r="R19" s="200" t="n">
        <v>12.77</v>
      </c>
      <c r="S19" s="200" t="n">
        <v>0.338</v>
      </c>
      <c r="T19" s="200" t="n">
        <v>24.219</v>
      </c>
      <c r="U19" s="200" t="n">
        <v>9.649999999999999</v>
      </c>
      <c r="V19" s="200" t="n">
        <v>509804</v>
      </c>
      <c r="W19" s="200" t="n">
        <v>302888</v>
      </c>
      <c r="X19" s="163" t="n"/>
      <c r="Y19" s="286" t="n"/>
      <c r="Z19" s="269" t="n"/>
      <c r="AA19" s="34" t="inlineStr">
        <is>
          <t>r04</t>
        </is>
      </c>
      <c r="AB19" s="35" t="n"/>
      <c r="AC19" s="162" t="n">
        <v>565005</v>
      </c>
      <c r="AD19" s="162" t="n">
        <v>1369446</v>
      </c>
      <c r="AE19" s="184" t="n">
        <v>1328365</v>
      </c>
      <c r="AF19" s="184" t="n">
        <v>1148744</v>
      </c>
      <c r="AG19" s="184" t="n">
        <v>2517014</v>
      </c>
      <c r="AH19" s="184" t="n">
        <v>2050463</v>
      </c>
      <c r="AI19" s="79" t="n">
        <v>1350572</v>
      </c>
      <c r="AJ19" s="79" t="n">
        <v>465993</v>
      </c>
      <c r="AK19" s="79" t="n">
        <v>961</v>
      </c>
      <c r="AL19" s="72" t="n"/>
      <c r="AM19" s="311" t="n"/>
      <c r="AN19" s="200" t="n">
        <v>38.284</v>
      </c>
      <c r="AO19" s="200" t="n">
        <v>17.845</v>
      </c>
      <c r="AP19" s="200" t="n">
        <v>19.804</v>
      </c>
      <c r="AQ19" s="200" t="n">
        <v>0.635</v>
      </c>
      <c r="AR19" s="200" t="n">
        <v>14.95299999999999</v>
      </c>
      <c r="AS19" s="200" t="n">
        <v>17.024</v>
      </c>
      <c r="AT19" s="200" t="n">
        <v>927224</v>
      </c>
      <c r="AU19" s="200" t="n">
        <v>301320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>
        <v>565005</v>
      </c>
      <c r="F20" s="220" t="n">
        <v>1434988</v>
      </c>
      <c r="G20" s="184" t="n">
        <v>1739658</v>
      </c>
      <c r="H20" s="184" t="n">
        <v>1804410</v>
      </c>
      <c r="I20" s="184" t="n">
        <v>3882056</v>
      </c>
      <c r="J20" s="184" t="n">
        <v>2397258</v>
      </c>
      <c r="K20" s="79" t="n">
        <v>1610572</v>
      </c>
      <c r="L20" s="79" t="n">
        <v>549422</v>
      </c>
      <c r="M20" s="79" t="n"/>
      <c r="N20" s="72" t="n"/>
      <c r="O20" s="311" t="n"/>
      <c r="P20" s="200" t="n">
        <v>26.061</v>
      </c>
      <c r="Q20" s="200" t="n">
        <v>9.813000000000001</v>
      </c>
      <c r="R20" s="200" t="n">
        <v>12.749</v>
      </c>
      <c r="S20" s="200" t="n">
        <v>0.36</v>
      </c>
      <c r="T20" s="200" t="n">
        <v>24.43200000000001</v>
      </c>
      <c r="U20" s="200" t="n">
        <v>9.745999999999999</v>
      </c>
      <c r="V20" s="200" t="n">
        <v>509760</v>
      </c>
      <c r="W20" s="200" t="n">
        <v>304684</v>
      </c>
      <c r="X20" s="164" t="n"/>
      <c r="Y20" s="286" t="n"/>
      <c r="Z20" s="269" t="n"/>
      <c r="AA20" s="36" t="inlineStr">
        <is>
          <t>r05</t>
        </is>
      </c>
      <c r="AB20" s="48" t="n"/>
      <c r="AC20" s="220" t="n">
        <v>565005</v>
      </c>
      <c r="AD20" s="220" t="n">
        <v>1434988</v>
      </c>
      <c r="AE20" s="184" t="n">
        <v>1739658</v>
      </c>
      <c r="AF20" s="184" t="n">
        <v>1804410</v>
      </c>
      <c r="AG20" s="184" t="n">
        <v>3882056</v>
      </c>
      <c r="AH20" s="184" t="n">
        <v>2397258</v>
      </c>
      <c r="AI20" s="79" t="n">
        <v>1610572</v>
      </c>
      <c r="AJ20" s="79" t="n">
        <v>549422</v>
      </c>
      <c r="AK20" s="79" t="n">
        <v>948</v>
      </c>
      <c r="AL20" s="72" t="n"/>
      <c r="AM20" s="311" t="n"/>
      <c r="AN20" s="200" t="n">
        <v>36.696</v>
      </c>
      <c r="AO20" s="200" t="n">
        <v>20.66</v>
      </c>
      <c r="AP20" s="200" t="n">
        <v>18.328</v>
      </c>
      <c r="AQ20" s="200" t="n">
        <v>0.64</v>
      </c>
      <c r="AR20" s="200" t="n">
        <v>14.874</v>
      </c>
      <c r="AS20" s="200" t="n">
        <v>19.884</v>
      </c>
      <c r="AT20" s="200" t="n">
        <v>926540</v>
      </c>
      <c r="AU20" s="200" t="n">
        <v>303432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",'Summary (auto)'!$C$3,"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",'Summary (auto)'!$C$4,"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29.84201904761905</v>
      </c>
      <c r="G33" s="239" t="n">
        <v>31.65254761904762</v>
      </c>
      <c r="H33" s="239" t="n">
        <v>0.964790476190476</v>
      </c>
      <c r="I33" s="240" t="n">
        <v>0</v>
      </c>
      <c r="J33" s="240" t="n">
        <v>0</v>
      </c>
      <c r="K33" s="240" t="n">
        <v>0</v>
      </c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>
        <v>746.8919999999999</v>
      </c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29.84202256</v>
      </c>
      <c r="AE33" s="239" t="n">
        <v>31.65254448</v>
      </c>
      <c r="AF33" s="239" t="n">
        <v>0.96479165</v>
      </c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>
        <v>32.65920952380952</v>
      </c>
      <c r="G34" s="197" t="n">
        <v>35.30590952380952</v>
      </c>
      <c r="H34" s="197" t="n">
        <v>0.980804761904762</v>
      </c>
      <c r="I34" s="79" t="n">
        <v>0</v>
      </c>
      <c r="J34" s="79" t="n">
        <v>0</v>
      </c>
      <c r="K34" s="79" t="n">
        <v>0</v>
      </c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>
        <v>747.071</v>
      </c>
      <c r="Y34" s="286" t="n"/>
      <c r="Z34" s="269" t="n"/>
      <c r="AA34" s="34" t="inlineStr">
        <is>
          <t>r02</t>
        </is>
      </c>
      <c r="AB34" s="196" t="n"/>
      <c r="AC34" s="72" t="n"/>
      <c r="AD34" s="197" t="n">
        <v>32.65921377</v>
      </c>
      <c r="AE34" s="197" t="n">
        <v>35.30590557</v>
      </c>
      <c r="AF34" s="197" t="n">
        <v>0.9808104</v>
      </c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>
        <v>35.40410000000001</v>
      </c>
      <c r="G35" s="197" t="n">
        <v>39.79620476190476</v>
      </c>
      <c r="H35" s="197" t="n">
        <v>0.990947619047619</v>
      </c>
      <c r="I35" s="79" t="n">
        <v>0</v>
      </c>
      <c r="J35" s="79" t="n">
        <v>0</v>
      </c>
      <c r="K35" s="79" t="n">
        <v>0</v>
      </c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>
        <v>754.6110000000001</v>
      </c>
      <c r="Y35" s="286" t="n"/>
      <c r="Z35" s="269" t="n"/>
      <c r="AA35" s="34" t="inlineStr">
        <is>
          <t>r03</t>
        </is>
      </c>
      <c r="AB35" s="196" t="n"/>
      <c r="AC35" s="72" t="n"/>
      <c r="AD35" s="197" t="n">
        <v>35.40409518</v>
      </c>
      <c r="AE35" s="197" t="n">
        <v>39.7961961</v>
      </c>
      <c r="AF35" s="197" t="n">
        <v>0.99094116</v>
      </c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>
        <v>37.6464380952381</v>
      </c>
      <c r="G36" s="197" t="n">
        <v>43.26887619047619</v>
      </c>
      <c r="H36" s="197" t="n">
        <v>0.9953428571428573</v>
      </c>
      <c r="I36" s="79" t="n">
        <v>0</v>
      </c>
      <c r="J36" s="79" t="n">
        <v>0</v>
      </c>
      <c r="K36" s="79" t="n">
        <v>0</v>
      </c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>
        <v>754.4639999999999</v>
      </c>
      <c r="Y36" s="286" t="n"/>
      <c r="Z36" s="269" t="n"/>
      <c r="AA36" s="34" t="inlineStr">
        <is>
          <t>r04</t>
        </is>
      </c>
      <c r="AB36" s="196" t="n"/>
      <c r="AC36" s="72" t="n"/>
      <c r="AD36" s="197" t="n">
        <v>37.64643153</v>
      </c>
      <c r="AE36" s="197" t="n">
        <v>43.2688692</v>
      </c>
      <c r="AF36" s="197" t="n">
        <v>0.9953299</v>
      </c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>
        <v>38.51990952380953</v>
      </c>
      <c r="G37" s="244" t="n">
        <v>44.31092380952381</v>
      </c>
      <c r="H37" s="244" t="n">
        <v>0.9963761904761906</v>
      </c>
      <c r="I37" s="219" t="n">
        <v>0</v>
      </c>
      <c r="J37" s="219" t="n">
        <v>0</v>
      </c>
      <c r="K37" s="219" t="n">
        <v>0</v>
      </c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>
        <v>756.9979999999999</v>
      </c>
      <c r="Y37" s="286" t="n"/>
      <c r="Z37" s="275" t="n"/>
      <c r="AA37" s="36" t="inlineStr">
        <is>
          <t>r05</t>
        </is>
      </c>
      <c r="AB37" s="53" t="n"/>
      <c r="AC37" s="75" t="n"/>
      <c r="AD37" s="244" t="n">
        <v>38.51991784</v>
      </c>
      <c r="AE37" s="244" t="n">
        <v>44.3109276</v>
      </c>
      <c r="AF37" s="244" t="n">
        <v>0.99637193</v>
      </c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50">
    <outlinePr summaryBelow="1" summaryRight="1"/>
    <pageSetUpPr/>
  </sheetPr>
  <dimension ref="A1:BR71"/>
  <sheetViews>
    <sheetView workbookViewId="0">
      <selection activeCell="I19" sqref="I19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ManWithFruit</t>
        </is>
      </c>
      <c r="C2" s="285">
        <f>CONCATENATE("Summary [ ",#REF!,"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",#REF!,"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",#REF!,"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",#REF!,"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>
        <v>88468</v>
      </c>
      <c r="F16" s="147" t="n">
        <v>74202</v>
      </c>
      <c r="G16" s="183" t="n">
        <v>170</v>
      </c>
      <c r="H16" s="183" t="n">
        <v>151</v>
      </c>
      <c r="I16" s="183" t="n">
        <v>288</v>
      </c>
      <c r="J16" s="183" t="n">
        <v>106537</v>
      </c>
      <c r="K16" s="78" t="n">
        <v>66633</v>
      </c>
      <c r="L16" s="78" t="n">
        <v>20368</v>
      </c>
      <c r="M16" s="78" t="n"/>
      <c r="N16" s="70" t="n"/>
      <c r="O16" s="323" t="n"/>
      <c r="P16" s="199" t="n">
        <v>2.575</v>
      </c>
      <c r="Q16" s="199" t="n">
        <v>1.278</v>
      </c>
      <c r="R16" s="199" t="n">
        <v>0.9370000000000001</v>
      </c>
      <c r="S16" s="199" t="n">
        <v>0.042</v>
      </c>
      <c r="T16" s="199" t="n">
        <v>2.351999999999996</v>
      </c>
      <c r="U16" s="199" t="n">
        <v>1.245000000000001</v>
      </c>
      <c r="V16" s="199" t="n">
        <v>59760</v>
      </c>
      <c r="W16" s="199" t="n">
        <v>36816</v>
      </c>
      <c r="X16" s="161" t="n"/>
      <c r="Y16" s="286" t="n"/>
      <c r="Z16" s="282" t="n"/>
      <c r="AA16" s="32" t="inlineStr">
        <is>
          <t>r01</t>
        </is>
      </c>
      <c r="AB16" s="33" t="n"/>
      <c r="AC16" s="147" t="n">
        <v>88468</v>
      </c>
      <c r="AD16" s="147" t="n">
        <v>74202</v>
      </c>
      <c r="AE16" s="183" t="n">
        <v>170</v>
      </c>
      <c r="AF16" s="183" t="n">
        <v>151</v>
      </c>
      <c r="AG16" s="183" t="n">
        <v>288</v>
      </c>
      <c r="AH16" s="183" t="n">
        <v>106537</v>
      </c>
      <c r="AI16" s="78" t="n">
        <v>66633</v>
      </c>
      <c r="AJ16" s="78" t="n">
        <v>20368</v>
      </c>
      <c r="AK16" s="78" t="n">
        <v>980</v>
      </c>
      <c r="AL16" s="70" t="n"/>
      <c r="AM16" s="323" t="n"/>
      <c r="AN16" s="199" t="n">
        <v>3.766</v>
      </c>
      <c r="AO16" s="199" t="n">
        <v>1.551</v>
      </c>
      <c r="AP16" s="199" t="n">
        <v>1.641</v>
      </c>
      <c r="AQ16" s="199" t="n">
        <v>0.067</v>
      </c>
      <c r="AR16" s="199" t="n">
        <v>1.733999999999999</v>
      </c>
      <c r="AS16" s="199" t="n">
        <v>1.447</v>
      </c>
      <c r="AT16" s="199" t="n">
        <v>168232</v>
      </c>
      <c r="AU16" s="199" t="n">
        <v>70192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>
        <v>88468</v>
      </c>
      <c r="F17" s="162" t="n">
        <v>99346</v>
      </c>
      <c r="G17" s="184" t="n">
        <v>2266</v>
      </c>
      <c r="H17" s="184" t="n">
        <v>264</v>
      </c>
      <c r="I17" s="184" t="n">
        <v>386</v>
      </c>
      <c r="J17" s="184" t="n">
        <v>139986</v>
      </c>
      <c r="K17" s="79" t="n">
        <v>90985</v>
      </c>
      <c r="L17" s="79" t="n">
        <v>28532</v>
      </c>
      <c r="M17" s="79" t="n"/>
      <c r="N17" s="72" t="n"/>
      <c r="O17" s="311" t="n"/>
      <c r="P17" s="200" t="n">
        <v>2.602</v>
      </c>
      <c r="Q17" s="200" t="n">
        <v>1.238</v>
      </c>
      <c r="R17" s="200" t="n">
        <v>0.948</v>
      </c>
      <c r="S17" s="200" t="n">
        <v>0.041</v>
      </c>
      <c r="T17" s="200" t="n">
        <v>2.367999999999998</v>
      </c>
      <c r="U17" s="200" t="n">
        <v>1.2</v>
      </c>
      <c r="V17" s="200" t="n">
        <v>59844</v>
      </c>
      <c r="W17" s="200" t="n">
        <v>37000</v>
      </c>
      <c r="X17" s="163" t="n"/>
      <c r="Y17" s="286" t="n"/>
      <c r="Z17" s="269" t="n"/>
      <c r="AA17" s="34" t="inlineStr">
        <is>
          <t>r02</t>
        </is>
      </c>
      <c r="AB17" s="35" t="n"/>
      <c r="AC17" s="162" t="n">
        <v>88468</v>
      </c>
      <c r="AD17" s="162" t="n">
        <v>99346</v>
      </c>
      <c r="AE17" s="184" t="n">
        <v>2266</v>
      </c>
      <c r="AF17" s="184" t="n">
        <v>264</v>
      </c>
      <c r="AG17" s="184" t="n">
        <v>386</v>
      </c>
      <c r="AH17" s="184" t="n">
        <v>139986</v>
      </c>
      <c r="AI17" s="79" t="n">
        <v>90985</v>
      </c>
      <c r="AJ17" s="79" t="n">
        <v>28532</v>
      </c>
      <c r="AK17" s="79" t="n">
        <v>979</v>
      </c>
      <c r="AL17" s="72" t="n"/>
      <c r="AM17" s="311" t="n"/>
      <c r="AN17" s="200" t="n">
        <v>3.437</v>
      </c>
      <c r="AO17" s="200" t="n">
        <v>2.057</v>
      </c>
      <c r="AP17" s="200" t="n">
        <v>1.417</v>
      </c>
      <c r="AQ17" s="200" t="n">
        <v>0.077</v>
      </c>
      <c r="AR17" s="200" t="n">
        <v>1.641</v>
      </c>
      <c r="AS17" s="200" t="n">
        <v>1.944</v>
      </c>
      <c r="AT17" s="200" t="n">
        <v>167632</v>
      </c>
      <c r="AU17" s="200" t="n">
        <v>70192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>
        <v>88468</v>
      </c>
      <c r="F18" s="162" t="n">
        <v>125464</v>
      </c>
      <c r="G18" s="184" t="n">
        <v>23700</v>
      </c>
      <c r="H18" s="184" t="n">
        <v>4204</v>
      </c>
      <c r="I18" s="184" t="n">
        <v>3653</v>
      </c>
      <c r="J18" s="184" t="n">
        <v>175148</v>
      </c>
      <c r="K18" s="79" t="n">
        <v>115965</v>
      </c>
      <c r="L18" s="79" t="n">
        <v>37280</v>
      </c>
      <c r="M18" s="79" t="n"/>
      <c r="N18" s="72" t="n"/>
      <c r="O18" s="311" t="n"/>
      <c r="P18" s="200" t="n">
        <v>2.574</v>
      </c>
      <c r="Q18" s="200" t="n">
        <v>1.273</v>
      </c>
      <c r="R18" s="200" t="n">
        <v>0.923</v>
      </c>
      <c r="S18" s="200" t="n">
        <v>0.046</v>
      </c>
      <c r="T18" s="200" t="n">
        <v>2.361</v>
      </c>
      <c r="U18" s="200" t="n">
        <v>1.239</v>
      </c>
      <c r="V18" s="200" t="n">
        <v>59744</v>
      </c>
      <c r="W18" s="200" t="n">
        <v>36988</v>
      </c>
      <c r="X18" s="163" t="n"/>
      <c r="Y18" s="286" t="n"/>
      <c r="Z18" s="269" t="n"/>
      <c r="AA18" s="34" t="inlineStr">
        <is>
          <t>r03</t>
        </is>
      </c>
      <c r="AB18" s="35" t="n"/>
      <c r="AC18" s="162" t="n">
        <v>88468</v>
      </c>
      <c r="AD18" s="162" t="n">
        <v>125464</v>
      </c>
      <c r="AE18" s="184" t="n">
        <v>23700</v>
      </c>
      <c r="AF18" s="184" t="n">
        <v>4204</v>
      </c>
      <c r="AG18" s="184" t="n">
        <v>3653</v>
      </c>
      <c r="AH18" s="184" t="n">
        <v>175148</v>
      </c>
      <c r="AI18" s="79" t="n">
        <v>115965</v>
      </c>
      <c r="AJ18" s="79" t="n">
        <v>37280</v>
      </c>
      <c r="AK18" s="79" t="n">
        <v>977</v>
      </c>
      <c r="AL18" s="72" t="n"/>
      <c r="AM18" s="311" t="n"/>
      <c r="AN18" s="200" t="n">
        <v>4.885</v>
      </c>
      <c r="AO18" s="200" t="n">
        <v>1.758</v>
      </c>
      <c r="AP18" s="200" t="n">
        <v>1.799</v>
      </c>
      <c r="AQ18" s="200" t="n">
        <v>0.07099999999999999</v>
      </c>
      <c r="AR18" s="200" t="n">
        <v>2.648000000000001</v>
      </c>
      <c r="AS18" s="200" t="n">
        <v>1.647</v>
      </c>
      <c r="AT18" s="200" t="n">
        <v>167400</v>
      </c>
      <c r="AU18" s="200" t="n">
        <v>70448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>
        <v>88468</v>
      </c>
      <c r="F19" s="162" t="n">
        <v>143219</v>
      </c>
      <c r="G19" s="184" t="n">
        <v>74231</v>
      </c>
      <c r="H19" s="184" t="n">
        <v>35922</v>
      </c>
      <c r="I19" s="184" t="n">
        <v>47490</v>
      </c>
      <c r="J19" s="184" t="n">
        <v>211923</v>
      </c>
      <c r="K19" s="79" t="n">
        <v>142195</v>
      </c>
      <c r="L19" s="79" t="n">
        <v>46585</v>
      </c>
      <c r="M19" s="79" t="n"/>
      <c r="N19" s="72" t="n"/>
      <c r="O19" s="311" t="n"/>
      <c r="P19" s="200" t="n">
        <v>2.68</v>
      </c>
      <c r="Q19" s="200" t="n">
        <v>1.296</v>
      </c>
      <c r="R19" s="200" t="n">
        <v>0.951</v>
      </c>
      <c r="S19" s="200" t="n">
        <v>0.043</v>
      </c>
      <c r="T19" s="200" t="n">
        <v>2.453999999999998</v>
      </c>
      <c r="U19" s="200" t="n">
        <v>1.261</v>
      </c>
      <c r="V19" s="200" t="n">
        <v>59680</v>
      </c>
      <c r="W19" s="200" t="n">
        <v>36984</v>
      </c>
      <c r="X19" s="163" t="n"/>
      <c r="Y19" s="286" t="n"/>
      <c r="Z19" s="269" t="n"/>
      <c r="AA19" s="34" t="inlineStr">
        <is>
          <t>r04</t>
        </is>
      </c>
      <c r="AB19" s="35" t="n"/>
      <c r="AC19" s="162" t="n">
        <v>88468</v>
      </c>
      <c r="AD19" s="162" t="n">
        <v>143219</v>
      </c>
      <c r="AE19" s="184" t="n">
        <v>74231</v>
      </c>
      <c r="AF19" s="184" t="n">
        <v>35922</v>
      </c>
      <c r="AG19" s="184" t="n">
        <v>47490</v>
      </c>
      <c r="AH19" s="184" t="n">
        <v>211923</v>
      </c>
      <c r="AI19" s="79" t="n">
        <v>142195</v>
      </c>
      <c r="AJ19" s="79" t="n">
        <v>46585</v>
      </c>
      <c r="AK19" s="79" t="n">
        <v>961</v>
      </c>
      <c r="AL19" s="72" t="n"/>
      <c r="AM19" s="311" t="n"/>
      <c r="AN19" s="200" t="n">
        <v>3.668</v>
      </c>
      <c r="AO19" s="200" t="n">
        <v>1.591</v>
      </c>
      <c r="AP19" s="200" t="n">
        <v>1.535</v>
      </c>
      <c r="AQ19" s="200" t="n">
        <v>0.08400000000000001</v>
      </c>
      <c r="AR19" s="200" t="n">
        <v>1.682</v>
      </c>
      <c r="AS19" s="200" t="n">
        <v>1.465</v>
      </c>
      <c r="AT19" s="200" t="n">
        <v>166664</v>
      </c>
      <c r="AU19" s="200" t="n">
        <v>70448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>
        <v>88468</v>
      </c>
      <c r="F20" s="220" t="n">
        <v>150400</v>
      </c>
      <c r="G20" s="184" t="n">
        <v>115747</v>
      </c>
      <c r="H20" s="184" t="n">
        <v>90672</v>
      </c>
      <c r="I20" s="184" t="n">
        <v>141937</v>
      </c>
      <c r="J20" s="184" t="n">
        <v>249639</v>
      </c>
      <c r="K20" s="79" t="n">
        <v>170123</v>
      </c>
      <c r="L20" s="79" t="n">
        <v>56271</v>
      </c>
      <c r="M20" s="79" t="n"/>
      <c r="N20" s="72" t="n"/>
      <c r="O20" s="311" t="n"/>
      <c r="P20" s="200" t="n">
        <v>2.665</v>
      </c>
      <c r="Q20" s="200" t="n">
        <v>1.346</v>
      </c>
      <c r="R20" s="200" t="n">
        <v>0.93</v>
      </c>
      <c r="S20" s="200" t="n">
        <v>0.045</v>
      </c>
      <c r="T20" s="200" t="n">
        <v>2.470999999999997</v>
      </c>
      <c r="U20" s="200" t="n">
        <v>1.311</v>
      </c>
      <c r="V20" s="200" t="n">
        <v>59844</v>
      </c>
      <c r="W20" s="200" t="n">
        <v>37012</v>
      </c>
      <c r="X20" s="164" t="n"/>
      <c r="Y20" s="286" t="n"/>
      <c r="Z20" s="269" t="n"/>
      <c r="AA20" s="36" t="inlineStr">
        <is>
          <t>r05</t>
        </is>
      </c>
      <c r="AB20" s="48" t="n"/>
      <c r="AC20" s="220" t="n">
        <v>88468</v>
      </c>
      <c r="AD20" s="220" t="n">
        <v>150400</v>
      </c>
      <c r="AE20" s="184" t="n">
        <v>115747</v>
      </c>
      <c r="AF20" s="184" t="n">
        <v>90672</v>
      </c>
      <c r="AG20" s="184" t="n">
        <v>141937</v>
      </c>
      <c r="AH20" s="184" t="n">
        <v>249639</v>
      </c>
      <c r="AI20" s="79" t="n">
        <v>170123</v>
      </c>
      <c r="AJ20" s="79" t="n">
        <v>56271</v>
      </c>
      <c r="AK20" s="79" t="n">
        <v>948</v>
      </c>
      <c r="AL20" s="72" t="n"/>
      <c r="AM20" s="311" t="n"/>
      <c r="AN20" s="200" t="n">
        <v>3.966</v>
      </c>
      <c r="AO20" s="200" t="n">
        <v>2.136</v>
      </c>
      <c r="AP20" s="200" t="n">
        <v>1.456</v>
      </c>
      <c r="AQ20" s="200" t="n">
        <v>0.079</v>
      </c>
      <c r="AR20" s="200" t="n">
        <v>2.135000000000001</v>
      </c>
      <c r="AS20" s="200" t="n">
        <v>2.014</v>
      </c>
      <c r="AT20" s="200" t="n">
        <v>167792</v>
      </c>
      <c r="AU20" s="200" t="n">
        <v>70192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",#REF!,"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",#REF!,"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41.19690416666666</v>
      </c>
      <c r="G33" s="239" t="n">
        <v>44.74145833333333</v>
      </c>
      <c r="H33" s="239" t="n">
        <v>0.9969708333333333</v>
      </c>
      <c r="I33" s="240" t="n">
        <v>0</v>
      </c>
      <c r="J33" s="240" t="n">
        <v>0</v>
      </c>
      <c r="K33" s="240" t="n">
        <v>0</v>
      </c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>
        <v>284.557</v>
      </c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41.19690469</v>
      </c>
      <c r="AE33" s="239" t="n">
        <v>44.74145192</v>
      </c>
      <c r="AF33" s="239" t="n">
        <v>0.99697461</v>
      </c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>
        <v>43.71571666666666</v>
      </c>
      <c r="G34" s="197" t="n">
        <v>47.56031666666667</v>
      </c>
      <c r="H34" s="197" t="n">
        <v>0.9982625000000005</v>
      </c>
      <c r="I34" s="79" t="n">
        <v>0</v>
      </c>
      <c r="J34" s="79" t="n">
        <v>0</v>
      </c>
      <c r="K34" s="79" t="n">
        <v>0</v>
      </c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>
        <v>286.513</v>
      </c>
      <c r="Y34" s="286" t="n"/>
      <c r="Z34" s="269" t="n"/>
      <c r="AA34" s="34" t="inlineStr">
        <is>
          <t>r02</t>
        </is>
      </c>
      <c r="AB34" s="196" t="n"/>
      <c r="AC34" s="72" t="n"/>
      <c r="AD34" s="197" t="n">
        <v>43.71571827</v>
      </c>
      <c r="AE34" s="197" t="n">
        <v>47.5603093</v>
      </c>
      <c r="AF34" s="197" t="n">
        <v>0.99827292</v>
      </c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>
        <v>44.55829583333334</v>
      </c>
      <c r="G35" s="197" t="n">
        <v>48.92199583333333</v>
      </c>
      <c r="H35" s="197" t="n">
        <v>0.9985999999999998</v>
      </c>
      <c r="I35" s="79" t="n">
        <v>0</v>
      </c>
      <c r="J35" s="79" t="n">
        <v>0</v>
      </c>
      <c r="K35" s="79" t="n">
        <v>0</v>
      </c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>
        <v>289.109</v>
      </c>
      <c r="Y35" s="286" t="n"/>
      <c r="Z35" s="269" t="n"/>
      <c r="AA35" s="34" t="inlineStr">
        <is>
          <t>r03</t>
        </is>
      </c>
      <c r="AB35" s="196" t="n"/>
      <c r="AC35" s="72" t="n"/>
      <c r="AD35" s="197" t="n">
        <v>44.55830977</v>
      </c>
      <c r="AE35" s="197" t="n">
        <v>48.92198918</v>
      </c>
      <c r="AF35" s="197" t="n">
        <v>0.99861007</v>
      </c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>
        <v>45.872975</v>
      </c>
      <c r="G36" s="197" t="n">
        <v>50.60210416666666</v>
      </c>
      <c r="H36" s="197" t="n">
        <v>0.9988833333333328</v>
      </c>
      <c r="I36" s="79" t="n">
        <v>0</v>
      </c>
      <c r="J36" s="79" t="n">
        <v>0</v>
      </c>
      <c r="K36" s="79" t="n">
        <v>0</v>
      </c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>
        <v>288.982</v>
      </c>
      <c r="Y36" s="286" t="n"/>
      <c r="Z36" s="269" t="n"/>
      <c r="AA36" s="34" t="inlineStr">
        <is>
          <t>r04</t>
        </is>
      </c>
      <c r="AB36" s="196" t="n"/>
      <c r="AC36" s="72" t="n"/>
      <c r="AD36" s="197" t="n">
        <v>45.87297525</v>
      </c>
      <c r="AE36" s="197" t="n">
        <v>50.60211642</v>
      </c>
      <c r="AF36" s="197" t="n">
        <v>0.99889272</v>
      </c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>
        <v>46.50705</v>
      </c>
      <c r="G37" s="244" t="n">
        <v>51.44496666666669</v>
      </c>
      <c r="H37" s="244" t="n">
        <v>0.9990208333333331</v>
      </c>
      <c r="I37" s="219" t="n">
        <v>0</v>
      </c>
      <c r="J37" s="219" t="n">
        <v>0</v>
      </c>
      <c r="K37" s="219" t="n">
        <v>0</v>
      </c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>
        <v>289.952</v>
      </c>
      <c r="Y37" s="286" t="n"/>
      <c r="Z37" s="275" t="n"/>
      <c r="AA37" s="36" t="inlineStr">
        <is>
          <t>r05</t>
        </is>
      </c>
      <c r="AB37" s="53" t="n"/>
      <c r="AC37" s="75" t="n"/>
      <c r="AD37" s="244" t="n">
        <v>46.50705479</v>
      </c>
      <c r="AE37" s="244" t="n">
        <v>51.44495957</v>
      </c>
      <c r="AF37" s="244" t="n">
        <v>0.99901787</v>
      </c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51">
    <outlinePr summaryBelow="1" summaryRight="1"/>
    <pageSetUpPr/>
  </sheetPr>
  <dimension ref="A1:BR71"/>
  <sheetViews>
    <sheetView topLeftCell="S1" workbookViewId="0">
      <selection activeCell="AE19" sqref="AE19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LEGO_Ferrari</t>
        </is>
      </c>
      <c r="C2" s="285">
        <f>CONCATENATE("Summary [ ",#REF!,"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",#REF!,"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",#REF!,"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",#REF!,"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",#REF!,"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",#REF!,"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52">
    <outlinePr summaryBelow="1" summaryRight="1"/>
    <pageSetUpPr/>
  </sheetPr>
  <dimension ref="A1:BR71"/>
  <sheetViews>
    <sheetView topLeftCell="T1" workbookViewId="0">
      <selection activeCell="AD33" sqref="AD33:AF37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LEGO_Bugatti</t>
        </is>
      </c>
      <c r="C2" s="285">
        <f>CONCATENATE("Summary [ ",#REF!,"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",#REF!,"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",#REF!,"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",#REF!,"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",#REF!,"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",#REF!,"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53">
    <outlinePr summaryBelow="1" summaryRight="1"/>
    <pageSetUpPr/>
  </sheetPr>
  <dimension ref="A1:BR71"/>
  <sheetViews>
    <sheetView topLeftCell="T1" workbookViewId="0">
      <selection activeCell="AD33" sqref="AD33:AF37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Plant</t>
        </is>
      </c>
      <c r="C2" s="285">
        <f>CONCATENATE("Summary [ ",#REF!,"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",#REF!,"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",#REF!,"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",#REF!,"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",#REF!,"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",#REF!,"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 codeName="Sheet54">
    <outlinePr summaryBelow="1" summaryRight="1"/>
    <pageSetUpPr/>
  </sheetPr>
  <dimension ref="A1:BR71"/>
  <sheetViews>
    <sheetView topLeftCell="T1" workbookViewId="0">
      <selection activeCell="AD33" sqref="AD33:AF37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Tennis_Player</t>
        </is>
      </c>
      <c r="C2" s="285">
        <f>CONCATENATE("Summary [ ",#REF!,"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",#REF!,"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",#REF!,"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",#REF!,"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",#REF!,"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",#REF!,"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>
  <sheetPr codeName="Sheet49">
    <outlinePr summaryBelow="1" summaryRight="1"/>
    <pageSetUpPr/>
  </sheetPr>
  <dimension ref="A1:BR71"/>
  <sheetViews>
    <sheetView topLeftCell="T1" workbookViewId="0">
      <selection activeCell="AD33" sqref="AD33:AF37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Cricket_Player</t>
        </is>
      </c>
      <c r="C2" s="285">
        <f>CONCATENATE("Summary [ ",'Summary (auto)'!$C$3,"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",'Summary (auto)'!$C$4,"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",'Summary (auto)'!$C$3,"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",'Summary (auto)'!$C$4,"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",'Summary (auto)'!$C$3,"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",'Summary (auto)'!$C$4,"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>
  <sheetPr codeName="Sheet48">
    <outlinePr summaryBelow="1" summaryRight="1"/>
    <pageSetUpPr/>
  </sheetPr>
  <dimension ref="A1:BR71"/>
  <sheetViews>
    <sheetView topLeftCell="T1" workbookViewId="0">
      <selection activeCell="AD33" sqref="AD33:AF37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Tango_Duo</t>
        </is>
      </c>
      <c r="C2" s="285">
        <f>CONCATENATE("Summary [ ",'Summary (auto)'!$C$3,"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",'Summary (auto)'!$C$4,"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",'Summary (auto)'!$C$3,"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",'Summary (auto)'!$C$4,"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",'Summary (auto)'!$C$3,"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",'Summary (auto)'!$C$4,"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>
  <sheetPr codeName="Sheet55">
    <outlinePr summaryBelow="1" summaryRight="1"/>
    <pageSetUpPr/>
  </sheetPr>
  <dimension ref="A1:BR71"/>
  <sheetViews>
    <sheetView topLeftCell="T1" workbookViewId="0">
      <selection activeCell="AD33" sqref="AD33:AF37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Solo_Tango_Female</t>
        </is>
      </c>
      <c r="C2" s="285">
        <f>CONCATENATE("Summary [ ",'Summary (auto)'!$C$3,"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",'Summary (auto)'!$C$4,"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",'Summary (auto)'!$C$3,"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",'Summary (auto)'!$C$4,"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",'Summary (auto)'!$C$3,"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",'Summary (auto)'!$C$4,"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>
  <sheetPr codeName="Sheet56">
    <outlinePr summaryBelow="1" summaryRight="1"/>
    <pageSetUpPr/>
  </sheetPr>
  <dimension ref="A1:BR71"/>
  <sheetViews>
    <sheetView topLeftCell="T1" workbookViewId="0">
      <selection activeCell="AD33" sqref="AD33:AF37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Solo_Tango_Male</t>
        </is>
      </c>
      <c r="C2" s="285">
        <f>CONCATENATE("Summary [ ",'Summary (auto)'!$C$3,"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",'Summary (auto)'!$C$4,"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",'Summary (auto)'!$C$3,"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",'Summary (auto)'!$C$4,"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",'Summary (auto)'!$C$3,"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",'Summary (auto)'!$C$4,"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>
  <sheetPr codeName="Sheet57">
    <outlinePr summaryBelow="1" summaryRight="1"/>
    <pageSetUpPr/>
  </sheetPr>
  <dimension ref="A1:BR71"/>
  <sheetViews>
    <sheetView topLeftCell="T1" workbookViewId="0">
      <selection activeCell="AD33" sqref="AD33:AF37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BlueBackpack_UVGgs_0100</t>
        </is>
      </c>
      <c r="C2" s="285">
        <f>CONCATENATE("Summary [ ",'Summary (auto)'!$C$3,"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",'Summary (auto)'!$C$4,"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",'Summary (auto)'!$C$3,"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",'Summary (auto)'!$C$4,"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",'Summary (auto)'!$C$3,"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",'Summary (auto)'!$C$4,"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>
  <sheetPr codeName="Sheet58">
    <outlinePr summaryBelow="1" summaryRight="1"/>
    <pageSetUpPr/>
  </sheetPr>
  <dimension ref="A1:BR71"/>
  <sheetViews>
    <sheetView topLeftCell="T1" workbookViewId="0">
      <selection activeCell="AD33" sqref="AD33:AF38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BlueBackpack_UVGgs_0200</t>
        </is>
      </c>
      <c r="C2" s="285">
        <f>CONCATENATE("Summary [ ",#REF!,"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",#REF!,"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",#REF!,"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",#REF!,"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",#REF!,"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",#REF!,"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>
  <sheetPr codeName="Sheet59">
    <outlinePr summaryBelow="1" summaryRight="1"/>
    <pageSetUpPr/>
  </sheetPr>
  <dimension ref="A1:BR71"/>
  <sheetViews>
    <sheetView topLeftCell="S1" workbookViewId="0">
      <selection activeCell="AD33" sqref="AD33:AF37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bartender_track</t>
        </is>
      </c>
      <c r="C2" s="285">
        <f>CONCATENATE("Summary [ ",#REF!,"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",#REF!,"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",#REF!,"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",#REF!,"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",#REF!,"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",#REF!,"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>
  <sheetPr codeName="Sheet60">
    <outlinePr summaryBelow="1" summaryRight="1"/>
    <pageSetUpPr/>
  </sheetPr>
  <dimension ref="A1:BR71"/>
  <sheetViews>
    <sheetView topLeftCell="T1" workbookViewId="0">
      <selection activeCell="AD33" sqref="AD33:AF37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FlowerDance_UVGgs_0200</t>
        </is>
      </c>
      <c r="C2" s="285">
        <f>CONCATENATE("Summary [ ",#REF!,"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",#REF!,"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",#REF!,"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",#REF!,"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",#REF!,"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",#REF!,"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>
  <sheetPr codeName="Sheet61">
    <outlinePr summaryBelow="1" summaryRight="1"/>
    <pageSetUpPr/>
  </sheetPr>
  <dimension ref="A1:BR71"/>
  <sheetViews>
    <sheetView topLeftCell="T1" workbookViewId="0">
      <selection activeCell="AD33" sqref="AD33:AF37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Gymnast_UVGgs_0100</t>
        </is>
      </c>
      <c r="C2" s="285">
        <f>CONCATENATE("Summary [ ",#REF!,"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",#REF!,"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",#REF!,"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",#REF!,"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",#REF!,"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",#REF!,"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>
  <sheetPr codeName="Sheet62">
    <outlinePr summaryBelow="1" summaryRight="1"/>
    <pageSetUpPr/>
  </sheetPr>
  <dimension ref="A1:BR71"/>
  <sheetViews>
    <sheetView topLeftCell="T1" workbookViewId="0">
      <selection activeCell="AD33" sqref="AD33:AF37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Gymnast_UVGgs_0200</t>
        </is>
      </c>
      <c r="C2" s="285">
        <f>CONCATENATE("Summary [ ",'Summary (auto)'!$C$3,"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",'Summary (auto)'!$C$4,"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",'Summary (auto)'!$C$3,"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",'Summary (auto)'!$C$4,"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",'Summary (auto)'!$C$3,"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",'Summary (auto)'!$C$4,"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>
  <sheetPr codeName="Sheet63">
    <outlinePr summaryBelow="1" summaryRight="1"/>
    <pageSetUpPr/>
  </sheetPr>
  <dimension ref="A1:BR71"/>
  <sheetViews>
    <sheetView topLeftCell="T1" workbookViewId="0">
      <selection activeCell="AD33" sqref="AD33:AF37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artwork</t>
        </is>
      </c>
      <c r="C2" s="285">
        <f>CONCATENATE("Summary [ ",#REF!,"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",#REF!,"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",#REF!,"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",#REF!,"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",#REF!,"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",#REF!,"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4.xml><?xml version="1.0" encoding="utf-8"?>
<worksheet xmlns="http://schemas.openxmlformats.org/spreadsheetml/2006/main">
  <sheetPr codeName="Sheet64">
    <outlinePr summaryBelow="1" summaryRight="1"/>
    <pageSetUpPr/>
  </sheetPr>
  <dimension ref="A1:BR71"/>
  <sheetViews>
    <sheetView topLeftCell="T1" workbookViewId="0">
      <selection activeCell="AD33" sqref="AD33:AF37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panda</t>
        </is>
      </c>
      <c r="C2" s="285">
        <f>CONCATENATE("Summary [ ",#REF!,"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",#REF!,"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",#REF!,"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",#REF!,"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",#REF!,"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",#REF!,"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5.xml><?xml version="1.0" encoding="utf-8"?>
<worksheet xmlns="http://schemas.openxmlformats.org/spreadsheetml/2006/main">
  <sheetPr codeName="Sheet65">
    <outlinePr summaryBelow="1" summaryRight="1"/>
    <pageSetUpPr/>
  </sheetPr>
  <dimension ref="A1:BR71"/>
  <sheetViews>
    <sheetView topLeftCell="T1" workbookViewId="0">
      <selection activeCell="AD33" sqref="AD33:AF37"/>
    </sheetView>
  </sheetViews>
  <sheetFormatPr baseColWidth="8" defaultColWidth="9" defaultRowHeight="12" outlineLevelCol="0"/>
  <cols>
    <col width="2.296875" bestFit="1" customWidth="1" style="267" min="1" max="1"/>
    <col width="9.8984375" customWidth="1" style="267" min="2" max="2"/>
    <col width="9.3984375" bestFit="1" customWidth="1" style="7" min="3" max="3"/>
    <col width="2.69921875" bestFit="1" customWidth="1" style="7" min="4" max="4"/>
    <col width="9.19921875" customWidth="1" style="304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69921875" customWidth="1" style="11" min="12" max="12"/>
    <col width="8.796875" customWidth="1" style="11" min="13" max="13"/>
    <col width="3.796875" customWidth="1" style="11" min="14" max="14"/>
    <col width="3.796875" customWidth="1" style="305" min="15" max="15"/>
    <col width="9.296875" customWidth="1" style="11" min="16" max="18"/>
    <col width="9.19921875" customWidth="1" style="12" min="19" max="24"/>
    <col width="4.19921875" customWidth="1" style="267" min="25" max="25"/>
    <col width="11" customWidth="1" style="267" min="26" max="26"/>
    <col width="9.19921875" customWidth="1" style="267" min="27" max="29"/>
    <col width="9.796875" customWidth="1" style="267" min="30" max="30"/>
    <col width="9.8984375" customWidth="1" style="267" min="31" max="31"/>
    <col width="8.796875" customWidth="1" style="267" min="32" max="32"/>
    <col width="10.09765625" bestFit="1" customWidth="1" style="267" min="33" max="33"/>
    <col width="10.09765625" customWidth="1" style="267" min="34" max="34"/>
    <col width="8.09765625" customWidth="1" style="267" min="35" max="35"/>
    <col width="8.69921875" customWidth="1" style="267" min="36" max="36"/>
    <col width="8.19921875" customWidth="1" style="267" min="37" max="37"/>
    <col width="3.796875" customWidth="1" style="267" min="38" max="38"/>
    <col width="3.796875" customWidth="1" style="305" min="39" max="39"/>
    <col width="7.09765625" customWidth="1" style="267" min="40" max="42"/>
    <col width="7.8984375" customWidth="1" style="267" min="43" max="47"/>
    <col width="9.09765625" customWidth="1" style="267" min="48" max="48"/>
    <col width="3.796875" customWidth="1" style="267" min="49" max="49"/>
    <col width="8.296875" bestFit="1" customWidth="1" style="267" min="50" max="50"/>
    <col width="10.796875" customWidth="1" style="267" min="51" max="51"/>
    <col width="10.296875" customWidth="1" style="267" min="52" max="52"/>
    <col width="9.8984375" customWidth="1" style="267" min="53" max="53"/>
    <col width="11.296875" customWidth="1" style="267" min="54" max="54"/>
    <col width="10.3984375" customWidth="1" style="267" min="55" max="55"/>
    <col width="7" bestFit="1" customWidth="1" style="267" min="56" max="56"/>
    <col width="7.3984375" bestFit="1" customWidth="1" style="267" min="57" max="57"/>
    <col width="8.19921875" customWidth="1" style="267" min="58" max="58"/>
    <col width="16.19921875" customWidth="1" style="267" min="59" max="59"/>
    <col width="8.3984375" bestFit="1" customWidth="1" style="267" min="60" max="61"/>
    <col width="7.296875" bestFit="1" customWidth="1" style="267" min="62" max="64"/>
    <col width="7.296875" customWidth="1" style="267" min="65" max="65"/>
    <col width="7.296875" bestFit="1" customWidth="1" style="267" min="66" max="66"/>
    <col width="2.296875" customWidth="1" style="267" min="67" max="67"/>
    <col width="9" customWidth="1" style="267" min="68" max="82"/>
    <col width="9" customWidth="1" style="267" min="83" max="16384"/>
  </cols>
  <sheetData>
    <row r="1" ht="14.25" customHeight="1" s="256" thickBot="1">
      <c r="A1" s="1" t="inlineStr"/>
      <c r="Y1" s="1" t="inlineStr"/>
      <c r="AW1" s="1" t="inlineStr"/>
      <c r="AX1" s="1" t="n"/>
      <c r="BB1" s="1" t="inlineStr"/>
      <c r="BC1" s="1" t="n"/>
      <c r="BG1" s="1" t="inlineStr"/>
    </row>
    <row r="2" ht="13.5" customHeight="1" s="256" thickBot="1">
      <c r="B2" s="160" t="inlineStr">
        <is>
          <t>wukong</t>
        </is>
      </c>
      <c r="C2" s="285">
        <f>CONCATENATE("Summary [ ",#REF!," ]")</f>
        <v/>
      </c>
      <c r="D2" s="262" t="n"/>
      <c r="E2" s="262" t="n"/>
      <c r="F2" s="262" t="n"/>
      <c r="G2" s="262" t="n"/>
      <c r="H2" s="262" t="n"/>
      <c r="I2" s="262" t="n"/>
      <c r="J2" s="262" t="n"/>
      <c r="K2" s="262" t="n"/>
      <c r="L2" s="262" t="n"/>
      <c r="M2" s="262" t="n"/>
      <c r="N2" s="262" t="n"/>
      <c r="O2" s="262" t="n"/>
      <c r="P2" s="262" t="n"/>
      <c r="Q2" s="262" t="n"/>
      <c r="R2" s="262" t="n"/>
      <c r="S2" s="262" t="n"/>
      <c r="T2" s="262" t="n"/>
      <c r="U2" s="262" t="n"/>
      <c r="V2" s="262" t="n"/>
      <c r="W2" s="262" t="n"/>
      <c r="X2" s="263" t="n"/>
      <c r="Y2" s="286" t="n"/>
      <c r="Z2" s="160">
        <f>$B$2</f>
        <v/>
      </c>
      <c r="AA2" s="270">
        <f>CONCATENATE("Summary [ ",#REF!," ]")</f>
        <v/>
      </c>
      <c r="AB2" s="271" t="n"/>
      <c r="AC2" s="271" t="n"/>
      <c r="AD2" s="271" t="n"/>
      <c r="AE2" s="271" t="n"/>
      <c r="AF2" s="271" t="n"/>
      <c r="AG2" s="271" t="n"/>
      <c r="AH2" s="271" t="n"/>
      <c r="AI2" s="271" t="n"/>
      <c r="AJ2" s="271" t="n"/>
      <c r="AK2" s="271" t="n"/>
      <c r="AL2" s="271" t="n"/>
      <c r="AM2" s="271" t="n"/>
      <c r="AN2" s="271" t="n"/>
      <c r="AO2" s="271" t="n"/>
      <c r="AP2" s="271" t="n"/>
      <c r="AQ2" s="271" t="n"/>
      <c r="AR2" s="271" t="n"/>
      <c r="AS2" s="271" t="n"/>
      <c r="AT2" s="271" t="n"/>
      <c r="AU2" s="271" t="n"/>
      <c r="AV2" s="272" t="n"/>
      <c r="AW2" s="125" t="n"/>
      <c r="AX2" s="178">
        <f>$B$2</f>
        <v/>
      </c>
      <c r="AY2" s="273" t="inlineStr">
        <is>
          <t>End-to-end BD-rate</t>
        </is>
      </c>
      <c r="AZ2" s="271" t="n"/>
      <c r="BA2" s="271" t="n"/>
      <c r="BB2" s="271" t="n"/>
      <c r="BC2" s="272" t="n"/>
      <c r="BD2" s="50" t="n"/>
      <c r="BE2" s="306" t="n"/>
      <c r="BF2" s="50" t="n"/>
    </row>
    <row r="3" ht="13.5" customHeight="1" s="256">
      <c r="B3" s="171" t="n"/>
      <c r="C3" s="158" t="n"/>
      <c r="D3" s="123" t="n"/>
      <c r="E3" s="307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08" t="n"/>
      <c r="P3" s="279" t="inlineStr">
        <is>
          <t>Total 
Enc T [s]</t>
        </is>
      </c>
      <c r="Q3" s="279" t="inlineStr">
        <is>
          <t>Total 
Dec T [s]</t>
        </is>
      </c>
      <c r="R3" s="279" t="inlineStr">
        <is>
          <t>Geom. 
Enc T [s]</t>
        </is>
      </c>
      <c r="S3" s="279" t="inlineStr">
        <is>
          <t>Geom. 
Dec T [s]</t>
        </is>
      </c>
      <c r="T3" s="279" t="inlineStr">
        <is>
          <t>Attr. 
Enc T [s]</t>
        </is>
      </c>
      <c r="U3" s="279" t="inlineStr">
        <is>
          <t>Attr. 
Dec T [s]</t>
        </is>
      </c>
      <c r="V3" s="279" t="inlineStr">
        <is>
          <t>MaxRSS 
Encoder</t>
        </is>
      </c>
      <c r="W3" s="279" t="inlineStr">
        <is>
          <t>MaxRSS 
Decoder</t>
        </is>
      </c>
      <c r="X3" s="283" t="inlineStr">
        <is>
          <t>Ren T [s]</t>
        </is>
      </c>
      <c r="Y3" s="286" t="n"/>
      <c r="Z3" s="157" t="n"/>
      <c r="AA3" s="158" t="n"/>
      <c r="AB3" s="123" t="n"/>
      <c r="AC3" s="307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08" t="n"/>
      <c r="AN3" s="279" t="inlineStr">
        <is>
          <t>Total 
Enc T [s]</t>
        </is>
      </c>
      <c r="AO3" s="279" t="inlineStr">
        <is>
          <t>Total 
Dec T [s]</t>
        </is>
      </c>
      <c r="AP3" s="279" t="inlineStr">
        <is>
          <t>Geom. 
Enc T [s]</t>
        </is>
      </c>
      <c r="AQ3" s="279" t="inlineStr">
        <is>
          <t>Geom. 
Dec T [s]</t>
        </is>
      </c>
      <c r="AR3" s="279" t="inlineStr">
        <is>
          <t>Attr. 
Enc T [s]</t>
        </is>
      </c>
      <c r="AS3" s="279" t="inlineStr">
        <is>
          <t>Attr. 
Dec T [s]</t>
        </is>
      </c>
      <c r="AT3" s="279" t="inlineStr">
        <is>
          <t>MaxRSS 
Encoder</t>
        </is>
      </c>
      <c r="AU3" s="279" t="inlineStr">
        <is>
          <t>MaxRSS 
Decoder</t>
        </is>
      </c>
      <c r="AV3" s="283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77" t="n"/>
      <c r="BP3" s="266" t="n"/>
    </row>
    <row r="4" ht="13.5" customHeight="1" s="256" thickBot="1">
      <c r="B4" s="159" t="n"/>
      <c r="C4" s="125" t="n"/>
      <c r="D4" s="42" t="n"/>
      <c r="E4" s="309" t="inlineStr">
        <is>
          <t>bytes</t>
        </is>
      </c>
      <c r="F4" s="44" t="inlineStr">
        <is>
          <t>RGB-PSNR</t>
        </is>
      </c>
      <c r="G4" s="310" t="inlineStr">
        <is>
          <t>YUV-PSNR</t>
        </is>
      </c>
      <c r="H4" s="310" t="inlineStr">
        <is>
          <t>YUV-SSIM</t>
        </is>
      </c>
      <c r="I4" s="310" t="inlineStr">
        <is>
          <t>YUV-IVSSIM</t>
        </is>
      </c>
      <c r="J4" s="310" t="inlineStr">
        <is>
          <t>LPIPS</t>
        </is>
      </c>
      <c r="K4" s="310" t="inlineStr">
        <is>
          <t>vs GT</t>
        </is>
      </c>
      <c r="L4" s="135" t="n"/>
      <c r="M4" s="135" t="n"/>
      <c r="N4" s="121" t="n"/>
      <c r="O4" s="310" t="n"/>
      <c r="P4" s="252" t="n"/>
      <c r="Q4" s="252" t="n"/>
      <c r="R4" s="252" t="n"/>
      <c r="S4" s="252" t="n"/>
      <c r="T4" s="252" t="n"/>
      <c r="U4" s="252" t="n"/>
      <c r="V4" s="252" t="n"/>
      <c r="W4" s="252" t="n"/>
      <c r="X4" s="284" t="n"/>
      <c r="Y4" s="286" t="n"/>
      <c r="Z4" s="159" t="n"/>
      <c r="AA4" s="125" t="n"/>
      <c r="AB4" s="42" t="n"/>
      <c r="AC4" s="309" t="inlineStr">
        <is>
          <t>bytes</t>
        </is>
      </c>
      <c r="AD4" s="44" t="inlineStr">
        <is>
          <t>RGB-PSNR</t>
        </is>
      </c>
      <c r="AE4" s="310" t="inlineStr">
        <is>
          <t>YUV-PSNR</t>
        </is>
      </c>
      <c r="AF4" s="310" t="inlineStr">
        <is>
          <t>YUV-SSIM</t>
        </is>
      </c>
      <c r="AG4" s="310" t="inlineStr">
        <is>
          <t>YUV-IVSSIM</t>
        </is>
      </c>
      <c r="AH4" s="310" t="inlineStr">
        <is>
          <t>LPIPS</t>
        </is>
      </c>
      <c r="AI4" s="310" t="inlineStr">
        <is>
          <t>vs GT</t>
        </is>
      </c>
      <c r="AJ4" s="310" t="n"/>
      <c r="AK4" s="310" t="n"/>
      <c r="AL4" s="121" t="n"/>
      <c r="AM4" s="310" t="n"/>
      <c r="AN4" s="252" t="n"/>
      <c r="AO4" s="252" t="n"/>
      <c r="AP4" s="252" t="n"/>
      <c r="AQ4" s="252" t="n"/>
      <c r="AR4" s="252" t="n"/>
      <c r="AS4" s="252" t="n"/>
      <c r="AT4" s="252" t="n"/>
      <c r="AU4" s="252" t="n"/>
      <c r="AV4" s="284" t="n"/>
      <c r="AW4" s="286" t="n"/>
      <c r="AX4" s="129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56">
      <c r="B5" s="287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86" t="n"/>
      <c r="Z5" s="268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11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12">
        <f>bdRateExtend($E5:$E9,F5:F9,$AC5:$AC9,AD5:AD9)</f>
        <v/>
      </c>
      <c r="AZ5" s="312">
        <f>bdRateExtend($E5:$E9,G5:G9,$AC5:$AC9,AE5:AE9)</f>
        <v/>
      </c>
      <c r="BA5" s="312">
        <f>bdRateExtend($E5:$E9,H5:H9,$AC5:$AC9,AF5:AF9)</f>
        <v/>
      </c>
      <c r="BB5" s="312" t="n"/>
      <c r="BC5" s="312">
        <f>bdRateExtend($E5:$E9,K5:K9,$AC5:$AC9,AI5:AI9)</f>
        <v/>
      </c>
      <c r="BD5" s="313" t="n"/>
      <c r="BE5" s="66" t="n"/>
      <c r="BF5" s="30" t="inlineStr">
        <is>
          <t xml:space="preserve"> = Required</t>
        </is>
      </c>
      <c r="BH5" s="314" t="n"/>
      <c r="BI5" s="314" t="n"/>
      <c r="BJ5" s="314" t="n"/>
      <c r="BK5" s="314" t="n"/>
      <c r="BL5" s="314" t="n"/>
      <c r="BM5" s="314" t="n"/>
      <c r="BN5" s="314" t="n"/>
      <c r="BR5" s="11" t="n"/>
    </row>
    <row r="6" ht="13.5" customHeight="1" s="256">
      <c r="B6" s="269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86" t="n"/>
      <c r="Z6" s="269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11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15" t="n"/>
      <c r="AZ6" s="316" t="n"/>
      <c r="BA6" s="176" t="n"/>
      <c r="BB6" s="176" t="n"/>
      <c r="BC6" s="58" t="n"/>
      <c r="BD6" s="313" t="n"/>
      <c r="BE6" s="313" t="n"/>
      <c r="BF6" s="49" t="n"/>
      <c r="BH6" s="314" t="n"/>
      <c r="BI6" s="314" t="n"/>
      <c r="BJ6" s="8" t="n"/>
      <c r="BK6" s="314" t="n"/>
      <c r="BL6" s="314" t="n"/>
      <c r="BM6" s="314" t="n"/>
      <c r="BN6" s="8" t="n"/>
      <c r="BR6" s="11" t="n"/>
    </row>
    <row r="7" ht="12.75" customHeight="1" s="256">
      <c r="B7" s="269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86" t="n"/>
      <c r="Z7" s="269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11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15" t="n"/>
      <c r="AZ7" s="316" t="n"/>
      <c r="BA7" s="176" t="n"/>
      <c r="BB7" s="176" t="n"/>
      <c r="BC7" s="58" t="n"/>
      <c r="BD7" s="313" t="n"/>
      <c r="BE7" s="67" t="n"/>
      <c r="BF7" s="30" t="inlineStr">
        <is>
          <t xml:space="preserve"> = Unused</t>
        </is>
      </c>
      <c r="BH7" s="314" t="n"/>
      <c r="BI7" s="314" t="n"/>
      <c r="BJ7" s="8" t="n"/>
      <c r="BK7" s="314" t="n"/>
      <c r="BL7" s="314" t="n"/>
      <c r="BM7" s="314" t="n"/>
      <c r="BN7" s="8" t="n"/>
      <c r="BR7" s="11" t="n"/>
    </row>
    <row r="8" ht="12.75" customHeight="1" s="256">
      <c r="B8" s="269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86" t="n"/>
      <c r="Z8" s="269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11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56" thickBot="1">
      <c r="B9" s="275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86" t="n"/>
      <c r="Z9" s="269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11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56" thickBot="1">
      <c r="B10" s="170" t="inlineStr">
        <is>
          <t>average</t>
        </is>
      </c>
      <c r="C10" s="152" t="n"/>
      <c r="D10" s="152" t="n"/>
      <c r="E10" s="31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18" t="n"/>
      <c r="P10" s="31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86" t="n"/>
      <c r="Z10" s="170" t="inlineStr">
        <is>
          <t>average</t>
        </is>
      </c>
      <c r="AA10" s="152" t="n"/>
      <c r="AB10" s="152" t="n"/>
      <c r="AC10" s="31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1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56">
      <c r="B11" s="286" t="n"/>
      <c r="C11" s="286" t="n"/>
      <c r="D11" s="286" t="n"/>
      <c r="E11" s="319" t="n"/>
      <c r="F11" s="119" t="n"/>
      <c r="G11" s="119" t="n"/>
      <c r="H11" s="119" t="n"/>
      <c r="I11" s="119" t="n"/>
      <c r="J11" s="119" t="n"/>
      <c r="K11" s="119" t="n"/>
      <c r="L11" s="286" t="n"/>
      <c r="M11" s="121" t="n"/>
      <c r="N11" s="121" t="n"/>
      <c r="O11" s="32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86" t="n"/>
      <c r="Z11" s="286" t="n"/>
      <c r="AA11" s="286" t="n"/>
      <c r="AB11" s="286" t="n"/>
      <c r="AC11" s="319" t="n"/>
      <c r="AD11" s="119" t="n"/>
      <c r="AE11" s="119" t="n"/>
      <c r="AF11" s="119" t="n"/>
      <c r="AG11" s="119" t="n"/>
      <c r="AH11" s="119" t="n"/>
      <c r="AI11" s="119" t="n"/>
      <c r="AJ11" s="286" t="n"/>
      <c r="AK11" s="121" t="n"/>
      <c r="AL11" s="121" t="n"/>
      <c r="AM11" s="32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56" thickBot="1">
      <c r="B12" s="286" t="n"/>
      <c r="C12" s="286" t="n"/>
      <c r="D12" s="286" t="n"/>
      <c r="E12" s="319" t="n"/>
      <c r="F12" s="119" t="n"/>
      <c r="G12" s="119" t="n"/>
      <c r="H12" s="119" t="n"/>
      <c r="I12" s="119" t="n"/>
      <c r="J12" s="119" t="n"/>
      <c r="K12" s="119" t="n"/>
      <c r="L12" s="286" t="n"/>
      <c r="M12" s="121" t="n"/>
      <c r="N12" s="121" t="n"/>
      <c r="O12" s="32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86" t="n"/>
      <c r="Z12" s="286" t="n"/>
      <c r="AA12" s="286" t="n"/>
      <c r="AB12" s="286" t="n"/>
      <c r="AC12" s="319" t="n"/>
      <c r="AD12" s="119" t="n"/>
      <c r="AE12" s="119" t="n"/>
      <c r="AF12" s="119" t="n"/>
      <c r="AG12" s="119" t="n"/>
      <c r="AH12" s="119" t="n"/>
      <c r="AI12" s="119" t="n"/>
      <c r="AJ12" s="286" t="n"/>
      <c r="AK12" s="121" t="n"/>
      <c r="AL12" s="121" t="n"/>
      <c r="AM12" s="32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8" customHeight="1" s="256" thickBot="1">
      <c r="B13" s="166" t="n"/>
      <c r="C13" s="270">
        <f>CONCATENATE("Encoding/Decoding [ ",#REF!," ]")</f>
        <v/>
      </c>
      <c r="D13" s="271" t="n"/>
      <c r="E13" s="271" t="n"/>
      <c r="F13" s="271" t="n"/>
      <c r="G13" s="271" t="n"/>
      <c r="H13" s="271" t="n"/>
      <c r="I13" s="271" t="n"/>
      <c r="J13" s="271" t="n"/>
      <c r="K13" s="271" t="n"/>
      <c r="L13" s="271" t="n"/>
      <c r="M13" s="271" t="n"/>
      <c r="N13" s="271" t="n"/>
      <c r="O13" s="271" t="n"/>
      <c r="P13" s="271" t="n"/>
      <c r="Q13" s="271" t="n"/>
      <c r="R13" s="271" t="n"/>
      <c r="S13" s="271" t="n"/>
      <c r="T13" s="271" t="n"/>
      <c r="U13" s="271" t="n"/>
      <c r="V13" s="271" t="n"/>
      <c r="W13" s="271" t="n"/>
      <c r="X13" s="272" t="n"/>
      <c r="Z13" s="31" t="n"/>
      <c r="AA13" s="270">
        <f>CONCATENATE("Encoding [ ",#REF!," ]")</f>
        <v/>
      </c>
      <c r="AB13" s="271" t="n"/>
      <c r="AC13" s="271" t="n"/>
      <c r="AD13" s="271" t="n"/>
      <c r="AE13" s="271" t="n"/>
      <c r="AF13" s="271" t="n"/>
      <c r="AG13" s="271" t="n"/>
      <c r="AH13" s="271" t="n"/>
      <c r="AI13" s="271" t="n"/>
      <c r="AJ13" s="271" t="n"/>
      <c r="AK13" s="271" t="n"/>
      <c r="AL13" s="271" t="n"/>
      <c r="AM13" s="271" t="n"/>
      <c r="AN13" s="271" t="n"/>
      <c r="AO13" s="271" t="n"/>
      <c r="AP13" s="271" t="n"/>
      <c r="AQ13" s="271" t="n"/>
      <c r="AR13" s="271" t="n"/>
      <c r="AS13" s="271" t="n"/>
      <c r="AT13" s="271" t="n"/>
      <c r="AU13" s="271" t="n"/>
      <c r="AV13" s="272" t="n"/>
    </row>
    <row r="14" ht="17.25" customHeight="1" s="256">
      <c r="B14" s="171" t="n"/>
      <c r="C14" s="131" t="n"/>
      <c r="D14" s="131" t="n"/>
      <c r="E14" s="32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2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2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2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76" t="inlineStr">
        <is>
          <t>Total Execution time</t>
        </is>
      </c>
      <c r="AZ14" s="276" t="inlineStr">
        <is>
          <t>Geom. Execution time</t>
        </is>
      </c>
      <c r="BB14" s="276" t="inlineStr">
        <is>
          <t>Attr. Execution time</t>
        </is>
      </c>
      <c r="BD14" s="276" t="inlineStr">
        <is>
          <t>Memory Usage</t>
        </is>
      </c>
      <c r="BF14" s="125" t="n"/>
      <c r="BH14" s="266" t="n"/>
      <c r="BN14" s="111" t="n"/>
      <c r="BO14" s="111" t="n"/>
    </row>
    <row r="15" ht="18" customFormat="1" customHeight="1" s="7" thickBot="1">
      <c r="B15" s="165" t="n"/>
      <c r="C15" s="42" t="n"/>
      <c r="D15" s="42" t="n"/>
      <c r="E15" s="309" t="inlineStr">
        <is>
          <t>bytes</t>
        </is>
      </c>
      <c r="F15" s="309" t="inlineStr">
        <is>
          <t>bytes</t>
        </is>
      </c>
      <c r="G15" s="309" t="inlineStr">
        <is>
          <t>bytes</t>
        </is>
      </c>
      <c r="H15" s="309" t="inlineStr">
        <is>
          <t>bytes</t>
        </is>
      </c>
      <c r="I15" s="309" t="inlineStr">
        <is>
          <t>bytes</t>
        </is>
      </c>
      <c r="J15" s="309" t="inlineStr">
        <is>
          <t>bytes</t>
        </is>
      </c>
      <c r="K15" s="309" t="inlineStr">
        <is>
          <t>bytes</t>
        </is>
      </c>
      <c r="L15" s="309" t="inlineStr">
        <is>
          <t>bytes</t>
        </is>
      </c>
      <c r="M15" s="309" t="inlineStr">
        <is>
          <t>bytes</t>
        </is>
      </c>
      <c r="N15" s="44" t="n"/>
      <c r="O15" s="310" t="n"/>
      <c r="P15" s="46" t="inlineStr">
        <is>
          <t>Enc T [s]</t>
        </is>
      </c>
      <c r="Q15" s="46" t="inlineStr">
        <is>
          <t>Dec T [s]</t>
        </is>
      </c>
      <c r="R15" s="46" t="inlineStr">
        <is>
          <t>Enc T [s]</t>
        </is>
      </c>
      <c r="S15" s="46" t="inlineStr">
        <is>
          <t>Dec T [s]</t>
        </is>
      </c>
      <c r="T15" s="46" t="inlineStr">
        <is>
          <t>Enc T [s]</t>
        </is>
      </c>
      <c r="U15" s="46" t="inlineStr">
        <is>
          <t>Dec T [s]</t>
        </is>
      </c>
      <c r="V15" s="46" t="inlineStr">
        <is>
          <t>Encoder</t>
        </is>
      </c>
      <c r="W15" s="46" t="inlineStr">
        <is>
          <t>Decoder</t>
        </is>
      </c>
      <c r="X15" s="47" t="n"/>
      <c r="Y15" s="286" t="n"/>
      <c r="Z15" s="165" t="n"/>
      <c r="AA15" s="42" t="n"/>
      <c r="AB15" s="42" t="n"/>
      <c r="AC15" s="309" t="inlineStr">
        <is>
          <t>bytes</t>
        </is>
      </c>
      <c r="AD15" s="309" t="inlineStr">
        <is>
          <t>bytes</t>
        </is>
      </c>
      <c r="AE15" s="309" t="inlineStr">
        <is>
          <t>bytes</t>
        </is>
      </c>
      <c r="AF15" s="309" t="inlineStr">
        <is>
          <t>bytes</t>
        </is>
      </c>
      <c r="AG15" s="309" t="inlineStr">
        <is>
          <t>bytes</t>
        </is>
      </c>
      <c r="AH15" s="309" t="inlineStr">
        <is>
          <t>bytes</t>
        </is>
      </c>
      <c r="AI15" s="309" t="inlineStr">
        <is>
          <t>bytes</t>
        </is>
      </c>
      <c r="AJ15" s="309" t="inlineStr">
        <is>
          <t>bytes</t>
        </is>
      </c>
      <c r="AK15" s="309" t="inlineStr">
        <is>
          <t>bytes</t>
        </is>
      </c>
      <c r="AL15" s="44" t="n"/>
      <c r="AM15" s="310" t="n"/>
      <c r="AN15" s="46" t="inlineStr">
        <is>
          <t>Enc T [s]</t>
        </is>
      </c>
      <c r="AO15" s="46" t="inlineStr">
        <is>
          <t>Dec T [s]</t>
        </is>
      </c>
      <c r="AP15" s="46" t="inlineStr">
        <is>
          <t>Enc T [s]</t>
        </is>
      </c>
      <c r="AQ15" s="46" t="inlineStr">
        <is>
          <t>Dec T [s]</t>
        </is>
      </c>
      <c r="AR15" s="46" t="inlineStr">
        <is>
          <t>Enc T [s]</t>
        </is>
      </c>
      <c r="AS15" s="46" t="inlineStr">
        <is>
          <t>Dec T [s]</t>
        </is>
      </c>
      <c r="AT15" s="46" t="inlineStr">
        <is>
          <t>Encoder</t>
        </is>
      </c>
      <c r="AU15" s="46" t="inlineStr">
        <is>
          <t>Decoder</t>
        </is>
      </c>
      <c r="AV15" s="47" t="n"/>
      <c r="AW15" s="286" t="n"/>
      <c r="AX15" s="276" t="inlineStr">
        <is>
          <t>Enc</t>
        </is>
      </c>
      <c r="AY15" s="201" t="inlineStr">
        <is>
          <t>Dec</t>
        </is>
      </c>
      <c r="AZ15" s="276" t="inlineStr">
        <is>
          <t>Enc</t>
        </is>
      </c>
      <c r="BA15" s="201" t="inlineStr">
        <is>
          <t>Dec</t>
        </is>
      </c>
      <c r="BB15" s="276" t="inlineStr">
        <is>
          <t>Enc</t>
        </is>
      </c>
      <c r="BC15" s="201" t="inlineStr">
        <is>
          <t>Dec</t>
        </is>
      </c>
      <c r="BD15" s="276" t="inlineStr">
        <is>
          <t>Enc</t>
        </is>
      </c>
      <c r="BE15" s="201" t="inlineStr">
        <is>
          <t>Dec</t>
        </is>
      </c>
      <c r="BF15" s="286" t="n"/>
      <c r="BL15" s="267" t="n"/>
      <c r="BM15" s="267" t="n"/>
      <c r="BN15" s="111" t="n"/>
      <c r="BO15" s="111" t="n"/>
    </row>
    <row r="16" ht="12.75" customHeight="1" s="256">
      <c r="B16" s="282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2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86" t="n"/>
      <c r="Z16" s="282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2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111" t="n"/>
      <c r="BM16" s="69" t="n"/>
      <c r="BN16" s="111" t="n"/>
      <c r="BO16" s="111" t="n"/>
      <c r="BP16" s="8" t="n"/>
    </row>
    <row r="17" ht="12.75" customHeight="1" s="256">
      <c r="B17" s="269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11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86" t="n"/>
      <c r="Z17" s="269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11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111" t="n"/>
      <c r="BM17" s="111" t="n"/>
      <c r="BN17" s="111" t="n"/>
      <c r="BO17" s="111" t="n"/>
      <c r="BP17" s="8" t="n"/>
    </row>
    <row r="18" ht="12.75" customHeight="1" s="256">
      <c r="B18" s="269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11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86" t="n"/>
      <c r="Z18" s="269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11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111" t="n"/>
      <c r="BM18" s="68" t="n"/>
      <c r="BN18" s="111" t="n"/>
      <c r="BO18" s="111" t="n"/>
      <c r="BP18" s="8" t="n"/>
    </row>
    <row r="19" ht="12.75" customHeight="1" s="256">
      <c r="B19" s="269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11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86" t="n"/>
      <c r="Z19" s="269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11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111" t="n"/>
      <c r="BM19" s="68" t="n"/>
      <c r="BN19" s="111" t="n"/>
      <c r="BO19" s="111" t="n"/>
      <c r="BP19" s="8" t="n"/>
    </row>
    <row r="20" ht="12.75" customHeight="1" s="256" thickBot="1">
      <c r="B20" s="269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11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86" t="n"/>
      <c r="Z20" s="269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11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111" t="n"/>
      <c r="BM20" s="111" t="n"/>
      <c r="BP20" s="8" t="n"/>
    </row>
    <row r="21" ht="13.5" customHeight="1" s="256">
      <c r="B21" s="280" t="n"/>
      <c r="C21" s="123" t="n"/>
      <c r="D21" s="123" t="n"/>
      <c r="E21" s="307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08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86" t="n"/>
      <c r="Z21" s="280" t="n"/>
      <c r="AA21" s="123" t="n"/>
      <c r="AB21" s="123" t="n"/>
      <c r="AC21" s="32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08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76" t="n"/>
      <c r="BH21" s="266" t="n"/>
    </row>
    <row r="22" ht="13.5" customFormat="1" customHeight="1" s="7" thickBot="1">
      <c r="B22" s="281" t="n"/>
      <c r="C22" s="42" t="n"/>
      <c r="D22" s="42" t="n"/>
      <c r="E22" s="309" t="inlineStr">
        <is>
          <t>bytes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10" t="n"/>
      <c r="P22" s="44" t="n"/>
      <c r="Q22" s="44" t="n"/>
      <c r="R22" s="44" t="n"/>
      <c r="S22" s="46" t="n"/>
      <c r="T22" s="46" t="n"/>
      <c r="U22" s="46" t="n"/>
      <c r="V22" s="46" t="n"/>
      <c r="W22" s="46" t="n"/>
      <c r="X22" s="47" t="n"/>
      <c r="Y22" s="286" t="n"/>
      <c r="Z22" s="281" t="n"/>
      <c r="AA22" s="42" t="n"/>
      <c r="AB22" s="42" t="n"/>
      <c r="AC22" s="325" t="inlineStr">
        <is>
          <t>bytes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10" t="n"/>
      <c r="AN22" s="44" t="n"/>
      <c r="AO22" s="44" t="n"/>
      <c r="AP22" s="44" t="n"/>
      <c r="AQ22" s="46" t="n"/>
      <c r="AR22" s="46" t="n"/>
      <c r="AS22" s="46" t="n"/>
      <c r="AT22" s="46" t="n"/>
      <c r="AU22" s="46" t="n"/>
      <c r="AV22" s="47" t="n"/>
      <c r="AW22" s="286" t="n"/>
      <c r="AX22" s="286" t="n"/>
      <c r="AY22" s="119" t="n"/>
      <c r="AZ22" s="119" t="n"/>
      <c r="BA22" s="119" t="n"/>
      <c r="BB22" s="286" t="n"/>
      <c r="BC22" s="286" t="n"/>
      <c r="BD22" s="286" t="n"/>
      <c r="BE22" s="286" t="n"/>
      <c r="BF22" s="286" t="n"/>
      <c r="BL22" s="111" t="n"/>
      <c r="BM22" s="69" t="n"/>
    </row>
    <row r="23" ht="13.5" customHeight="1" s="256">
      <c r="B23" s="287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11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86" t="n"/>
      <c r="Z23" s="287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11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269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11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86" t="n"/>
      <c r="Z24" s="269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11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269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11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86" t="n"/>
      <c r="Z25" s="269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11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269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11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86" t="n"/>
      <c r="Z26" s="269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11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56" thickBot="1">
      <c r="B27" s="275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26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86" t="n"/>
      <c r="Z27" s="275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26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86" t="n"/>
      <c r="C28" s="286" t="n"/>
      <c r="D28" s="121" t="n"/>
      <c r="E28" s="3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2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86" t="n"/>
      <c r="Z28" s="286" t="n"/>
      <c r="AA28" s="286" t="n"/>
      <c r="AB28" s="121" t="n"/>
      <c r="AC28" s="31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2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56">
      <c r="B29" s="286" t="n"/>
      <c r="C29" s="286" t="n"/>
      <c r="D29" s="286" t="n"/>
      <c r="E29" s="286" t="n"/>
      <c r="F29" s="286" t="n"/>
      <c r="G29" s="286" t="n"/>
      <c r="H29" s="286" t="n"/>
      <c r="I29" s="286" t="n"/>
      <c r="J29" s="286" t="n"/>
      <c r="K29" s="286" t="n"/>
      <c r="L29" s="286" t="n"/>
      <c r="M29" s="286" t="n"/>
      <c r="N29" s="286" t="n"/>
      <c r="O29" s="320" t="n"/>
      <c r="P29" s="286" t="n"/>
      <c r="Q29" s="286" t="n"/>
      <c r="R29" s="286" t="n"/>
      <c r="S29" s="286" t="n"/>
      <c r="T29" s="286" t="n"/>
      <c r="U29" s="286" t="n"/>
      <c r="V29" s="286" t="n"/>
      <c r="W29" s="286" t="n"/>
      <c r="X29" s="286" t="n"/>
      <c r="Y29" s="286" t="n"/>
      <c r="Z29" s="286" t="n"/>
      <c r="AA29" s="286" t="n"/>
      <c r="AB29" s="286" t="n"/>
      <c r="AC29" s="286" t="n"/>
      <c r="AD29" s="286" t="n"/>
      <c r="AE29" s="286" t="n"/>
      <c r="AF29" s="286" t="n"/>
      <c r="AG29" s="286" t="n"/>
      <c r="AH29" s="286" t="n"/>
      <c r="AI29" s="286" t="n"/>
      <c r="AJ29" s="286" t="n"/>
      <c r="AK29" s="286" t="n"/>
      <c r="AL29" s="286" t="n"/>
      <c r="AM29" s="320" t="n"/>
      <c r="AN29" s="286" t="n"/>
      <c r="AO29" s="286" t="n"/>
      <c r="AP29" s="286" t="n"/>
      <c r="AQ29" s="286" t="n"/>
      <c r="AR29" s="286" t="n"/>
      <c r="AS29" s="286" t="n"/>
      <c r="AT29" s="286" t="n"/>
      <c r="AU29" s="286" t="n"/>
      <c r="AV29" s="286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56" thickBot="1">
      <c r="B30" s="286" t="n"/>
      <c r="C30" s="286" t="n"/>
      <c r="D30" s="286" t="n"/>
      <c r="E30" s="319" t="n"/>
      <c r="F30" s="286" t="n"/>
      <c r="G30" s="286" t="n"/>
      <c r="H30" s="286" t="n"/>
      <c r="I30" s="286" t="n"/>
      <c r="J30" s="286" t="n"/>
      <c r="K30" s="286" t="n"/>
      <c r="L30" s="286" t="n"/>
      <c r="M30" s="286" t="n"/>
      <c r="N30" s="286" t="n"/>
      <c r="O30" s="320" t="n"/>
      <c r="P30" s="286" t="n"/>
      <c r="Q30" s="286" t="n"/>
      <c r="R30" s="286" t="n"/>
      <c r="S30" s="286" t="n"/>
      <c r="T30" s="286" t="n"/>
      <c r="U30" s="286" t="n"/>
      <c r="V30" s="286" t="n"/>
      <c r="W30" s="286" t="n"/>
      <c r="X30" s="286" t="n"/>
      <c r="Y30" s="286" t="n"/>
      <c r="Z30" s="286" t="n"/>
      <c r="AA30" s="286" t="n"/>
      <c r="AB30" s="286" t="n"/>
      <c r="AC30" s="319" t="n"/>
      <c r="AD30" s="215" t="n"/>
      <c r="AE30" s="286" t="n"/>
      <c r="AF30" s="286" t="n"/>
      <c r="AG30" s="286" t="n"/>
      <c r="AH30" s="286" t="n"/>
      <c r="AI30" s="286" t="n"/>
      <c r="AJ30" s="286" t="n"/>
      <c r="AK30" s="286" t="n"/>
      <c r="AL30" s="286" t="n"/>
      <c r="AM30" s="320" t="n"/>
      <c r="AN30" s="286" t="n"/>
      <c r="AO30" s="286" t="n"/>
      <c r="AP30" s="286" t="n"/>
      <c r="AQ30" s="286" t="n"/>
      <c r="AR30" s="286" t="n"/>
      <c r="AS30" s="286" t="n"/>
      <c r="AT30" s="286" t="n"/>
      <c r="AU30" s="286" t="n"/>
      <c r="AV30" s="286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56" thickBot="1">
      <c r="B31" s="31" t="n"/>
      <c r="C31" s="270">
        <f>CONCATENATE("Objective metrics [ ",#REF!," ]")</f>
        <v/>
      </c>
      <c r="D31" s="271" t="n"/>
      <c r="E31" s="271" t="n"/>
      <c r="F31" s="271" t="n"/>
      <c r="G31" s="271" t="n"/>
      <c r="H31" s="271" t="n"/>
      <c r="I31" s="271" t="n"/>
      <c r="J31" s="271" t="n"/>
      <c r="K31" s="271" t="n"/>
      <c r="L31" s="271" t="n"/>
      <c r="M31" s="271" t="n"/>
      <c r="N31" s="271" t="n"/>
      <c r="O31" s="271" t="n"/>
      <c r="P31" s="271" t="n"/>
      <c r="Q31" s="271" t="n"/>
      <c r="R31" s="271" t="n"/>
      <c r="S31" s="271" t="n"/>
      <c r="T31" s="271" t="n"/>
      <c r="U31" s="271" t="n"/>
      <c r="V31" s="271" t="n"/>
      <c r="W31" s="271" t="n"/>
      <c r="X31" s="272" t="n"/>
      <c r="Y31" s="286" t="n"/>
      <c r="Z31" s="31" t="n"/>
      <c r="AA31" s="270">
        <f>CONCATENATE("Objective metrics [ ",#REF!," ]")</f>
        <v/>
      </c>
      <c r="AB31" s="271" t="n"/>
      <c r="AC31" s="271" t="n"/>
      <c r="AD31" s="271" t="n"/>
      <c r="AE31" s="271" t="n"/>
      <c r="AF31" s="271" t="n"/>
      <c r="AG31" s="271" t="n"/>
      <c r="AH31" s="271" t="n"/>
      <c r="AI31" s="271" t="n"/>
      <c r="AJ31" s="271" t="n"/>
      <c r="AK31" s="271" t="n"/>
      <c r="AL31" s="271" t="n"/>
      <c r="AM31" s="271" t="n"/>
      <c r="AN31" s="271" t="n"/>
      <c r="AO31" s="271" t="n"/>
      <c r="AP31" s="271" t="n"/>
      <c r="AQ31" s="271" t="n"/>
      <c r="AR31" s="271" t="n"/>
      <c r="AS31" s="271" t="n"/>
      <c r="AT31" s="271" t="n"/>
      <c r="AU31" s="271" t="n"/>
      <c r="AV31" s="272" t="n"/>
      <c r="AW31" s="125" t="n"/>
      <c r="AX31" s="125" t="n"/>
      <c r="AY31" s="278" t="inlineStr">
        <is>
          <t>Deltas</t>
        </is>
      </c>
      <c r="AZ31" s="262" t="n"/>
      <c r="BA31" s="262" t="n"/>
      <c r="BB31" s="262" t="n"/>
      <c r="BC31" s="169" t="n"/>
      <c r="BD31" s="125" t="n"/>
      <c r="BE31" s="125" t="n"/>
      <c r="BF31" s="125" t="n"/>
    </row>
    <row r="32" ht="13.5" customHeight="1" s="256" thickBot="1">
      <c r="B32" s="235" t="inlineStr">
        <is>
          <t>View</t>
        </is>
      </c>
      <c r="C32" s="123" t="n"/>
      <c r="D32" s="123" t="n"/>
      <c r="E32" s="286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08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86" t="n"/>
      <c r="Z32" s="235" t="inlineStr">
        <is>
          <t>View</t>
        </is>
      </c>
      <c r="AA32" s="123" t="n"/>
      <c r="AB32" s="123" t="n"/>
      <c r="AC32" s="286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86" t="n"/>
      <c r="AK32" s="286" t="n"/>
      <c r="AL32" s="38" t="n"/>
      <c r="AM32" s="30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20" t="n"/>
      <c r="BF32" s="119" t="n"/>
    </row>
    <row r="33">
      <c r="B33" s="274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27" t="n"/>
      <c r="M33" s="327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86" t="n"/>
      <c r="Z33" s="274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27" t="n"/>
      <c r="AK33" s="327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274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56">
      <c r="B34" s="269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28" t="n"/>
      <c r="M34" s="328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86" t="n"/>
      <c r="Z34" s="269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28" t="n"/>
      <c r="AK34" s="328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269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56">
      <c r="B35" s="269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28" t="n"/>
      <c r="M35" s="328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86" t="n"/>
      <c r="Z35" s="269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28" t="n"/>
      <c r="AK35" s="328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269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56">
      <c r="B36" s="269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28" t="n"/>
      <c r="M36" s="328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86" t="n"/>
      <c r="Z36" s="269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28" t="n"/>
      <c r="AK36" s="328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269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56" thickBot="1">
      <c r="B37" s="275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29" t="n"/>
      <c r="M37" s="329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86" t="n"/>
      <c r="Z37" s="275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29" t="n"/>
      <c r="AK37" s="329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275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57">
      <c r="B57" s="286" t="n"/>
      <c r="C57" s="286" t="n"/>
      <c r="D57" s="286" t="n"/>
      <c r="E57" s="119" t="n"/>
      <c r="F57" s="173" t="n"/>
      <c r="G57" s="173" t="n"/>
      <c r="H57" s="173" t="n"/>
      <c r="I57" s="119" t="n"/>
      <c r="J57" s="119" t="n"/>
    </row>
    <row r="58">
      <c r="C58" s="286" t="n"/>
      <c r="D58" s="286" t="n"/>
      <c r="E58" s="119" t="n"/>
      <c r="F58" s="173" t="n"/>
      <c r="G58" s="173" t="n"/>
      <c r="H58" s="173" t="n"/>
      <c r="I58" s="119" t="n"/>
      <c r="J58" s="119" t="n"/>
    </row>
    <row r="59">
      <c r="C59" s="286" t="n"/>
      <c r="D59" s="286" t="n"/>
      <c r="E59" s="119" t="n"/>
      <c r="F59" s="173" t="n"/>
      <c r="G59" s="173" t="n"/>
      <c r="H59" s="173" t="n"/>
      <c r="I59" s="119" t="n"/>
      <c r="J59" s="119" t="n"/>
    </row>
    <row r="60">
      <c r="C60" s="286" t="n"/>
      <c r="D60" s="286" t="n"/>
      <c r="E60" s="119" t="n"/>
      <c r="F60" s="173" t="n"/>
      <c r="G60" s="173" t="n"/>
      <c r="H60" s="173" t="n"/>
      <c r="I60" s="119" t="n"/>
      <c r="J60" s="119" t="n"/>
    </row>
    <row r="61">
      <c r="C61" s="286" t="n"/>
      <c r="D61" s="286" t="n"/>
      <c r="E61" s="119" t="n"/>
      <c r="F61" s="173" t="n"/>
      <c r="G61" s="173" t="n"/>
      <c r="H61" s="173" t="n"/>
      <c r="I61" s="119" t="n"/>
      <c r="J61" s="119" t="n"/>
    </row>
    <row r="62">
      <c r="B62" s="286" t="n"/>
      <c r="C62" s="286" t="n"/>
      <c r="D62" s="286" t="n"/>
      <c r="E62" s="119" t="n"/>
      <c r="F62" s="173" t="n"/>
      <c r="G62" s="173" t="n"/>
      <c r="H62" s="173" t="n"/>
      <c r="I62" s="173" t="n"/>
      <c r="J62" s="173" t="n"/>
    </row>
    <row r="63">
      <c r="C63" s="286" t="n"/>
      <c r="D63" s="286" t="n"/>
      <c r="E63" s="119" t="n"/>
      <c r="F63" s="173" t="n"/>
      <c r="G63" s="173" t="n"/>
      <c r="H63" s="173" t="n"/>
      <c r="I63" s="173" t="n"/>
      <c r="J63" s="173" t="n"/>
    </row>
    <row r="64">
      <c r="C64" s="286" t="n"/>
      <c r="D64" s="286" t="n"/>
      <c r="E64" s="119" t="n"/>
      <c r="F64" s="173" t="n"/>
      <c r="G64" s="173" t="n"/>
      <c r="H64" s="173" t="n"/>
      <c r="I64" s="173" t="n"/>
      <c r="J64" s="173" t="n"/>
    </row>
    <row r="65">
      <c r="C65" s="286" t="n"/>
      <c r="D65" s="286" t="n"/>
      <c r="E65" s="119" t="n"/>
      <c r="F65" s="173" t="n"/>
      <c r="G65" s="173" t="n"/>
      <c r="H65" s="173" t="n"/>
      <c r="I65" s="173" t="n"/>
      <c r="J65" s="173" t="n"/>
    </row>
    <row r="66">
      <c r="C66" s="286" t="n"/>
      <c r="D66" s="286" t="n"/>
      <c r="E66" s="119" t="n"/>
      <c r="F66" s="173" t="n"/>
      <c r="G66" s="173" t="n"/>
      <c r="H66" s="173" t="n"/>
      <c r="I66" s="173" t="n"/>
      <c r="J66" s="173" t="n"/>
    </row>
    <row r="67">
      <c r="B67" s="286" t="n"/>
      <c r="C67" s="286" t="n"/>
      <c r="D67" s="286" t="n"/>
      <c r="E67" s="119" t="n"/>
      <c r="F67" s="173" t="n"/>
      <c r="G67" s="173" t="n"/>
      <c r="H67" s="173" t="n"/>
      <c r="I67" s="173" t="n"/>
      <c r="J67" s="173" t="n"/>
    </row>
    <row r="68">
      <c r="C68" s="286" t="n"/>
      <c r="D68" s="286" t="n"/>
      <c r="E68" s="119" t="n"/>
      <c r="F68" s="173" t="n"/>
      <c r="G68" s="173" t="n"/>
      <c r="H68" s="173" t="n"/>
      <c r="I68" s="173" t="n"/>
      <c r="J68" s="173" t="n"/>
    </row>
    <row r="69">
      <c r="C69" s="286" t="n"/>
      <c r="D69" s="286" t="n"/>
      <c r="E69" s="119" t="n"/>
      <c r="F69" s="173" t="n"/>
      <c r="G69" s="173" t="n"/>
      <c r="H69" s="173" t="n"/>
      <c r="I69" s="173" t="n"/>
      <c r="J69" s="173" t="n"/>
    </row>
    <row r="70">
      <c r="C70" s="286" t="n"/>
      <c r="D70" s="286" t="n"/>
      <c r="E70" s="119" t="n"/>
      <c r="F70" s="173" t="n"/>
      <c r="G70" s="173" t="n"/>
      <c r="H70" s="173" t="n"/>
      <c r="I70" s="173" t="n"/>
      <c r="J70" s="173" t="n"/>
    </row>
    <row r="71">
      <c r="C71" s="286" t="n"/>
      <c r="D71" s="286" t="n"/>
      <c r="E71" s="119" t="n"/>
      <c r="F71" s="173" t="n"/>
      <c r="G71" s="173" t="n"/>
      <c r="H71" s="173" t="n"/>
      <c r="I71" s="173" t="n"/>
      <c r="J71" s="173" t="n"/>
    </row>
  </sheetData>
  <mergeCells count="48">
    <mergeCell ref="BH21:BJ21"/>
    <mergeCell ref="BP3:BR3"/>
    <mergeCell ref="C2:X2"/>
    <mergeCell ref="Z5:Z9"/>
    <mergeCell ref="Z33:Z37"/>
    <mergeCell ref="AA31:AV31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2025-08-21T09:52:00Z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0x0101004FF430E06F6A0F47B9C36EBFA05F847B</vt:lpwstr>
  </property>
  <property name="MediaServiceImageTags" fmtid="{D5CDD505-2E9C-101B-9397-08002B2CF9AE}" pid="10">
    <vt:lpwstr/>
  </property>
</Properties>
</file>