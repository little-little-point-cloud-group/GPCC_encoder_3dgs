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0" activeTab="0" autoFilterDateGrouping="1"/>
  </bookViews>
  <sheets>
    <sheet name="Summary" sheetId="1" state="visible" r:id="rId1"/>
    <sheet name="Summary (all)" sheetId="2" state="visible" r:id="rId2"/>
    <sheet name="Graphs" sheetId="3" state="visible" r:id="rId3"/>
    <sheet name="Anchor" sheetId="4" state="visible" r:id="rId4"/>
    <sheet name="Proposal" sheetId="5" state="visible" r:id="rId5"/>
  </sheets>
  <definedNames>
    <definedName name="_xleta.IFERROR" hidden="1" xlm="1">#NAME?</definedName>
    <definedName name="_xleta.N" hidden="1" xlm="1">#NAME?</definedName>
    <definedName name="_xleta.OR" hidden="1" xlm="1">#NAME?</definedName>
    <definedName name="_xleta.T" hidden="1" xlm="1">#NAME?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"/>
    <numFmt numFmtId="165" formatCode="0.0%;\-0.0%;&quot;---&quot;"/>
    <numFmt numFmtId="166" formatCode="0.0%"/>
    <numFmt numFmtId="167" formatCode="#,##0.0"/>
    <numFmt numFmtId="168" formatCode="_-* #,##0.00_-;\-* #,##0.00_-;_-* &quot;-&quot;??_-;_-@_-"/>
  </numFmts>
  <fonts count="16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charset val="129"/>
      <family val="3"/>
      <sz val="8"/>
      <scheme val="minor"/>
    </font>
    <font>
      <name val="宋体"/>
      <family val="2"/>
      <b val="1"/>
      <color theme="0"/>
      <sz val="12"/>
      <scheme val="minor"/>
    </font>
    <font>
      <name val="宋体"/>
      <family val="2"/>
      <sz val="8"/>
      <scheme val="minor"/>
    </font>
  </fonts>
  <fills count="15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9" tint="0.7999816888943144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8" fillId="0" borderId="0"/>
    <xf numFmtId="9" fontId="8" fillId="0" borderId="0"/>
    <xf numFmtId="43" fontId="8" fillId="0" borderId="0"/>
    <xf numFmtId="9" fontId="8" fillId="0" borderId="0"/>
    <xf numFmtId="0" fontId="9" fillId="0" borderId="0"/>
    <xf numFmtId="43" fontId="8" fillId="0" borderId="0"/>
    <xf numFmtId="9" fontId="8" fillId="0" borderId="0"/>
    <xf numFmtId="9" fontId="12" fillId="0" borderId="0"/>
    <xf numFmtId="9" fontId="12" fillId="0" borderId="0"/>
    <xf numFmtId="168" fontId="12" fillId="0" borderId="0"/>
  </cellStyleXfs>
  <cellXfs count="247">
    <xf numFmtId="0" fontId="0" fillId="0" borderId="0" pivotButton="0" quotePrefix="0" xfId="0"/>
    <xf numFmtId="0" fontId="4" fillId="3" borderId="0" pivotButton="0" quotePrefix="0" xfId="0"/>
    <xf numFmtId="0" fontId="4" fillId="3" borderId="0" applyAlignment="1" pivotButton="0" quotePrefix="0" xfId="0">
      <alignment horizontal="right"/>
    </xf>
    <xf numFmtId="2" fontId="0" fillId="0" borderId="0" pivotButton="0" quotePrefix="0" xfId="0"/>
    <xf numFmtId="0" fontId="3" fillId="3" borderId="0" pivotButton="0" quotePrefix="0" xfId="0"/>
    <xf numFmtId="0" fontId="5" fillId="3" borderId="0" pivotButton="0" quotePrefix="0" xfId="0"/>
    <xf numFmtId="0" fontId="6" fillId="0" borderId="0" pivotButton="0" quotePrefix="0" xfId="0"/>
    <xf numFmtId="0" fontId="6" fillId="0" borderId="0" applyAlignment="1" pivotButton="0" quotePrefix="0" xfId="0">
      <alignment horizontal="center"/>
    </xf>
    <xf numFmtId="0" fontId="2" fillId="3" borderId="0" pivotButton="0" quotePrefix="0" xfId="0"/>
    <xf numFmtId="0" fontId="0" fillId="0" borderId="13" pivotButton="0" quotePrefix="0" xfId="0"/>
    <xf numFmtId="0" fontId="0" fillId="0" borderId="7" pivotButton="0" quotePrefix="0" xfId="0"/>
    <xf numFmtId="0" fontId="6" fillId="4" borderId="7" applyAlignment="1" pivotButton="0" quotePrefix="0" xfId="0">
      <alignment horizontal="center"/>
    </xf>
    <xf numFmtId="0" fontId="6" fillId="4" borderId="14" applyAlignment="1" pivotButton="0" quotePrefix="0" xfId="0">
      <alignment horizontal="center"/>
    </xf>
    <xf numFmtId="0" fontId="6" fillId="4" borderId="16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164" fontId="0" fillId="0" borderId="0" pivotButton="0" quotePrefix="0" xfId="0"/>
    <xf numFmtId="2" fontId="0" fillId="0" borderId="13" pivotButton="0" quotePrefix="0" xfId="0"/>
    <xf numFmtId="2" fontId="0" fillId="0" borderId="7" pivotButton="0" quotePrefix="0" xfId="0"/>
    <xf numFmtId="165" fontId="7" fillId="3" borderId="0" applyAlignment="1" pivotButton="0" quotePrefix="0" xfId="0">
      <alignment horizontal="center" vertical="center"/>
    </xf>
    <xf numFmtId="165" fontId="11" fillId="3" borderId="0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1" fillId="3" borderId="0" applyAlignment="1" pivotButton="0" quotePrefix="0" xfId="0">
      <alignment horizontal="left" vertical="center"/>
    </xf>
    <xf numFmtId="166" fontId="12" fillId="3" borderId="4" applyAlignment="1" pivotButton="0" quotePrefix="0" xfId="8">
      <alignment horizontal="center"/>
    </xf>
    <xf numFmtId="166" fontId="12" fillId="3" borderId="7" applyAlignment="1" pivotButton="0" quotePrefix="0" xfId="8">
      <alignment horizontal="center"/>
    </xf>
    <xf numFmtId="166" fontId="12" fillId="3" borderId="8" applyAlignment="1" pivotButton="0" quotePrefix="0" xfId="8">
      <alignment horizontal="center"/>
    </xf>
    <xf numFmtId="0" fontId="14" fillId="5" borderId="7" pivotButton="0" quotePrefix="0" xfId="0"/>
    <xf numFmtId="0" fontId="14" fillId="5" borderId="14" pivotButton="0" quotePrefix="0" xfId="0"/>
    <xf numFmtId="0" fontId="14" fillId="6" borderId="7" pivotButton="0" quotePrefix="0" xfId="0"/>
    <xf numFmtId="0" fontId="14" fillId="6" borderId="14" pivotButton="0" quotePrefix="0" xfId="0"/>
    <xf numFmtId="0" fontId="14" fillId="9" borderId="7" pivotButton="0" quotePrefix="0" xfId="0"/>
    <xf numFmtId="0" fontId="1" fillId="3" borderId="0" applyAlignment="1" pivotButton="0" quotePrefix="0" xfId="0">
      <alignment vertical="center"/>
    </xf>
    <xf numFmtId="166" fontId="12" fillId="3" borderId="0" applyAlignment="1" pivotButton="0" quotePrefix="0" xfId="8">
      <alignment horizontal="center"/>
    </xf>
    <xf numFmtId="166" fontId="6" fillId="3" borderId="20" applyAlignment="1" pivotButton="0" quotePrefix="0" xfId="8">
      <alignment horizontal="center"/>
    </xf>
    <xf numFmtId="166" fontId="6" fillId="3" borderId="21" applyAlignment="1" pivotButton="0" quotePrefix="0" xfId="8">
      <alignment horizontal="center"/>
    </xf>
    <xf numFmtId="0" fontId="6" fillId="4" borderId="0" applyAlignment="1" pivotButton="0" quotePrefix="0" xfId="0">
      <alignment horizontal="center"/>
    </xf>
    <xf numFmtId="0" fontId="0" fillId="0" borderId="9" pivotButton="0" quotePrefix="0" xfId="0"/>
    <xf numFmtId="2" fontId="0" fillId="0" borderId="9" pivotButton="0" quotePrefix="0" xfId="0"/>
    <xf numFmtId="0" fontId="0" fillId="0" borderId="1" pivotButton="0" quotePrefix="0" xfId="0"/>
    <xf numFmtId="2" fontId="0" fillId="0" borderId="1" pivotButton="0" quotePrefix="0" xfId="0"/>
    <xf numFmtId="0" fontId="4" fillId="12" borderId="19" applyAlignment="1" pivotButton="0" quotePrefix="0" xfId="0">
      <alignment horizontal="center" vertical="center"/>
    </xf>
    <xf numFmtId="165" fontId="1" fillId="12" borderId="5" applyAlignment="1" pivotButton="0" quotePrefix="0" xfId="0">
      <alignment vertical="center"/>
    </xf>
    <xf numFmtId="0" fontId="1" fillId="12" borderId="5" applyAlignment="1" pivotButton="0" quotePrefix="0" xfId="0">
      <alignment vertical="center"/>
    </xf>
    <xf numFmtId="0" fontId="10" fillId="12" borderId="20" applyAlignment="1" pivotButton="0" quotePrefix="0" xfId="0">
      <alignment horizontal="center" vertical="center" wrapText="1"/>
    </xf>
    <xf numFmtId="0" fontId="10" fillId="12" borderId="21" applyAlignment="1" pivotButton="0" quotePrefix="0" xfId="0">
      <alignment horizontal="center" vertical="center" wrapText="1"/>
    </xf>
    <xf numFmtId="0" fontId="4" fillId="12" borderId="19" applyAlignment="1" pivotButton="0" quotePrefix="0" xfId="0">
      <alignment vertical="center"/>
    </xf>
    <xf numFmtId="0" fontId="4" fillId="13" borderId="19" applyAlignment="1" pivotButton="0" quotePrefix="0" xfId="0">
      <alignment horizontal="center" vertical="center"/>
    </xf>
    <xf numFmtId="0" fontId="1" fillId="13" borderId="5" applyAlignment="1" pivotButton="0" quotePrefix="0" xfId="0">
      <alignment vertical="center"/>
    </xf>
    <xf numFmtId="0" fontId="4" fillId="13" borderId="19" applyAlignment="1" pivotButton="0" quotePrefix="0" xfId="0">
      <alignment vertical="center"/>
    </xf>
    <xf numFmtId="0" fontId="10" fillId="13" borderId="20" applyAlignment="1" pivotButton="0" quotePrefix="0" xfId="0">
      <alignment horizontal="center" vertical="center" wrapText="1"/>
    </xf>
    <xf numFmtId="0" fontId="10" fillId="13" borderId="21" applyAlignment="1" pivotButton="0" quotePrefix="0" xfId="0">
      <alignment horizontal="center" vertical="center" wrapText="1"/>
    </xf>
    <xf numFmtId="0" fontId="4" fillId="14" borderId="19" applyAlignment="1" pivotButton="0" quotePrefix="0" xfId="0">
      <alignment horizontal="center" vertical="center"/>
    </xf>
    <xf numFmtId="0" fontId="1" fillId="14" borderId="5" applyAlignment="1" pivotButton="0" quotePrefix="0" xfId="0">
      <alignment vertical="center"/>
    </xf>
    <xf numFmtId="0" fontId="4" fillId="14" borderId="19" applyAlignment="1" pivotButton="0" quotePrefix="0" xfId="0">
      <alignment vertical="center"/>
    </xf>
    <xf numFmtId="0" fontId="10" fillId="14" borderId="20" applyAlignment="1" pivotButton="0" quotePrefix="0" xfId="0">
      <alignment horizontal="center" vertical="center" wrapText="1"/>
    </xf>
    <xf numFmtId="0" fontId="10" fillId="14" borderId="21" applyAlignment="1" pivotButton="0" quotePrefix="0" xfId="0">
      <alignment horizontal="center" vertical="center" wrapText="1"/>
    </xf>
    <xf numFmtId="0" fontId="1" fillId="14" borderId="3" applyAlignment="1" pivotButton="0" quotePrefix="0" xfId="0">
      <alignment vertical="center"/>
    </xf>
    <xf numFmtId="166" fontId="12" fillId="3" borderId="1" applyAlignment="1" pivotButton="0" quotePrefix="0" xfId="8">
      <alignment horizontal="center"/>
    </xf>
    <xf numFmtId="166" fontId="12" fillId="3" borderId="2" applyAlignment="1" pivotButton="0" quotePrefix="0" xfId="8">
      <alignment horizontal="center"/>
    </xf>
    <xf numFmtId="0" fontId="1" fillId="14" borderId="6" applyAlignment="1" pivotButton="0" quotePrefix="0" xfId="0">
      <alignment vertical="center"/>
    </xf>
    <xf numFmtId="0" fontId="1" fillId="13" borderId="3" applyAlignment="1" pivotButton="0" quotePrefix="0" xfId="0">
      <alignment vertical="center"/>
    </xf>
    <xf numFmtId="0" fontId="1" fillId="13" borderId="6" applyAlignment="1" pivotButton="0" quotePrefix="0" xfId="0">
      <alignment vertical="center"/>
    </xf>
    <xf numFmtId="165" fontId="1" fillId="12" borderId="3" applyAlignment="1" pivotButton="0" quotePrefix="0" xfId="0">
      <alignment vertical="center"/>
    </xf>
    <xf numFmtId="0" fontId="1" fillId="12" borderId="6" applyAlignment="1" pivotButton="0" quotePrefix="0" xfId="0">
      <alignment vertical="center"/>
    </xf>
    <xf numFmtId="0" fontId="0" fillId="0" borderId="18" pivotButton="0" quotePrefix="0" xfId="0"/>
    <xf numFmtId="0" fontId="0" fillId="0" borderId="10" pivotButton="0" quotePrefix="0" xfId="0"/>
    <xf numFmtId="0" fontId="0" fillId="0" borderId="17" pivotButton="0" quotePrefix="0" xfId="0"/>
    <xf numFmtId="0" fontId="0" fillId="0" borderId="15" pivotButton="0" quotePrefix="0" xfId="0"/>
    <xf numFmtId="0" fontId="0" fillId="0" borderId="23" pivotButton="0" quotePrefix="0" xfId="0"/>
    <xf numFmtId="0" fontId="0" fillId="0" borderId="22" pivotButton="0" quotePrefix="0" xfId="0"/>
    <xf numFmtId="0" fontId="0" fillId="0" borderId="16" pivotButton="0" quotePrefix="0" xfId="0"/>
    <xf numFmtId="0" fontId="0" fillId="0" borderId="14" pivotButton="0" quotePrefix="0" xfId="0"/>
    <xf numFmtId="2" fontId="0" fillId="0" borderId="18" pivotButton="0" quotePrefix="0" xfId="0"/>
    <xf numFmtId="2" fontId="0" fillId="0" borderId="10" pivotButton="0" quotePrefix="0" xfId="0"/>
    <xf numFmtId="2" fontId="0" fillId="0" borderId="17" pivotButton="0" quotePrefix="0" xfId="0"/>
    <xf numFmtId="2" fontId="0" fillId="0" borderId="23" pivotButton="0" quotePrefix="0" xfId="0"/>
    <xf numFmtId="2" fontId="0" fillId="0" borderId="16" pivotButton="0" quotePrefix="0" xfId="0"/>
    <xf numFmtId="3" fontId="0" fillId="0" borderId="10" pivotButton="0" quotePrefix="0" xfId="0"/>
    <xf numFmtId="3" fontId="0" fillId="0" borderId="18" pivotButton="0" quotePrefix="0" xfId="0"/>
    <xf numFmtId="3" fontId="0" fillId="0" borderId="17" pivotButton="0" quotePrefix="0" xfId="0"/>
    <xf numFmtId="3" fontId="0" fillId="0" borderId="23" pivotButton="0" quotePrefix="0" xfId="0"/>
    <xf numFmtId="3" fontId="0" fillId="0" borderId="16" pivotButton="0" quotePrefix="0" xfId="0"/>
    <xf numFmtId="3" fontId="0" fillId="0" borderId="0" pivotButton="0" quotePrefix="0" xfId="0"/>
    <xf numFmtId="167" fontId="0" fillId="0" borderId="18" pivotButton="0" quotePrefix="0" xfId="0"/>
    <xf numFmtId="167" fontId="0" fillId="0" borderId="1" pivotButton="0" quotePrefix="0" xfId="0"/>
    <xf numFmtId="167" fontId="0" fillId="0" borderId="12" pivotButton="0" quotePrefix="0" xfId="0"/>
    <xf numFmtId="167" fontId="0" fillId="0" borderId="10" pivotButton="0" quotePrefix="0" xfId="0"/>
    <xf numFmtId="167" fontId="0" fillId="0" borderId="0" pivotButton="0" quotePrefix="0" xfId="0"/>
    <xf numFmtId="167" fontId="0" fillId="0" borderId="11" pivotButton="0" quotePrefix="0" xfId="0"/>
    <xf numFmtId="167" fontId="0" fillId="0" borderId="17" pivotButton="0" quotePrefix="0" xfId="0"/>
    <xf numFmtId="167" fontId="0" fillId="0" borderId="13" pivotButton="0" quotePrefix="0" xfId="0"/>
    <xf numFmtId="167" fontId="0" fillId="0" borderId="15" pivotButton="0" quotePrefix="0" xfId="0"/>
    <xf numFmtId="167" fontId="0" fillId="0" borderId="23" pivotButton="0" quotePrefix="0" xfId="0"/>
    <xf numFmtId="167" fontId="0" fillId="0" borderId="9" pivotButton="0" quotePrefix="0" xfId="0"/>
    <xf numFmtId="167" fontId="0" fillId="0" borderId="22" pivotButton="0" quotePrefix="0" xfId="0"/>
    <xf numFmtId="167" fontId="0" fillId="0" borderId="16" pivotButton="0" quotePrefix="0" xfId="0"/>
    <xf numFmtId="167" fontId="0" fillId="0" borderId="7" pivotButton="0" quotePrefix="0" xfId="0"/>
    <xf numFmtId="167" fontId="0" fillId="0" borderId="14" pivotButton="0" quotePrefix="0" xfId="0"/>
    <xf numFmtId="0" fontId="1" fillId="3" borderId="0" pivotButton="0" quotePrefix="1" xfId="0"/>
    <xf numFmtId="0" fontId="1" fillId="3" borderId="0" pivotButton="0" quotePrefix="0" xfId="0"/>
    <xf numFmtId="14" fontId="1" fillId="3" borderId="0" applyAlignment="1" pivotButton="0" quotePrefix="1" xfId="0">
      <alignment horizontal="left"/>
    </xf>
    <xf numFmtId="3" fontId="0" fillId="7" borderId="18" applyAlignment="1" pivotButton="0" quotePrefix="0" xfId="0">
      <alignment horizontal="center"/>
    </xf>
    <xf numFmtId="3" fontId="0" fillId="7" borderId="10" applyAlignment="1" pivotButton="0" quotePrefix="0" xfId="0">
      <alignment horizontal="center"/>
    </xf>
    <xf numFmtId="3" fontId="0" fillId="7" borderId="17" applyAlignment="1" pivotButton="0" quotePrefix="0" xfId="0">
      <alignment horizontal="center"/>
    </xf>
    <xf numFmtId="3" fontId="0" fillId="8" borderId="18" applyAlignment="1" pivotButton="0" quotePrefix="0" xfId="0">
      <alignment horizontal="center"/>
    </xf>
    <xf numFmtId="3" fontId="0" fillId="8" borderId="10" applyAlignment="1" pivotButton="0" quotePrefix="0" xfId="0">
      <alignment horizontal="center"/>
    </xf>
    <xf numFmtId="3" fontId="0" fillId="8" borderId="17" applyAlignment="1" pivotButton="0" quotePrefix="0" xfId="0">
      <alignment horizontal="center"/>
    </xf>
    <xf numFmtId="2" fontId="0" fillId="7" borderId="1" applyAlignment="1" pivotButton="0" quotePrefix="0" xfId="0">
      <alignment horizontal="center"/>
    </xf>
    <xf numFmtId="2" fontId="0" fillId="7" borderId="12" applyAlignment="1" pivotButton="0" quotePrefix="0" xfId="0">
      <alignment horizontal="center"/>
    </xf>
    <xf numFmtId="2" fontId="0" fillId="7" borderId="11" applyAlignment="1" pivotButton="0" quotePrefix="0" xfId="0">
      <alignment horizontal="center"/>
    </xf>
    <xf numFmtId="2" fontId="0" fillId="7" borderId="13" applyAlignment="1" pivotButton="0" quotePrefix="0" xfId="0">
      <alignment horizontal="center"/>
    </xf>
    <xf numFmtId="2" fontId="0" fillId="7" borderId="15" applyAlignment="1" pivotButton="0" quotePrefix="0" xfId="0">
      <alignment horizontal="center"/>
    </xf>
    <xf numFmtId="2" fontId="0" fillId="8" borderId="1" applyAlignment="1" pivotButton="0" quotePrefix="0" xfId="0">
      <alignment horizontal="center"/>
    </xf>
    <xf numFmtId="2" fontId="0" fillId="8" borderId="12" applyAlignment="1" pivotButton="0" quotePrefix="0" xfId="0">
      <alignment horizontal="center"/>
    </xf>
    <xf numFmtId="2" fontId="0" fillId="8" borderId="0" applyAlignment="1" pivotButton="0" quotePrefix="0" xfId="0">
      <alignment horizontal="center"/>
    </xf>
    <xf numFmtId="2" fontId="0" fillId="8" borderId="11" applyAlignment="1" pivotButton="0" quotePrefix="0" xfId="0">
      <alignment horizontal="center"/>
    </xf>
    <xf numFmtId="2" fontId="0" fillId="8" borderId="13" applyAlignment="1" pivotButton="0" quotePrefix="0" xfId="0">
      <alignment horizontal="center"/>
    </xf>
    <xf numFmtId="2" fontId="0" fillId="8" borderId="15" applyAlignment="1" pivotButton="0" quotePrefix="0" xfId="0">
      <alignment horizontal="center"/>
    </xf>
    <xf numFmtId="3" fontId="2" fillId="4" borderId="1" applyAlignment="1" pivotButton="0" quotePrefix="0" xfId="0">
      <alignment horizontal="center" vertical="center"/>
    </xf>
    <xf numFmtId="3" fontId="2" fillId="4" borderId="0" applyAlignment="1" pivotButton="0" quotePrefix="0" xfId="0">
      <alignment horizontal="center" vertical="center"/>
    </xf>
    <xf numFmtId="3" fontId="2" fillId="4" borderId="13" applyAlignment="1" pivotButton="0" quotePrefix="0" xfId="0">
      <alignment horizontal="center" vertical="center"/>
    </xf>
    <xf numFmtId="3" fontId="2" fillId="11" borderId="0" applyAlignment="1" pivotButton="0" quotePrefix="0" xfId="0">
      <alignment horizontal="center" vertical="center"/>
    </xf>
    <xf numFmtId="3" fontId="2" fillId="11" borderId="13" applyAlignment="1" pivotButton="0" quotePrefix="0" xfId="0">
      <alignment horizontal="center" vertical="center"/>
    </xf>
    <xf numFmtId="3" fontId="2" fillId="4" borderId="7" applyAlignment="1" pivotButton="0" quotePrefix="0" xfId="0">
      <alignment horizontal="center" vertical="center"/>
    </xf>
    <xf numFmtId="3" fontId="2" fillId="11" borderId="7" applyAlignment="1" pivotButton="0" quotePrefix="0" xfId="0">
      <alignment horizontal="center" vertical="center"/>
    </xf>
    <xf numFmtId="3" fontId="2" fillId="0" borderId="0" pivotButton="0" quotePrefix="0" xfId="0"/>
    <xf numFmtId="0" fontId="6" fillId="4" borderId="0" pivotButton="0" quotePrefix="0" xfId="0"/>
    <xf numFmtId="14" fontId="4" fillId="2" borderId="0" pivotButton="0" quotePrefix="1" xfId="0"/>
    <xf numFmtId="0" fontId="2" fillId="0" borderId="0" pivotButton="0" quotePrefix="0" xfId="0"/>
    <xf numFmtId="14" fontId="2" fillId="0" borderId="0" pivotButton="0" quotePrefix="0" xfId="0"/>
    <xf numFmtId="1" fontId="0" fillId="0" borderId="0" pivotButton="0" quotePrefix="0" xfId="0"/>
    <xf numFmtId="2" fontId="0" fillId="7" borderId="0" applyAlignment="1" pivotButton="0" quotePrefix="0" xfId="0">
      <alignment horizontal="center"/>
    </xf>
    <xf numFmtId="0" fontId="14" fillId="5" borderId="16" applyAlignment="1" pivotButton="0" quotePrefix="0" xfId="0">
      <alignment horizontal="center"/>
    </xf>
    <xf numFmtId="0" fontId="14" fillId="6" borderId="16" applyAlignment="1" pivotButton="0" quotePrefix="0" xfId="0">
      <alignment horizontal="center"/>
    </xf>
    <xf numFmtId="3" fontId="2" fillId="4" borderId="23" applyAlignment="1" pivotButton="0" quotePrefix="0" xfId="0">
      <alignment horizontal="center" vertical="center"/>
    </xf>
    <xf numFmtId="3" fontId="2" fillId="4" borderId="10" applyAlignment="1" pivotButton="0" quotePrefix="0" xfId="0">
      <alignment horizontal="center" vertical="center"/>
    </xf>
    <xf numFmtId="3" fontId="2" fillId="4" borderId="17" applyAlignment="1" pivotButton="0" quotePrefix="0" xfId="0">
      <alignment horizontal="center" vertical="center"/>
    </xf>
    <xf numFmtId="0" fontId="1" fillId="3" borderId="0" applyAlignment="1" pivotButton="0" quotePrefix="0" xfId="0">
      <alignment horizontal="center" vertical="center" textRotation="90"/>
    </xf>
    <xf numFmtId="0" fontId="6" fillId="3" borderId="7" applyAlignment="1" pivotButton="0" quotePrefix="0" xfId="0">
      <alignment horizontal="center"/>
    </xf>
    <xf numFmtId="14" fontId="4" fillId="2" borderId="0" applyAlignment="1" pivotButton="0" quotePrefix="1" xfId="0">
      <alignment horizontal="left"/>
    </xf>
    <xf numFmtId="14" fontId="14" fillId="5" borderId="10" applyAlignment="1" pivotButton="0" quotePrefix="0" xfId="0">
      <alignment horizontal="center"/>
    </xf>
    <xf numFmtId="0" fontId="14" fillId="5" borderId="0" applyAlignment="1" pivotButton="0" quotePrefix="0" xfId="0">
      <alignment horizontal="center"/>
    </xf>
    <xf numFmtId="0" fontId="14" fillId="5" borderId="11" applyAlignment="1" pivotButton="0" quotePrefix="0" xfId="0">
      <alignment horizontal="center"/>
    </xf>
    <xf numFmtId="14" fontId="14" fillId="6" borderId="10" applyAlignment="1" pivotButton="0" quotePrefix="0" xfId="0">
      <alignment horizontal="center"/>
    </xf>
    <xf numFmtId="0" fontId="14" fillId="6" borderId="0" applyAlignment="1" pivotButton="0" quotePrefix="0" xfId="0">
      <alignment horizontal="center"/>
    </xf>
    <xf numFmtId="0" fontId="14" fillId="6" borderId="11" applyAlignment="1" pivotButton="0" quotePrefix="0" xfId="0">
      <alignment horizontal="center"/>
    </xf>
    <xf numFmtId="0" fontId="14" fillId="9" borderId="0" applyAlignment="1" pivotButton="0" quotePrefix="0" xfId="0">
      <alignment horizontal="center"/>
    </xf>
    <xf numFmtId="1" fontId="6" fillId="0" borderId="0" applyAlignment="1" pivotButton="0" quotePrefix="0" xfId="0">
      <alignment horizontal="center"/>
    </xf>
    <xf numFmtId="1" fontId="6" fillId="0" borderId="11" applyAlignment="1" pivotButton="0" quotePrefix="0" xfId="0">
      <alignment horizontal="center"/>
    </xf>
    <xf numFmtId="0" fontId="6" fillId="4" borderId="9" applyAlignment="1" pivotButton="0" quotePrefix="0" xfId="0">
      <alignment horizontal="center" vertical="center"/>
    </xf>
    <xf numFmtId="0" fontId="6" fillId="4" borderId="0" applyAlignment="1" pivotButton="0" quotePrefix="0" xfId="0">
      <alignment horizontal="center" vertical="center"/>
    </xf>
    <xf numFmtId="0" fontId="6" fillId="4" borderId="13" applyAlignment="1" pivotButton="0" quotePrefix="0" xfId="0">
      <alignment horizontal="center" vertical="center"/>
    </xf>
    <xf numFmtId="0" fontId="6" fillId="11" borderId="0" applyAlignment="1" pivotButton="0" quotePrefix="0" xfId="0">
      <alignment horizontal="center" vertical="center"/>
    </xf>
    <xf numFmtId="0" fontId="6" fillId="11" borderId="13" applyAlignment="1" pivotButton="0" quotePrefix="0" xfId="0">
      <alignment horizontal="center" vertical="center"/>
    </xf>
    <xf numFmtId="0" fontId="6" fillId="11" borderId="7" applyAlignment="1" pivotButton="0" quotePrefix="0" xfId="0">
      <alignment horizontal="center" vertical="center"/>
    </xf>
    <xf numFmtId="0" fontId="6" fillId="4" borderId="7" applyAlignment="1" pivotButton="0" quotePrefix="0" xfId="0">
      <alignment horizontal="center" vertical="center"/>
    </xf>
    <xf numFmtId="0" fontId="6" fillId="4" borderId="0" applyAlignment="1" pivotButton="0" quotePrefix="0" xfId="0">
      <alignment horizontal="center"/>
    </xf>
    <xf numFmtId="0" fontId="6" fillId="4" borderId="11" applyAlignment="1" pivotButton="0" quotePrefix="0" xfId="0">
      <alignment horizontal="center"/>
    </xf>
    <xf numFmtId="0" fontId="6" fillId="11" borderId="9" applyAlignment="1" pivotButton="0" quotePrefix="0" xfId="0">
      <alignment horizontal="center" vertical="center"/>
    </xf>
    <xf numFmtId="0" fontId="6" fillId="4" borderId="1" applyAlignment="1" pivotButton="0" quotePrefix="0" xfId="0">
      <alignment horizontal="center" vertical="center"/>
    </xf>
    <xf numFmtId="0" fontId="6" fillId="11" borderId="11" applyAlignment="1" pivotButton="0" quotePrefix="0" xfId="0">
      <alignment horizontal="center" vertical="center"/>
    </xf>
    <xf numFmtId="0" fontId="6" fillId="11" borderId="15" applyAlignment="1" pivotButton="0" quotePrefix="0" xfId="0">
      <alignment horizontal="center" vertical="center"/>
    </xf>
    <xf numFmtId="0" fontId="6" fillId="13" borderId="9" applyAlignment="1" pivotButton="0" quotePrefix="0" xfId="0">
      <alignment horizontal="center" vertical="center"/>
    </xf>
    <xf numFmtId="0" fontId="6" fillId="13" borderId="0" applyAlignment="1" pivotButton="0" quotePrefix="0" xfId="0">
      <alignment horizontal="center" vertical="center"/>
    </xf>
    <xf numFmtId="0" fontId="6" fillId="13" borderId="13" applyAlignment="1" pivotButton="0" quotePrefix="0" xfId="0">
      <alignment horizontal="center" vertical="center"/>
    </xf>
    <xf numFmtId="0" fontId="6" fillId="13" borderId="7" applyAlignment="1" pivotButton="0" quotePrefix="0" xfId="0">
      <alignment horizontal="center" vertical="center"/>
    </xf>
    <xf numFmtId="0" fontId="6" fillId="10" borderId="1" applyAlignment="1" pivotButton="0" quotePrefix="0" xfId="0">
      <alignment horizontal="center" vertical="center" wrapText="1"/>
    </xf>
    <xf numFmtId="0" fontId="6" fillId="10" borderId="0" applyAlignment="1" pivotButton="0" quotePrefix="0" xfId="0">
      <alignment horizontal="center" vertical="center" wrapText="1"/>
    </xf>
    <xf numFmtId="0" fontId="6" fillId="10" borderId="7" applyAlignment="1" pivotButton="0" quotePrefix="0" xfId="0">
      <alignment horizontal="center" vertical="center" wrapText="1"/>
    </xf>
    <xf numFmtId="0" fontId="6" fillId="12" borderId="1" applyAlignment="1" pivotButton="0" quotePrefix="0" xfId="0">
      <alignment horizontal="center" vertical="center"/>
    </xf>
    <xf numFmtId="0" fontId="6" fillId="12" borderId="0" applyAlignment="1" pivotButton="0" quotePrefix="0" xfId="0">
      <alignment horizontal="center" vertical="center"/>
    </xf>
    <xf numFmtId="0" fontId="6" fillId="12" borderId="13" applyAlignment="1" pivotButton="0" quotePrefix="0" xfId="0">
      <alignment horizontal="center" vertical="center"/>
    </xf>
    <xf numFmtId="0" fontId="6" fillId="12" borderId="9" applyAlignment="1" pivotButton="0" quotePrefix="0" xfId="0">
      <alignment horizontal="center" vertical="center"/>
    </xf>
    <xf numFmtId="0" fontId="6" fillId="12" borderId="7" applyAlignment="1" pivotButton="0" quotePrefix="0" xfId="0">
      <alignment horizontal="center" vertical="center"/>
    </xf>
    <xf numFmtId="0" fontId="6" fillId="13" borderId="1" applyAlignment="1" pivotButton="0" quotePrefix="0" xfId="0">
      <alignment horizontal="center" vertical="center"/>
    </xf>
    <xf numFmtId="0" fontId="6" fillId="10" borderId="9" applyAlignment="1" pivotButton="0" quotePrefix="0" xfId="0">
      <alignment horizontal="center" vertical="center"/>
    </xf>
    <xf numFmtId="0" fontId="6" fillId="10" borderId="0" applyAlignment="1" pivotButton="0" quotePrefix="0" xfId="0">
      <alignment horizontal="center" vertical="center"/>
    </xf>
    <xf numFmtId="0" fontId="6" fillId="10" borderId="13" applyAlignment="1" pivotButton="0" quotePrefix="0" xfId="0">
      <alignment horizontal="center" vertical="center"/>
    </xf>
    <xf numFmtId="0" fontId="6" fillId="13" borderId="1" applyAlignment="1" pivotButton="0" quotePrefix="0" xfId="0">
      <alignment horizontal="center" vertical="center" wrapText="1"/>
    </xf>
    <xf numFmtId="0" fontId="6" fillId="13" borderId="0" applyAlignment="1" pivotButton="0" quotePrefix="0" xfId="0">
      <alignment horizontal="center" vertical="center" wrapText="1"/>
    </xf>
    <xf numFmtId="0" fontId="6" fillId="13" borderId="7" applyAlignment="1" pivotButton="0" quotePrefix="0" xfId="0">
      <alignment horizontal="center" vertical="center" wrapText="1"/>
    </xf>
    <xf numFmtId="0" fontId="6" fillId="10" borderId="7" applyAlignment="1" pivotButton="0" quotePrefix="0" xfId="0">
      <alignment horizontal="center" vertical="center"/>
    </xf>
    <xf numFmtId="0" fontId="6" fillId="12" borderId="1" applyAlignment="1" pivotButton="0" quotePrefix="0" xfId="0">
      <alignment horizontal="center" vertical="center" wrapText="1"/>
    </xf>
    <xf numFmtId="0" fontId="6" fillId="12" borderId="0" applyAlignment="1" pivotButton="0" quotePrefix="0" xfId="0">
      <alignment horizontal="center" vertical="center" wrapText="1"/>
    </xf>
    <xf numFmtId="0" fontId="6" fillId="12" borderId="13" applyAlignment="1" pivotButton="0" quotePrefix="0" xfId="0">
      <alignment horizontal="center" vertical="center" wrapText="1"/>
    </xf>
    <xf numFmtId="0" fontId="6" fillId="12" borderId="7" applyAlignment="1" pivotButton="0" quotePrefix="0" xfId="0">
      <alignment horizontal="center" vertical="center" wrapText="1"/>
    </xf>
    <xf numFmtId="0" fontId="6" fillId="4" borderId="11" applyAlignment="1" pivotButton="0" quotePrefix="0" xfId="0">
      <alignment horizontal="center" vertical="center"/>
    </xf>
    <xf numFmtId="0" fontId="6" fillId="4" borderId="15" applyAlignment="1" pivotButton="0" quotePrefix="0" xfId="0">
      <alignment horizontal="center" vertical="center"/>
    </xf>
    <xf numFmtId="0" fontId="6" fillId="11" borderId="14" applyAlignment="1" pivotButton="0" quotePrefix="0" xfId="0">
      <alignment horizontal="center" vertical="center"/>
    </xf>
    <xf numFmtId="0" fontId="6" fillId="10" borderId="1" applyAlignment="1" pivotButton="0" quotePrefix="0" xfId="0">
      <alignment horizontal="center" vertical="center"/>
    </xf>
    <xf numFmtId="0" fontId="6" fillId="4" borderId="14" applyAlignment="1" pivotButton="0" quotePrefix="0" xfId="0">
      <alignment horizontal="center" vertical="center"/>
    </xf>
    <xf numFmtId="0" fontId="6" fillId="4" borderId="10" applyAlignment="1" pivotButton="0" quotePrefix="0" xfId="0">
      <alignment horizontal="center"/>
    </xf>
    <xf numFmtId="0" fontId="6" fillId="4" borderId="12" applyAlignment="1" pivotButton="0" quotePrefix="0" xfId="0">
      <alignment horizontal="center" vertical="center"/>
    </xf>
    <xf numFmtId="4" fontId="6" fillId="4" borderId="10" applyAlignment="1" pivotButton="0" quotePrefix="0" xfId="0">
      <alignment horizontal="center"/>
    </xf>
    <xf numFmtId="4" fontId="6" fillId="4" borderId="0" applyAlignment="1" pivotButton="0" quotePrefix="0" xfId="0">
      <alignment horizontal="center"/>
    </xf>
    <xf numFmtId="4" fontId="6" fillId="4" borderId="11" applyAlignment="1" pivotButton="0" quotePrefix="0" xfId="0">
      <alignment horizontal="center"/>
    </xf>
    <xf numFmtId="0" fontId="6" fillId="4" borderId="22" applyAlignment="1" pivotButton="0" quotePrefix="0" xfId="0">
      <alignment horizontal="center" vertical="center"/>
    </xf>
    <xf numFmtId="165" fontId="1" fillId="12" borderId="5" applyAlignment="1" pivotButton="0" quotePrefix="0" xfId="0">
      <alignment vertical="center"/>
    </xf>
    <xf numFmtId="166" fontId="12" fillId="3" borderId="0" applyAlignment="1" pivotButton="0" quotePrefix="0" xfId="8">
      <alignment horizontal="center"/>
    </xf>
    <xf numFmtId="166" fontId="12" fillId="3" borderId="4" applyAlignment="1" pivotButton="0" quotePrefix="0" xfId="8">
      <alignment horizontal="center"/>
    </xf>
    <xf numFmtId="166" fontId="6" fillId="3" borderId="20" applyAlignment="1" pivotButton="0" quotePrefix="0" xfId="8">
      <alignment horizontal="center"/>
    </xf>
    <xf numFmtId="166" fontId="6" fillId="3" borderId="21" applyAlignment="1" pivotButton="0" quotePrefix="0" xfId="8">
      <alignment horizontal="center"/>
    </xf>
    <xf numFmtId="166" fontId="12" fillId="3" borderId="1" applyAlignment="1" pivotButton="0" quotePrefix="0" xfId="8">
      <alignment horizontal="center"/>
    </xf>
    <xf numFmtId="166" fontId="12" fillId="3" borderId="2" applyAlignment="1" pivotButton="0" quotePrefix="0" xfId="8">
      <alignment horizontal="center"/>
    </xf>
    <xf numFmtId="166" fontId="12" fillId="3" borderId="7" applyAlignment="1" pivotButton="0" quotePrefix="0" xfId="8">
      <alignment horizontal="center"/>
    </xf>
    <xf numFmtId="166" fontId="12" fillId="3" borderId="8" applyAlignment="1" pivotButton="0" quotePrefix="0" xfId="8">
      <alignment horizontal="center"/>
    </xf>
    <xf numFmtId="165" fontId="7" fillId="3" borderId="0" applyAlignment="1" pivotButton="0" quotePrefix="0" xfId="0">
      <alignment horizontal="center" vertical="center"/>
    </xf>
    <xf numFmtId="165" fontId="11" fillId="3" borderId="0" applyAlignment="1" pivotButton="0" quotePrefix="0" xfId="0">
      <alignment horizontal="center" vertical="center"/>
    </xf>
    <xf numFmtId="165" fontId="1" fillId="12" borderId="3" applyAlignment="1" pivotButton="0" quotePrefix="0" xfId="0">
      <alignment vertical="center"/>
    </xf>
    <xf numFmtId="14" fontId="14" fillId="5" borderId="24" applyAlignment="1" pivotButton="0" quotePrefix="0" xfId="0">
      <alignment horizontal="center"/>
    </xf>
    <xf numFmtId="14" fontId="14" fillId="6" borderId="24" applyAlignment="1" pivotButton="0" quotePrefix="0" xfId="0">
      <alignment horizontal="center"/>
    </xf>
    <xf numFmtId="164" fontId="0" fillId="0" borderId="0" pivotButton="0" quotePrefix="0" xfId="0"/>
    <xf numFmtId="4" fontId="6" fillId="4" borderId="24" applyAlignment="1" pivotButton="0" quotePrefix="0" xfId="0">
      <alignment horizontal="center"/>
    </xf>
    <xf numFmtId="0" fontId="6" fillId="4" borderId="24" applyAlignment="1" pivotButton="0" quotePrefix="0" xfId="0">
      <alignment horizontal="center"/>
    </xf>
    <xf numFmtId="0" fontId="6" fillId="12" borderId="27" applyAlignment="1" pivotButton="0" quotePrefix="0" xfId="0">
      <alignment horizontal="center" vertical="center" wrapText="1"/>
    </xf>
    <xf numFmtId="0" fontId="6" fillId="12" borderId="27" applyAlignment="1" pivotButton="0" quotePrefix="0" xfId="0">
      <alignment horizontal="center" vertical="center"/>
    </xf>
    <xf numFmtId="0" fontId="6" fillId="4" borderId="27" applyAlignment="1" pivotButton="0" quotePrefix="0" xfId="0">
      <alignment horizontal="center" vertical="center"/>
    </xf>
    <xf numFmtId="0" fontId="6" fillId="4" borderId="28" applyAlignment="1" pivotButton="0" quotePrefix="0" xfId="0">
      <alignment horizontal="center" vertical="center"/>
    </xf>
    <xf numFmtId="167" fontId="0" fillId="0" borderId="18" pivotButton="0" quotePrefix="0" xfId="0"/>
    <xf numFmtId="167" fontId="0" fillId="0" borderId="1" pivotButton="0" quotePrefix="0" xfId="0"/>
    <xf numFmtId="167" fontId="0" fillId="0" borderId="12" pivotButton="0" quotePrefix="0" xfId="0"/>
    <xf numFmtId="167" fontId="0" fillId="0" borderId="10" pivotButton="0" quotePrefix="0" xfId="0"/>
    <xf numFmtId="167" fontId="0" fillId="0" borderId="0" pivotButton="0" quotePrefix="0" xfId="0"/>
    <xf numFmtId="167" fontId="0" fillId="0" borderId="11" pivotButton="0" quotePrefix="0" xfId="0"/>
    <xf numFmtId="167" fontId="0" fillId="0" borderId="17" pivotButton="0" quotePrefix="0" xfId="0"/>
    <xf numFmtId="167" fontId="0" fillId="0" borderId="13" pivotButton="0" quotePrefix="0" xfId="0"/>
    <xf numFmtId="167" fontId="0" fillId="0" borderId="15" pivotButton="0" quotePrefix="0" xfId="0"/>
    <xf numFmtId="0" fontId="6" fillId="12" borderId="25" applyAlignment="1" pivotButton="0" quotePrefix="0" xfId="0">
      <alignment horizontal="center" vertical="center"/>
    </xf>
    <xf numFmtId="0" fontId="6" fillId="4" borderId="25" applyAlignment="1" pivotButton="0" quotePrefix="0" xfId="0">
      <alignment horizontal="center" vertical="center"/>
    </xf>
    <xf numFmtId="167" fontId="0" fillId="0" borderId="23" pivotButton="0" quotePrefix="0" xfId="0"/>
    <xf numFmtId="167" fontId="0" fillId="0" borderId="9" pivotButton="0" quotePrefix="0" xfId="0"/>
    <xf numFmtId="167" fontId="0" fillId="0" borderId="22" pivotButton="0" quotePrefix="0" xfId="0"/>
    <xf numFmtId="0" fontId="6" fillId="11" borderId="25" applyAlignment="1" pivotButton="0" quotePrefix="0" xfId="0">
      <alignment horizontal="center" vertical="center"/>
    </xf>
    <xf numFmtId="0" fontId="6" fillId="12" borderId="29" applyAlignment="1" pivotButton="0" quotePrefix="0" xfId="0">
      <alignment horizontal="center" vertical="center"/>
    </xf>
    <xf numFmtId="0" fontId="6" fillId="4" borderId="29" applyAlignment="1" pivotButton="0" quotePrefix="0" xfId="0">
      <alignment horizontal="center" vertical="center"/>
    </xf>
    <xf numFmtId="167" fontId="0" fillId="0" borderId="16" pivotButton="0" quotePrefix="0" xfId="0"/>
    <xf numFmtId="167" fontId="0" fillId="0" borderId="7" pivotButton="0" quotePrefix="0" xfId="0"/>
    <xf numFmtId="167" fontId="0" fillId="0" borderId="14" pivotButton="0" quotePrefix="0" xfId="0"/>
    <xf numFmtId="0" fontId="6" fillId="13" borderId="20" applyAlignment="1" pivotButton="0" quotePrefix="0" xfId="0">
      <alignment horizontal="center" vertical="center" wrapText="1"/>
    </xf>
    <xf numFmtId="0" fontId="6" fillId="13" borderId="27" applyAlignment="1" pivotButton="0" quotePrefix="0" xfId="0">
      <alignment horizontal="center" vertical="center"/>
    </xf>
    <xf numFmtId="0" fontId="6" fillId="13" borderId="25" applyAlignment="1" pivotButton="0" quotePrefix="0" xfId="0">
      <alignment horizontal="center" vertical="center"/>
    </xf>
    <xf numFmtId="0" fontId="6" fillId="13" borderId="29" applyAlignment="1" pivotButton="0" quotePrefix="0" xfId="0">
      <alignment horizontal="center" vertical="center"/>
    </xf>
    <xf numFmtId="0" fontId="6" fillId="11" borderId="29" applyAlignment="1" pivotButton="0" quotePrefix="0" xfId="0">
      <alignment horizontal="center" vertical="center"/>
    </xf>
    <xf numFmtId="0" fontId="6" fillId="10" borderId="20" applyAlignment="1" pivotButton="0" quotePrefix="0" xfId="0">
      <alignment horizontal="center" vertical="center" wrapText="1"/>
    </xf>
    <xf numFmtId="0" fontId="6" fillId="10" borderId="27" applyAlignment="1" pivotButton="0" quotePrefix="0" xfId="0">
      <alignment horizontal="center" vertical="center"/>
    </xf>
    <xf numFmtId="0" fontId="6" fillId="10" borderId="25" applyAlignment="1" pivotButton="0" quotePrefix="0" xfId="0">
      <alignment horizontal="center" vertical="center"/>
    </xf>
    <xf numFmtId="0" fontId="6" fillId="4" borderId="26" applyAlignment="1" pivotButton="0" quotePrefix="0" xfId="0">
      <alignment horizontal="center" vertical="center"/>
    </xf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76"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3" tint="0.5999633777886288"/>
        </patternFill>
      </fill>
    </dxf>
    <dxf>
      <fill>
        <patternFill>
          <bgColor theme="3" tint="0.7999816888943144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3" tint="0.5999633777886288"/>
        </patternFill>
      </fill>
    </dxf>
    <dxf>
      <fill>
        <patternFill>
          <bgColor theme="3" tint="0.7999816888943144"/>
        </patternFill>
      </fill>
    </dxf>
    <dxf>
      <fill>
        <patternFill patternType="lightUp">
          <bgColor theme="0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 patternType="solid">
          <fgColor theme="0" tint="-0.1499374370555742"/>
          <bgColor theme="0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strRef>
          <f>Graphs!$B$2</f>
          <strCache>
            <ptCount val="1"/>
            <pt idx="0">
              <v>NF: bartender_semitracked</v>
            </pt>
          </strCache>
        </strRef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Graphs!$E$1</f>
              <strCache>
                <ptCount val="1"/>
                <pt idx="0">
                  <v>anchor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Graphs!$E$3:$E$8</f>
              <numCache>
                <formatCode>#,##0</formatCode>
                <ptCount val="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</numCache>
            </numRef>
          </xVal>
          <yVal>
            <numRef>
              <f>Graphs!$F$3:$F$8</f>
              <numCache>
                <formatCode>0.00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Graphs!$I$1</f>
              <strCache>
                <ptCount val="1"/>
                <pt idx="0">
                  <v>proposal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Graphs!$I$3:$I$8</f>
              <numCache>
                <formatCode>#,##0</formatCode>
                <ptCount val="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</numCache>
            </numRef>
          </xVal>
          <yVal>
            <numRef>
              <f>Graphs!$J$3:$J$8</f>
              <numCache>
                <formatCode>0.00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163638399"/>
        <axId val="1163634079"/>
      </scatterChart>
      <valAx>
        <axId val="1163638399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strRef>
              <f>Graphs!$E$2</f>
              <strCache>
                <ptCount val="1"/>
                <pt idx="0">
                  <v>bit rate [kbps]</v>
                </pt>
              </strCache>
            </strRef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zh-CN"/>
            </a:p>
          </txPr>
        </title>
        <numFmt formatCode="#,##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1163634079"/>
        <crosses val="autoZero"/>
        <crossBetween val="midCat"/>
      </valAx>
      <valAx>
        <axId val="116363407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RGB-PSNR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zh-CN"/>
            </a:p>
          </txPr>
        </title>
        <numFmt formatCode="0.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1163638399"/>
        <crosses val="autoZero"/>
        <crossBetween val="midCat"/>
      </valAx>
    </plotArea>
    <legend>
      <legendPos val="b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strRef>
          <f>Graphs!$B$2</f>
          <strCache>
            <ptCount val="1"/>
            <pt idx="0">
              <v>NF: bartender_semitracked</v>
            </pt>
          </strCache>
        </strRef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Graphs!$E$1</f>
              <strCache>
                <ptCount val="1"/>
                <pt idx="0">
                  <v>anchor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Graphs!$E$3:$E$8</f>
              <numCache>
                <formatCode>#,##0</formatCode>
                <ptCount val="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</numCache>
            </numRef>
          </xVal>
          <yVal>
            <numRef>
              <f>Graphs!$G$3:$G$8</f>
              <numCache>
                <formatCode>0.00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Graphs!$I$1</f>
              <strCache>
                <ptCount val="1"/>
                <pt idx="0">
                  <v>proposal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Graphs!$I$3:$I$8</f>
              <numCache>
                <formatCode>#,##0</formatCode>
                <ptCount val="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</numCache>
            </numRef>
          </xVal>
          <yVal>
            <numRef>
              <f>Graphs!$K$3:$K$8</f>
              <numCache>
                <formatCode>0.00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163638399"/>
        <axId val="1163634079"/>
      </scatterChart>
      <valAx>
        <axId val="1163638399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strRef>
              <f>Graphs!$E$2</f>
              <strCache>
                <ptCount val="1"/>
                <pt idx="0">
                  <v>bit rate [kbps]</v>
                </pt>
              </strCache>
            </strRef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zh-CN"/>
            </a:p>
          </txPr>
        </title>
        <numFmt formatCode="#,##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1163634079"/>
        <crosses val="autoZero"/>
        <crossBetween val="midCat"/>
      </valAx>
      <valAx>
        <axId val="116363407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YUV-PSNR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zh-CN"/>
            </a:p>
          </txPr>
        </title>
        <numFmt formatCode="0.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1163638399"/>
        <crosses val="autoZero"/>
        <crossBetween val="midCat"/>
      </valAx>
    </plotArea>
    <legend>
      <legendPos val="b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strRef>
          <f>Graphs!$B$2</f>
          <strCache>
            <ptCount val="1"/>
            <pt idx="0">
              <v>NF: bartender_semitracked</v>
            </pt>
          </strCache>
        </strRef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Graphs!$E$1</f>
              <strCache>
                <ptCount val="1"/>
                <pt idx="0">
                  <v>anchor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Graphs!$E$3:$E$8</f>
              <numCache>
                <formatCode>#,##0</formatCode>
                <ptCount val="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</numCache>
            </numRef>
          </xVal>
          <yVal>
            <numRef>
              <f>Graphs!$H$3:$H$8</f>
              <numCache>
                <formatCode>0.00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Graphs!$I$1</f>
              <strCache>
                <ptCount val="1"/>
                <pt idx="0">
                  <v>proposal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Graphs!$I$3:$I$8</f>
              <numCache>
                <formatCode>#,##0</formatCode>
                <ptCount val="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</numCache>
            </numRef>
          </xVal>
          <yVal>
            <numRef>
              <f>Graphs!$L$3:$L$8</f>
              <numCache>
                <formatCode>0.00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163638399"/>
        <axId val="1163634079"/>
      </scatterChart>
      <valAx>
        <axId val="1163638399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strRef>
              <f>Graphs!$E$2</f>
              <strCache>
                <ptCount val="1"/>
                <pt idx="0">
                  <v>bit rate [kbps]</v>
                </pt>
              </strCache>
            </strRef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zh-CN"/>
            </a:p>
          </txPr>
        </title>
        <numFmt formatCode="#,##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1163634079"/>
        <crosses val="autoZero"/>
        <crossBetween val="midCat"/>
      </valAx>
      <valAx>
        <axId val="1163634079"/>
        <scaling>
          <orientation val="minMax"/>
          <min val="0.700000000000000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YUV-SSIM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zh-CN"/>
            </a:p>
          </txPr>
        </title>
        <numFmt formatCode="0.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1163638399"/>
        <crosses val="autoZero"/>
        <crossBetween val="midCat"/>
      </valAx>
    </plotArea>
    <legend>
      <legendPos val="b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142877</colOff>
      <row>8</row>
      <rowOff>200024</rowOff>
    </from>
    <to>
      <col>8</col>
      <colOff>1</colOff>
      <row>27</row>
      <rowOff>5443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8</col>
      <colOff>1</colOff>
      <row>9</row>
      <rowOff>1</rowOff>
    </from>
    <to>
      <col>14</col>
      <colOff>495300</colOff>
      <row>27</row>
      <rowOff>5444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14</col>
      <colOff>495300</colOff>
      <row>8</row>
      <rowOff>200024</rowOff>
    </from>
    <to>
      <col>22</col>
      <colOff>47625</colOff>
      <row>27</row>
      <rowOff>5443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46"/>
  <sheetViews>
    <sheetView tabSelected="1" workbookViewId="0">
      <selection activeCell="G21" sqref="G21"/>
    </sheetView>
  </sheetViews>
  <sheetFormatPr baseColWidth="8" defaultColWidth="8.59765625" defaultRowHeight="14.4" outlineLevelCol="0"/>
  <cols>
    <col width="6.69921875" customWidth="1" style="4" min="1" max="1"/>
    <col width="23.8984375" customWidth="1" style="4" min="2" max="2"/>
    <col width="9.19921875" customWidth="1" style="4" min="3" max="13"/>
    <col width="8.59765625" customWidth="1" style="4" min="14" max="16384"/>
  </cols>
  <sheetData>
    <row r="1">
      <c r="A1" s="98" t="inlineStr">
        <is>
          <t>  </t>
        </is>
      </c>
      <c r="B1" s="99" t="n"/>
      <c r="C1" s="99" t="n"/>
      <c r="D1" s="98" t="inlineStr">
        <is>
          <t>               </t>
        </is>
      </c>
      <c r="E1" s="98" t="inlineStr">
        <is>
          <t>               </t>
        </is>
      </c>
      <c r="F1" s="98" t="n"/>
      <c r="G1" s="98" t="inlineStr">
        <is>
          <t>  </t>
        </is>
      </c>
      <c r="H1" s="99" t="n"/>
      <c r="I1" s="99" t="n"/>
      <c r="J1" s="99" t="n"/>
      <c r="K1" s="99" t="n"/>
      <c r="L1" s="99" t="n"/>
      <c r="M1" s="99" t="n"/>
    </row>
    <row r="2">
      <c r="A2" s="99" t="n"/>
      <c r="B2" s="2" t="n"/>
      <c r="C2" s="100" t="n"/>
      <c r="D2" s="99" t="n"/>
      <c r="E2" s="99" t="n"/>
      <c r="F2" s="99" t="n"/>
      <c r="G2" s="99" t="n"/>
      <c r="H2" s="99" t="n"/>
      <c r="I2" s="99" t="n"/>
      <c r="J2" s="99" t="n"/>
      <c r="K2" s="99" t="n"/>
      <c r="L2" s="99" t="n"/>
      <c r="M2" s="99" t="n"/>
    </row>
    <row r="3">
      <c r="A3" s="99" t="n"/>
      <c r="B3" s="2" t="inlineStr">
        <is>
          <t>Anchor</t>
        </is>
      </c>
      <c r="C3" s="139" t="inlineStr">
        <is>
          <t>anchor</t>
        </is>
      </c>
    </row>
    <row r="4">
      <c r="A4" s="99" t="n"/>
      <c r="B4" s="2" t="inlineStr">
        <is>
          <t>Proposal</t>
        </is>
      </c>
      <c r="C4" s="139" t="inlineStr">
        <is>
          <t>HP-RAHT</t>
        </is>
      </c>
    </row>
    <row r="5">
      <c r="A5" s="99" t="n"/>
      <c r="B5" s="2" t="n"/>
      <c r="C5" s="100" t="n"/>
      <c r="D5" s="99" t="n"/>
      <c r="E5" s="99" t="n"/>
      <c r="F5" s="99" t="n"/>
      <c r="G5" s="99" t="n"/>
      <c r="H5" s="99" t="n"/>
      <c r="I5" s="99" t="n"/>
      <c r="J5" s="99" t="n"/>
      <c r="K5" s="99" t="n"/>
      <c r="L5" s="99" t="n"/>
      <c r="M5" s="99" t="n"/>
    </row>
    <row r="6" hidden="1">
      <c r="A6" s="99" t="n"/>
      <c r="B6" s="1" t="n"/>
      <c r="C6" s="1" t="n"/>
      <c r="D6" s="99" t="n"/>
      <c r="E6" s="99" t="n"/>
      <c r="F6" s="99" t="n"/>
      <c r="G6" s="99" t="n"/>
      <c r="H6" s="99" t="n"/>
      <c r="I6" s="99" t="n"/>
      <c r="J6" s="99" t="n"/>
      <c r="K6" s="99" t="n"/>
      <c r="L6" s="99" t="n"/>
      <c r="M6" s="99" t="n"/>
    </row>
    <row r="7" hidden="1" ht="16.5" customFormat="1" customHeight="1" s="5" thickBot="1">
      <c r="A7" s="8" t="n"/>
      <c r="B7" s="138" t="inlineStr">
        <is>
          <t>NF: Forward facing &amp; Object-centric sequences</t>
        </is>
      </c>
      <c r="C7" s="10" t="n"/>
      <c r="D7" s="10" t="n"/>
      <c r="E7" s="10" t="n"/>
      <c r="F7" s="10" t="n"/>
      <c r="G7" s="10" t="n"/>
      <c r="H7" s="10" t="n"/>
      <c r="I7" s="10" t="n"/>
      <c r="J7" s="10" t="n"/>
      <c r="K7" s="10" t="n"/>
      <c r="L7" s="10" t="n"/>
      <c r="M7" s="10" t="n"/>
    </row>
    <row r="8" hidden="1" ht="33" customHeight="1" thickBot="1">
      <c r="A8" s="99" t="n"/>
      <c r="B8" s="40" t="inlineStr">
        <is>
          <t>Sequence</t>
        </is>
      </c>
      <c r="C8" s="43" t="inlineStr">
        <is>
          <t>BD-rate
RGB-PSNR</t>
        </is>
      </c>
      <c r="D8" s="43" t="inlineStr">
        <is>
          <t>BD-rate
YUV-PSNR</t>
        </is>
      </c>
      <c r="E8" s="43" t="inlineStr">
        <is>
          <t>BD-rate
YUV-SSIM</t>
        </is>
      </c>
      <c r="F8" s="43" t="inlineStr">
        <is>
          <t>EncT Total</t>
        </is>
      </c>
      <c r="G8" s="43" t="inlineStr">
        <is>
          <t>DecT Total</t>
        </is>
      </c>
      <c r="H8" s="43" t="inlineStr">
        <is>
          <t>EncT Geometry</t>
        </is>
      </c>
      <c r="I8" s="43" t="inlineStr">
        <is>
          <t>DecT Geometry</t>
        </is>
      </c>
      <c r="J8" s="43" t="inlineStr">
        <is>
          <t>EncT Attributes</t>
        </is>
      </c>
      <c r="K8" s="43" t="inlineStr">
        <is>
          <t>DecT Attributes</t>
        </is>
      </c>
      <c r="L8" s="43" t="inlineStr">
        <is>
          <t>MaxRSS Encoder</t>
        </is>
      </c>
      <c r="M8" s="44" t="inlineStr">
        <is>
          <t>MaxRSS Decoder</t>
        </is>
      </c>
    </row>
    <row r="9" hidden="1" ht="15.75" customHeight="1">
      <c r="A9" s="137" t="n"/>
      <c r="B9" s="197">
        <f>Anchor!C3</f>
        <v/>
      </c>
      <c r="C9" s="198">
        <f>IFERROR(bdRateExtend(Anchor!K3:K8,Anchor!T3:T8,Proposal!K3:K8,Proposal!T3:T8),"")</f>
        <v/>
      </c>
      <c r="D9" s="198">
        <f>IFERROR(bdRateExtend(Anchor!K3:K8,Anchor!U3:U8,Proposal!K3:K8,Proposal!U3:U8),"")</f>
        <v/>
      </c>
      <c r="E9" s="198">
        <f>IFERROR(bdRateExtend(Anchor!K3:K8,Anchor!V3:V8,Proposal!K3:K8,Proposal!V3:V8),"")</f>
        <v/>
      </c>
      <c r="F9" s="198">
        <f>IFERROR(GEOMEAN(Proposal!AE3:AE8)/GEOMEAN(Anchor!AE3:AE8),"")</f>
        <v/>
      </c>
      <c r="G9" s="198">
        <f>IFERROR(GEOMEAN(Proposal!AH3:AH8)/GEOMEAN(Anchor!AH3:AH8),"")</f>
        <v/>
      </c>
      <c r="H9" s="198">
        <f>IFERROR(GEOMEAN(Proposal!AF3:AF8)/GEOMEAN(Anchor!AF3:AF8),"")</f>
        <v/>
      </c>
      <c r="I9" s="198">
        <f>IFERROR(GEOMEAN(Proposal!AI3:AI8)/GEOMEAN(Anchor!AI3:AI8),"")</f>
        <v/>
      </c>
      <c r="J9" s="198">
        <f>IFERROR(GEOMEAN(Proposal!AG3:AG8)/GEOMEAN(Anchor!AG3:AG8),"")</f>
        <v/>
      </c>
      <c r="K9" s="198">
        <f>IFERROR(GEOMEAN(Proposal!AJ3:AJ8)/GEOMEAN(Anchor!AJ3:AJ8),"")</f>
        <v/>
      </c>
      <c r="L9" s="198">
        <f>IFERROR(GEOMEAN(Proposal!AK3:AK8)/GEOMEAN(Anchor!AK3:AK8),"")</f>
        <v/>
      </c>
      <c r="M9" s="199">
        <f>IFERROR(GEOMEAN(Proposal!AL3:AL8)/GEOMEAN(Anchor!AL3:AL8),"")</f>
        <v/>
      </c>
    </row>
    <row r="10" hidden="1" ht="15.75" customHeight="1">
      <c r="B10" s="42">
        <f>Anchor!C9</f>
        <v/>
      </c>
      <c r="C10" s="198">
        <f>IFERROR(bdRateExtend(Anchor!K9:K14,Anchor!T9:T14,Proposal!K9:K14,Proposal!T9:T14),"")</f>
        <v/>
      </c>
      <c r="D10" s="198">
        <f>IFERROR(bdRateExtend(Anchor!K9:K14,Anchor!U9:U14,Proposal!K9:K14,Proposal!U9:U14),"")</f>
        <v/>
      </c>
      <c r="E10" s="198">
        <f>IFERROR(bdRateExtend(Anchor!K9:K14,Anchor!V9:V14,Proposal!K9:K14,Proposal!V9:V14),"")</f>
        <v/>
      </c>
      <c r="F10" s="198">
        <f>IFERROR(GEOMEAN(Proposal!AE9:AE14)/GEOMEAN(Anchor!AE9:AE14),"")</f>
        <v/>
      </c>
      <c r="G10" s="198">
        <f>IFERROR(GEOMEAN(Proposal!AH9:AH14)/GEOMEAN(Anchor!AH9:AH14),"")</f>
        <v/>
      </c>
      <c r="H10" s="198">
        <f>IFERROR(GEOMEAN(Proposal!AF9:AF14)/GEOMEAN(Anchor!AF9:AF14),"")</f>
        <v/>
      </c>
      <c r="I10" s="198">
        <f>IFERROR(GEOMEAN(Proposal!AI9:AI14)/GEOMEAN(Anchor!AI9:AI14),"")</f>
        <v/>
      </c>
      <c r="J10" s="198">
        <f>IFERROR(GEOMEAN(Proposal!AG9:AG14)/GEOMEAN(Anchor!AG9:AG14),"")</f>
        <v/>
      </c>
      <c r="K10" s="198">
        <f>IFERROR(GEOMEAN(Proposal!AJ9:AJ14)/GEOMEAN(Anchor!AJ9:AJ14),"")</f>
        <v/>
      </c>
      <c r="L10" s="198">
        <f>IFERROR(GEOMEAN(Proposal!AK9:AK14)/GEOMEAN(Anchor!AK9:AK14),"")</f>
        <v/>
      </c>
      <c r="M10" s="199">
        <f>IFERROR(GEOMEAN(Proposal!AL9:AL14)/GEOMEAN(Anchor!AL9:AL14),"")</f>
        <v/>
      </c>
    </row>
    <row r="11" hidden="1" ht="15.75" customHeight="1">
      <c r="B11" s="42">
        <f>Anchor!C15</f>
        <v/>
      </c>
      <c r="C11" s="198">
        <f>IFERROR(bdRateExtend(Anchor!K15:K20,Anchor!T15:T20,Proposal!K15:K20,Proposal!T15:T20),"")</f>
        <v/>
      </c>
      <c r="D11" s="198">
        <f>IFERROR(bdRateExtend(Anchor!K15:K20,Anchor!U15:U20,Proposal!K15:K20,Proposal!U15:U20),"")</f>
        <v/>
      </c>
      <c r="E11" s="198">
        <f>IFERROR(bdRateExtend(Anchor!K15:K20,Anchor!V15:V20,Proposal!K15:K20,Proposal!V15:V20),"")</f>
        <v/>
      </c>
      <c r="F11" s="198">
        <f>IFERROR(GEOMEAN(Proposal!AE15:AE20)/GEOMEAN(Anchor!AE15:AE20),"")</f>
        <v/>
      </c>
      <c r="G11" s="198">
        <f>IFERROR(GEOMEAN(Proposal!AH15:AH20)/GEOMEAN(Anchor!AH15:AH20),"")</f>
        <v/>
      </c>
      <c r="H11" s="198">
        <f>IFERROR(GEOMEAN(Proposal!AF15:AF20)/GEOMEAN(Anchor!AF15:AF20),"")</f>
        <v/>
      </c>
      <c r="I11" s="198">
        <f>IFERROR(GEOMEAN(Proposal!AI15:AI20)/GEOMEAN(Anchor!AI15:AI20),"")</f>
        <v/>
      </c>
      <c r="J11" s="198">
        <f>IFERROR(GEOMEAN(Proposal!AG15:AG20)/GEOMEAN(Anchor!AG15:AG20),"")</f>
        <v/>
      </c>
      <c r="K11" s="198">
        <f>IFERROR(GEOMEAN(Proposal!AJ15:AJ20)/GEOMEAN(Anchor!AJ15:AJ20),"")</f>
        <v/>
      </c>
      <c r="L11" s="198">
        <f>IFERROR(GEOMEAN(Proposal!AK15:AK20)/GEOMEAN(Anchor!AK15:AK20),"")</f>
        <v/>
      </c>
      <c r="M11" s="199">
        <f>IFERROR(GEOMEAN(Proposal!AL15:AL20)/GEOMEAN(Anchor!AL15:AL20),"")</f>
        <v/>
      </c>
    </row>
    <row r="12" hidden="1" ht="15.75" customHeight="1">
      <c r="B12" s="42">
        <f>Anchor!C21</f>
        <v/>
      </c>
      <c r="C12" s="198">
        <f>IFERROR(bdRateExtend(Anchor!K21:K26,Anchor!T21:T26,Proposal!K21:K26,Proposal!T21:T26),"")</f>
        <v/>
      </c>
      <c r="D12" s="198">
        <f>IFERROR(bdRateExtend(Anchor!K21:K26,Anchor!U21:U26,Proposal!K21:K26,Proposal!U21:U26),"")</f>
        <v/>
      </c>
      <c r="E12" s="198">
        <f>IFERROR(bdRateExtend(Anchor!K21:K26,Anchor!V21:V26,Proposal!K21:K26,Proposal!V21:V26),"")</f>
        <v/>
      </c>
      <c r="F12" s="198">
        <f>IFERROR(GEOMEAN(Proposal!AE21:AE26)/GEOMEAN(Anchor!AE21:AE26),"")</f>
        <v/>
      </c>
      <c r="G12" s="198">
        <f>IFERROR(GEOMEAN(Proposal!AH21:AH26)/GEOMEAN(Anchor!AH21:AH26),"")</f>
        <v/>
      </c>
      <c r="H12" s="198">
        <f>IFERROR(GEOMEAN(Proposal!AF21:AF26)/GEOMEAN(Anchor!AF21:AF26),"")</f>
        <v/>
      </c>
      <c r="I12" s="198">
        <f>IFERROR(GEOMEAN(Proposal!AI21:AI26)/GEOMEAN(Anchor!AI21:AI26),"")</f>
        <v/>
      </c>
      <c r="J12" s="198">
        <f>IFERROR(GEOMEAN(Proposal!AG21:AG26)/GEOMEAN(Anchor!AG21:AG26),"")</f>
        <v/>
      </c>
      <c r="K12" s="198">
        <f>IFERROR(GEOMEAN(Proposal!AJ21:AJ26)/GEOMEAN(Anchor!AJ21:AJ26),"")</f>
        <v/>
      </c>
      <c r="L12" s="198">
        <f>IFERROR(GEOMEAN(Proposal!AK21:AK26)/GEOMEAN(Anchor!AK21:AK26),"")</f>
        <v/>
      </c>
      <c r="M12" s="199">
        <f>IFERROR(GEOMEAN(Proposal!AL21:AL26)/GEOMEAN(Anchor!AL21:AL26),"")</f>
        <v/>
      </c>
    </row>
    <row r="13" hidden="1" ht="15.75" customHeight="1">
      <c r="B13" s="42">
        <f>Anchor!C27</f>
        <v/>
      </c>
      <c r="C13" s="198">
        <f>IFERROR(bdRateExtend(Anchor!K27:K32,Anchor!T27:T32,Proposal!K27:K32,Proposal!T27:T32),"")</f>
        <v/>
      </c>
      <c r="D13" s="198">
        <f>IFERROR(bdRateExtend(Anchor!K27:K32,Anchor!U27:U32,Proposal!K27:K32,Proposal!U27:U32),"")</f>
        <v/>
      </c>
      <c r="E13" s="198">
        <f>IFERROR(bdRateExtend(Anchor!K27:K32,Anchor!V27:V32,Proposal!K27:K32,Proposal!V27:V32),"")</f>
        <v/>
      </c>
      <c r="F13" s="198">
        <f>IFERROR(GEOMEAN(Proposal!AE27:AE32)/GEOMEAN(Anchor!AE27:AE32),"")</f>
        <v/>
      </c>
      <c r="G13" s="198">
        <f>IFERROR(GEOMEAN(Proposal!AH27:AH32)/GEOMEAN(Anchor!AH27:AH32),"")</f>
        <v/>
      </c>
      <c r="H13" s="198">
        <f>IFERROR(GEOMEAN(Proposal!AF27:AF32)/GEOMEAN(Anchor!AF27:AF32),"")</f>
        <v/>
      </c>
      <c r="I13" s="198">
        <f>IFERROR(GEOMEAN(Proposal!AI27:AI32)/GEOMEAN(Anchor!AI27:AI32),"")</f>
        <v/>
      </c>
      <c r="J13" s="198">
        <f>IFERROR(GEOMEAN(Proposal!AG27:AG32)/GEOMEAN(Anchor!AG27:AG32),"")</f>
        <v/>
      </c>
      <c r="K13" s="198">
        <f>IFERROR(GEOMEAN(Proposal!AJ27:AJ32)/GEOMEAN(Anchor!AJ27:AJ32),"")</f>
        <v/>
      </c>
      <c r="L13" s="198">
        <f>IFERROR(GEOMEAN(Proposal!AK27:AK32)/GEOMEAN(Anchor!AK27:AK32),"")</f>
        <v/>
      </c>
      <c r="M13" s="199">
        <f>IFERROR(GEOMEAN(Proposal!AL27:AL32)/GEOMEAN(Anchor!AL27:AL32),"")</f>
        <v/>
      </c>
    </row>
    <row r="14" hidden="1" ht="15.75" customHeight="1" thickBot="1">
      <c r="B14" s="42">
        <f>Anchor!C51</f>
        <v/>
      </c>
      <c r="C14" s="198">
        <f>IFERROR(bdRateExtend(Anchor!K51:K56,Anchor!T51:T56,Proposal!K51:K56,Proposal!T51:T56),"")</f>
        <v/>
      </c>
      <c r="D14" s="198">
        <f>IFERROR(bdRateExtend(Anchor!K51:K56,Anchor!U51:U56,Proposal!K51:K56,Proposal!U51:U56),"")</f>
        <v/>
      </c>
      <c r="E14" s="198">
        <f>IFERROR(bdRateExtend(Anchor!K51:K56,Anchor!V51:V56,Proposal!K51:K56,Proposal!V51:V56),"")</f>
        <v/>
      </c>
      <c r="F14" s="198">
        <f>IFERROR(GEOMEAN(Proposal!AE51:AE56)/GEOMEAN(Anchor!AE51:AE56),"")</f>
        <v/>
      </c>
      <c r="G14" s="198">
        <f>IFERROR(GEOMEAN(Proposal!AH51:AH56)/GEOMEAN(Anchor!AH51:AH56),"")</f>
        <v/>
      </c>
      <c r="H14" s="198">
        <f>IFERROR(GEOMEAN(Proposal!AF51:AF56)/GEOMEAN(Anchor!AF51:AF56),"")</f>
        <v/>
      </c>
      <c r="I14" s="198">
        <f>IFERROR(GEOMEAN(Proposal!AI51:AI56)/GEOMEAN(Anchor!AI51:AI56),"")</f>
        <v/>
      </c>
      <c r="J14" s="198">
        <f>IFERROR(GEOMEAN(Proposal!AG51:AG56)/GEOMEAN(Anchor!AG51:AG56),"")</f>
        <v/>
      </c>
      <c r="K14" s="198">
        <f>IFERROR(GEOMEAN(Proposal!AJ51:AJ56)/GEOMEAN(Anchor!AJ51:AJ56),"")</f>
        <v/>
      </c>
      <c r="L14" s="198">
        <f>IFERROR(GEOMEAN(Proposal!AK51:AK56)/GEOMEAN(Anchor!AK51:AK56),"")</f>
        <v/>
      </c>
      <c r="M14" s="199">
        <f>IFERROR(GEOMEAN(Proposal!AL51:AL56)/GEOMEAN(Anchor!AL51:AL56),"")</f>
        <v/>
      </c>
    </row>
    <row r="15" hidden="1" ht="15.75" customHeight="1" thickBot="1">
      <c r="B15" s="45" t="inlineStr">
        <is>
          <t>Average</t>
        </is>
      </c>
      <c r="C15" s="200">
        <f>IF(_xlfn.AGGREGATE(2,6,C9:C14)=0,"",_xlfn.AGGREGATE(1,6,C9:C14))</f>
        <v/>
      </c>
      <c r="D15" s="200">
        <f>IF(_xlfn.AGGREGATE(2,6,D9:D14)=0,"",_xlfn.AGGREGATE(1,6,D9:D14))</f>
        <v/>
      </c>
      <c r="E15" s="200">
        <f>IF(_xlfn.AGGREGATE(2,6,E9:E14)=0,"",_xlfn.AGGREGATE(1,6,E9:E14))</f>
        <v/>
      </c>
      <c r="F15" s="200">
        <f>IF(_xlfn.AGGREGATE(2,6,F9:F14)=0,"",_xlfn.AGGREGATE(1,6,F9:F14))</f>
        <v/>
      </c>
      <c r="G15" s="200">
        <f>IF(_xlfn.AGGREGATE(2,6,G9:G14)=0,"",_xlfn.AGGREGATE(1,6,G9:G14))</f>
        <v/>
      </c>
      <c r="H15" s="200">
        <f>IF(_xlfn.AGGREGATE(2,6,H9:H14)=0,"",_xlfn.AGGREGATE(1,6,H9:H14))</f>
        <v/>
      </c>
      <c r="I15" s="200">
        <f>IF(_xlfn.AGGREGATE(2,6,I9:I14)=0,"",_xlfn.AGGREGATE(1,6,I9:I14))</f>
        <v/>
      </c>
      <c r="J15" s="200">
        <f>IF(_xlfn.AGGREGATE(2,6,J9:J14)=0,"",_xlfn.AGGREGATE(1,6,J9:J14))</f>
        <v/>
      </c>
      <c r="K15" s="200">
        <f>IF(_xlfn.AGGREGATE(2,6,K9:K14)=0,"",_xlfn.AGGREGATE(1,6,K9:K14))</f>
        <v/>
      </c>
      <c r="L15" s="200">
        <f>IF(_xlfn.AGGREGATE(2,6,L9:L14)=0,"",_xlfn.AGGREGATE(1,6,L9:L14))</f>
        <v/>
      </c>
      <c r="M15" s="201">
        <f>IF(_xlfn.AGGREGATE(2,6,M9:M14)=0,"",_xlfn.AGGREGATE(1,6,M9:M14))</f>
        <v/>
      </c>
    </row>
    <row r="16" hidden="1" ht="15.75" customHeight="1">
      <c r="B16" s="31" t="n"/>
      <c r="C16" s="198" t="n"/>
      <c r="D16" s="198" t="n"/>
      <c r="E16" s="198" t="n"/>
      <c r="F16" s="198" t="n"/>
      <c r="G16" s="198" t="n"/>
      <c r="H16" s="198" t="n"/>
      <c r="I16" s="198" t="n"/>
      <c r="J16" s="198" t="n"/>
      <c r="K16" s="198" t="n"/>
      <c r="L16" s="198" t="n"/>
      <c r="M16" s="198" t="n"/>
    </row>
    <row r="17" ht="15.75" customHeight="1" thickBot="1">
      <c r="B17" s="138" t="inlineStr">
        <is>
          <t>1F: Forward facing sequences</t>
        </is>
      </c>
      <c r="C17" s="10" t="n"/>
      <c r="D17" s="10" t="n"/>
      <c r="E17" s="10" t="n"/>
      <c r="F17" s="10" t="n"/>
      <c r="G17" s="10" t="n"/>
      <c r="H17" s="10" t="n"/>
      <c r="I17" s="10" t="n"/>
      <c r="J17" s="10" t="n"/>
      <c r="K17" s="10" t="n"/>
      <c r="L17" s="10" t="n"/>
      <c r="M17" s="10" t="n"/>
    </row>
    <row r="18" ht="33" customHeight="1" thickBot="1">
      <c r="B18" s="46" t="inlineStr">
        <is>
          <t>Sequence</t>
        </is>
      </c>
      <c r="C18" s="49" t="inlineStr">
        <is>
          <t>BD-rate
RGB-PSNR</t>
        </is>
      </c>
      <c r="D18" s="49" t="inlineStr">
        <is>
          <t>BD-rate
YUV-PSNR</t>
        </is>
      </c>
      <c r="E18" s="49" t="inlineStr">
        <is>
          <t>BD-rate
YUV-SSIM</t>
        </is>
      </c>
      <c r="F18" s="49" t="inlineStr">
        <is>
          <t>EncT Total</t>
        </is>
      </c>
      <c r="G18" s="49" t="inlineStr">
        <is>
          <t>DecT Total</t>
        </is>
      </c>
      <c r="H18" s="49" t="inlineStr">
        <is>
          <t>EncT Geometry</t>
        </is>
      </c>
      <c r="I18" s="49" t="inlineStr">
        <is>
          <t>DecT Geometry</t>
        </is>
      </c>
      <c r="J18" s="49" t="inlineStr">
        <is>
          <t>EncT Attributes</t>
        </is>
      </c>
      <c r="K18" s="49" t="inlineStr">
        <is>
          <t>DecT Attributes</t>
        </is>
      </c>
      <c r="L18" s="49" t="inlineStr">
        <is>
          <t>MaxRSS Encoder</t>
        </is>
      </c>
      <c r="M18" s="50" t="inlineStr">
        <is>
          <t>MaxRSS Decoder</t>
        </is>
      </c>
    </row>
    <row r="19" ht="15.75" customHeight="1">
      <c r="B19" s="60">
        <f>Anchor!C57</f>
        <v/>
      </c>
      <c r="C19" s="202">
        <f>IFERROR(bdRateExtend(Anchor!K57:K62,Anchor!T57:T62,Proposal!K57:K62,Proposal!T57:T62),"")</f>
        <v/>
      </c>
      <c r="D19" s="202">
        <f>IFERROR(bdRateExtend(Anchor!K57:K62,Anchor!U57:U62,Proposal!K57:K62,Proposal!U57:U62),"")</f>
        <v/>
      </c>
      <c r="E19" s="202">
        <f>IFERROR(bdRateExtend(Anchor!K57:K62,Anchor!V57:V62,Proposal!K57:K62,Proposal!V57:V62),"")</f>
        <v/>
      </c>
      <c r="F19" s="202">
        <f>IFERROR(GEOMEAN(Proposal!AE57:AE62)/GEOMEAN(Anchor!AE57:AE62),"")</f>
        <v/>
      </c>
      <c r="G19" s="202">
        <f>IFERROR(GEOMEAN(Proposal!AH57:AH62)/GEOMEAN(Anchor!AH57:AH62),"")</f>
        <v/>
      </c>
      <c r="H19" s="202">
        <f>IFERROR(GEOMEAN(Proposal!AF57:AF62)/GEOMEAN(Anchor!AF57:AF62),"")</f>
        <v/>
      </c>
      <c r="I19" s="202">
        <f>IFERROR(GEOMEAN(Proposal!AI57:AI62)/GEOMEAN(Anchor!AI57:AI62),"")</f>
        <v/>
      </c>
      <c r="J19" s="202">
        <f>IFERROR(GEOMEAN(Proposal!AG57:AG62)/GEOMEAN(Anchor!AG57:AG62),"")</f>
        <v/>
      </c>
      <c r="K19" s="202">
        <f>IFERROR(GEOMEAN(Proposal!AJ57:AJ62)/GEOMEAN(Anchor!AJ57:AJ62),"")</f>
        <v/>
      </c>
      <c r="L19" s="202">
        <f>IFERROR(GEOMEAN(Proposal!AK57:AK62)/GEOMEAN(Anchor!AK57:AK62),"")</f>
        <v/>
      </c>
      <c r="M19" s="203">
        <f>IFERROR(GEOMEAN(Proposal!AL57:AL62)/GEOMEAN(Anchor!AL57:AL62),"")</f>
        <v/>
      </c>
    </row>
    <row r="20" ht="15.75" customHeight="1">
      <c r="A20" s="137" t="n"/>
      <c r="B20" s="47">
        <f>Anchor!C63</f>
        <v/>
      </c>
      <c r="C20" s="198">
        <f>IFERROR(bdRateExtend(Anchor!K63:K68,Anchor!T63:T68,Proposal!K63:K68,Proposal!T63:T68),"")</f>
        <v/>
      </c>
      <c r="D20" s="198">
        <f>IFERROR(bdRateExtend(Anchor!K63:K68,Anchor!U63:U68,Proposal!K63:K68,Proposal!U63:U68),"")</f>
        <v/>
      </c>
      <c r="E20" s="198">
        <f>IFERROR(bdRateExtend(Anchor!K63:K68,Anchor!V63:V68,Proposal!K63:K68,Proposal!V63:V68),"")</f>
        <v/>
      </c>
      <c r="F20" s="198">
        <f>IFERROR(GEOMEAN(Proposal!AE63:AE68)/GEOMEAN(Anchor!AE63:AE68),"")</f>
        <v/>
      </c>
      <c r="G20" s="198">
        <f>IFERROR(GEOMEAN(Proposal!AH63:AH68)/GEOMEAN(Anchor!AH63:AH68),"")</f>
        <v/>
      </c>
      <c r="H20" s="198">
        <f>IFERROR(GEOMEAN(Proposal!AF63:AF68)/GEOMEAN(Anchor!AF63:AF68),"")</f>
        <v/>
      </c>
      <c r="I20" s="198">
        <f>IFERROR(GEOMEAN(Proposal!AI63:AI68)/GEOMEAN(Anchor!AI63:AI68),"")</f>
        <v/>
      </c>
      <c r="J20" s="198">
        <f>IFERROR(GEOMEAN(Proposal!AG63:AG68)/GEOMEAN(Anchor!AG63:AG68),"")</f>
        <v/>
      </c>
      <c r="K20" s="198">
        <f>IFERROR(GEOMEAN(Proposal!AJ63:AJ68)/GEOMEAN(Anchor!AJ63:AJ68),"")</f>
        <v/>
      </c>
      <c r="L20" s="198">
        <f>IFERROR(GEOMEAN(Proposal!AK63:AK68)/GEOMEAN(Anchor!AK63:AK68),"")</f>
        <v/>
      </c>
      <c r="M20" s="199">
        <f>IFERROR(GEOMEAN(Proposal!AL63:AL68)/GEOMEAN(Anchor!AL63:AL68),"")</f>
        <v/>
      </c>
    </row>
    <row r="21" ht="15.75" customHeight="1">
      <c r="B21" s="47">
        <f>Anchor!C69</f>
        <v/>
      </c>
      <c r="C21" s="198">
        <f>IFERROR(bdRateExtend(Anchor!K69:K74,Anchor!T69:T74,Proposal!K69:K74,Proposal!T69:T74),"")</f>
        <v/>
      </c>
      <c r="D21" s="198">
        <f>IFERROR(bdRateExtend(Anchor!K69:K74,Anchor!U69:U74,Proposal!K69:K74,Proposal!U69:U74),"")</f>
        <v/>
      </c>
      <c r="E21" s="198">
        <f>IFERROR(bdRateExtend(Anchor!K69:K74,Anchor!V69:V74,Proposal!K69:K74,Proposal!V69:V74),"")</f>
        <v/>
      </c>
      <c r="F21" s="198">
        <f>IFERROR(GEOMEAN(Proposal!AE69:AE74)/GEOMEAN(Anchor!AE69:AE74),"")</f>
        <v/>
      </c>
      <c r="G21" s="198">
        <f>IFERROR(GEOMEAN(Proposal!AH69:AH74)/GEOMEAN(Anchor!AH69:AH74),"")</f>
        <v/>
      </c>
      <c r="H21" s="198">
        <f>IFERROR(GEOMEAN(Proposal!AF69:AF74)/GEOMEAN(Anchor!AF69:AF74),"")</f>
        <v/>
      </c>
      <c r="I21" s="198">
        <f>IFERROR(GEOMEAN(Proposal!AI69:AI74)/GEOMEAN(Anchor!AI69:AI74),"")</f>
        <v/>
      </c>
      <c r="J21" s="198">
        <f>IFERROR(GEOMEAN(Proposal!AG69:AG74)/GEOMEAN(Anchor!AG69:AG74),"")</f>
        <v/>
      </c>
      <c r="K21" s="198">
        <f>IFERROR(GEOMEAN(Proposal!AJ69:AJ74)/GEOMEAN(Anchor!AJ69:AJ74),"")</f>
        <v/>
      </c>
      <c r="L21" s="198">
        <f>IFERROR(GEOMEAN(Proposal!AK69:AK74)/GEOMEAN(Anchor!AK69:AK74),"")</f>
        <v/>
      </c>
      <c r="M21" s="199">
        <f>IFERROR(GEOMEAN(Proposal!AL69:AL74)/GEOMEAN(Anchor!AL69:AL74),"")</f>
        <v/>
      </c>
    </row>
    <row r="22" ht="15.75" customHeight="1">
      <c r="B22" s="47">
        <f>Anchor!C75</f>
        <v/>
      </c>
      <c r="C22" s="198">
        <f>IFERROR(bdRateExtend(Anchor!K75:K80,Anchor!T75:T80,Proposal!K75:K80,Proposal!T75:T80),"")</f>
        <v/>
      </c>
      <c r="D22" s="198">
        <f>IFERROR(bdRateExtend(Anchor!K75:K80,Anchor!U75:U80,Proposal!K75:K80,Proposal!U75:U80),"")</f>
        <v/>
      </c>
      <c r="E22" s="198">
        <f>IFERROR(bdRateExtend(Anchor!K75:K80,Anchor!V75:V80,Proposal!K75:K80,Proposal!V75:V80),"")</f>
        <v/>
      </c>
      <c r="F22" s="198">
        <f>IFERROR(GEOMEAN(Proposal!AE75:AE80)/GEOMEAN(Anchor!AE75:AE80),"")</f>
        <v/>
      </c>
      <c r="G22" s="198">
        <f>IFERROR(GEOMEAN(Proposal!AH75:AH80)/GEOMEAN(Anchor!AH75:AH80),"")</f>
        <v/>
      </c>
      <c r="H22" s="198">
        <f>IFERROR(GEOMEAN(Proposal!AF75:AF80)/GEOMEAN(Anchor!AF75:AF80),"")</f>
        <v/>
      </c>
      <c r="I22" s="198">
        <f>IFERROR(GEOMEAN(Proposal!AI75:AI80)/GEOMEAN(Anchor!AI75:AI80),"")</f>
        <v/>
      </c>
      <c r="J22" s="198">
        <f>IFERROR(GEOMEAN(Proposal!AG75:AG80)/GEOMEAN(Anchor!AG75:AG80),"")</f>
        <v/>
      </c>
      <c r="K22" s="198">
        <f>IFERROR(GEOMEAN(Proposal!AJ75:AJ80)/GEOMEAN(Anchor!AJ75:AJ80),"")</f>
        <v/>
      </c>
      <c r="L22" s="198">
        <f>IFERROR(GEOMEAN(Proposal!AK75:AK80)/GEOMEAN(Anchor!AK75:AK80),"")</f>
        <v/>
      </c>
      <c r="M22" s="199">
        <f>IFERROR(GEOMEAN(Proposal!AL75:AL80)/GEOMEAN(Anchor!AL75:AL80),"")</f>
        <v/>
      </c>
    </row>
    <row r="23" ht="16.2" customHeight="1" thickBot="1">
      <c r="B23" s="61">
        <f>Anchor!C81</f>
        <v/>
      </c>
      <c r="C23" s="204">
        <f>IFERROR(bdRateExtend(Anchor!K81:K86,Anchor!T81:T86,Proposal!K81:K86,Proposal!T81:T86),"")</f>
        <v/>
      </c>
      <c r="D23" s="204">
        <f>IFERROR(bdRateExtend(Anchor!K81:K86,Anchor!U81:U86,Proposal!K81:K86,Proposal!U81:U86),"")</f>
        <v/>
      </c>
      <c r="E23" s="204">
        <f>IFERROR(bdRateExtend(Anchor!K81:K86,Anchor!V81:V86,Proposal!K81:K86,Proposal!V81:V86),"")</f>
        <v/>
      </c>
      <c r="F23" s="204">
        <f>IFERROR(GEOMEAN(Proposal!AE81:AE86)/GEOMEAN(Anchor!AE81:AE86),"")</f>
        <v/>
      </c>
      <c r="G23" s="204">
        <f>IFERROR(GEOMEAN(Proposal!AH81:AH86)/GEOMEAN(Anchor!AH81:AH86),"")</f>
        <v/>
      </c>
      <c r="H23" s="204">
        <f>IFERROR(GEOMEAN(Proposal!AF81:AF86)/GEOMEAN(Anchor!AF81:AF86),"")</f>
        <v/>
      </c>
      <c r="I23" s="204">
        <f>IFERROR(GEOMEAN(Proposal!AI81:AI86)/GEOMEAN(Anchor!AI81:AI86),"")</f>
        <v/>
      </c>
      <c r="J23" s="204">
        <f>IFERROR(GEOMEAN(Proposal!AG81:AG86)/GEOMEAN(Anchor!AG81:AG86),"")</f>
        <v/>
      </c>
      <c r="K23" s="204">
        <f>IFERROR(GEOMEAN(Proposal!AJ81:AJ86)/GEOMEAN(Anchor!AJ81:AJ86),"")</f>
        <v/>
      </c>
      <c r="L23" s="204">
        <f>IFERROR(GEOMEAN(Proposal!AK81:AK86)/GEOMEAN(Anchor!AK81:AK86),"")</f>
        <v/>
      </c>
      <c r="M23" s="205">
        <f>IFERROR(GEOMEAN(Proposal!AL81:AL86)/GEOMEAN(Anchor!AL81:AL86),"")</f>
        <v/>
      </c>
    </row>
    <row r="24" ht="16.2" customHeight="1" thickBot="1">
      <c r="A24" s="137" t="n"/>
      <c r="B24" s="48" t="inlineStr">
        <is>
          <t>Average</t>
        </is>
      </c>
      <c r="C24" s="200">
        <f>IF(_xlfn.AGGREGATE(2,6,C19:C23)=0,"",_xlfn.AGGREGATE(1,6,C19:C23))</f>
        <v/>
      </c>
      <c r="D24" s="200">
        <f>IF(_xlfn.AGGREGATE(2,6,D19:D23)=0,"",_xlfn.AGGREGATE(1,6,D19:D23))</f>
        <v/>
      </c>
      <c r="E24" s="200">
        <f>IF(_xlfn.AGGREGATE(2,6,E19:E23)=0,"",_xlfn.AGGREGATE(1,6,E19:E23))</f>
        <v/>
      </c>
      <c r="F24" s="200">
        <f>IF(_xlfn.AGGREGATE(2,6,F19:F23)=0,"",_xlfn.AGGREGATE(1,6,F19:F23))</f>
        <v/>
      </c>
      <c r="G24" s="200">
        <f>IF(_xlfn.AGGREGATE(2,6,G19:G23)=0,"",_xlfn.AGGREGATE(1,6,G19:G23))</f>
        <v/>
      </c>
      <c r="H24" s="200">
        <f>IF(_xlfn.AGGREGATE(2,6,H19:H23)=0,"",_xlfn.AGGREGATE(1,6,H19:H23))</f>
        <v/>
      </c>
      <c r="I24" s="200">
        <f>IF(_xlfn.AGGREGATE(2,6,I19:I23)=0,"",_xlfn.AGGREGATE(1,6,I19:I23))</f>
        <v/>
      </c>
      <c r="J24" s="200">
        <f>IF(_xlfn.AGGREGATE(2,6,J19:J23)=0,"",_xlfn.AGGREGATE(1,6,J19:J23))</f>
        <v/>
      </c>
      <c r="K24" s="200">
        <f>IF(_xlfn.AGGREGATE(2,6,K19:K23)=0,"",_xlfn.AGGREGATE(1,6,K19:K23))</f>
        <v/>
      </c>
      <c r="L24" s="200">
        <f>IF(_xlfn.AGGREGATE(2,6,L19:L23)=0,"",_xlfn.AGGREGATE(1,6,L19:L23))</f>
        <v/>
      </c>
      <c r="M24" s="201">
        <f>IF(_xlfn.AGGREGATE(2,6,M19:M23)=0,"",_xlfn.AGGREGATE(1,6,M19:M23))</f>
        <v/>
      </c>
    </row>
    <row r="25" ht="15.6" customHeight="1">
      <c r="B25" s="31" t="n"/>
      <c r="C25" s="198" t="n"/>
      <c r="D25" s="198" t="n"/>
      <c r="E25" s="198" t="n"/>
      <c r="F25" s="198" t="n"/>
      <c r="G25" s="198" t="n"/>
      <c r="H25" s="198" t="n"/>
      <c r="I25" s="198" t="n"/>
      <c r="J25" s="198" t="n"/>
      <c r="K25" s="198" t="n"/>
      <c r="L25" s="198" t="n"/>
      <c r="M25" s="198" t="n"/>
    </row>
    <row r="26" ht="15.75" customHeight="1" thickBot="1">
      <c r="B26" s="138" t="inlineStr">
        <is>
          <t>1F: Object-centric sequences</t>
        </is>
      </c>
      <c r="C26" s="10" t="n"/>
      <c r="D26" s="10" t="n"/>
      <c r="E26" s="10" t="n"/>
      <c r="F26" s="10" t="n"/>
      <c r="G26" s="10" t="n"/>
      <c r="H26" s="10" t="n"/>
      <c r="I26" s="10" t="n"/>
      <c r="J26" s="10" t="n"/>
      <c r="K26" s="10" t="n"/>
      <c r="L26" s="10" t="n"/>
      <c r="M26" s="10" t="n"/>
    </row>
    <row r="27" ht="33" customHeight="1" thickBot="1">
      <c r="B27" s="51" t="inlineStr">
        <is>
          <t>Sequence</t>
        </is>
      </c>
      <c r="C27" s="54" t="inlineStr">
        <is>
          <t>BD-rate
RGB-PSNR</t>
        </is>
      </c>
      <c r="D27" s="54" t="inlineStr">
        <is>
          <t>BD-rate
YUV-PSNR</t>
        </is>
      </c>
      <c r="E27" s="54" t="inlineStr">
        <is>
          <t>BD-rate
YUV-SSIM</t>
        </is>
      </c>
      <c r="F27" s="54" t="inlineStr">
        <is>
          <t>EncT Total</t>
        </is>
      </c>
      <c r="G27" s="54" t="inlineStr">
        <is>
          <t>DecT Total</t>
        </is>
      </c>
      <c r="H27" s="54" t="inlineStr">
        <is>
          <t>EncT Geometry</t>
        </is>
      </c>
      <c r="I27" s="54" t="inlineStr">
        <is>
          <t>DecT Geometry</t>
        </is>
      </c>
      <c r="J27" s="54" t="inlineStr">
        <is>
          <t>EncT Attributes</t>
        </is>
      </c>
      <c r="K27" s="54" t="inlineStr">
        <is>
          <t>DecT Attributes</t>
        </is>
      </c>
      <c r="L27" s="54" t="inlineStr">
        <is>
          <t>MaxRSS Encoder</t>
        </is>
      </c>
      <c r="M27" s="55" t="inlineStr">
        <is>
          <t>MaxRSS Decoder</t>
        </is>
      </c>
    </row>
    <row r="28" ht="15.6" customHeight="1">
      <c r="B28" s="56">
        <f>Anchor!C105</f>
        <v/>
      </c>
      <c r="C28" s="202">
        <f>IFERROR(bdRateExtend(Anchor!K105:K110,Anchor!T105:T110,Proposal!K105:K110,Proposal!T105:T110),"")</f>
        <v/>
      </c>
      <c r="D28" s="202">
        <f>IFERROR(bdRateExtend(Anchor!K105:K110,Anchor!U105:U110,Proposal!K105:K110,Proposal!U105:U110),"")</f>
        <v/>
      </c>
      <c r="E28" s="202">
        <f>IFERROR(bdRateExtend(Anchor!K105:K110,Anchor!V105:V110,Proposal!K105:K110,Proposal!V105:V110),"")</f>
        <v/>
      </c>
      <c r="F28" s="202">
        <f>IFERROR(GEOMEAN(Proposal!AE105:AE110)/GEOMEAN(Anchor!AE105:AE110),"")</f>
        <v/>
      </c>
      <c r="G28" s="202">
        <f>IFERROR(GEOMEAN(Proposal!AH105:AH110)/GEOMEAN(Anchor!AH105:AH110),"")</f>
        <v/>
      </c>
      <c r="H28" s="202">
        <f>IFERROR(GEOMEAN(Proposal!AF105:AF110)/GEOMEAN(Anchor!AF105:AF110),"")</f>
        <v/>
      </c>
      <c r="I28" s="202">
        <f>IFERROR(GEOMEAN(Proposal!AI105:AI110)/GEOMEAN(Anchor!AI105:AI110),"")</f>
        <v/>
      </c>
      <c r="J28" s="202">
        <f>IFERROR(GEOMEAN(Proposal!AG105:AG110)/GEOMEAN(Anchor!AG105:AG110),"")</f>
        <v/>
      </c>
      <c r="K28" s="202">
        <f>IFERROR(GEOMEAN(Proposal!AJ105:AJ110)/GEOMEAN(Anchor!AJ105:AJ110),"")</f>
        <v/>
      </c>
      <c r="L28" s="202">
        <f>IFERROR(GEOMEAN(Proposal!AK105:AK110)/GEOMEAN(Anchor!AK105:AK110),"")</f>
        <v/>
      </c>
      <c r="M28" s="203">
        <f>IFERROR(GEOMEAN(Proposal!AL105:AL110)/GEOMEAN(Anchor!AL105:AL110),"")</f>
        <v/>
      </c>
    </row>
    <row r="29" ht="15.6" customHeight="1">
      <c r="B29" s="52">
        <f>Anchor!C111</f>
        <v/>
      </c>
      <c r="C29" s="198">
        <f>IFERROR(bdRateExtend(Anchor!K111:K116,Anchor!T111:T116,Proposal!K111:K116,Proposal!T111:T116),"")</f>
        <v/>
      </c>
      <c r="D29" s="198">
        <f>IFERROR(bdRateExtend(Anchor!K111:K116,Anchor!U111:U116,Proposal!K111:K116,Proposal!U111:U116),"")</f>
        <v/>
      </c>
      <c r="E29" s="198">
        <f>IFERROR(bdRateExtend(Anchor!K111:K116,Anchor!V111:V116,Proposal!K111:K116,Proposal!V111:V116),"")</f>
        <v/>
      </c>
      <c r="F29" s="198">
        <f>IFERROR(GEOMEAN(Proposal!AE111:AE116)/GEOMEAN(Anchor!AE111:AE116),"")</f>
        <v/>
      </c>
      <c r="G29" s="198">
        <f>IFERROR(GEOMEAN(Proposal!AH111:AH116)/GEOMEAN(Anchor!AH111:AH116),"")</f>
        <v/>
      </c>
      <c r="H29" s="198">
        <f>IFERROR(GEOMEAN(Proposal!AF111:AF116)/GEOMEAN(Anchor!AF111:AF116),"")</f>
        <v/>
      </c>
      <c r="I29" s="198">
        <f>IFERROR(GEOMEAN(Proposal!AI111:AI116)/GEOMEAN(Anchor!AI111:AI116),"")</f>
        <v/>
      </c>
      <c r="J29" s="198">
        <f>IFERROR(GEOMEAN(Proposal!AG111:AG116)/GEOMEAN(Anchor!AG111:AG116),"")</f>
        <v/>
      </c>
      <c r="K29" s="198">
        <f>IFERROR(GEOMEAN(Proposal!AJ111:AJ116)/GEOMEAN(Anchor!AJ111:AJ116),"")</f>
        <v/>
      </c>
      <c r="L29" s="198">
        <f>IFERROR(GEOMEAN(Proposal!AK111:AK116)/GEOMEAN(Anchor!AK111:AK116),"")</f>
        <v/>
      </c>
      <c r="M29" s="199">
        <f>IFERROR(GEOMEAN(Proposal!AL111:AL116)/GEOMEAN(Anchor!AL111:AL116),"")</f>
        <v/>
      </c>
    </row>
    <row r="30" ht="15.6" customHeight="1">
      <c r="B30" s="52">
        <f>Anchor!C117</f>
        <v/>
      </c>
      <c r="C30" s="198">
        <f>IFERROR(bdRateExtend(Anchor!K117:K122,Anchor!T117:T122,Proposal!K117:K122,Proposal!T117:T122),"")</f>
        <v/>
      </c>
      <c r="D30" s="198">
        <f>IFERROR(bdRateExtend(Anchor!K117:K122,Anchor!U117:U122,Proposal!K117:K122,Proposal!U117:U122),"")</f>
        <v/>
      </c>
      <c r="E30" s="198">
        <f>IFERROR(bdRateExtend(Anchor!K117:K122,Anchor!V117:V122,Proposal!K117:K122,Proposal!V117:V122),"")</f>
        <v/>
      </c>
      <c r="F30" s="198">
        <f>IFERROR(GEOMEAN(Proposal!AE117:AE122)/GEOMEAN(Anchor!AE117:AE122),"")</f>
        <v/>
      </c>
      <c r="G30" s="198">
        <f>IFERROR(GEOMEAN(Proposal!AH117:AH122)/GEOMEAN(Anchor!AH117:AH122),"")</f>
        <v/>
      </c>
      <c r="H30" s="198">
        <f>IFERROR(GEOMEAN(Proposal!AF117:AF122)/GEOMEAN(Anchor!AF117:AF122),"")</f>
        <v/>
      </c>
      <c r="I30" s="198">
        <f>IFERROR(GEOMEAN(Proposal!AI117:AI122)/GEOMEAN(Anchor!AI117:AI122),"")</f>
        <v/>
      </c>
      <c r="J30" s="198">
        <f>IFERROR(GEOMEAN(Proposal!AG117:AG122)/GEOMEAN(Anchor!AG117:AG122),"")</f>
        <v/>
      </c>
      <c r="K30" s="198">
        <f>IFERROR(GEOMEAN(Proposal!AJ117:AJ122)/GEOMEAN(Anchor!AJ117:AJ122),"")</f>
        <v/>
      </c>
      <c r="L30" s="198">
        <f>IFERROR(GEOMEAN(Proposal!AK117:AK122)/GEOMEAN(Anchor!AK117:AK122),"")</f>
        <v/>
      </c>
      <c r="M30" s="199">
        <f>IFERROR(GEOMEAN(Proposal!AL117:AL122)/GEOMEAN(Anchor!AL117:AL122),"")</f>
        <v/>
      </c>
    </row>
    <row r="31" ht="15.6" customHeight="1">
      <c r="B31" s="52">
        <f>Anchor!C123</f>
        <v/>
      </c>
      <c r="C31" s="198">
        <f>IFERROR(bdRateExtend(Anchor!K123:K128,Anchor!T123:T128,Proposal!K123:K128,Proposal!T123:T128),"")</f>
        <v/>
      </c>
      <c r="D31" s="198">
        <f>IFERROR(bdRateExtend(Anchor!K123:K128,Anchor!U123:U128,Proposal!K123:K128,Proposal!U123:U128),"")</f>
        <v/>
      </c>
      <c r="E31" s="198">
        <f>IFERROR(bdRateExtend(Anchor!K123:K128,Anchor!V123:V128,Proposal!K123:K128,Proposal!V123:V128),"")</f>
        <v/>
      </c>
      <c r="F31" s="198">
        <f>IFERROR(GEOMEAN(Proposal!AE123:AE128)/GEOMEAN(Anchor!AE123:AE128),"")</f>
        <v/>
      </c>
      <c r="G31" s="198">
        <f>IFERROR(GEOMEAN(Proposal!AH123:AH128)/GEOMEAN(Anchor!AH123:AH128),"")</f>
        <v/>
      </c>
      <c r="H31" s="198">
        <f>IFERROR(GEOMEAN(Proposal!AF123:AF128)/GEOMEAN(Anchor!AF123:AF128),"")</f>
        <v/>
      </c>
      <c r="I31" s="198">
        <f>IFERROR(GEOMEAN(Proposal!AI123:AI128)/GEOMEAN(Anchor!AI123:AI128),"")</f>
        <v/>
      </c>
      <c r="J31" s="198">
        <f>IFERROR(GEOMEAN(Proposal!AG123:AG128)/GEOMEAN(Anchor!AG123:AG128),"")</f>
        <v/>
      </c>
      <c r="K31" s="198">
        <f>IFERROR(GEOMEAN(Proposal!AJ123:AJ128)/GEOMEAN(Anchor!AJ123:AJ128),"")</f>
        <v/>
      </c>
      <c r="L31" s="198">
        <f>IFERROR(GEOMEAN(Proposal!AK123:AK128)/GEOMEAN(Anchor!AK123:AK128),"")</f>
        <v/>
      </c>
      <c r="M31" s="199">
        <f>IFERROR(GEOMEAN(Proposal!AL123:AL128)/GEOMEAN(Anchor!AL123:AL128),"")</f>
        <v/>
      </c>
    </row>
    <row r="32" ht="15.6" customHeight="1">
      <c r="B32" s="52">
        <f>Anchor!C129</f>
        <v/>
      </c>
      <c r="C32" s="198">
        <f>IFERROR(bdRateExtend(Anchor!K129:K134,Anchor!T129:T134,Proposal!K129:K134,Proposal!T129:T134),"")</f>
        <v/>
      </c>
      <c r="D32" s="198">
        <f>IFERROR(bdRateExtend(Anchor!K129:K134,Anchor!U129:U134,Proposal!K129:K134,Proposal!U129:U134),"")</f>
        <v/>
      </c>
      <c r="E32" s="198">
        <f>IFERROR(bdRateExtend(Anchor!K129:K134,Anchor!V129:V134,Proposal!K129:K134,Proposal!V129:V134),"")</f>
        <v/>
      </c>
      <c r="F32" s="198">
        <f>IFERROR(GEOMEAN(Proposal!AE129:AE134)/GEOMEAN(Anchor!AE129:AE134),"")</f>
        <v/>
      </c>
      <c r="G32" s="198">
        <f>IFERROR(GEOMEAN(Proposal!AH129:AH134)/GEOMEAN(Anchor!AH129:AH134),"")</f>
        <v/>
      </c>
      <c r="H32" s="198">
        <f>IFERROR(GEOMEAN(Proposal!AF129:AF134)/GEOMEAN(Anchor!AF129:AF134),"")</f>
        <v/>
      </c>
      <c r="I32" s="198">
        <f>IFERROR(GEOMEAN(Proposal!AI129:AI134)/GEOMEAN(Anchor!AI129:AI134),"")</f>
        <v/>
      </c>
      <c r="J32" s="198">
        <f>IFERROR(GEOMEAN(Proposal!AG129:AG134)/GEOMEAN(Anchor!AG129:AG134),"")</f>
        <v/>
      </c>
      <c r="K32" s="198">
        <f>IFERROR(GEOMEAN(Proposal!AJ129:AJ134)/GEOMEAN(Anchor!AJ129:AJ134),"")</f>
        <v/>
      </c>
      <c r="L32" s="198">
        <f>IFERROR(GEOMEAN(Proposal!AK129:AK134)/GEOMEAN(Anchor!AK129:AK134),"")</f>
        <v/>
      </c>
      <c r="M32" s="199">
        <f>IFERROR(GEOMEAN(Proposal!AL129:AL134)/GEOMEAN(Anchor!AL129:AL134),"")</f>
        <v/>
      </c>
    </row>
    <row r="33" ht="15.6" customHeight="1">
      <c r="B33" s="52">
        <f>Anchor!C135</f>
        <v/>
      </c>
      <c r="C33" s="198">
        <f>IFERROR(bdRateExtend(Anchor!K135:K140,Anchor!T135:T140,Proposal!K135:K140,Proposal!T135:T140),"")</f>
        <v/>
      </c>
      <c r="D33" s="198">
        <f>IFERROR(bdRateExtend(Anchor!K135:K140,Anchor!U135:U140,Proposal!K135:K140,Proposal!U135:U140),"")</f>
        <v/>
      </c>
      <c r="E33" s="198">
        <f>IFERROR(bdRateExtend(Anchor!K135:K140,Anchor!V135:V140,Proposal!K135:K140,Proposal!V135:V140),"")</f>
        <v/>
      </c>
      <c r="F33" s="198">
        <f>IFERROR(GEOMEAN(Proposal!AE135:AE140)/GEOMEAN(Anchor!AE135:AE140),"")</f>
        <v/>
      </c>
      <c r="G33" s="198">
        <f>IFERROR(GEOMEAN(Proposal!AH135:AH140)/GEOMEAN(Anchor!AH135:AH140),"")</f>
        <v/>
      </c>
      <c r="H33" s="198">
        <f>IFERROR(GEOMEAN(Proposal!AF135:AF140)/GEOMEAN(Anchor!AF135:AF140),"")</f>
        <v/>
      </c>
      <c r="I33" s="198">
        <f>IFERROR(GEOMEAN(Proposal!AI135:AI140)/GEOMEAN(Anchor!AI135:AI140),"")</f>
        <v/>
      </c>
      <c r="J33" s="198">
        <f>IFERROR(GEOMEAN(Proposal!AG135:AG140)/GEOMEAN(Anchor!AG135:AG140),"")</f>
        <v/>
      </c>
      <c r="K33" s="198">
        <f>IFERROR(GEOMEAN(Proposal!AJ135:AJ140)/GEOMEAN(Anchor!AJ135:AJ140),"")</f>
        <v/>
      </c>
      <c r="L33" s="198">
        <f>IFERROR(GEOMEAN(Proposal!AK135:AK140)/GEOMEAN(Anchor!AK135:AK140),"")</f>
        <v/>
      </c>
      <c r="M33" s="199">
        <f>IFERROR(GEOMEAN(Proposal!AL135:AL140)/GEOMEAN(Anchor!AL135:AL140),"")</f>
        <v/>
      </c>
    </row>
    <row r="34" ht="15.6" customHeight="1">
      <c r="B34" s="52">
        <f>Anchor!C141</f>
        <v/>
      </c>
      <c r="C34" s="198">
        <f>IFERROR(bdRateExtend(Anchor!K141:K146,Anchor!T141:T146,Proposal!K141:K146,Proposal!T141:T146),"")</f>
        <v/>
      </c>
      <c r="D34" s="198">
        <f>IFERROR(bdRateExtend(Anchor!K141:K146,Anchor!U141:U146,Proposal!K141:K146,Proposal!U141:U146),"")</f>
        <v/>
      </c>
      <c r="E34" s="198">
        <f>IFERROR(bdRateExtend(Anchor!K141:K146,Anchor!V141:V146,Proposal!K141:K146,Proposal!V141:V146),"")</f>
        <v/>
      </c>
      <c r="F34" s="198">
        <f>IFERROR(GEOMEAN(Proposal!AE141:AE146)/GEOMEAN(Anchor!AE141:AE146),"")</f>
        <v/>
      </c>
      <c r="G34" s="198">
        <f>IFERROR(GEOMEAN(Proposal!AH141:AH146)/GEOMEAN(Anchor!AH141:AH146),"")</f>
        <v/>
      </c>
      <c r="H34" s="198">
        <f>IFERROR(GEOMEAN(Proposal!AF141:AF146)/GEOMEAN(Anchor!AF141:AF146),"")</f>
        <v/>
      </c>
      <c r="I34" s="198">
        <f>IFERROR(GEOMEAN(Proposal!AI141:AI146)/GEOMEAN(Anchor!AI141:AI146),"")</f>
        <v/>
      </c>
      <c r="J34" s="198">
        <f>IFERROR(GEOMEAN(Proposal!AG141:AG146)/GEOMEAN(Anchor!AG141:AG146),"")</f>
        <v/>
      </c>
      <c r="K34" s="198">
        <f>IFERROR(GEOMEAN(Proposal!AJ141:AJ146)/GEOMEAN(Anchor!AJ141:AJ146),"")</f>
        <v/>
      </c>
      <c r="L34" s="198">
        <f>IFERROR(GEOMEAN(Proposal!AK141:AK146)/GEOMEAN(Anchor!AK141:AK146),"")</f>
        <v/>
      </c>
      <c r="M34" s="199">
        <f>IFERROR(GEOMEAN(Proposal!AL141:AL146)/GEOMEAN(Anchor!AL141:AL146),"")</f>
        <v/>
      </c>
    </row>
    <row r="35" ht="15.6" customHeight="1">
      <c r="B35" s="52">
        <f>Anchor!C147</f>
        <v/>
      </c>
      <c r="C35" s="198">
        <f>IFERROR(bdRateExtend(Anchor!K147:K152,Anchor!T147:T152,Proposal!K147:K152,Proposal!T147:T152),"")</f>
        <v/>
      </c>
      <c r="D35" s="198">
        <f>IFERROR(bdRateExtend(Anchor!K147:K152,Anchor!U147:U152,Proposal!K147:K152,Proposal!U147:U152),"")</f>
        <v/>
      </c>
      <c r="E35" s="198">
        <f>IFERROR(bdRateExtend(Anchor!K147:K152,Anchor!V147:V152,Proposal!K147:K152,Proposal!V147:V152),"")</f>
        <v/>
      </c>
      <c r="F35" s="198">
        <f>IFERROR(GEOMEAN(Proposal!AE147:AE152)/GEOMEAN(Anchor!AE147:AE152),"")</f>
        <v/>
      </c>
      <c r="G35" s="198">
        <f>IFERROR(GEOMEAN(Proposal!AH147:AH152)/GEOMEAN(Anchor!AH147:AH152),"")</f>
        <v/>
      </c>
      <c r="H35" s="198">
        <f>IFERROR(GEOMEAN(Proposal!AF147:AF152)/GEOMEAN(Anchor!AF147:AF152),"")</f>
        <v/>
      </c>
      <c r="I35" s="198">
        <f>IFERROR(GEOMEAN(Proposal!AI147:AI152)/GEOMEAN(Anchor!AI147:AI152),"")</f>
        <v/>
      </c>
      <c r="J35" s="198">
        <f>IFERROR(GEOMEAN(Proposal!AG147:AG152)/GEOMEAN(Anchor!AG147:AG152),"")</f>
        <v/>
      </c>
      <c r="K35" s="198">
        <f>IFERROR(GEOMEAN(Proposal!AJ147:AJ152)/GEOMEAN(Anchor!AJ147:AJ152),"")</f>
        <v/>
      </c>
      <c r="L35" s="198">
        <f>IFERROR(GEOMEAN(Proposal!AK147:AK152)/GEOMEAN(Anchor!AK147:AK152),"")</f>
        <v/>
      </c>
      <c r="M35" s="199">
        <f>IFERROR(GEOMEAN(Proposal!AL147:AL152)/GEOMEAN(Anchor!AL147:AL152),"")</f>
        <v/>
      </c>
    </row>
    <row r="36" ht="15.6" customHeight="1">
      <c r="B36" s="52">
        <f>Anchor!C153</f>
        <v/>
      </c>
      <c r="C36" s="198">
        <f>IFERROR(bdRateExtend(Anchor!K153:K158,Anchor!T153:T158,Proposal!K153:K158,Proposal!T153:T158),"")</f>
        <v/>
      </c>
      <c r="D36" s="198">
        <f>IFERROR(bdRateExtend(Anchor!K153:K158,Anchor!U153:U158,Proposal!K153:K158,Proposal!U153:U158),"")</f>
        <v/>
      </c>
      <c r="E36" s="198">
        <f>IFERROR(bdRateExtend(Anchor!K153:K158,Anchor!V153:V158,Proposal!K153:K158,Proposal!V153:V158),"")</f>
        <v/>
      </c>
      <c r="F36" s="198">
        <f>IFERROR(GEOMEAN(Proposal!AE153:AE158)/GEOMEAN(Anchor!AE153:AE158),"")</f>
        <v/>
      </c>
      <c r="G36" s="198">
        <f>IFERROR(GEOMEAN(Proposal!AH153:AH158)/GEOMEAN(Anchor!AH153:AH158),"")</f>
        <v/>
      </c>
      <c r="H36" s="198">
        <f>IFERROR(GEOMEAN(Proposal!AF153:AF158)/GEOMEAN(Anchor!AF153:AF158),"")</f>
        <v/>
      </c>
      <c r="I36" s="198">
        <f>IFERROR(GEOMEAN(Proposal!AI153:AI158)/GEOMEAN(Anchor!AI153:AI158),"")</f>
        <v/>
      </c>
      <c r="J36" s="198">
        <f>IFERROR(GEOMEAN(Proposal!AG153:AG158)/GEOMEAN(Anchor!AG153:AG158),"")</f>
        <v/>
      </c>
      <c r="K36" s="198">
        <f>IFERROR(GEOMEAN(Proposal!AJ153:AJ158)/GEOMEAN(Anchor!AJ153:AJ158),"")</f>
        <v/>
      </c>
      <c r="L36" s="198">
        <f>IFERROR(GEOMEAN(Proposal!AK153:AK158)/GEOMEAN(Anchor!AK153:AK158),"")</f>
        <v/>
      </c>
      <c r="M36" s="199">
        <f>IFERROR(GEOMEAN(Proposal!AL153:AL158)/GEOMEAN(Anchor!AL153:AL158),"")</f>
        <v/>
      </c>
    </row>
    <row r="37" ht="15.6" customHeight="1">
      <c r="B37" s="52">
        <f>Anchor!C159</f>
        <v/>
      </c>
      <c r="C37" s="198">
        <f>IFERROR(bdRateExtend(Anchor!K159:K164,Anchor!T159:T164,Proposal!K159:K164,Proposal!T159:T164),"")</f>
        <v/>
      </c>
      <c r="D37" s="198">
        <f>IFERROR(bdRateExtend(Anchor!K159:K164,Anchor!U159:U164,Proposal!K159:K164,Proposal!U159:U164),"")</f>
        <v/>
      </c>
      <c r="E37" s="198">
        <f>IFERROR(bdRateExtend(Anchor!K159:K164,Anchor!V159:V164,Proposal!K159:K164,Proposal!V159:V164),"")</f>
        <v/>
      </c>
      <c r="F37" s="198">
        <f>IFERROR(GEOMEAN(Proposal!AE159:AE164)/GEOMEAN(Anchor!AE159:AE164),"")</f>
        <v/>
      </c>
      <c r="G37" s="198">
        <f>IFERROR(GEOMEAN(Proposal!AH159:AH164)/GEOMEAN(Anchor!AH159:AH164),"")</f>
        <v/>
      </c>
      <c r="H37" s="198">
        <f>IFERROR(GEOMEAN(Proposal!AF159:AF164)/GEOMEAN(Anchor!AF159:AF164),"")</f>
        <v/>
      </c>
      <c r="I37" s="198">
        <f>IFERROR(GEOMEAN(Proposal!AI159:AI164)/GEOMEAN(Anchor!AI159:AI164),"")</f>
        <v/>
      </c>
      <c r="J37" s="198">
        <f>IFERROR(GEOMEAN(Proposal!AG159:AG164)/GEOMEAN(Anchor!AG159:AG164),"")</f>
        <v/>
      </c>
      <c r="K37" s="198">
        <f>IFERROR(GEOMEAN(Proposal!AJ159:AJ164)/GEOMEAN(Anchor!AJ159:AJ164),"")</f>
        <v/>
      </c>
      <c r="L37" s="198">
        <f>IFERROR(GEOMEAN(Proposal!AK159:AK164)/GEOMEAN(Anchor!AK159:AK164),"")</f>
        <v/>
      </c>
      <c r="M37" s="199">
        <f>IFERROR(GEOMEAN(Proposal!AL159:AL164)/GEOMEAN(Anchor!AL159:AL164),"")</f>
        <v/>
      </c>
    </row>
    <row r="38" ht="15.6" customHeight="1">
      <c r="B38" s="52">
        <f>Anchor!C165</f>
        <v/>
      </c>
      <c r="C38" s="198">
        <f>IFERROR(bdRateExtend(Anchor!K165:K170,Anchor!T165:T170,Proposal!K165:K170,Proposal!T165:T170),"")</f>
        <v/>
      </c>
      <c r="D38" s="198">
        <f>IFERROR(bdRateExtend(Anchor!K165:K170,Anchor!U165:U170,Proposal!K165:K170,Proposal!U165:U170),"")</f>
        <v/>
      </c>
      <c r="E38" s="198">
        <f>IFERROR(bdRateExtend(Anchor!K165:K170,Anchor!V165:V170,Proposal!K165:K170,Proposal!V165:V170),"")</f>
        <v/>
      </c>
      <c r="F38" s="198">
        <f>IFERROR(GEOMEAN(Proposal!AE165:AE170)/GEOMEAN(Anchor!AE165:AE170),"")</f>
        <v/>
      </c>
      <c r="G38" s="198">
        <f>IFERROR(GEOMEAN(Proposal!AH165:AH170)/GEOMEAN(Anchor!AH165:AH170),"")</f>
        <v/>
      </c>
      <c r="H38" s="198">
        <f>IFERROR(GEOMEAN(Proposal!AF165:AF170)/GEOMEAN(Anchor!AF165:AF170),"")</f>
        <v/>
      </c>
      <c r="I38" s="198">
        <f>IFERROR(GEOMEAN(Proposal!AI165:AI170)/GEOMEAN(Anchor!AI165:AI170),"")</f>
        <v/>
      </c>
      <c r="J38" s="198">
        <f>IFERROR(GEOMEAN(Proposal!AG165:AG170)/GEOMEAN(Anchor!AG165:AG170),"")</f>
        <v/>
      </c>
      <c r="K38" s="198">
        <f>IFERROR(GEOMEAN(Proposal!AJ165:AJ170)/GEOMEAN(Anchor!AJ165:AJ170),"")</f>
        <v/>
      </c>
      <c r="L38" s="198">
        <f>IFERROR(GEOMEAN(Proposal!AK165:AK170)/GEOMEAN(Anchor!AK165:AK170),"")</f>
        <v/>
      </c>
      <c r="M38" s="199">
        <f>IFERROR(GEOMEAN(Proposal!AL165:AL170)/GEOMEAN(Anchor!AL165:AL170),"")</f>
        <v/>
      </c>
    </row>
    <row r="39" ht="16.2" customHeight="1" thickBot="1">
      <c r="B39" s="59">
        <f>Anchor!C171</f>
        <v/>
      </c>
      <c r="C39" s="204">
        <f>IFERROR(bdRateExtend(Anchor!K171:K176,Anchor!T171:T176,Proposal!K171:K176,Proposal!T171:T176),"")</f>
        <v/>
      </c>
      <c r="D39" s="204">
        <f>IFERROR(bdRateExtend(Anchor!K171:K176,Anchor!U171:U176,Proposal!K171:K176,Proposal!U171:U176),"")</f>
        <v/>
      </c>
      <c r="E39" s="204">
        <f>IFERROR(bdRateExtend(Anchor!K171:K176,Anchor!V171:V176,Proposal!K171:K176,Proposal!V171:V176),"")</f>
        <v/>
      </c>
      <c r="F39" s="204">
        <f>IFERROR(GEOMEAN(Proposal!AE171:AE176)/GEOMEAN(Anchor!AE171:AE176),"")</f>
        <v/>
      </c>
      <c r="G39" s="204">
        <f>IFERROR(GEOMEAN(Proposal!AH171:AH176)/GEOMEAN(Anchor!AH171:AH176),"")</f>
        <v/>
      </c>
      <c r="H39" s="204">
        <f>IFERROR(GEOMEAN(Proposal!AF171:AF176)/GEOMEAN(Anchor!AF171:AF176),"")</f>
        <v/>
      </c>
      <c r="I39" s="204">
        <f>IFERROR(GEOMEAN(Proposal!AI171:AI176)/GEOMEAN(Anchor!AI171:AI176),"")</f>
        <v/>
      </c>
      <c r="J39" s="204">
        <f>IFERROR(GEOMEAN(Proposal!AG171:AG176)/GEOMEAN(Anchor!AG171:AG176),"")</f>
        <v/>
      </c>
      <c r="K39" s="204">
        <f>IFERROR(GEOMEAN(Proposal!AJ171:AJ176)/GEOMEAN(Anchor!AJ171:AJ176),"")</f>
        <v/>
      </c>
      <c r="L39" s="204">
        <f>IFERROR(GEOMEAN(Proposal!AK171:AK176)/GEOMEAN(Anchor!AK171:AK176),"")</f>
        <v/>
      </c>
      <c r="M39" s="205">
        <f>IFERROR(GEOMEAN(Proposal!AL171:AL176)/GEOMEAN(Anchor!AL171:AL176),"")</f>
        <v/>
      </c>
    </row>
    <row r="40" ht="16.2" customHeight="1" thickBot="1">
      <c r="B40" s="53" t="inlineStr">
        <is>
          <t>Average</t>
        </is>
      </c>
      <c r="C40" s="200">
        <f>IF(_xlfn.AGGREGATE(2,6,C28:C39)=0,"",_xlfn.AGGREGATE(1,6,C28:C39))</f>
        <v/>
      </c>
      <c r="D40" s="200">
        <f>IF(_xlfn.AGGREGATE(2,6,D28:D39)=0,"",_xlfn.AGGREGATE(1,6,D28:D39))</f>
        <v/>
      </c>
      <c r="E40" s="200">
        <f>IF(_xlfn.AGGREGATE(2,6,E28:E39)=0,"",_xlfn.AGGREGATE(1,6,E28:E39))</f>
        <v/>
      </c>
      <c r="F40" s="200">
        <f>IF(_xlfn.AGGREGATE(2,6,F28:F39)=0,"",_xlfn.AGGREGATE(1,6,F28:F39))</f>
        <v/>
      </c>
      <c r="G40" s="200">
        <f>IF(_xlfn.AGGREGATE(2,6,G28:G39)=0,"",_xlfn.AGGREGATE(1,6,G28:G39))</f>
        <v/>
      </c>
      <c r="H40" s="200">
        <f>IF(_xlfn.AGGREGATE(2,6,H28:H39)=0,"",_xlfn.AGGREGATE(1,6,H28:H39))</f>
        <v/>
      </c>
      <c r="I40" s="200">
        <f>IF(_xlfn.AGGREGATE(2,6,I28:I39)=0,"",_xlfn.AGGREGATE(1,6,I28:I39))</f>
        <v/>
      </c>
      <c r="J40" s="200">
        <f>IF(_xlfn.AGGREGATE(2,6,J28:J39)=0,"",_xlfn.AGGREGATE(1,6,J28:J39))</f>
        <v/>
      </c>
      <c r="K40" s="200">
        <f>IF(_xlfn.AGGREGATE(2,6,K28:K39)=0,"",_xlfn.AGGREGATE(1,6,K28:K39))</f>
        <v/>
      </c>
      <c r="L40" s="200">
        <f>IF(_xlfn.AGGREGATE(2,6,L28:L39)=0,"",_xlfn.AGGREGATE(1,6,L28:L39))</f>
        <v/>
      </c>
      <c r="M40" s="201">
        <f>IF(_xlfn.AGGREGATE(2,6,M28:M39)=0,"",_xlfn.AGGREGATE(1,6,M28:M39))</f>
        <v/>
      </c>
    </row>
    <row r="41" ht="15.6" customHeight="1">
      <c r="B41" s="31" t="n"/>
      <c r="C41" s="198" t="n"/>
      <c r="D41" s="198" t="n"/>
      <c r="E41" s="198" t="n"/>
      <c r="F41" s="198" t="n"/>
      <c r="G41" s="198" t="n"/>
      <c r="H41" s="198" t="n"/>
      <c r="I41" s="198" t="n"/>
      <c r="J41" s="198" t="n"/>
      <c r="K41" s="198" t="n"/>
      <c r="L41" s="198" t="n"/>
      <c r="M41" s="198" t="n"/>
    </row>
    <row r="42" ht="15.6" customHeight="1">
      <c r="B42" s="31" t="n"/>
      <c r="C42" s="198" t="n"/>
      <c r="D42" s="198" t="n"/>
      <c r="E42" s="198" t="n"/>
      <c r="F42" s="198" t="n"/>
      <c r="G42" s="198" t="n"/>
      <c r="H42" s="198" t="n"/>
      <c r="I42" s="198" t="n"/>
      <c r="J42" s="198" t="n"/>
      <c r="K42" s="198" t="n"/>
      <c r="L42" s="198" t="n"/>
      <c r="M42" s="198" t="n"/>
    </row>
    <row r="43">
      <c r="B43" s="22" t="n"/>
      <c r="C43" s="206" t="n"/>
      <c r="D43" s="206" t="n"/>
      <c r="E43" s="206" t="n"/>
      <c r="F43" s="206" t="n"/>
      <c r="G43" s="206" t="n"/>
      <c r="H43" s="206" t="n"/>
      <c r="I43" s="206" t="n"/>
      <c r="J43" s="206" t="n"/>
      <c r="K43" s="206" t="n"/>
      <c r="L43" s="206" t="n"/>
      <c r="M43" s="99" t="n"/>
    </row>
    <row r="44">
      <c r="B44" s="22" t="n"/>
      <c r="C44" s="206" t="n"/>
      <c r="D44" s="206" t="n"/>
      <c r="E44" s="206" t="n"/>
      <c r="F44" s="206" t="n"/>
      <c r="G44" s="206" t="n"/>
      <c r="H44" s="206" t="n"/>
      <c r="I44" s="206" t="n"/>
      <c r="J44" s="206" t="n"/>
      <c r="K44" s="206" t="n"/>
      <c r="L44" s="206" t="n"/>
      <c r="M44" s="99" t="n"/>
    </row>
    <row r="45">
      <c r="B45" s="22" t="n"/>
      <c r="C45" s="206" t="n"/>
      <c r="D45" s="206" t="n"/>
      <c r="E45" s="206" t="n"/>
      <c r="F45" s="206" t="n"/>
      <c r="G45" s="206" t="n"/>
      <c r="H45" s="206" t="n"/>
      <c r="I45" s="206" t="n"/>
      <c r="J45" s="206" t="n"/>
      <c r="K45" s="206" t="n"/>
      <c r="L45" s="206" t="n"/>
      <c r="M45" s="99" t="n"/>
    </row>
    <row r="46" ht="15.6" customHeight="1">
      <c r="B46" s="21" t="n"/>
      <c r="C46" s="207" t="n"/>
      <c r="D46" s="207" t="n"/>
      <c r="E46" s="207" t="n"/>
      <c r="F46" s="207" t="n"/>
      <c r="G46" s="207" t="n"/>
      <c r="H46" s="207" t="n"/>
      <c r="I46" s="207" t="n"/>
      <c r="J46" s="207" t="n"/>
      <c r="K46" s="207" t="n"/>
      <c r="L46" s="207" t="n"/>
      <c r="M46" s="99" t="n"/>
    </row>
  </sheetData>
  <mergeCells count="8">
    <mergeCell ref="A9:A19"/>
    <mergeCell ref="C4:M4"/>
    <mergeCell ref="B7:M7"/>
    <mergeCell ref="C3:M3"/>
    <mergeCell ref="A20:A23"/>
    <mergeCell ref="A24:A46"/>
    <mergeCell ref="B26:M26"/>
    <mergeCell ref="B17:M17"/>
  </mergeCells>
  <conditionalFormatting sqref="C43:E46 L46">
    <cfRule type="cellIs" priority="12" operator="lessThan" dxfId="163">
      <formula>-0.03</formula>
    </cfRule>
    <cfRule type="cellIs" priority="13" operator="greaterThan" dxfId="154">
      <formula>0.03</formula>
    </cfRule>
  </conditionalFormatting>
  <conditionalFormatting sqref="L43:L45">
    <cfRule type="cellIs" priority="10" operator="lessThan" dxfId="163">
      <formula>-0.03</formula>
    </cfRule>
    <cfRule type="cellIs" priority="11" operator="greaterThan" dxfId="154">
      <formula>0.03</formula>
    </cfRule>
  </conditionalFormatting>
  <conditionalFormatting sqref="C9:E15 C19:E24 C28:E40">
    <cfRule type="containsBlanks" priority="4" dxfId="155" stopIfTrue="1">
      <formula>LEN(TRIM(C9))=0</formula>
    </cfRule>
    <cfRule type="cellIs" priority="8" operator="greaterThan" dxfId="154" stopIfTrue="1">
      <formula>0.03</formula>
    </cfRule>
    <cfRule type="cellIs" priority="9" operator="lessThan" dxfId="153" stopIfTrue="1">
      <formula>-0.03</formula>
    </cfRule>
  </conditionalFormatting>
  <conditionalFormatting sqref="F9:M15 F19:M24 F28:M40">
    <cfRule type="containsBlanks" priority="1" dxfId="155" stopIfTrue="1">
      <formula>LEN(TRIM(F9))=0</formula>
    </cfRule>
    <cfRule type="cellIs" priority="2" operator="greaterThan" dxfId="154" stopIfTrue="1">
      <formula>1.03</formula>
    </cfRule>
    <cfRule type="cellIs" priority="3" operator="lessThan" dxfId="153" stopIfTrue="1">
      <formula>0.97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M52"/>
  <sheetViews>
    <sheetView workbookViewId="0">
      <selection activeCell="E22" sqref="E22"/>
    </sheetView>
  </sheetViews>
  <sheetFormatPr baseColWidth="8" defaultColWidth="8.59765625" defaultRowHeight="14.4" outlineLevelCol="0"/>
  <cols>
    <col width="6.69921875" customWidth="1" style="4" min="1" max="1"/>
    <col width="23.8984375" customWidth="1" style="4" min="2" max="2"/>
    <col width="9.19921875" customWidth="1" style="4" min="3" max="13"/>
    <col width="8.59765625" customWidth="1" style="4" min="14" max="16384"/>
  </cols>
  <sheetData>
    <row r="1">
      <c r="A1" s="98" t="inlineStr">
        <is>
          <t>  </t>
        </is>
      </c>
      <c r="B1" s="99" t="n"/>
      <c r="C1" s="99" t="n"/>
      <c r="D1" s="98" t="inlineStr">
        <is>
          <t>               </t>
        </is>
      </c>
      <c r="E1" s="98" t="inlineStr">
        <is>
          <t>               </t>
        </is>
      </c>
      <c r="F1" s="98" t="n"/>
      <c r="G1" s="98" t="inlineStr">
        <is>
          <t>  </t>
        </is>
      </c>
      <c r="H1" s="99" t="n"/>
      <c r="I1" s="99" t="n"/>
      <c r="J1" s="99" t="n"/>
      <c r="K1" s="99" t="n"/>
      <c r="L1" s="99" t="n"/>
      <c r="M1" s="99" t="n"/>
    </row>
    <row r="2">
      <c r="A2" s="99" t="n"/>
      <c r="B2" s="2" t="n"/>
      <c r="C2" s="100" t="n"/>
      <c r="D2" s="99" t="n"/>
      <c r="E2" s="99" t="n"/>
      <c r="F2" s="99" t="n"/>
      <c r="G2" s="99" t="n"/>
      <c r="H2" s="99" t="n"/>
      <c r="I2" s="99" t="n"/>
      <c r="J2" s="99" t="n"/>
      <c r="K2" s="99" t="n"/>
      <c r="L2" s="99" t="n"/>
      <c r="M2" s="99" t="n"/>
    </row>
    <row r="3">
      <c r="A3" s="99" t="n"/>
      <c r="B3" s="2" t="inlineStr">
        <is>
          <t>Anchor</t>
        </is>
      </c>
      <c r="C3" s="139">
        <f>Summary!C3</f>
        <v/>
      </c>
    </row>
    <row r="4">
      <c r="A4" s="99" t="n"/>
      <c r="B4" s="2" t="inlineStr">
        <is>
          <t>Proposal</t>
        </is>
      </c>
      <c r="C4" s="139">
        <f>Summary!C4</f>
        <v/>
      </c>
    </row>
    <row r="5">
      <c r="A5" s="99" t="n"/>
      <c r="B5" s="2" t="n"/>
      <c r="C5" s="100" t="n"/>
      <c r="D5" s="99" t="n"/>
      <c r="E5" s="99" t="n"/>
      <c r="F5" s="99" t="n"/>
      <c r="G5" s="99" t="n"/>
      <c r="H5" s="99" t="n"/>
      <c r="I5" s="99" t="n"/>
      <c r="J5" s="99" t="n"/>
      <c r="K5" s="99" t="n"/>
      <c r="L5" s="99" t="n"/>
      <c r="M5" s="99" t="n"/>
    </row>
    <row r="6">
      <c r="A6" s="99" t="n"/>
      <c r="B6" s="1" t="n"/>
      <c r="C6" s="1" t="n"/>
      <c r="D6" s="99" t="n"/>
      <c r="E6" s="99" t="n"/>
      <c r="F6" s="99" t="n"/>
      <c r="G6" s="99" t="n"/>
      <c r="H6" s="99" t="n"/>
      <c r="I6" s="99" t="n"/>
      <c r="J6" s="99" t="n"/>
      <c r="K6" s="99" t="n"/>
      <c r="L6" s="99" t="n"/>
      <c r="M6" s="99" t="n"/>
    </row>
    <row r="7" hidden="1" ht="16.5" customFormat="1" customHeight="1" s="5" thickBot="1">
      <c r="A7" s="8" t="n"/>
      <c r="B7" s="138" t="inlineStr">
        <is>
          <t>NF: Forward facing &amp; Object-centric sequences</t>
        </is>
      </c>
      <c r="C7" s="10" t="n"/>
      <c r="D7" s="10" t="n"/>
      <c r="E7" s="10" t="n"/>
      <c r="F7" s="10" t="n"/>
      <c r="G7" s="10" t="n"/>
      <c r="H7" s="10" t="n"/>
      <c r="I7" s="10" t="n"/>
      <c r="J7" s="10" t="n"/>
      <c r="K7" s="10" t="n"/>
      <c r="L7" s="10" t="n"/>
      <c r="M7" s="10" t="n"/>
    </row>
    <row r="8" hidden="1" ht="33" customHeight="1" thickBot="1">
      <c r="A8" s="99" t="n"/>
      <c r="B8" s="40" t="inlineStr">
        <is>
          <t>Sequence</t>
        </is>
      </c>
      <c r="C8" s="43" t="inlineStr">
        <is>
          <t>BD-rate
RGB-PSNR</t>
        </is>
      </c>
      <c r="D8" s="43" t="inlineStr">
        <is>
          <t>BD-rate
YUV-PSNR</t>
        </is>
      </c>
      <c r="E8" s="43" t="inlineStr">
        <is>
          <t>BD-rate
YUV-SSIM</t>
        </is>
      </c>
      <c r="F8" s="43" t="inlineStr">
        <is>
          <t>EncT Total</t>
        </is>
      </c>
      <c r="G8" s="43" t="inlineStr">
        <is>
          <t>DecT Total</t>
        </is>
      </c>
      <c r="H8" s="43" t="inlineStr">
        <is>
          <t>EncT Geometry</t>
        </is>
      </c>
      <c r="I8" s="43" t="inlineStr">
        <is>
          <t>DecT Geometry</t>
        </is>
      </c>
      <c r="J8" s="43" t="inlineStr">
        <is>
          <t>EncT Attributes</t>
        </is>
      </c>
      <c r="K8" s="43" t="inlineStr">
        <is>
          <t>DecT Attributes</t>
        </is>
      </c>
      <c r="L8" s="43" t="inlineStr">
        <is>
          <t>MaxRSS Encoder</t>
        </is>
      </c>
      <c r="M8" s="44" t="inlineStr">
        <is>
          <t>MaxRSS Decoder</t>
        </is>
      </c>
    </row>
    <row r="9" hidden="1" ht="15.75" customHeight="1">
      <c r="A9" s="137" t="n"/>
      <c r="B9" s="208">
        <f>Anchor!C3</f>
        <v/>
      </c>
      <c r="C9" s="202">
        <f>IFERROR(bdRateExtend(Anchor!K3:K8,Anchor!T3:T8,Proposal!K3:K8,Proposal!T3:T8),"")</f>
        <v/>
      </c>
      <c r="D9" s="202">
        <f>IFERROR(bdRateExtend(Anchor!K3:K8,Anchor!U3:U8,Proposal!K3:K8,Proposal!U3:U8),"")</f>
        <v/>
      </c>
      <c r="E9" s="202">
        <f>IFERROR(bdRateExtend(Anchor!K3:K8,Anchor!V3:V8,Proposal!K3:K8,Proposal!V3:V8),"")</f>
        <v/>
      </c>
      <c r="F9" s="202">
        <f>IFERROR(GEOMEAN(Proposal!AE3:AE8)/GEOMEAN(Anchor!AE3:AE8),"")</f>
        <v/>
      </c>
      <c r="G9" s="202">
        <f>IFERROR(GEOMEAN(Proposal!AH3:AH8)/GEOMEAN(Anchor!AH3:AH8),"")</f>
        <v/>
      </c>
      <c r="H9" s="202">
        <f>IFERROR(GEOMEAN(Proposal!AF3:AF8)/GEOMEAN(Anchor!AF3:AF8),"")</f>
        <v/>
      </c>
      <c r="I9" s="202">
        <f>IFERROR(GEOMEAN(Proposal!AI3:AI8)/GEOMEAN(Anchor!AI3:AI8),"")</f>
        <v/>
      </c>
      <c r="J9" s="202">
        <f>IFERROR(GEOMEAN(Proposal!AG3:AG8)/GEOMEAN(Anchor!AG3:AG8),"")</f>
        <v/>
      </c>
      <c r="K9" s="202">
        <f>IFERROR(GEOMEAN(Proposal!AJ3:AJ8)/GEOMEAN(Anchor!AJ3:AJ8),"")</f>
        <v/>
      </c>
      <c r="L9" s="202">
        <f>IFERROR(GEOMEAN(Proposal!AK3:AK8)/GEOMEAN(Anchor!AK3:AK8),"")</f>
        <v/>
      </c>
      <c r="M9" s="203">
        <f>IFERROR(GEOMEAN(Proposal!AL3:AL8)/GEOMEAN(Anchor!AL3:AL8),"")</f>
        <v/>
      </c>
    </row>
    <row r="10" hidden="1" ht="15.75" customHeight="1">
      <c r="B10" s="42">
        <f>Anchor!C9</f>
        <v/>
      </c>
      <c r="C10" s="198">
        <f>IFERROR(bdRateExtend(Anchor!K9:K14,Anchor!T9:T14,Proposal!K9:K14,Proposal!T9:T14),"")</f>
        <v/>
      </c>
      <c r="D10" s="198">
        <f>IFERROR(bdRateExtend(Anchor!K9:K14,Anchor!U9:U14,Proposal!K9:K14,Proposal!U9:U14),"")</f>
        <v/>
      </c>
      <c r="E10" s="198">
        <f>IFERROR(bdRateExtend(Anchor!K9:K14,Anchor!V9:V14,Proposal!K9:K14,Proposal!V9:V14),"")</f>
        <v/>
      </c>
      <c r="F10" s="198">
        <f>IFERROR(GEOMEAN(Proposal!AE9:AE14)/GEOMEAN(Anchor!AE9:AE14),"")</f>
        <v/>
      </c>
      <c r="G10" s="198">
        <f>IFERROR(GEOMEAN(Proposal!AH9:AH14)/GEOMEAN(Anchor!AH9:AH14),"")</f>
        <v/>
      </c>
      <c r="H10" s="198">
        <f>IFERROR(GEOMEAN(Proposal!AF9:AF14)/GEOMEAN(Anchor!AF9:AF14),"")</f>
        <v/>
      </c>
      <c r="I10" s="198">
        <f>IFERROR(GEOMEAN(Proposal!AI9:AI14)/GEOMEAN(Anchor!AI9:AI14),"")</f>
        <v/>
      </c>
      <c r="J10" s="198">
        <f>IFERROR(GEOMEAN(Proposal!AG9:AG14)/GEOMEAN(Anchor!AG9:AG14),"")</f>
        <v/>
      </c>
      <c r="K10" s="198">
        <f>IFERROR(GEOMEAN(Proposal!AJ9:AJ14)/GEOMEAN(Anchor!AJ9:AJ14),"")</f>
        <v/>
      </c>
      <c r="L10" s="198">
        <f>IFERROR(GEOMEAN(Proposal!AK9:AK14)/GEOMEAN(Anchor!AK9:AK14),"")</f>
        <v/>
      </c>
      <c r="M10" s="199">
        <f>IFERROR(GEOMEAN(Proposal!AL9:AL14)/GEOMEAN(Anchor!AL9:AL14),"")</f>
        <v/>
      </c>
    </row>
    <row r="11" hidden="1" ht="15.75" customHeight="1">
      <c r="B11" s="42">
        <f>Anchor!C15</f>
        <v/>
      </c>
      <c r="C11" s="198">
        <f>IFERROR(bdRateExtend(Anchor!K15:K20,Anchor!T15:T20,Proposal!K15:K20,Proposal!T15:T20),"")</f>
        <v/>
      </c>
      <c r="D11" s="198">
        <f>IFERROR(bdRateExtend(Anchor!K15:K20,Anchor!U15:U20,Proposal!K15:K20,Proposal!U15:U20),"")</f>
        <v/>
      </c>
      <c r="E11" s="198">
        <f>IFERROR(bdRateExtend(Anchor!K15:K20,Anchor!V15:V20,Proposal!K15:K20,Proposal!V15:V20),"")</f>
        <v/>
      </c>
      <c r="F11" s="198">
        <f>IFERROR(GEOMEAN(Proposal!AE15:AE20)/GEOMEAN(Anchor!AE15:AE20),"")</f>
        <v/>
      </c>
      <c r="G11" s="198">
        <f>IFERROR(GEOMEAN(Proposal!AH15:AH20)/GEOMEAN(Anchor!AH15:AH20),"")</f>
        <v/>
      </c>
      <c r="H11" s="198">
        <f>IFERROR(GEOMEAN(Proposal!AF15:AF20)/GEOMEAN(Anchor!AF15:AF20),"")</f>
        <v/>
      </c>
      <c r="I11" s="198">
        <f>IFERROR(GEOMEAN(Proposal!AI15:AI20)/GEOMEAN(Anchor!AI15:AI20),"")</f>
        <v/>
      </c>
      <c r="J11" s="198">
        <f>IFERROR(GEOMEAN(Proposal!AG15:AG20)/GEOMEAN(Anchor!AG15:AG20),"")</f>
        <v/>
      </c>
      <c r="K11" s="198">
        <f>IFERROR(GEOMEAN(Proposal!AJ15:AJ20)/GEOMEAN(Anchor!AJ15:AJ20),"")</f>
        <v/>
      </c>
      <c r="L11" s="198">
        <f>IFERROR(GEOMEAN(Proposal!AK15:AK20)/GEOMEAN(Anchor!AK15:AK20),"")</f>
        <v/>
      </c>
      <c r="M11" s="199">
        <f>IFERROR(GEOMEAN(Proposal!AL15:AL20)/GEOMEAN(Anchor!AL15:AL20),"")</f>
        <v/>
      </c>
    </row>
    <row r="12" hidden="1" ht="15.75" customHeight="1">
      <c r="B12" s="42">
        <f>Anchor!C21</f>
        <v/>
      </c>
      <c r="C12" s="198">
        <f>IFERROR(bdRateExtend(Anchor!K21:K26,Anchor!T21:T26,Proposal!K21:K26,Proposal!T21:T26),"")</f>
        <v/>
      </c>
      <c r="D12" s="198">
        <f>IFERROR(bdRateExtend(Anchor!K21:K26,Anchor!U21:U26,Proposal!K21:K26,Proposal!U21:U26),"")</f>
        <v/>
      </c>
      <c r="E12" s="198">
        <f>IFERROR(bdRateExtend(Anchor!K21:K26,Anchor!V21:V26,Proposal!K21:K26,Proposal!V21:V26),"")</f>
        <v/>
      </c>
      <c r="F12" s="198">
        <f>IFERROR(GEOMEAN(Proposal!AE21:AE26)/GEOMEAN(Anchor!AE21:AE26),"")</f>
        <v/>
      </c>
      <c r="G12" s="198">
        <f>IFERROR(GEOMEAN(Proposal!AH21:AH26)/GEOMEAN(Anchor!AH21:AH26),"")</f>
        <v/>
      </c>
      <c r="H12" s="198">
        <f>IFERROR(GEOMEAN(Proposal!AF21:AF26)/GEOMEAN(Anchor!AF21:AF26),"")</f>
        <v/>
      </c>
      <c r="I12" s="198">
        <f>IFERROR(GEOMEAN(Proposal!AI21:AI26)/GEOMEAN(Anchor!AI21:AI26),"")</f>
        <v/>
      </c>
      <c r="J12" s="198">
        <f>IFERROR(GEOMEAN(Proposal!AG21:AG26)/GEOMEAN(Anchor!AG21:AG26),"")</f>
        <v/>
      </c>
      <c r="K12" s="198">
        <f>IFERROR(GEOMEAN(Proposal!AJ21:AJ26)/GEOMEAN(Anchor!AJ21:AJ26),"")</f>
        <v/>
      </c>
      <c r="L12" s="198">
        <f>IFERROR(GEOMEAN(Proposal!AK21:AK26)/GEOMEAN(Anchor!AK21:AK26),"")</f>
        <v/>
      </c>
      <c r="M12" s="199">
        <f>IFERROR(GEOMEAN(Proposal!AL21:AL26)/GEOMEAN(Anchor!AL21:AL26),"")</f>
        <v/>
      </c>
    </row>
    <row r="13" hidden="1" ht="15.75" customHeight="1">
      <c r="B13" s="42">
        <f>Anchor!C27</f>
        <v/>
      </c>
      <c r="C13" s="198">
        <f>IFERROR(bdRateExtend(Anchor!K27:K32,Anchor!T27:T32,Proposal!K27:K32,Proposal!T27:T32),"")</f>
        <v/>
      </c>
      <c r="D13" s="198">
        <f>IFERROR(bdRateExtend(Anchor!K27:K32,Anchor!U27:U32,Proposal!K27:K32,Proposal!U27:U32),"")</f>
        <v/>
      </c>
      <c r="E13" s="198">
        <f>IFERROR(bdRateExtend(Anchor!K27:K32,Anchor!V27:V32,Proposal!K27:K32,Proposal!V27:V32),"")</f>
        <v/>
      </c>
      <c r="F13" s="198">
        <f>IFERROR(GEOMEAN(Proposal!AE27:AE32)/GEOMEAN(Anchor!AE27:AE32),"")</f>
        <v/>
      </c>
      <c r="G13" s="198">
        <f>IFERROR(GEOMEAN(Proposal!AH27:AH32)/GEOMEAN(Anchor!AH27:AH32),"")</f>
        <v/>
      </c>
      <c r="H13" s="198">
        <f>IFERROR(GEOMEAN(Proposal!AF27:AF32)/GEOMEAN(Anchor!AF27:AF32),"")</f>
        <v/>
      </c>
      <c r="I13" s="198">
        <f>IFERROR(GEOMEAN(Proposal!AI27:AI32)/GEOMEAN(Anchor!AI27:AI32),"")</f>
        <v/>
      </c>
      <c r="J13" s="198">
        <f>IFERROR(GEOMEAN(Proposal!AG27:AG32)/GEOMEAN(Anchor!AG27:AG32),"")</f>
        <v/>
      </c>
      <c r="K13" s="198">
        <f>IFERROR(GEOMEAN(Proposal!AJ27:AJ32)/GEOMEAN(Anchor!AJ27:AJ32),"")</f>
        <v/>
      </c>
      <c r="L13" s="198">
        <f>IFERROR(GEOMEAN(Proposal!AK27:AK32)/GEOMEAN(Anchor!AK27:AK32),"")</f>
        <v/>
      </c>
      <c r="M13" s="199">
        <f>IFERROR(GEOMEAN(Proposal!AL27:AL32)/GEOMEAN(Anchor!AL27:AL32),"")</f>
        <v/>
      </c>
    </row>
    <row r="14" hidden="1" ht="15.75" customHeight="1">
      <c r="B14" s="42">
        <f>Anchor!C33</f>
        <v/>
      </c>
      <c r="C14" s="198">
        <f>IFERROR(bdRateExtend(Anchor!K33:K38,Anchor!T33:T38,Proposal!K33:K38,Proposal!T33:T38),"")</f>
        <v/>
      </c>
      <c r="D14" s="198">
        <f>IFERROR(bdRateExtend(Anchor!K33:K38,Anchor!U33:U38,Proposal!K33:K38,Proposal!U33:U38),"")</f>
        <v/>
      </c>
      <c r="E14" s="198">
        <f>IFERROR(bdRateExtend(Anchor!K33:K38,Anchor!V33:V38,Proposal!K33:K38,Proposal!V33:V38),"")</f>
        <v/>
      </c>
      <c r="F14" s="198">
        <f>IFERROR(GEOMEAN(Proposal!AE33:AE38)/GEOMEAN(Anchor!AE33:AE38),"")</f>
        <v/>
      </c>
      <c r="G14" s="198">
        <f>IFERROR(GEOMEAN(Proposal!AH33:AH38)/GEOMEAN(Anchor!AH33:AH38),"")</f>
        <v/>
      </c>
      <c r="H14" s="198">
        <f>IFERROR(GEOMEAN(Proposal!AF33:AF38)/GEOMEAN(Anchor!AF33:AF38),"")</f>
        <v/>
      </c>
      <c r="I14" s="198">
        <f>IFERROR(GEOMEAN(Proposal!AI33:AI38)/GEOMEAN(Anchor!AI33:AI38),"")</f>
        <v/>
      </c>
      <c r="J14" s="198">
        <f>IFERROR(GEOMEAN(Proposal!AG33:AG38)/GEOMEAN(Anchor!AG33:AG38),"")</f>
        <v/>
      </c>
      <c r="K14" s="198">
        <f>IFERROR(GEOMEAN(Proposal!AJ33:AJ38)/GEOMEAN(Anchor!AJ33:AJ38),"")</f>
        <v/>
      </c>
      <c r="L14" s="198">
        <f>IFERROR(GEOMEAN(Proposal!AK33:AK38)/GEOMEAN(Anchor!AK33:AK38),"")</f>
        <v/>
      </c>
      <c r="M14" s="199">
        <f>IFERROR(GEOMEAN(Proposal!AL33:AL38)/GEOMEAN(Anchor!AL33:AL38),"")</f>
        <v/>
      </c>
    </row>
    <row r="15" hidden="1" ht="15.75" customHeight="1">
      <c r="B15" s="42">
        <f>Anchor!C39</f>
        <v/>
      </c>
      <c r="C15" s="198">
        <f>IFERROR(bdRateExtend(Anchor!K39:K44,Anchor!T39:T44,Proposal!K39:K44,Proposal!T39:T44),"")</f>
        <v/>
      </c>
      <c r="D15" s="198">
        <f>IFERROR(bdRateExtend(Anchor!K39:K44,Anchor!U39:U44,Proposal!K39:K44,Proposal!U39:U44),"")</f>
        <v/>
      </c>
      <c r="E15" s="198">
        <f>IFERROR(bdRateExtend(Anchor!K39:K44,Anchor!V39:V44,Proposal!K39:K44,Proposal!V39:V44),"")</f>
        <v/>
      </c>
      <c r="F15" s="198">
        <f>IFERROR(GEOMEAN(Proposal!AE39:AE44)/GEOMEAN(Anchor!AE39:AE44),"")</f>
        <v/>
      </c>
      <c r="G15" s="198">
        <f>IFERROR(GEOMEAN(Proposal!AH39:AH44)/GEOMEAN(Anchor!AH39:AH44),"")</f>
        <v/>
      </c>
      <c r="H15" s="198">
        <f>IFERROR(GEOMEAN(Proposal!AF39:AF44)/GEOMEAN(Anchor!AF39:AF44),"")</f>
        <v/>
      </c>
      <c r="I15" s="198">
        <f>IFERROR(GEOMEAN(Proposal!AI39:AI44)/GEOMEAN(Anchor!AI39:AI44),"")</f>
        <v/>
      </c>
      <c r="J15" s="198">
        <f>IFERROR(GEOMEAN(Proposal!AG39:AG44)/GEOMEAN(Anchor!AG39:AG44),"")</f>
        <v/>
      </c>
      <c r="K15" s="198">
        <f>IFERROR(GEOMEAN(Proposal!AJ39:AJ44)/GEOMEAN(Anchor!AJ39:AJ44),"")</f>
        <v/>
      </c>
      <c r="L15" s="198">
        <f>IFERROR(GEOMEAN(Proposal!AK39:AK44)/GEOMEAN(Anchor!AK39:AK44),"")</f>
        <v/>
      </c>
      <c r="M15" s="199">
        <f>IFERROR(GEOMEAN(Proposal!AL39:AL44)/GEOMEAN(Anchor!AL39:AL44),"")</f>
        <v/>
      </c>
    </row>
    <row r="16" hidden="1" ht="15.75" customHeight="1">
      <c r="B16" s="42">
        <f>Anchor!C45</f>
        <v/>
      </c>
      <c r="C16" s="198">
        <f>IFERROR(bdRateExtend(Anchor!K45:K50,Anchor!T45:T50,Proposal!K45:K50,Proposal!T45:T50),"")</f>
        <v/>
      </c>
      <c r="D16" s="198">
        <f>IFERROR(bdRateExtend(Anchor!K45:K50,Anchor!U45:U50,Proposal!K45:K50,Proposal!U45:U50),"")</f>
        <v/>
      </c>
      <c r="E16" s="198">
        <f>IFERROR(bdRateExtend(Anchor!K45:K50,Anchor!V45:V50,Proposal!K45:K50,Proposal!V45:V50),"")</f>
        <v/>
      </c>
      <c r="F16" s="198">
        <f>IFERROR(GEOMEAN(Proposal!AE45:AE50)/GEOMEAN(Anchor!AE45:AE50),"")</f>
        <v/>
      </c>
      <c r="G16" s="198">
        <f>IFERROR(GEOMEAN(Proposal!AH45:AH50)/GEOMEAN(Anchor!AH45:AH50),"")</f>
        <v/>
      </c>
      <c r="H16" s="198">
        <f>IFERROR(GEOMEAN(Proposal!AF45:AF50)/GEOMEAN(Anchor!AF45:AF50),"")</f>
        <v/>
      </c>
      <c r="I16" s="198">
        <f>IFERROR(GEOMEAN(Proposal!AI45:AI50)/GEOMEAN(Anchor!AI45:AI50),"")</f>
        <v/>
      </c>
      <c r="J16" s="198">
        <f>IFERROR(GEOMEAN(Proposal!AG45:AG50)/GEOMEAN(Anchor!AG45:AG50),"")</f>
        <v/>
      </c>
      <c r="K16" s="198">
        <f>IFERROR(GEOMEAN(Proposal!AJ45:AJ50)/GEOMEAN(Anchor!AJ45:AJ50),"")</f>
        <v/>
      </c>
      <c r="L16" s="198">
        <f>IFERROR(GEOMEAN(Proposal!AK45:AK50)/GEOMEAN(Anchor!AK45:AK50),"")</f>
        <v/>
      </c>
      <c r="M16" s="199">
        <f>IFERROR(GEOMEAN(Proposal!AL45:AL50)/GEOMEAN(Anchor!AL45:AL50),"")</f>
        <v/>
      </c>
    </row>
    <row r="17" hidden="1" ht="15.75" customHeight="1" thickBot="1">
      <c r="B17" s="63">
        <f>Anchor!C51</f>
        <v/>
      </c>
      <c r="C17" s="204">
        <f>IFERROR(bdRateExtend(Anchor!K51:K56,Anchor!T51:T56,Proposal!K51:K56,Proposal!T51:T56),"")</f>
        <v/>
      </c>
      <c r="D17" s="204">
        <f>IFERROR(bdRateExtend(Anchor!K51:K56,Anchor!U51:U56,Proposal!K51:K56,Proposal!U51:U56),"")</f>
        <v/>
      </c>
      <c r="E17" s="204">
        <f>IFERROR(bdRateExtend(Anchor!K51:K56,Anchor!V51:V56,Proposal!K51:K56,Proposal!V51:V56),"")</f>
        <v/>
      </c>
      <c r="F17" s="204">
        <f>IFERROR(GEOMEAN(Proposal!AE51:AE56)/GEOMEAN(Anchor!AE51:AE56),"")</f>
        <v/>
      </c>
      <c r="G17" s="204">
        <f>IFERROR(GEOMEAN(Proposal!AH51:AH56)/GEOMEAN(Anchor!AH51:AH56),"")</f>
        <v/>
      </c>
      <c r="H17" s="204">
        <f>IFERROR(GEOMEAN(Proposal!AF51:AF56)/GEOMEAN(Anchor!AF51:AF56),"")</f>
        <v/>
      </c>
      <c r="I17" s="204">
        <f>IFERROR(GEOMEAN(Proposal!AI51:AI56)/GEOMEAN(Anchor!AI51:AI56),"")</f>
        <v/>
      </c>
      <c r="J17" s="204">
        <f>IFERROR(GEOMEAN(Proposal!AG51:AG56)/GEOMEAN(Anchor!AG51:AG56),"")</f>
        <v/>
      </c>
      <c r="K17" s="204">
        <f>IFERROR(GEOMEAN(Proposal!AJ51:AJ56)/GEOMEAN(Anchor!AJ51:AJ56),"")</f>
        <v/>
      </c>
      <c r="L17" s="204">
        <f>IFERROR(GEOMEAN(Proposal!AK51:AK56)/GEOMEAN(Anchor!AK51:AK56),"")</f>
        <v/>
      </c>
      <c r="M17" s="205">
        <f>IFERROR(GEOMEAN(Proposal!AL51:AL56)/GEOMEAN(Anchor!AL51:AL56),"")</f>
        <v/>
      </c>
    </row>
    <row r="18" hidden="1" ht="15.75" customHeight="1" thickBot="1">
      <c r="B18" s="45" t="inlineStr">
        <is>
          <t>Average</t>
        </is>
      </c>
      <c r="C18" s="200">
        <f>IF(_xlfn.AGGREGATE(2,6,C9:C17)=0,"",_xlfn.AGGREGATE(1,6,C9:C17))</f>
        <v/>
      </c>
      <c r="D18" s="200">
        <f>IF(_xlfn.AGGREGATE(2,6,D9:D17)=0,"",_xlfn.AGGREGATE(1,6,D9:D17))</f>
        <v/>
      </c>
      <c r="E18" s="200">
        <f>IF(_xlfn.AGGREGATE(2,6,E9:E17)=0,"",_xlfn.AGGREGATE(1,6,E9:E17))</f>
        <v/>
      </c>
      <c r="F18" s="200">
        <f>IF(_xlfn.AGGREGATE(2,6,F9:F17)=0,"",_xlfn.AGGREGATE(1,6,F9:F17))</f>
        <v/>
      </c>
      <c r="G18" s="200">
        <f>IF(_xlfn.AGGREGATE(2,6,G9:G17)=0,"",_xlfn.AGGREGATE(1,6,G9:G17))</f>
        <v/>
      </c>
      <c r="H18" s="200">
        <f>IF(_xlfn.AGGREGATE(2,6,H9:H17)=0,"",_xlfn.AGGREGATE(1,6,H9:H17))</f>
        <v/>
      </c>
      <c r="I18" s="200">
        <f>IF(_xlfn.AGGREGATE(2,6,I9:I17)=0,"",_xlfn.AGGREGATE(1,6,I9:I17))</f>
        <v/>
      </c>
      <c r="J18" s="200">
        <f>IF(_xlfn.AGGREGATE(2,6,J9:J17)=0,"",_xlfn.AGGREGATE(1,6,J9:J17))</f>
        <v/>
      </c>
      <c r="K18" s="200">
        <f>IF(_xlfn.AGGREGATE(2,6,K9:K17)=0,"",_xlfn.AGGREGATE(1,6,K9:K17))</f>
        <v/>
      </c>
      <c r="L18" s="200">
        <f>IF(_xlfn.AGGREGATE(2,6,L9:L17)=0,"",_xlfn.AGGREGATE(1,6,L9:L17))</f>
        <v/>
      </c>
      <c r="M18" s="201">
        <f>IF(_xlfn.AGGREGATE(2,6,M9:M17)=0,"",_xlfn.AGGREGATE(1,6,M9:M17))</f>
        <v/>
      </c>
    </row>
    <row r="19" ht="15.75" customHeight="1">
      <c r="B19" s="31" t="n"/>
      <c r="C19" s="198" t="n"/>
      <c r="D19" s="198" t="n"/>
      <c r="E19" s="198" t="n"/>
      <c r="F19" s="198" t="n"/>
      <c r="G19" s="198" t="n"/>
      <c r="H19" s="198" t="n"/>
      <c r="I19" s="198" t="n"/>
      <c r="J19" s="198" t="n"/>
      <c r="K19" s="198" t="n"/>
      <c r="L19" s="198" t="n"/>
      <c r="M19" s="198" t="n"/>
    </row>
    <row r="20" ht="15.75" customHeight="1" thickBot="1">
      <c r="B20" s="138" t="inlineStr">
        <is>
          <t>1F: Forward facing sequences</t>
        </is>
      </c>
      <c r="C20" s="10" t="n"/>
      <c r="D20" s="10" t="n"/>
      <c r="E20" s="10" t="n"/>
      <c r="F20" s="10" t="n"/>
      <c r="G20" s="10" t="n"/>
      <c r="H20" s="10" t="n"/>
      <c r="I20" s="10" t="n"/>
      <c r="J20" s="10" t="n"/>
      <c r="K20" s="10" t="n"/>
      <c r="L20" s="10" t="n"/>
      <c r="M20" s="10" t="n"/>
    </row>
    <row r="21" ht="33" customHeight="1" thickBot="1">
      <c r="B21" s="46" t="inlineStr">
        <is>
          <t>Sequence</t>
        </is>
      </c>
      <c r="C21" s="49" t="inlineStr">
        <is>
          <t>BD-rate
RGB-PSNR</t>
        </is>
      </c>
      <c r="D21" s="49" t="inlineStr">
        <is>
          <t>BD-rate
YUV-PSNR</t>
        </is>
      </c>
      <c r="E21" s="49" t="inlineStr">
        <is>
          <t>BD-rate
YUV-SSIM</t>
        </is>
      </c>
      <c r="F21" s="49" t="inlineStr">
        <is>
          <t>EncT Total</t>
        </is>
      </c>
      <c r="G21" s="49" t="inlineStr">
        <is>
          <t>DecT Total</t>
        </is>
      </c>
      <c r="H21" s="49" t="inlineStr">
        <is>
          <t>EncT Geometry</t>
        </is>
      </c>
      <c r="I21" s="49" t="inlineStr">
        <is>
          <t>DecT Geometry</t>
        </is>
      </c>
      <c r="J21" s="49" t="inlineStr">
        <is>
          <t>EncT Attributes</t>
        </is>
      </c>
      <c r="K21" s="49" t="inlineStr">
        <is>
          <t>DecT Attributes</t>
        </is>
      </c>
      <c r="L21" s="49" t="inlineStr">
        <is>
          <t>MaxRSS Encoder</t>
        </is>
      </c>
      <c r="M21" s="50" t="inlineStr">
        <is>
          <t>MaxRSS Decoder</t>
        </is>
      </c>
    </row>
    <row r="22" ht="15.75" customHeight="1">
      <c r="B22" s="60">
        <f>Anchor!C57</f>
        <v/>
      </c>
      <c r="C22" s="202">
        <f>IFERROR(bdRateExtend(Anchor!K57:K62,Anchor!T57:T62,Proposal!K57:K62,Proposal!T57:T62),"")</f>
        <v/>
      </c>
      <c r="D22" s="202">
        <f>IFERROR(bdRateExtend(Anchor!K57:K62,Anchor!U57:U62,Proposal!K57:K62,Proposal!U57:U62),"")</f>
        <v/>
      </c>
      <c r="E22" s="202">
        <f>IFERROR(bdRateExtend(Anchor!K57:K62,Anchor!V57:V62,Proposal!K57:K62,Proposal!V57:V62),"")</f>
        <v/>
      </c>
      <c r="F22" s="202">
        <f>IFERROR(GEOMEAN(Proposal!AE57:AE62)/GEOMEAN(Anchor!AE57:AE62),"")</f>
        <v/>
      </c>
      <c r="G22" s="202">
        <f>IFERROR(GEOMEAN(Proposal!AH57:AH62)/GEOMEAN(Anchor!AH57:AH62),"")</f>
        <v/>
      </c>
      <c r="H22" s="202">
        <f>IFERROR(GEOMEAN(Proposal!AF57:AF62)/GEOMEAN(Anchor!AF57:AF62),"")</f>
        <v/>
      </c>
      <c r="I22" s="202">
        <f>IFERROR(GEOMEAN(Proposal!AI57:AI62)/GEOMEAN(Anchor!AI57:AI62),"")</f>
        <v/>
      </c>
      <c r="J22" s="202">
        <f>IFERROR(GEOMEAN(Proposal!AG57:AG62)/GEOMEAN(Anchor!AG57:AG62),"")</f>
        <v/>
      </c>
      <c r="K22" s="202">
        <f>IFERROR(GEOMEAN(Proposal!AJ57:AJ62)/GEOMEAN(Anchor!AJ57:AJ62),"")</f>
        <v/>
      </c>
      <c r="L22" s="202">
        <f>IFERROR(GEOMEAN(Proposal!AK57:AK62)/GEOMEAN(Anchor!AK57:AK62),"")</f>
        <v/>
      </c>
      <c r="M22" s="203">
        <f>IFERROR(GEOMEAN(Proposal!AL57:AL62)/GEOMEAN(Anchor!AL57:AL62),"")</f>
        <v/>
      </c>
    </row>
    <row r="23" ht="15.75" customHeight="1">
      <c r="A23" s="137" t="n"/>
      <c r="B23" s="47">
        <f>Anchor!C63</f>
        <v/>
      </c>
      <c r="C23" s="198">
        <f>IFERROR(bdRateExtend(Anchor!K63:K68,Anchor!T63:T68,Proposal!K63:K68,Proposal!T63:T68),"")</f>
        <v/>
      </c>
      <c r="D23" s="198">
        <f>IFERROR(bdRateExtend(Anchor!K63:K68,Anchor!U63:U68,Proposal!K63:K68,Proposal!U63:U68),"")</f>
        <v/>
      </c>
      <c r="E23" s="198">
        <f>IFERROR(bdRateExtend(Anchor!K63:K68,Anchor!V63:V68,Proposal!K63:K68,Proposal!V63:V68),"")</f>
        <v/>
      </c>
      <c r="F23" s="198">
        <f>IFERROR(GEOMEAN(Proposal!AE63:AE68)/GEOMEAN(Anchor!AE63:AE68),"")</f>
        <v/>
      </c>
      <c r="G23" s="198">
        <f>IFERROR(GEOMEAN(Proposal!AH63:AH68)/GEOMEAN(Anchor!AH63:AH68),"")</f>
        <v/>
      </c>
      <c r="H23" s="198">
        <f>IFERROR(GEOMEAN(Proposal!AF63:AF68)/GEOMEAN(Anchor!AF63:AF68),"")</f>
        <v/>
      </c>
      <c r="I23" s="198">
        <f>IFERROR(GEOMEAN(Proposal!AI63:AI68)/GEOMEAN(Anchor!AI63:AI68),"")</f>
        <v/>
      </c>
      <c r="J23" s="198">
        <f>IFERROR(GEOMEAN(Proposal!AG63:AG68)/GEOMEAN(Anchor!AG63:AG68),"")</f>
        <v/>
      </c>
      <c r="K23" s="198">
        <f>IFERROR(GEOMEAN(Proposal!AJ63:AJ68)/GEOMEAN(Anchor!AJ63:AJ68),"")</f>
        <v/>
      </c>
      <c r="L23" s="198">
        <f>IFERROR(GEOMEAN(Proposal!AK63:AK68)/GEOMEAN(Anchor!AK63:AK68),"")</f>
        <v/>
      </c>
      <c r="M23" s="199">
        <f>IFERROR(GEOMEAN(Proposal!AL63:AL68)/GEOMEAN(Anchor!AL63:AL68),"")</f>
        <v/>
      </c>
    </row>
    <row r="24" ht="15.75" customHeight="1">
      <c r="B24" s="47">
        <f>Anchor!C69</f>
        <v/>
      </c>
      <c r="C24" s="198">
        <f>IFERROR(bdRateExtend(Anchor!K69:K74,Anchor!T69:T74,Proposal!K69:K74,Proposal!T69:T74),"")</f>
        <v/>
      </c>
      <c r="D24" s="198">
        <f>IFERROR(bdRateExtend(Anchor!K69:K74,Anchor!U69:U74,Proposal!K69:K74,Proposal!U69:U74),"")</f>
        <v/>
      </c>
      <c r="E24" s="198">
        <f>IFERROR(bdRateExtend(Anchor!K69:K74,Anchor!V69:V74,Proposal!K69:K74,Proposal!V69:V74),"")</f>
        <v/>
      </c>
      <c r="F24" s="198">
        <f>IFERROR(GEOMEAN(Proposal!AE69:AE74)/GEOMEAN(Anchor!AE69:AE74),"")</f>
        <v/>
      </c>
      <c r="G24" s="198">
        <f>IFERROR(GEOMEAN(Proposal!AH69:AH74)/GEOMEAN(Anchor!AH69:AH74),"")</f>
        <v/>
      </c>
      <c r="H24" s="198">
        <f>IFERROR(GEOMEAN(Proposal!AF69:AF74)/GEOMEAN(Anchor!AF69:AF74),"")</f>
        <v/>
      </c>
      <c r="I24" s="198">
        <f>IFERROR(GEOMEAN(Proposal!AI69:AI74)/GEOMEAN(Anchor!AI69:AI74),"")</f>
        <v/>
      </c>
      <c r="J24" s="198">
        <f>IFERROR(GEOMEAN(Proposal!AG69:AG74)/GEOMEAN(Anchor!AG69:AG74),"")</f>
        <v/>
      </c>
      <c r="K24" s="198">
        <f>IFERROR(GEOMEAN(Proposal!AJ69:AJ74)/GEOMEAN(Anchor!AJ69:AJ74),"")</f>
        <v/>
      </c>
      <c r="L24" s="198">
        <f>IFERROR(GEOMEAN(Proposal!AK69:AK74)/GEOMEAN(Anchor!AK69:AK74),"")</f>
        <v/>
      </c>
      <c r="M24" s="199">
        <f>IFERROR(GEOMEAN(Proposal!AL69:AL74)/GEOMEAN(Anchor!AL69:AL74),"")</f>
        <v/>
      </c>
    </row>
    <row r="25" ht="15.75" customHeight="1">
      <c r="B25" s="47">
        <f>Anchor!C75</f>
        <v/>
      </c>
      <c r="C25" s="198">
        <f>IFERROR(bdRateExtend(Anchor!K75:K80,Anchor!T75:T80,Proposal!K75:K80,Proposal!T75:T80),"")</f>
        <v/>
      </c>
      <c r="D25" s="198">
        <f>IFERROR(bdRateExtend(Anchor!K75:K80,Anchor!U75:U80,Proposal!K75:K80,Proposal!U75:U80),"")</f>
        <v/>
      </c>
      <c r="E25" s="198">
        <f>IFERROR(bdRateExtend(Anchor!K75:K80,Anchor!V75:V80,Proposal!K75:K80,Proposal!V75:V80),"")</f>
        <v/>
      </c>
      <c r="F25" s="198">
        <f>IFERROR(GEOMEAN(Proposal!AE75:AE80)/GEOMEAN(Anchor!AE75:AE80),"")</f>
        <v/>
      </c>
      <c r="G25" s="198">
        <f>IFERROR(GEOMEAN(Proposal!AH75:AH80)/GEOMEAN(Anchor!AH75:AH80),"")</f>
        <v/>
      </c>
      <c r="H25" s="198">
        <f>IFERROR(GEOMEAN(Proposal!AF75:AF80)/GEOMEAN(Anchor!AF75:AF80),"")</f>
        <v/>
      </c>
      <c r="I25" s="198">
        <f>IFERROR(GEOMEAN(Proposal!AI75:AI80)/GEOMEAN(Anchor!AI75:AI80),"")</f>
        <v/>
      </c>
      <c r="J25" s="198">
        <f>IFERROR(GEOMEAN(Proposal!AG75:AG80)/GEOMEAN(Anchor!AG75:AG80),"")</f>
        <v/>
      </c>
      <c r="K25" s="198">
        <f>IFERROR(GEOMEAN(Proposal!AJ75:AJ80)/GEOMEAN(Anchor!AJ75:AJ80),"")</f>
        <v/>
      </c>
      <c r="L25" s="198">
        <f>IFERROR(GEOMEAN(Proposal!AK75:AK80)/GEOMEAN(Anchor!AK75:AK80),"")</f>
        <v/>
      </c>
      <c r="M25" s="199">
        <f>IFERROR(GEOMEAN(Proposal!AL75:AL80)/GEOMEAN(Anchor!AL75:AL80),"")</f>
        <v/>
      </c>
    </row>
    <row r="26" ht="15.6" customHeight="1">
      <c r="B26" s="47">
        <f>Anchor!C81</f>
        <v/>
      </c>
      <c r="C26" s="198">
        <f>IFERROR(bdRateExtend(Anchor!K81:K86,Anchor!T81:T86,Proposal!K81:K86,Proposal!T81:T86),"")</f>
        <v/>
      </c>
      <c r="D26" s="198">
        <f>IFERROR(bdRateExtend(Anchor!K81:K86,Anchor!U81:U86,Proposal!K81:K86,Proposal!U81:U86),"")</f>
        <v/>
      </c>
      <c r="E26" s="198">
        <f>IFERROR(bdRateExtend(Anchor!K81:K86,Anchor!V81:V86,Proposal!K81:K86,Proposal!V81:V86),"")</f>
        <v/>
      </c>
      <c r="F26" s="198">
        <f>IFERROR(GEOMEAN(Proposal!AE81:AE86)/GEOMEAN(Anchor!AE81:AE86),"")</f>
        <v/>
      </c>
      <c r="G26" s="198">
        <f>IFERROR(GEOMEAN(Proposal!AH81:AH86)/GEOMEAN(Anchor!AH81:AH86),"")</f>
        <v/>
      </c>
      <c r="H26" s="198">
        <f>IFERROR(GEOMEAN(Proposal!AF81:AF86)/GEOMEAN(Anchor!AF81:AF86),"")</f>
        <v/>
      </c>
      <c r="I26" s="198">
        <f>IFERROR(GEOMEAN(Proposal!AI81:AI86)/GEOMEAN(Anchor!AI81:AI86),"")</f>
        <v/>
      </c>
      <c r="J26" s="198">
        <f>IFERROR(GEOMEAN(Proposal!AG81:AG86)/GEOMEAN(Anchor!AG81:AG86),"")</f>
        <v/>
      </c>
      <c r="K26" s="198">
        <f>IFERROR(GEOMEAN(Proposal!AJ81:AJ86)/GEOMEAN(Anchor!AJ81:AJ86),"")</f>
        <v/>
      </c>
      <c r="L26" s="198">
        <f>IFERROR(GEOMEAN(Proposal!AK81:AK86)/GEOMEAN(Anchor!AK81:AK86),"")</f>
        <v/>
      </c>
      <c r="M26" s="199">
        <f>IFERROR(GEOMEAN(Proposal!AL81:AL86)/GEOMEAN(Anchor!AL81:AL86),"")</f>
        <v/>
      </c>
    </row>
    <row r="27" ht="15.6" customHeight="1">
      <c r="A27" s="137" t="n"/>
      <c r="B27" s="47">
        <f>Anchor!C87</f>
        <v/>
      </c>
      <c r="C27" s="198">
        <f>IFERROR(bdRateExtend(Anchor!K87:K92,Anchor!T87:T92,Proposal!K87:K92,Proposal!T87:T92),"")</f>
        <v/>
      </c>
      <c r="D27" s="198">
        <f>IFERROR(bdRateExtend(Anchor!K87:K92,Anchor!U87:U92,Proposal!K87:K92,Proposal!U87:U92),"")</f>
        <v/>
      </c>
      <c r="E27" s="198">
        <f>IFERROR(bdRateExtend(Anchor!K87:K92,Anchor!V87:V92,Proposal!K87:K92,Proposal!V87:V92),"")</f>
        <v/>
      </c>
      <c r="F27" s="198">
        <f>IFERROR(GEOMEAN(Proposal!AE87:AE92)/GEOMEAN(Anchor!AE87:AE92),"")</f>
        <v/>
      </c>
      <c r="G27" s="198">
        <f>IFERROR(GEOMEAN(Proposal!AH87:AH92)/GEOMEAN(Anchor!AH87:AH92),"")</f>
        <v/>
      </c>
      <c r="H27" s="198">
        <f>IFERROR(GEOMEAN(Proposal!AF87:AF92)/GEOMEAN(Anchor!AF87:AF92),"")</f>
        <v/>
      </c>
      <c r="I27" s="198">
        <f>IFERROR(GEOMEAN(Proposal!AI87:AI92)/GEOMEAN(Anchor!AI87:AI92),"")</f>
        <v/>
      </c>
      <c r="J27" s="198">
        <f>IFERROR(GEOMEAN(Proposal!AG87:AG92)/GEOMEAN(Anchor!AG87:AG92),"")</f>
        <v/>
      </c>
      <c r="K27" s="198">
        <f>IFERROR(GEOMEAN(Proposal!AJ87:AJ92)/GEOMEAN(Anchor!AJ87:AJ92),"")</f>
        <v/>
      </c>
      <c r="L27" s="198">
        <f>IFERROR(GEOMEAN(Proposal!AK87:AK92)/GEOMEAN(Anchor!AK87:AK92),"")</f>
        <v/>
      </c>
      <c r="M27" s="199">
        <f>IFERROR(GEOMEAN(Proposal!AL87:AL92)/GEOMEAN(Anchor!AL87:AL92),"")</f>
        <v/>
      </c>
    </row>
    <row r="28" ht="15.6" customHeight="1">
      <c r="B28" s="47">
        <f>Anchor!C93</f>
        <v/>
      </c>
      <c r="C28" s="198">
        <f>IFERROR(bdRateExtend(Anchor!K93:K98,Anchor!T93:T98,Proposal!K93:K98,Proposal!T93:T98),"")</f>
        <v/>
      </c>
      <c r="D28" s="198">
        <f>IFERROR(bdRateExtend(Anchor!K93:K98,Anchor!U93:U98,Proposal!K93:K98,Proposal!U93:U98),"")</f>
        <v/>
      </c>
      <c r="E28" s="198">
        <f>IFERROR(bdRateExtend(Anchor!K93:K98,Anchor!V93:V98,Proposal!K93:K98,Proposal!V93:V98),"")</f>
        <v/>
      </c>
      <c r="F28" s="198">
        <f>IFERROR(GEOMEAN(Proposal!AE93:AE98)/GEOMEAN(Anchor!AE93:AE98),"")</f>
        <v/>
      </c>
      <c r="G28" s="198">
        <f>IFERROR(GEOMEAN(Proposal!AH93:AH98)/GEOMEAN(Anchor!AH93:AH98),"")</f>
        <v/>
      </c>
      <c r="H28" s="198">
        <f>IFERROR(GEOMEAN(Proposal!AF93:AF98)/GEOMEAN(Anchor!AF93:AF98),"")</f>
        <v/>
      </c>
      <c r="I28" s="198">
        <f>IFERROR(GEOMEAN(Proposal!AI93:AI98)/GEOMEAN(Anchor!AI93:AI98),"")</f>
        <v/>
      </c>
      <c r="J28" s="198">
        <f>IFERROR(GEOMEAN(Proposal!AG93:AG98)/GEOMEAN(Anchor!AG93:AG98),"")</f>
        <v/>
      </c>
      <c r="K28" s="198">
        <f>IFERROR(GEOMEAN(Proposal!AJ93:AJ98)/GEOMEAN(Anchor!AJ93:AJ98),"")</f>
        <v/>
      </c>
      <c r="L28" s="198">
        <f>IFERROR(GEOMEAN(Proposal!AK93:AK98)/GEOMEAN(Anchor!AK93:AK98),"")</f>
        <v/>
      </c>
      <c r="M28" s="199">
        <f>IFERROR(GEOMEAN(Proposal!AL93:AL98)/GEOMEAN(Anchor!AL93:AL98),"")</f>
        <v/>
      </c>
    </row>
    <row r="29" ht="16.2" customHeight="1" thickBot="1">
      <c r="B29" s="61">
        <f>Anchor!C99</f>
        <v/>
      </c>
      <c r="C29" s="204">
        <f>IFERROR(bdRateExtend(Anchor!K99:K104,Anchor!T99:T104,Proposal!K99:K104,Proposal!T99:T104),"")</f>
        <v/>
      </c>
      <c r="D29" s="204">
        <f>IFERROR(bdRateExtend(Anchor!K99:K104,Anchor!U99:U104,Proposal!K99:K104,Proposal!U99:U104),"")</f>
        <v/>
      </c>
      <c r="E29" s="204">
        <f>IFERROR(bdRateExtend(Anchor!K99:K104,Anchor!V99:V104,Proposal!K99:K104,Proposal!V99:V104),"")</f>
        <v/>
      </c>
      <c r="F29" s="204">
        <f>IFERROR(GEOMEAN(Proposal!AE99:AE104)/GEOMEAN(Anchor!AE99:AE104),"")</f>
        <v/>
      </c>
      <c r="G29" s="204">
        <f>IFERROR(GEOMEAN(Proposal!AH99:AH104)/GEOMEAN(Anchor!AH99:AH104),"")</f>
        <v/>
      </c>
      <c r="H29" s="204">
        <f>IFERROR(GEOMEAN(Proposal!AF99:AF104)/GEOMEAN(Anchor!AF99:AF104),"")</f>
        <v/>
      </c>
      <c r="I29" s="204">
        <f>IFERROR(GEOMEAN(Proposal!AI99:AI104)/GEOMEAN(Anchor!AI99:AI104),"")</f>
        <v/>
      </c>
      <c r="J29" s="204">
        <f>IFERROR(GEOMEAN(Proposal!AG99:AG104)/GEOMEAN(Anchor!AG99:AG104),"")</f>
        <v/>
      </c>
      <c r="K29" s="204">
        <f>IFERROR(GEOMEAN(Proposal!AJ99:AJ104)/GEOMEAN(Anchor!AJ99:AJ104),"")</f>
        <v/>
      </c>
      <c r="L29" s="204">
        <f>IFERROR(GEOMEAN(Proposal!AK99:AK104)/GEOMEAN(Anchor!AK99:AK104),"")</f>
        <v/>
      </c>
      <c r="M29" s="205">
        <f>IFERROR(GEOMEAN(Proposal!AL99:AL104)/GEOMEAN(Anchor!AL99:AL104),"")</f>
        <v/>
      </c>
    </row>
    <row r="30" ht="16.2" customHeight="1" thickBot="1">
      <c r="B30" s="48" t="inlineStr">
        <is>
          <t>Average</t>
        </is>
      </c>
      <c r="C30" s="200">
        <f>IF(_xlfn.AGGREGATE(2,6,C22:C29)=0,"",_xlfn.AGGREGATE(1,6,C22:C29))</f>
        <v/>
      </c>
      <c r="D30" s="200">
        <f>IF(_xlfn.AGGREGATE(2,6,D22:D29)=0,"",_xlfn.AGGREGATE(1,6,D22:D29))</f>
        <v/>
      </c>
      <c r="E30" s="200">
        <f>IF(_xlfn.AGGREGATE(2,6,E22:E29)=0,"",_xlfn.AGGREGATE(1,6,E22:E29))</f>
        <v/>
      </c>
      <c r="F30" s="200">
        <f>IF(_xlfn.AGGREGATE(2,6,F22:F29)=0,"",_xlfn.AGGREGATE(1,6,F22:F29))</f>
        <v/>
      </c>
      <c r="G30" s="200">
        <f>IF(_xlfn.AGGREGATE(2,6,G22:G29)=0,"",_xlfn.AGGREGATE(1,6,G22:G29))</f>
        <v/>
      </c>
      <c r="H30" s="200">
        <f>IF(_xlfn.AGGREGATE(2,6,H22:H29)=0,"",_xlfn.AGGREGATE(1,6,H22:H29))</f>
        <v/>
      </c>
      <c r="I30" s="200">
        <f>IF(_xlfn.AGGREGATE(2,6,I22:I29)=0,"",_xlfn.AGGREGATE(1,6,I22:I29))</f>
        <v/>
      </c>
      <c r="J30" s="200">
        <f>IF(_xlfn.AGGREGATE(2,6,J22:J29)=0,"",_xlfn.AGGREGATE(1,6,J22:J29))</f>
        <v/>
      </c>
      <c r="K30" s="200">
        <f>IF(_xlfn.AGGREGATE(2,6,K22:K29)=0,"",_xlfn.AGGREGATE(1,6,K22:K29))</f>
        <v/>
      </c>
      <c r="L30" s="200">
        <f>IF(_xlfn.AGGREGATE(2,6,L22:L29)=0,"",_xlfn.AGGREGATE(1,6,L22:L29))</f>
        <v/>
      </c>
      <c r="M30" s="201">
        <f>IF(_xlfn.AGGREGATE(2,6,M22:M29)=0,"",_xlfn.AGGREGATE(1,6,M22:M29))</f>
        <v/>
      </c>
    </row>
    <row r="31" ht="15.6" customHeight="1">
      <c r="B31" s="31" t="n"/>
      <c r="C31" s="198" t="n"/>
      <c r="D31" s="198" t="n"/>
      <c r="E31" s="198" t="n"/>
      <c r="F31" s="198" t="n"/>
      <c r="G31" s="198" t="n"/>
      <c r="H31" s="198" t="n"/>
      <c r="I31" s="198" t="n"/>
      <c r="J31" s="198" t="n"/>
      <c r="K31" s="198" t="n"/>
      <c r="L31" s="198" t="n"/>
      <c r="M31" s="198" t="n"/>
    </row>
    <row r="32" ht="15.75" customHeight="1" thickBot="1">
      <c r="B32" s="138" t="inlineStr">
        <is>
          <t>1F: Object-centric sequences</t>
        </is>
      </c>
      <c r="C32" s="10" t="n"/>
      <c r="D32" s="10" t="n"/>
      <c r="E32" s="10" t="n"/>
      <c r="F32" s="10" t="n"/>
      <c r="G32" s="10" t="n"/>
      <c r="H32" s="10" t="n"/>
      <c r="I32" s="10" t="n"/>
      <c r="J32" s="10" t="n"/>
      <c r="K32" s="10" t="n"/>
      <c r="L32" s="10" t="n"/>
      <c r="M32" s="10" t="n"/>
    </row>
    <row r="33" ht="33" customHeight="1" thickBot="1">
      <c r="B33" s="51" t="inlineStr">
        <is>
          <t>Sequence</t>
        </is>
      </c>
      <c r="C33" s="54" t="inlineStr">
        <is>
          <t>BD-rate
RGB-PSNR</t>
        </is>
      </c>
      <c r="D33" s="54" t="inlineStr">
        <is>
          <t>BD-rate
YUV-PSNR</t>
        </is>
      </c>
      <c r="E33" s="54" t="inlineStr">
        <is>
          <t>BD-rate
YUV-SSIM</t>
        </is>
      </c>
      <c r="F33" s="54" t="inlineStr">
        <is>
          <t>EncT Total</t>
        </is>
      </c>
      <c r="G33" s="54" t="inlineStr">
        <is>
          <t>DecT Total</t>
        </is>
      </c>
      <c r="H33" s="54" t="inlineStr">
        <is>
          <t>EncT Geometry</t>
        </is>
      </c>
      <c r="I33" s="54" t="inlineStr">
        <is>
          <t>DecT Geometry</t>
        </is>
      </c>
      <c r="J33" s="54" t="inlineStr">
        <is>
          <t>EncT Attributes</t>
        </is>
      </c>
      <c r="K33" s="54" t="inlineStr">
        <is>
          <t>DecT Attributes</t>
        </is>
      </c>
      <c r="L33" s="54" t="inlineStr">
        <is>
          <t>MaxRSS Encoder</t>
        </is>
      </c>
      <c r="M33" s="55" t="inlineStr">
        <is>
          <t>MaxRSS Decoder</t>
        </is>
      </c>
    </row>
    <row r="34" ht="15.6" customHeight="1">
      <c r="B34" s="56">
        <f>Anchor!C105</f>
        <v/>
      </c>
      <c r="C34" s="202">
        <f>IFERROR(bdRateExtend(Anchor!K105:K110,Anchor!T105:T110,Proposal!K105:K110,Proposal!T105:T110),"")</f>
        <v/>
      </c>
      <c r="D34" s="202">
        <f>IFERROR(bdRateExtend(Anchor!K105:K110,Anchor!U105:U110,Proposal!K105:K110,Proposal!U105:U110),"")</f>
        <v/>
      </c>
      <c r="E34" s="202">
        <f>IFERROR(bdRateExtend(Anchor!K105:K110,Anchor!V105:V110,Proposal!K105:K110,Proposal!V105:V110),"")</f>
        <v/>
      </c>
      <c r="F34" s="202">
        <f>IFERROR(GEOMEAN(Proposal!AE105:AE110)/GEOMEAN(Anchor!AE105:AE110),"")</f>
        <v/>
      </c>
      <c r="G34" s="202">
        <f>IFERROR(GEOMEAN(Proposal!AH105:AH110)/GEOMEAN(Anchor!AH105:AH110),"")</f>
        <v/>
      </c>
      <c r="H34" s="202">
        <f>IFERROR(GEOMEAN(Proposal!AF105:AF110)/GEOMEAN(Anchor!AF105:AF110),"")</f>
        <v/>
      </c>
      <c r="I34" s="202">
        <f>IFERROR(GEOMEAN(Proposal!AI105:AI110)/GEOMEAN(Anchor!AI105:AI110),"")</f>
        <v/>
      </c>
      <c r="J34" s="202">
        <f>IFERROR(GEOMEAN(Proposal!AG105:AG110)/GEOMEAN(Anchor!AG105:AG110),"")</f>
        <v/>
      </c>
      <c r="K34" s="202">
        <f>IFERROR(GEOMEAN(Proposal!AJ105:AJ110)/GEOMEAN(Anchor!AJ105:AJ110),"")</f>
        <v/>
      </c>
      <c r="L34" s="202">
        <f>IFERROR(GEOMEAN(Proposal!AK105:AK110)/GEOMEAN(Anchor!AK105:AK110),"")</f>
        <v/>
      </c>
      <c r="M34" s="203">
        <f>IFERROR(GEOMEAN(Proposal!AL105:AL110)/GEOMEAN(Anchor!AL105:AL110),"")</f>
        <v/>
      </c>
    </row>
    <row r="35" ht="15.6" customHeight="1">
      <c r="B35" s="52">
        <f>Anchor!C111</f>
        <v/>
      </c>
      <c r="C35" s="198">
        <f>IFERROR(bdRateExtend(Anchor!K111:K116,Anchor!T111:T116,Proposal!K111:K116,Proposal!T111:T116),"")</f>
        <v/>
      </c>
      <c r="D35" s="198">
        <f>IFERROR(bdRateExtend(Anchor!K111:K116,Anchor!U111:U116,Proposal!K111:K116,Proposal!U111:U116),"")</f>
        <v/>
      </c>
      <c r="E35" s="198">
        <f>IFERROR(bdRateExtend(Anchor!K111:K116,Anchor!V111:V116,Proposal!K111:K116,Proposal!V111:V116),"")</f>
        <v/>
      </c>
      <c r="F35" s="198">
        <f>IFERROR(GEOMEAN(Proposal!AE111:AE116)/GEOMEAN(Anchor!AE111:AE116),"")</f>
        <v/>
      </c>
      <c r="G35" s="198">
        <f>IFERROR(GEOMEAN(Proposal!AH111:AH116)/GEOMEAN(Anchor!AH111:AH116),"")</f>
        <v/>
      </c>
      <c r="H35" s="198">
        <f>IFERROR(GEOMEAN(Proposal!AF111:AF116)/GEOMEAN(Anchor!AF111:AF116),"")</f>
        <v/>
      </c>
      <c r="I35" s="198">
        <f>IFERROR(GEOMEAN(Proposal!AI111:AI116)/GEOMEAN(Anchor!AI111:AI116),"")</f>
        <v/>
      </c>
      <c r="J35" s="198">
        <f>IFERROR(GEOMEAN(Proposal!AG111:AG116)/GEOMEAN(Anchor!AG111:AG116),"")</f>
        <v/>
      </c>
      <c r="K35" s="198">
        <f>IFERROR(GEOMEAN(Proposal!AJ111:AJ116)/GEOMEAN(Anchor!AJ111:AJ116),"")</f>
        <v/>
      </c>
      <c r="L35" s="198">
        <f>IFERROR(GEOMEAN(Proposal!AK111:AK116)/GEOMEAN(Anchor!AK111:AK116),"")</f>
        <v/>
      </c>
      <c r="M35" s="199">
        <f>IFERROR(GEOMEAN(Proposal!AL111:AL116)/GEOMEAN(Anchor!AL111:AL116),"")</f>
        <v/>
      </c>
    </row>
    <row r="36" ht="15.6" customHeight="1">
      <c r="B36" s="52">
        <f>Anchor!C117</f>
        <v/>
      </c>
      <c r="C36" s="198">
        <f>IFERROR(bdRateExtend(Anchor!K117:K122,Anchor!T117:T122,Proposal!K117:K122,Proposal!T117:T122),"")</f>
        <v/>
      </c>
      <c r="D36" s="198">
        <f>IFERROR(bdRateExtend(Anchor!K117:K122,Anchor!U117:U122,Proposal!K117:K122,Proposal!U117:U122),"")</f>
        <v/>
      </c>
      <c r="E36" s="198">
        <f>IFERROR(bdRateExtend(Anchor!K117:K122,Anchor!V117:V122,Proposal!K117:K122,Proposal!V117:V122),"")</f>
        <v/>
      </c>
      <c r="F36" s="198">
        <f>IFERROR(GEOMEAN(Proposal!AE117:AE122)/GEOMEAN(Anchor!AE117:AE122),"")</f>
        <v/>
      </c>
      <c r="G36" s="198">
        <f>IFERROR(GEOMEAN(Proposal!AH117:AH122)/GEOMEAN(Anchor!AH117:AH122),"")</f>
        <v/>
      </c>
      <c r="H36" s="198">
        <f>IFERROR(GEOMEAN(Proposal!AF117:AF122)/GEOMEAN(Anchor!AF117:AF122),"")</f>
        <v/>
      </c>
      <c r="I36" s="198">
        <f>IFERROR(GEOMEAN(Proposal!AI117:AI122)/GEOMEAN(Anchor!AI117:AI122),"")</f>
        <v/>
      </c>
      <c r="J36" s="198">
        <f>IFERROR(GEOMEAN(Proposal!AG117:AG122)/GEOMEAN(Anchor!AG117:AG122),"")</f>
        <v/>
      </c>
      <c r="K36" s="198">
        <f>IFERROR(GEOMEAN(Proposal!AJ117:AJ122)/GEOMEAN(Anchor!AJ117:AJ122),"")</f>
        <v/>
      </c>
      <c r="L36" s="198">
        <f>IFERROR(GEOMEAN(Proposal!AK117:AK122)/GEOMEAN(Anchor!AK117:AK122),"")</f>
        <v/>
      </c>
      <c r="M36" s="199">
        <f>IFERROR(GEOMEAN(Proposal!AL117:AL122)/GEOMEAN(Anchor!AL117:AL122),"")</f>
        <v/>
      </c>
    </row>
    <row r="37" ht="15.6" customHeight="1">
      <c r="B37" s="52">
        <f>Anchor!C123</f>
        <v/>
      </c>
      <c r="C37" s="198">
        <f>IFERROR(bdRateExtend(Anchor!K123:K128,Anchor!T123:T128,Proposal!K123:K128,Proposal!T123:T128),"")</f>
        <v/>
      </c>
      <c r="D37" s="198">
        <f>IFERROR(bdRateExtend(Anchor!K123:K128,Anchor!U123:U128,Proposal!K123:K128,Proposal!U123:U128),"")</f>
        <v/>
      </c>
      <c r="E37" s="198">
        <f>IFERROR(bdRateExtend(Anchor!K123:K128,Anchor!V123:V128,Proposal!K123:K128,Proposal!V123:V128),"")</f>
        <v/>
      </c>
      <c r="F37" s="198">
        <f>IFERROR(GEOMEAN(Proposal!AE123:AE128)/GEOMEAN(Anchor!AE123:AE128),"")</f>
        <v/>
      </c>
      <c r="G37" s="198">
        <f>IFERROR(GEOMEAN(Proposal!AH123:AH128)/GEOMEAN(Anchor!AH123:AH128),"")</f>
        <v/>
      </c>
      <c r="H37" s="198">
        <f>IFERROR(GEOMEAN(Proposal!AF123:AF128)/GEOMEAN(Anchor!AF123:AF128),"")</f>
        <v/>
      </c>
      <c r="I37" s="198">
        <f>IFERROR(GEOMEAN(Proposal!AI123:AI128)/GEOMEAN(Anchor!AI123:AI128),"")</f>
        <v/>
      </c>
      <c r="J37" s="198">
        <f>IFERROR(GEOMEAN(Proposal!AG123:AG128)/GEOMEAN(Anchor!AG123:AG128),"")</f>
        <v/>
      </c>
      <c r="K37" s="198">
        <f>IFERROR(GEOMEAN(Proposal!AJ123:AJ128)/GEOMEAN(Anchor!AJ123:AJ128),"")</f>
        <v/>
      </c>
      <c r="L37" s="198">
        <f>IFERROR(GEOMEAN(Proposal!AK123:AK128)/GEOMEAN(Anchor!AK123:AK128),"")</f>
        <v/>
      </c>
      <c r="M37" s="199">
        <f>IFERROR(GEOMEAN(Proposal!AL123:AL128)/GEOMEAN(Anchor!AL123:AL128),"")</f>
        <v/>
      </c>
    </row>
    <row r="38" ht="15.6" customHeight="1">
      <c r="B38" s="52">
        <f>Anchor!C129</f>
        <v/>
      </c>
      <c r="C38" s="198">
        <f>IFERROR(bdRateExtend(Anchor!K129:K134,Anchor!T129:T134,Proposal!K129:K134,Proposal!T129:T134),"")</f>
        <v/>
      </c>
      <c r="D38" s="198">
        <f>IFERROR(bdRateExtend(Anchor!K129:K134,Anchor!U129:U134,Proposal!K129:K134,Proposal!U129:U134),"")</f>
        <v/>
      </c>
      <c r="E38" s="198">
        <f>IFERROR(bdRateExtend(Anchor!K129:K134,Anchor!V129:V134,Proposal!K129:K134,Proposal!V129:V134),"")</f>
        <v/>
      </c>
      <c r="F38" s="198">
        <f>IFERROR(GEOMEAN(Proposal!AE129:AE134)/GEOMEAN(Anchor!AE129:AE134),"")</f>
        <v/>
      </c>
      <c r="G38" s="198">
        <f>IFERROR(GEOMEAN(Proposal!AH129:AH134)/GEOMEAN(Anchor!AH129:AH134),"")</f>
        <v/>
      </c>
      <c r="H38" s="198">
        <f>IFERROR(GEOMEAN(Proposal!AF129:AF134)/GEOMEAN(Anchor!AF129:AF134),"")</f>
        <v/>
      </c>
      <c r="I38" s="198">
        <f>IFERROR(GEOMEAN(Proposal!AI129:AI134)/GEOMEAN(Anchor!AI129:AI134),"")</f>
        <v/>
      </c>
      <c r="J38" s="198">
        <f>IFERROR(GEOMEAN(Proposal!AG129:AG134)/GEOMEAN(Anchor!AG129:AG134),"")</f>
        <v/>
      </c>
      <c r="K38" s="198">
        <f>IFERROR(GEOMEAN(Proposal!AJ129:AJ134)/GEOMEAN(Anchor!AJ129:AJ134),"")</f>
        <v/>
      </c>
      <c r="L38" s="198">
        <f>IFERROR(GEOMEAN(Proposal!AK129:AK134)/GEOMEAN(Anchor!AK129:AK134),"")</f>
        <v/>
      </c>
      <c r="M38" s="199">
        <f>IFERROR(GEOMEAN(Proposal!AL129:AL134)/GEOMEAN(Anchor!AL129:AL134),"")</f>
        <v/>
      </c>
    </row>
    <row r="39" ht="15.6" customHeight="1">
      <c r="B39" s="52">
        <f>Anchor!C135</f>
        <v/>
      </c>
      <c r="C39" s="198">
        <f>IFERROR(bdRateExtend(Anchor!K135:K140,Anchor!T135:T140,Proposal!K135:K140,Proposal!T135:T140),"")</f>
        <v/>
      </c>
      <c r="D39" s="198">
        <f>IFERROR(bdRateExtend(Anchor!K135:K140,Anchor!U135:U140,Proposal!K135:K140,Proposal!U135:U140),"")</f>
        <v/>
      </c>
      <c r="E39" s="198">
        <f>IFERROR(bdRateExtend(Anchor!K135:K140,Anchor!V135:V140,Proposal!K135:K140,Proposal!V135:V140),"")</f>
        <v/>
      </c>
      <c r="F39" s="198">
        <f>IFERROR(GEOMEAN(Proposal!AE135:AE140)/GEOMEAN(Anchor!AE135:AE140),"")</f>
        <v/>
      </c>
      <c r="G39" s="198">
        <f>IFERROR(GEOMEAN(Proposal!AH135:AH140)/GEOMEAN(Anchor!AH135:AH140),"")</f>
        <v/>
      </c>
      <c r="H39" s="198">
        <f>IFERROR(GEOMEAN(Proposal!AF135:AF140)/GEOMEAN(Anchor!AF135:AF140),"")</f>
        <v/>
      </c>
      <c r="I39" s="198">
        <f>IFERROR(GEOMEAN(Proposal!AI135:AI140)/GEOMEAN(Anchor!AI135:AI140),"")</f>
        <v/>
      </c>
      <c r="J39" s="198">
        <f>IFERROR(GEOMEAN(Proposal!AG135:AG140)/GEOMEAN(Anchor!AG135:AG140),"")</f>
        <v/>
      </c>
      <c r="K39" s="198">
        <f>IFERROR(GEOMEAN(Proposal!AJ135:AJ140)/GEOMEAN(Anchor!AJ135:AJ140),"")</f>
        <v/>
      </c>
      <c r="L39" s="198">
        <f>IFERROR(GEOMEAN(Proposal!AK135:AK140)/GEOMEAN(Anchor!AK135:AK140),"")</f>
        <v/>
      </c>
      <c r="M39" s="199">
        <f>IFERROR(GEOMEAN(Proposal!AL135:AL140)/GEOMEAN(Anchor!AL135:AL140),"")</f>
        <v/>
      </c>
    </row>
    <row r="40" ht="15.6" customHeight="1">
      <c r="B40" s="52">
        <f>Anchor!C141</f>
        <v/>
      </c>
      <c r="C40" s="198">
        <f>IFERROR(bdRateExtend(Anchor!K141:K146,Anchor!T141:T146,Proposal!K141:K146,Proposal!T141:T146),"")</f>
        <v/>
      </c>
      <c r="D40" s="198">
        <f>IFERROR(bdRateExtend(Anchor!K141:K146,Anchor!U141:U146,Proposal!K141:K146,Proposal!U141:U146),"")</f>
        <v/>
      </c>
      <c r="E40" s="198">
        <f>IFERROR(bdRateExtend(Anchor!K141:K146,Anchor!V141:V146,Proposal!K141:K146,Proposal!V141:V146),"")</f>
        <v/>
      </c>
      <c r="F40" s="198">
        <f>IFERROR(GEOMEAN(Proposal!AE141:AE146)/GEOMEAN(Anchor!AE141:AE146),"")</f>
        <v/>
      </c>
      <c r="G40" s="198">
        <f>IFERROR(GEOMEAN(Proposal!AH141:AH146)/GEOMEAN(Anchor!AH141:AH146),"")</f>
        <v/>
      </c>
      <c r="H40" s="198">
        <f>IFERROR(GEOMEAN(Proposal!AF141:AF146)/GEOMEAN(Anchor!AF141:AF146),"")</f>
        <v/>
      </c>
      <c r="I40" s="198">
        <f>IFERROR(GEOMEAN(Proposal!AI141:AI146)/GEOMEAN(Anchor!AI141:AI146),"")</f>
        <v/>
      </c>
      <c r="J40" s="198">
        <f>IFERROR(GEOMEAN(Proposal!AG141:AG146)/GEOMEAN(Anchor!AG141:AG146),"")</f>
        <v/>
      </c>
      <c r="K40" s="198">
        <f>IFERROR(GEOMEAN(Proposal!AJ141:AJ146)/GEOMEAN(Anchor!AJ141:AJ146),"")</f>
        <v/>
      </c>
      <c r="L40" s="198">
        <f>IFERROR(GEOMEAN(Proposal!AK141:AK146)/GEOMEAN(Anchor!AK141:AK146),"")</f>
        <v/>
      </c>
      <c r="M40" s="199">
        <f>IFERROR(GEOMEAN(Proposal!AL141:AL146)/GEOMEAN(Anchor!AL141:AL146),"")</f>
        <v/>
      </c>
    </row>
    <row r="41" ht="15.6" customHeight="1">
      <c r="B41" s="52">
        <f>Anchor!C147</f>
        <v/>
      </c>
      <c r="C41" s="198">
        <f>IFERROR(bdRateExtend(Anchor!K147:K152,Anchor!T147:T152,Proposal!K147:K152,Proposal!T147:T152),"")</f>
        <v/>
      </c>
      <c r="D41" s="198">
        <f>IFERROR(bdRateExtend(Anchor!K147:K152,Anchor!U147:U152,Proposal!K147:K152,Proposal!U147:U152),"")</f>
        <v/>
      </c>
      <c r="E41" s="198">
        <f>IFERROR(bdRateExtend(Anchor!K147:K152,Anchor!V147:V152,Proposal!K147:K152,Proposal!V147:V152),"")</f>
        <v/>
      </c>
      <c r="F41" s="198">
        <f>IFERROR(GEOMEAN(Proposal!AE147:AE152)/GEOMEAN(Anchor!AE147:AE152),"")</f>
        <v/>
      </c>
      <c r="G41" s="198">
        <f>IFERROR(GEOMEAN(Proposal!AH147:AH152)/GEOMEAN(Anchor!AH147:AH152),"")</f>
        <v/>
      </c>
      <c r="H41" s="198">
        <f>IFERROR(GEOMEAN(Proposal!AF147:AF152)/GEOMEAN(Anchor!AF147:AF152),"")</f>
        <v/>
      </c>
      <c r="I41" s="198">
        <f>IFERROR(GEOMEAN(Proposal!AI147:AI152)/GEOMEAN(Anchor!AI147:AI152),"")</f>
        <v/>
      </c>
      <c r="J41" s="198">
        <f>IFERROR(GEOMEAN(Proposal!AG147:AG152)/GEOMEAN(Anchor!AG147:AG152),"")</f>
        <v/>
      </c>
      <c r="K41" s="198">
        <f>IFERROR(GEOMEAN(Proposal!AJ147:AJ152)/GEOMEAN(Anchor!AJ147:AJ152),"")</f>
        <v/>
      </c>
      <c r="L41" s="198">
        <f>IFERROR(GEOMEAN(Proposal!AK147:AK152)/GEOMEAN(Anchor!AK147:AK152),"")</f>
        <v/>
      </c>
      <c r="M41" s="199">
        <f>IFERROR(GEOMEAN(Proposal!AL147:AL152)/GEOMEAN(Anchor!AL147:AL152),"")</f>
        <v/>
      </c>
    </row>
    <row r="42" ht="15.6" customHeight="1">
      <c r="B42" s="52">
        <f>Anchor!C153</f>
        <v/>
      </c>
      <c r="C42" s="198">
        <f>IFERROR(bdRateExtend(Anchor!K153:K158,Anchor!T153:T158,Proposal!K153:K158,Proposal!T153:T158),"")</f>
        <v/>
      </c>
      <c r="D42" s="198">
        <f>IFERROR(bdRateExtend(Anchor!K153:K158,Anchor!U153:U158,Proposal!K153:K158,Proposal!U153:U158),"")</f>
        <v/>
      </c>
      <c r="E42" s="198">
        <f>IFERROR(bdRateExtend(Anchor!K153:K158,Anchor!V153:V158,Proposal!K153:K158,Proposal!V153:V158),"")</f>
        <v/>
      </c>
      <c r="F42" s="198">
        <f>IFERROR(GEOMEAN(Proposal!AE153:AE158)/GEOMEAN(Anchor!AE153:AE158),"")</f>
        <v/>
      </c>
      <c r="G42" s="198">
        <f>IFERROR(GEOMEAN(Proposal!AH153:AH158)/GEOMEAN(Anchor!AH153:AH158),"")</f>
        <v/>
      </c>
      <c r="H42" s="198">
        <f>IFERROR(GEOMEAN(Proposal!AF153:AF158)/GEOMEAN(Anchor!AF153:AF158),"")</f>
        <v/>
      </c>
      <c r="I42" s="198">
        <f>IFERROR(GEOMEAN(Proposal!AI153:AI158)/GEOMEAN(Anchor!AI153:AI158),"")</f>
        <v/>
      </c>
      <c r="J42" s="198">
        <f>IFERROR(GEOMEAN(Proposal!AG153:AG158)/GEOMEAN(Anchor!AG153:AG158),"")</f>
        <v/>
      </c>
      <c r="K42" s="198">
        <f>IFERROR(GEOMEAN(Proposal!AJ153:AJ158)/GEOMEAN(Anchor!AJ153:AJ158),"")</f>
        <v/>
      </c>
      <c r="L42" s="198">
        <f>IFERROR(GEOMEAN(Proposal!AK153:AK158)/GEOMEAN(Anchor!AK153:AK158),"")</f>
        <v/>
      </c>
      <c r="M42" s="199">
        <f>IFERROR(GEOMEAN(Proposal!AL153:AL158)/GEOMEAN(Anchor!AL153:AL158),"")</f>
        <v/>
      </c>
    </row>
    <row r="43" ht="15.6" customHeight="1">
      <c r="B43" s="52">
        <f>Anchor!C159</f>
        <v/>
      </c>
      <c r="C43" s="198">
        <f>IFERROR(bdRateExtend(Anchor!K159:K164,Anchor!T159:T164,Proposal!K159:K164,Proposal!T159:T164),"")</f>
        <v/>
      </c>
      <c r="D43" s="198">
        <f>IFERROR(bdRateExtend(Anchor!K159:K164,Anchor!U159:U164,Proposal!K159:K164,Proposal!U159:U164),"")</f>
        <v/>
      </c>
      <c r="E43" s="198">
        <f>IFERROR(bdRateExtend(Anchor!K159:K164,Anchor!V159:V164,Proposal!K159:K164,Proposal!V159:V164),"")</f>
        <v/>
      </c>
      <c r="F43" s="198">
        <f>IFERROR(GEOMEAN(Proposal!AE159:AE164)/GEOMEAN(Anchor!AE159:AE164),"")</f>
        <v/>
      </c>
      <c r="G43" s="198">
        <f>IFERROR(GEOMEAN(Proposal!AH159:AH164)/GEOMEAN(Anchor!AH159:AH164),"")</f>
        <v/>
      </c>
      <c r="H43" s="198">
        <f>IFERROR(GEOMEAN(Proposal!AF159:AF164)/GEOMEAN(Anchor!AF159:AF164),"")</f>
        <v/>
      </c>
      <c r="I43" s="198">
        <f>IFERROR(GEOMEAN(Proposal!AI159:AI164)/GEOMEAN(Anchor!AI159:AI164),"")</f>
        <v/>
      </c>
      <c r="J43" s="198">
        <f>IFERROR(GEOMEAN(Proposal!AG159:AG164)/GEOMEAN(Anchor!AG159:AG164),"")</f>
        <v/>
      </c>
      <c r="K43" s="198">
        <f>IFERROR(GEOMEAN(Proposal!AJ159:AJ164)/GEOMEAN(Anchor!AJ159:AJ164),"")</f>
        <v/>
      </c>
      <c r="L43" s="198">
        <f>IFERROR(GEOMEAN(Proposal!AK159:AK164)/GEOMEAN(Anchor!AK159:AK164),"")</f>
        <v/>
      </c>
      <c r="M43" s="199">
        <f>IFERROR(GEOMEAN(Proposal!AL159:AL164)/GEOMEAN(Anchor!AL159:AL164),"")</f>
        <v/>
      </c>
    </row>
    <row r="44" ht="15.6" customHeight="1">
      <c r="B44" s="52">
        <f>Anchor!C165</f>
        <v/>
      </c>
      <c r="C44" s="198">
        <f>IFERROR(bdRateExtend(Anchor!K165:K170,Anchor!T165:T170,Proposal!K165:K170,Proposal!T165:T170),"")</f>
        <v/>
      </c>
      <c r="D44" s="198">
        <f>IFERROR(bdRateExtend(Anchor!K165:K170,Anchor!U165:U170,Proposal!K165:K170,Proposal!U165:U170),"")</f>
        <v/>
      </c>
      <c r="E44" s="198">
        <f>IFERROR(bdRateExtend(Anchor!K165:K170,Anchor!V165:V170,Proposal!K165:K170,Proposal!V165:V170),"")</f>
        <v/>
      </c>
      <c r="F44" s="198">
        <f>IFERROR(GEOMEAN(Proposal!AE165:AE170)/GEOMEAN(Anchor!AE165:AE170),"")</f>
        <v/>
      </c>
      <c r="G44" s="198">
        <f>IFERROR(GEOMEAN(Proposal!AH165:AH170)/GEOMEAN(Anchor!AH165:AH170),"")</f>
        <v/>
      </c>
      <c r="H44" s="198">
        <f>IFERROR(GEOMEAN(Proposal!AF165:AF170)/GEOMEAN(Anchor!AF165:AF170),"")</f>
        <v/>
      </c>
      <c r="I44" s="198">
        <f>IFERROR(GEOMEAN(Proposal!AI165:AI170)/GEOMEAN(Anchor!AI165:AI170),"")</f>
        <v/>
      </c>
      <c r="J44" s="198">
        <f>IFERROR(GEOMEAN(Proposal!AG165:AG170)/GEOMEAN(Anchor!AG165:AG170),"")</f>
        <v/>
      </c>
      <c r="K44" s="198">
        <f>IFERROR(GEOMEAN(Proposal!AJ165:AJ170)/GEOMEAN(Anchor!AJ165:AJ170),"")</f>
        <v/>
      </c>
      <c r="L44" s="198">
        <f>IFERROR(GEOMEAN(Proposal!AK165:AK170)/GEOMEAN(Anchor!AK165:AK170),"")</f>
        <v/>
      </c>
      <c r="M44" s="199">
        <f>IFERROR(GEOMEAN(Proposal!AL165:AL170)/GEOMEAN(Anchor!AL165:AL170),"")</f>
        <v/>
      </c>
    </row>
    <row r="45" ht="16.2" customHeight="1" thickBot="1">
      <c r="B45" s="59">
        <f>Anchor!C171</f>
        <v/>
      </c>
      <c r="C45" s="204">
        <f>IFERROR(bdRateExtend(Anchor!K171:K176,Anchor!T171:T176,Proposal!K171:K176,Proposal!T171:T176),"")</f>
        <v/>
      </c>
      <c r="D45" s="204">
        <f>IFERROR(bdRateExtend(Anchor!K171:K176,Anchor!U171:U176,Proposal!K171:K176,Proposal!U171:U176),"")</f>
        <v/>
      </c>
      <c r="E45" s="204">
        <f>IFERROR(bdRateExtend(Anchor!K171:K176,Anchor!V171:V176,Proposal!K171:K176,Proposal!V171:V176),"")</f>
        <v/>
      </c>
      <c r="F45" s="204">
        <f>IFERROR(GEOMEAN(Proposal!AE171:AE176)/GEOMEAN(Anchor!AE171:AE176),"")</f>
        <v/>
      </c>
      <c r="G45" s="204">
        <f>IFERROR(GEOMEAN(Proposal!AH171:AH176)/GEOMEAN(Anchor!AH171:AH176),"")</f>
        <v/>
      </c>
      <c r="H45" s="204">
        <f>IFERROR(GEOMEAN(Proposal!AF171:AF176)/GEOMEAN(Anchor!AF171:AF176),"")</f>
        <v/>
      </c>
      <c r="I45" s="204">
        <f>IFERROR(GEOMEAN(Proposal!AI171:AI176)/GEOMEAN(Anchor!AI171:AI176),"")</f>
        <v/>
      </c>
      <c r="J45" s="204">
        <f>IFERROR(GEOMEAN(Proposal!AG171:AG176)/GEOMEAN(Anchor!AG171:AG176),"")</f>
        <v/>
      </c>
      <c r="K45" s="204">
        <f>IFERROR(GEOMEAN(Proposal!AJ171:AJ176)/GEOMEAN(Anchor!AJ171:AJ176),"")</f>
        <v/>
      </c>
      <c r="L45" s="204">
        <f>IFERROR(GEOMEAN(Proposal!AK171:AK176)/GEOMEAN(Anchor!AK171:AK176),"")</f>
        <v/>
      </c>
      <c r="M45" s="205">
        <f>IFERROR(GEOMEAN(Proposal!AL171:AL176)/GEOMEAN(Anchor!AL171:AL176),"")</f>
        <v/>
      </c>
    </row>
    <row r="46" ht="16.2" customHeight="1" thickBot="1">
      <c r="B46" s="53" t="inlineStr">
        <is>
          <t>Average</t>
        </is>
      </c>
      <c r="C46" s="200">
        <f>IF(_xlfn.AGGREGATE(2,6,C34:C45)=0,"",_xlfn.AGGREGATE(1,6,C34:C45))</f>
        <v/>
      </c>
      <c r="D46" s="200">
        <f>IF(_xlfn.AGGREGATE(2,6,D34:D45)=0,"",_xlfn.AGGREGATE(1,6,D34:D45))</f>
        <v/>
      </c>
      <c r="E46" s="200">
        <f>IF(_xlfn.AGGREGATE(2,6,E34:E45)=0,"",_xlfn.AGGREGATE(1,6,E34:E45))</f>
        <v/>
      </c>
      <c r="F46" s="200">
        <f>IF(_xlfn.AGGREGATE(2,6,F34:F45)=0,"",_xlfn.AGGREGATE(1,6,F34:F45))</f>
        <v/>
      </c>
      <c r="G46" s="200">
        <f>IF(_xlfn.AGGREGATE(2,6,G34:G45)=0,"",_xlfn.AGGREGATE(1,6,G34:G45))</f>
        <v/>
      </c>
      <c r="H46" s="200">
        <f>IF(_xlfn.AGGREGATE(2,6,H34:H45)=0,"",_xlfn.AGGREGATE(1,6,H34:H45))</f>
        <v/>
      </c>
      <c r="I46" s="200">
        <f>IF(_xlfn.AGGREGATE(2,6,I34:I45)=0,"",_xlfn.AGGREGATE(1,6,I34:I45))</f>
        <v/>
      </c>
      <c r="J46" s="200">
        <f>IF(_xlfn.AGGREGATE(2,6,J34:J45)=0,"",_xlfn.AGGREGATE(1,6,J34:J45))</f>
        <v/>
      </c>
      <c r="K46" s="200">
        <f>IF(_xlfn.AGGREGATE(2,6,K34:K45)=0,"",_xlfn.AGGREGATE(1,6,K34:K45))</f>
        <v/>
      </c>
      <c r="L46" s="200">
        <f>IF(_xlfn.AGGREGATE(2,6,L34:L45)=0,"",_xlfn.AGGREGATE(1,6,L34:L45))</f>
        <v/>
      </c>
      <c r="M46" s="201">
        <f>IF(_xlfn.AGGREGATE(2,6,M34:M45)=0,"",_xlfn.AGGREGATE(1,6,M34:M45))</f>
        <v/>
      </c>
    </row>
    <row r="47" ht="15.6" customHeight="1">
      <c r="B47" s="31" t="n"/>
      <c r="C47" s="198" t="n"/>
      <c r="D47" s="198" t="n"/>
      <c r="E47" s="198" t="n"/>
      <c r="F47" s="198" t="n"/>
      <c r="G47" s="198" t="n"/>
      <c r="H47" s="198" t="n"/>
      <c r="I47" s="198" t="n"/>
      <c r="J47" s="198" t="n"/>
      <c r="K47" s="198" t="n"/>
      <c r="L47" s="198" t="n"/>
      <c r="M47" s="198" t="n"/>
    </row>
    <row r="48" ht="15.6" customHeight="1">
      <c r="B48" s="31" t="n"/>
      <c r="C48" s="198" t="n"/>
      <c r="D48" s="198" t="n"/>
      <c r="E48" s="198" t="n"/>
      <c r="F48" s="198" t="n"/>
      <c r="G48" s="198" t="n"/>
      <c r="H48" s="198" t="n"/>
      <c r="I48" s="198" t="n"/>
      <c r="J48" s="198" t="n"/>
      <c r="K48" s="198" t="n"/>
      <c r="L48" s="198" t="n"/>
      <c r="M48" s="198" t="n"/>
    </row>
    <row r="49">
      <c r="B49" s="22" t="n"/>
      <c r="C49" s="206" t="n"/>
      <c r="D49" s="206" t="n"/>
      <c r="E49" s="206" t="n"/>
      <c r="F49" s="206" t="n"/>
      <c r="G49" s="206" t="n"/>
      <c r="H49" s="206" t="n"/>
      <c r="I49" s="206" t="n"/>
      <c r="J49" s="206" t="n"/>
      <c r="K49" s="206" t="n"/>
      <c r="L49" s="206" t="n"/>
      <c r="M49" s="99" t="n"/>
    </row>
    <row r="50">
      <c r="B50" s="22" t="n"/>
      <c r="C50" s="206" t="n"/>
      <c r="D50" s="206" t="n"/>
      <c r="E50" s="206" t="n"/>
      <c r="F50" s="206" t="n"/>
      <c r="G50" s="206" t="n"/>
      <c r="H50" s="206" t="n"/>
      <c r="I50" s="206" t="n"/>
      <c r="J50" s="206" t="n"/>
      <c r="K50" s="206" t="n"/>
      <c r="L50" s="206" t="n"/>
      <c r="M50" s="99" t="n"/>
    </row>
    <row r="51">
      <c r="B51" s="22" t="n"/>
      <c r="C51" s="206" t="n"/>
      <c r="D51" s="206" t="n"/>
      <c r="E51" s="206" t="n"/>
      <c r="F51" s="206" t="n"/>
      <c r="G51" s="206" t="n"/>
      <c r="H51" s="206" t="n"/>
      <c r="I51" s="206" t="n"/>
      <c r="J51" s="206" t="n"/>
      <c r="K51" s="206" t="n"/>
      <c r="L51" s="206" t="n"/>
      <c r="M51" s="99" t="n"/>
    </row>
    <row r="52" ht="15.6" customHeight="1">
      <c r="B52" s="21" t="n"/>
      <c r="C52" s="207" t="n"/>
      <c r="D52" s="207" t="n"/>
      <c r="E52" s="207" t="n"/>
      <c r="F52" s="207" t="n"/>
      <c r="G52" s="207" t="n"/>
      <c r="H52" s="207" t="n"/>
      <c r="I52" s="207" t="n"/>
      <c r="J52" s="207" t="n"/>
      <c r="K52" s="207" t="n"/>
      <c r="L52" s="207" t="n"/>
    </row>
  </sheetData>
  <mergeCells count="8">
    <mergeCell ref="C4:M4"/>
    <mergeCell ref="B7:M7"/>
    <mergeCell ref="A9:A22"/>
    <mergeCell ref="C3:M3"/>
    <mergeCell ref="A23:A26"/>
    <mergeCell ref="A27:A52"/>
    <mergeCell ref="B20:M20"/>
    <mergeCell ref="B32:M32"/>
  </mergeCells>
  <conditionalFormatting sqref="C49:E52 L52">
    <cfRule type="cellIs" priority="20" operator="lessThan" dxfId="163">
      <formula>-0.03</formula>
    </cfRule>
    <cfRule type="cellIs" priority="21" operator="greaterThan" dxfId="154">
      <formula>0.03</formula>
    </cfRule>
  </conditionalFormatting>
  <conditionalFormatting sqref="L49:L51">
    <cfRule type="cellIs" priority="18" operator="lessThan" dxfId="163">
      <formula>-0.03</formula>
    </cfRule>
    <cfRule type="cellIs" priority="19" operator="greaterThan" dxfId="154">
      <formula>0.03</formula>
    </cfRule>
  </conditionalFormatting>
  <conditionalFormatting sqref="C9:E18 C22:E30 C34:E46">
    <cfRule type="containsBlanks" priority="25" dxfId="161" stopIfTrue="1">
      <formula>LEN(TRIM(C9))=0</formula>
    </cfRule>
    <cfRule type="cellIs" priority="26" operator="greaterThan" dxfId="154" stopIfTrue="1">
      <formula>0.03</formula>
    </cfRule>
    <cfRule type="cellIs" priority="27" operator="lessThan" dxfId="153" stopIfTrue="1">
      <formula>-0.03</formula>
    </cfRule>
  </conditionalFormatting>
  <conditionalFormatting sqref="F9:M18 F22:M30 F34:M46">
    <cfRule type="containsBlanks" priority="1" dxfId="155" stopIfTrue="1">
      <formula>LEN(TRIM(F9))=0</formula>
    </cfRule>
    <cfRule type="cellIs" priority="2" operator="greaterThan" dxfId="154">
      <formula>1.03</formula>
    </cfRule>
    <cfRule type="cellIs" priority="3" operator="lessThan" dxfId="153" stopIfTrue="1">
      <formula>0.97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O31"/>
  <sheetViews>
    <sheetView topLeftCell="B1" zoomScaleNormal="100" workbookViewId="0">
      <selection activeCell="B1" sqref="B1"/>
    </sheetView>
  </sheetViews>
  <sheetFormatPr baseColWidth="8" defaultRowHeight="15.6" outlineLevelCol="0"/>
  <cols>
    <col hidden="1" width="26.3984375" customWidth="1" min="1" max="1"/>
    <col width="26.3984375" customWidth="1" min="2" max="2"/>
    <col hidden="1" width="17.09765625" customWidth="1" min="3" max="3"/>
    <col hidden="1" width="9.8984375" customWidth="1" min="4" max="4"/>
    <col width="13.09765625" customWidth="1" min="5" max="5"/>
    <col width="9.8984375" customWidth="1" min="6" max="8"/>
    <col width="13.09765625" customWidth="1" min="9" max="9"/>
    <col width="9.8984375" customWidth="1" min="10" max="12"/>
  </cols>
  <sheetData>
    <row r="1" customFormat="1" s="6">
      <c r="A1" s="6" t="inlineStr">
        <is>
          <t>Sequence list</t>
        </is>
      </c>
      <c r="B1" s="126" t="inlineStr">
        <is>
          <t>Sequence</t>
        </is>
      </c>
      <c r="C1" s="148" t="inlineStr">
        <is>
          <t>Sequence info</t>
        </is>
      </c>
      <c r="D1" s="14" t="n"/>
      <c r="E1" s="209">
        <f>Summary!C3</f>
        <v/>
      </c>
      <c r="H1" s="14" t="n"/>
      <c r="I1" s="210">
        <f>Summary!C4</f>
        <v/>
      </c>
      <c r="L1" s="14" t="n"/>
      <c r="M1" s="146" t="inlineStr">
        <is>
          <t>BD-rate</t>
        </is>
      </c>
    </row>
    <row r="2" ht="16.2" customFormat="1" customHeight="1" s="6" thickBot="1">
      <c r="B2" s="127" t="inlineStr">
        <is>
          <t>NF: bartender_semitracked</t>
        </is>
      </c>
      <c r="D2" s="14" t="n"/>
      <c r="E2" s="132">
        <f>IF(D4,"bit rate [kbps]","total bytes")</f>
        <v/>
      </c>
      <c r="F2" s="26" t="inlineStr">
        <is>
          <t>RGB-PSNR</t>
        </is>
      </c>
      <c r="G2" s="26" t="inlineStr">
        <is>
          <t>YUV-PSNR</t>
        </is>
      </c>
      <c r="H2" s="27" t="inlineStr">
        <is>
          <t>YUV-SSIM</t>
        </is>
      </c>
      <c r="I2" s="133">
        <f>E2</f>
        <v/>
      </c>
      <c r="J2" s="28" t="inlineStr">
        <is>
          <t>RGB-PSNR</t>
        </is>
      </c>
      <c r="K2" s="28" t="inlineStr">
        <is>
          <t>YUV-PSNR</t>
        </is>
      </c>
      <c r="L2" s="29" t="inlineStr">
        <is>
          <t>YUV-SSIM</t>
        </is>
      </c>
      <c r="M2" s="30" t="inlineStr">
        <is>
          <t>RGB-PSNR</t>
        </is>
      </c>
      <c r="N2" s="30" t="inlineStr">
        <is>
          <t>YUV-PSNR</t>
        </is>
      </c>
      <c r="O2" s="30" t="inlineStr">
        <is>
          <t>YUV-SSIM</t>
        </is>
      </c>
    </row>
    <row r="3">
      <c r="A3">
        <f>Anchor!D3</f>
        <v/>
      </c>
      <c r="B3" s="128" t="n"/>
      <c r="C3" s="128" t="inlineStr">
        <is>
          <t>first row</t>
        </is>
      </c>
      <c r="D3" s="130">
        <f>MATCH(B2,Anchor!D3:D176,0)-1+ROW(Anchor!D3)</f>
        <v/>
      </c>
      <c r="E3" s="101">
        <f>IF(INDIRECT($D$5 &amp; ($D$3))="",NA(),INDIRECT($D$5 &amp; ($D$3)))</f>
        <v/>
      </c>
      <c r="F3" s="107">
        <f>IF(INDIRECT("Anchor!T" &amp; ($D$3))="","",INDIRECT("Anchor!T" &amp; ($D$3)))</f>
        <v/>
      </c>
      <c r="G3" s="107">
        <f>IF(INDIRECT("Anchor!U" &amp; ($D$3))="","",INDIRECT("Anchor!U" &amp; ($D$3)))</f>
        <v/>
      </c>
      <c r="H3" s="108">
        <f>IF(INDIRECT("Anchor!V" &amp; ($D$3))="","",INDIRECT("Anchor!V" &amp; ($D$3)))</f>
        <v/>
      </c>
      <c r="I3" s="104">
        <f>IF(INDIRECT($D$6 &amp; ($D$3))="",NA(),INDIRECT($D$6 &amp; ($D$3)))</f>
        <v/>
      </c>
      <c r="J3" s="112">
        <f>IF(INDIRECT("Proposal!T" &amp; ($D$3))="","",INDIRECT("Proposal!T" &amp; ($D$3)))</f>
        <v/>
      </c>
      <c r="K3" s="112">
        <f>IF(INDIRECT("Proposal!U" &amp; ($D$3))="","",INDIRECT("Proposal!U" &amp; ($D$3)))</f>
        <v/>
      </c>
      <c r="L3" s="113">
        <f>IF(INDIRECT("Proposal!V" &amp; ($D$3))="","",INDIRECT("Proposal!V" &amp; ($D$3)))</f>
        <v/>
      </c>
      <c r="M3" s="198">
        <f>IFERROR(bdRateExtend(INDIRECT("Anchor!K" &amp; D3 &amp; ":K" &amp; (D3+5)),INDIRECT("Anchor!T" &amp; D3 &amp; ":T" &amp; (D3+5)),INDIRECT("Proposal!K" &amp; D3 &amp; ":K" &amp; (D3+5)),INDIRECT("Proposal!T" &amp; D3 &amp; ":T" &amp; (D3+5))),"")</f>
        <v/>
      </c>
      <c r="N3" s="198">
        <f>IFERROR(bdRateExtend(INDIRECT("Anchor!K" &amp; D3 &amp; ":K" &amp; (D3+5)),INDIRECT("Anchor!U" &amp; D3 &amp; ":U" &amp; (D3+5)),INDIRECT("Proposal!K" &amp; D3 &amp; ":K" &amp; (D3+5)),INDIRECT("Proposal!U" &amp; D3 &amp; ":U" &amp; (D3+5))),"")</f>
        <v/>
      </c>
      <c r="O3" s="198">
        <f>IFERROR(bdRateExtend(INDIRECT("Anchor!K" &amp; D3 &amp; ":K" &amp; (D3+5)),INDIRECT("Anchor!V" &amp; D3 &amp; ":V" &amp; (D3+5)),INDIRECT("Proposal!K" &amp; D3 &amp; ":K" &amp; (D3+5)),INDIRECT("Proposal!V" &amp; D3 &amp; ":V" &amp; (D3+5))),"")</f>
        <v/>
      </c>
    </row>
    <row r="4">
      <c r="A4">
        <f>Anchor!D9</f>
        <v/>
      </c>
      <c r="B4" s="129" t="n"/>
      <c r="C4" s="128" t="inlineStr">
        <is>
          <t>is NF?</t>
        </is>
      </c>
      <c r="D4">
        <f>LEFT(B2,4)="NF: "</f>
        <v/>
      </c>
      <c r="E4" s="102">
        <f>IF(INDIRECT($D$5 &amp; ($D$3+1))="",NA(),INDIRECT($D$5 &amp; ($D$3+1)))</f>
        <v/>
      </c>
      <c r="F4" s="131">
        <f>IF(INDIRECT("Anchor!T" &amp; ($D$3+1))="","",INDIRECT("Anchor!T" &amp; ($D$3+1)))</f>
        <v/>
      </c>
      <c r="G4" s="131">
        <f>IF(INDIRECT("Anchor!U" &amp; ($D$3+1))="","",INDIRECT("Anchor!U" &amp; ($D$3+1)))</f>
        <v/>
      </c>
      <c r="H4" s="109">
        <f>IF(INDIRECT("Anchor!V"&amp;($D$3+1))="","",INDIRECT("Anchor!V"&amp;($D$3+1)))</f>
        <v/>
      </c>
      <c r="I4" s="105">
        <f>IF(INDIRECT($D$6 &amp; ($D$3+1))="",NA(),INDIRECT($D$6 &amp; ($D$3+1)))</f>
        <v/>
      </c>
      <c r="J4" s="114">
        <f>IF(INDIRECT("Proposal!T" &amp; ($D$3+1))="","",INDIRECT("Proposal!T" &amp; ($D$3+1)))</f>
        <v/>
      </c>
      <c r="K4" s="114">
        <f>IF(INDIRECT("Proposal!U" &amp; ($D$3+1))="","",INDIRECT("Proposal!U" &amp; ($D$3+1)))</f>
        <v/>
      </c>
      <c r="L4" s="115">
        <f>IF(INDIRECT("Proposal!V" &amp; ($D$3+1))="","",INDIRECT("Proposal!V" &amp; ($D$3+1)))</f>
        <v/>
      </c>
    </row>
    <row r="5">
      <c r="A5">
        <f>Anchor!D15</f>
        <v/>
      </c>
      <c r="B5" s="128" t="n"/>
      <c r="C5" s="128" t="inlineStr">
        <is>
          <t>anchor bytes cell</t>
        </is>
      </c>
      <c r="D5">
        <f>IF(D$4,"Anchor!J","Anchor!K")</f>
        <v/>
      </c>
      <c r="E5" s="102">
        <f>IF(INDIRECT($D$5 &amp; ($D$3+2))="",NA(),INDIRECT($D$5 &amp; ($D$3+2)))</f>
        <v/>
      </c>
      <c r="F5" s="131">
        <f>IF(INDIRECT("Anchor!T" &amp; ($D$3+2))="","",INDIRECT("Anchor!T" &amp; ($D$3+2)))</f>
        <v/>
      </c>
      <c r="G5" s="131">
        <f>IF(INDIRECT("Anchor!U" &amp; ($D$3+2))="","",INDIRECT("Anchor!U" &amp; ($D$3+2)))</f>
        <v/>
      </c>
      <c r="H5" s="109">
        <f>IF(INDIRECT("Anchor!V" &amp; ($D$3+2))="","",INDIRECT("Anchor!V" &amp; ($D$3+2)))</f>
        <v/>
      </c>
      <c r="I5" s="105">
        <f>IF(INDIRECT($D$6 &amp; ($D$3+2))="",NA(),INDIRECT($D$6 &amp; ($D$3+2)))</f>
        <v/>
      </c>
      <c r="J5" s="114">
        <f>IF(INDIRECT("Proposal!T" &amp; ($D$3+2))="","",INDIRECT("Proposal!T" &amp; ($D$3+2)))</f>
        <v/>
      </c>
      <c r="K5" s="114">
        <f>IF(INDIRECT("Proposal!U" &amp; ($D$3+2))="","",INDIRECT("Proposal!U" &amp; ($D$3+2)))</f>
        <v/>
      </c>
      <c r="L5" s="115">
        <f>IF(INDIRECT("Proposal!V" &amp; ($D$3+2))="","",INDIRECT("Proposal!V" &amp; ($D$3+2)))</f>
        <v/>
      </c>
    </row>
    <row r="6">
      <c r="A6">
        <f>Anchor!D21</f>
        <v/>
      </c>
      <c r="C6" s="128" t="inlineStr">
        <is>
          <t>proposal bytes cell</t>
        </is>
      </c>
      <c r="D6">
        <f>IF(D$4,"Proposal!J","Proposal!K")</f>
        <v/>
      </c>
      <c r="E6" s="102">
        <f>IF(INDIRECT($D$5 &amp; ($D$3+3))="",NA(),INDIRECT($D$5 &amp; ($D$3+3)))</f>
        <v/>
      </c>
      <c r="F6" s="131">
        <f>IF(INDIRECT("Anchor!T" &amp; ($D$3+3))="","",INDIRECT("Anchor!T" &amp; ($D$3+3)))</f>
        <v/>
      </c>
      <c r="G6" s="131">
        <f>IF(INDIRECT("Anchor!U" &amp; ($D$3+3))="","",INDIRECT("Anchor!U" &amp; ($D$3+3)))</f>
        <v/>
      </c>
      <c r="H6" s="109">
        <f>IF(INDIRECT("Anchor!V" &amp; ($D$3+3))="","",INDIRECT("Anchor!V" &amp; ($D$3+3)))</f>
        <v/>
      </c>
      <c r="I6" s="105">
        <f>IF(INDIRECT($D$6 &amp; ($D$3+3))="",NA(),INDIRECT($D$6 &amp; ($D$3+3)))</f>
        <v/>
      </c>
      <c r="J6" s="114">
        <f>IF(INDIRECT("Proposal!T" &amp; ($D$3+3))="","",INDIRECT("Proposal!T" &amp; ($D$3+3)))</f>
        <v/>
      </c>
      <c r="K6" s="114">
        <f>IF(INDIRECT("Proposal!U" &amp; ($D$3+3))="","",INDIRECT("Proposal!U" &amp; ($D$3+3)))</f>
        <v/>
      </c>
      <c r="L6" s="115">
        <f>IF(INDIRECT("Proposal!V" &amp; ($D$3+3))="","",INDIRECT("Proposal!V" &amp; ($D$3+3)))</f>
        <v/>
      </c>
    </row>
    <row r="7">
      <c r="A7">
        <f>Anchor!D27</f>
        <v/>
      </c>
      <c r="E7" s="102">
        <f>IF(INDIRECT($D$5 &amp; ($D$3+4))="",NA(),INDIRECT($D$5 &amp; ($D$3+4)))</f>
        <v/>
      </c>
      <c r="F7" s="131">
        <f>IF(INDIRECT("Anchor!T" &amp; ($D$3+4))="","",INDIRECT("Anchor!T" &amp; ($D$3+4)))</f>
        <v/>
      </c>
      <c r="G7" s="131">
        <f>IF(INDIRECT("Anchor!U" &amp; ($D$3+4))="","",INDIRECT("Anchor!U" &amp; ($D$3+4)))</f>
        <v/>
      </c>
      <c r="H7" s="109">
        <f>IF(INDIRECT("Anchor!V" &amp; ($D$3+4))="","",INDIRECT("Anchor!V" &amp; ($D$3+4)))</f>
        <v/>
      </c>
      <c r="I7" s="105">
        <f>IF(INDIRECT($D$6 &amp; ($D$3+4))="",NA(),INDIRECT($D$6 &amp; ($D$3+4)))</f>
        <v/>
      </c>
      <c r="J7" s="114">
        <f>IF(INDIRECT("Proposal!T" &amp; ($D$3+4))="","",INDIRECT("Proposal!T" &amp; ($D$3+4)))</f>
        <v/>
      </c>
      <c r="K7" s="114">
        <f>IF(INDIRECT("Proposal!U" &amp; ($D$3+4))="","",INDIRECT("Proposal!U" &amp; ($D$3+4)))</f>
        <v/>
      </c>
      <c r="L7" s="115">
        <f>IF(INDIRECT("Proposal!V" &amp; ($D$3+4))="","",INDIRECT("Proposal!V" &amp; ($D$3+4)))</f>
        <v/>
      </c>
    </row>
    <row r="8">
      <c r="A8">
        <f>Anchor!D33</f>
        <v/>
      </c>
      <c r="E8" s="103">
        <f>IF(INDIRECT($D$5 &amp; ($D$3+5))="",NA(),INDIRECT($D$5 &amp; ($D$3+5)))</f>
        <v/>
      </c>
      <c r="F8" s="110">
        <f>IF(INDIRECT("Anchor!T" &amp; ($D$3+5))="","",INDIRECT("Anchor!T" &amp; ($D$3+5)))</f>
        <v/>
      </c>
      <c r="G8" s="110">
        <f>IF(INDIRECT("Anchor!U" &amp; ($D$3+5))="","",INDIRECT("Anchor!U" &amp; ($D$3+5)))</f>
        <v/>
      </c>
      <c r="H8" s="111">
        <f>IF(INDIRECT("Anchor!V" &amp; ($D$3+5))="","",INDIRECT("Anchor!V" &amp; ($D$3+5)))</f>
        <v/>
      </c>
      <c r="I8" s="106">
        <f>IF(INDIRECT($D$6 &amp; ($D$3+5))="",NA(),INDIRECT($D$6 &amp; ($D$3+5)))</f>
        <v/>
      </c>
      <c r="J8" s="116">
        <f>IF(INDIRECT("Proposal!T" &amp; ($D$3+5))="","",INDIRECT("Proposal!T" &amp; ($D$3+5)))</f>
        <v/>
      </c>
      <c r="K8" s="116">
        <f>IF(INDIRECT("Proposal!U" &amp; ($D$3+5))="","",INDIRECT("Proposal!U" &amp; ($D$3+5)))</f>
        <v/>
      </c>
      <c r="L8" s="117">
        <f>IF(INDIRECT("Proposal!V" &amp; ($D$3+5))="","",INDIRECT("Proposal!V" &amp; ($D$3+5)))</f>
        <v/>
      </c>
    </row>
    <row r="9">
      <c r="A9">
        <f>Anchor!D39</f>
        <v/>
      </c>
    </row>
    <row r="10">
      <c r="A10">
        <f>Anchor!D45</f>
        <v/>
      </c>
    </row>
    <row r="11">
      <c r="A11">
        <f>Anchor!D51</f>
        <v/>
      </c>
    </row>
    <row r="12">
      <c r="A12">
        <f>Anchor!D57</f>
        <v/>
      </c>
    </row>
    <row r="13">
      <c r="A13">
        <f>Anchor!D63</f>
        <v/>
      </c>
    </row>
    <row r="14">
      <c r="A14">
        <f>Anchor!D69</f>
        <v/>
      </c>
    </row>
    <row r="15">
      <c r="A15">
        <f>Anchor!D75</f>
        <v/>
      </c>
    </row>
    <row r="16">
      <c r="A16">
        <f>Anchor!D81</f>
        <v/>
      </c>
    </row>
    <row r="17">
      <c r="A17">
        <f>Anchor!D87</f>
        <v/>
      </c>
    </row>
    <row r="18">
      <c r="A18">
        <f>Anchor!D93</f>
        <v/>
      </c>
    </row>
    <row r="19">
      <c r="A19">
        <f>Anchor!D99</f>
        <v/>
      </c>
    </row>
    <row r="20">
      <c r="A20">
        <f>Anchor!D105</f>
        <v/>
      </c>
    </row>
    <row r="21">
      <c r="A21">
        <f>Anchor!D111</f>
        <v/>
      </c>
    </row>
    <row r="22">
      <c r="A22">
        <f>Anchor!D117</f>
        <v/>
      </c>
    </row>
    <row r="23">
      <c r="A23">
        <f>Anchor!D123</f>
        <v/>
      </c>
    </row>
    <row r="24">
      <c r="A24">
        <f>Anchor!D129</f>
        <v/>
      </c>
    </row>
    <row r="25">
      <c r="A25">
        <f>Anchor!D135</f>
        <v/>
      </c>
    </row>
    <row r="26">
      <c r="A26">
        <f>Anchor!D141</f>
        <v/>
      </c>
    </row>
    <row r="27">
      <c r="A27">
        <f>Anchor!D147</f>
        <v/>
      </c>
    </row>
    <row r="28">
      <c r="A28">
        <f>Anchor!D153</f>
        <v/>
      </c>
    </row>
    <row r="29">
      <c r="A29">
        <f>Anchor!D159</f>
        <v/>
      </c>
    </row>
    <row r="30">
      <c r="A30">
        <f>Anchor!D165</f>
        <v/>
      </c>
    </row>
    <row r="31">
      <c r="A31">
        <f>Anchor!D171</f>
        <v/>
      </c>
    </row>
  </sheetData>
  <mergeCells count="4">
    <mergeCell ref="I1:L1"/>
    <mergeCell ref="M1:O1"/>
    <mergeCell ref="C1:D2"/>
    <mergeCell ref="E1:H1"/>
  </mergeCells>
  <conditionalFormatting sqref="M3:O3">
    <cfRule type="containsBlanks" priority="1" dxfId="155" stopIfTrue="1">
      <formula>LEN(TRIM(M3))=0</formula>
    </cfRule>
    <cfRule type="cellIs" priority="3" operator="greaterThan" dxfId="154" stopIfTrue="1">
      <formula>0.03</formula>
    </cfRule>
    <cfRule type="cellIs" priority="4" operator="lessThan" dxfId="153" stopIfTrue="1">
      <formula>-0.03</formula>
    </cfRule>
    <cfRule type="containsBlanks" priority="2" dxfId="152" stopIfTrue="1">
      <formula>LEN(TRIM(M3))=0</formula>
    </cfRule>
  </conditionalFormatting>
  <dataValidations count="1">
    <dataValidation sqref="B2" showDropDown="0" showInputMessage="1" showErrorMessage="1" allowBlank="1" type="list">
      <formula1>$A$3:$A$31</formula1>
    </dataValidation>
  </dataValidations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L176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O72" sqref="O72"/>
    </sheetView>
  </sheetViews>
  <sheetFormatPr baseColWidth="8" defaultRowHeight="15.6" outlineLevelCol="0"/>
  <cols>
    <col width="10.5" customWidth="1" style="6" min="1" max="2"/>
    <col width="29" customWidth="1" style="6" min="3" max="3"/>
    <col hidden="1" width="29" customWidth="1" style="6" min="4" max="4"/>
    <col width="10.69921875" customWidth="1" style="6" min="5" max="5"/>
    <col width="10.3984375" customWidth="1" style="6" min="6" max="6"/>
    <col width="10.5" customWidth="1" style="6" min="7" max="7"/>
    <col width="11.8984375" customWidth="1" style="6" min="8" max="8"/>
    <col width="9.69921875" customWidth="1" style="6" min="9" max="9"/>
    <col width="12.5" customWidth="1" style="125" min="10" max="10"/>
    <col width="12.5" customWidth="1" style="82" min="11" max="11"/>
    <col width="9" customWidth="1" min="12" max="19"/>
    <col width="10" customWidth="1" style="3" min="20" max="30"/>
    <col width="9" customWidth="1" style="211" min="31" max="31"/>
    <col width="10" customWidth="1" style="211" min="32" max="33"/>
    <col width="9" customWidth="1" style="211" min="34" max="34"/>
    <col width="9" customWidth="1" style="211" min="35" max="36"/>
    <col width="9" customWidth="1" min="37" max="38"/>
  </cols>
  <sheetData>
    <row r="1" customFormat="1" s="7">
      <c r="A1" s="156" t="n"/>
      <c r="B1" s="156" t="n"/>
      <c r="C1" s="156" t="n"/>
      <c r="D1" s="156" t="n"/>
      <c r="E1" s="157" t="inlineStr">
        <is>
          <t>camera views</t>
        </is>
      </c>
      <c r="F1" s="14" t="n"/>
      <c r="G1" s="157" t="inlineStr">
        <is>
          <t>frames</t>
        </is>
      </c>
      <c r="I1" s="14" t="n"/>
      <c r="J1" s="156" t="inlineStr">
        <is>
          <t>bit rate</t>
        </is>
      </c>
      <c r="K1" s="212" t="inlineStr">
        <is>
          <t>bitstream size [bytes]</t>
        </is>
      </c>
      <c r="S1" s="14" t="n"/>
      <c r="T1" s="213" t="inlineStr">
        <is>
          <t>Average objective quality</t>
        </is>
      </c>
      <c r="X1" s="14" t="n"/>
      <c r="Y1" s="213" t="inlineStr">
        <is>
          <t>Minimum objective quality</t>
        </is>
      </c>
      <c r="AA1" s="14" t="n"/>
      <c r="AB1" s="213" t="inlineStr">
        <is>
          <t>Maximum objective quality</t>
        </is>
      </c>
      <c r="AD1" s="14" t="n"/>
      <c r="AE1" s="213" t="inlineStr">
        <is>
          <t>Encoding time [s]</t>
        </is>
      </c>
      <c r="AG1" s="14" t="n"/>
      <c r="AH1" s="213" t="inlineStr">
        <is>
          <t>Decoding time [s]</t>
        </is>
      </c>
      <c r="AJ1" s="14" t="n"/>
      <c r="AK1" s="213" t="inlineStr">
        <is>
          <t>Max RSS [KB]</t>
        </is>
      </c>
      <c r="AL1" s="14" t="n"/>
    </row>
    <row r="2" ht="16.2" customFormat="1" customHeight="1" s="7" thickBot="1">
      <c r="A2" s="11" t="inlineStr">
        <is>
          <t>Class</t>
        </is>
      </c>
      <c r="B2" s="11" t="n"/>
      <c r="C2" s="11" t="inlineStr">
        <is>
          <t>Sequence</t>
        </is>
      </c>
      <c r="D2" s="11" t="inlineStr">
        <is>
          <t>Reference name</t>
        </is>
      </c>
      <c r="E2" s="11" t="inlineStr">
        <is>
          <t>view count</t>
        </is>
      </c>
      <c r="F2" s="12" t="inlineStr">
        <is>
          <t>frame size</t>
        </is>
      </c>
      <c r="G2" s="11" t="inlineStr">
        <is>
          <t>start frame</t>
        </is>
      </c>
      <c r="H2" s="11" t="inlineStr">
        <is>
          <t>frame count</t>
        </is>
      </c>
      <c r="I2" s="12" t="inlineStr">
        <is>
          <t>frame rate</t>
        </is>
      </c>
      <c r="J2" s="11" t="inlineStr">
        <is>
          <t>[kbps]</t>
        </is>
      </c>
      <c r="K2" s="13" t="inlineStr">
        <is>
          <t>Total</t>
        </is>
      </c>
      <c r="L2" s="11" t="inlineStr">
        <is>
          <t>position</t>
        </is>
      </c>
      <c r="M2" s="11" t="inlineStr">
        <is>
          <t>sh0</t>
        </is>
      </c>
      <c r="N2" s="11" t="inlineStr">
        <is>
          <t>sh1</t>
        </is>
      </c>
      <c r="O2" s="11" t="inlineStr">
        <is>
          <t>sh2</t>
        </is>
      </c>
      <c r="P2" s="11" t="inlineStr">
        <is>
          <t>sh3</t>
        </is>
      </c>
      <c r="Q2" s="11" t="inlineStr">
        <is>
          <t>rotation</t>
        </is>
      </c>
      <c r="R2" s="11" t="inlineStr">
        <is>
          <t>scaling</t>
        </is>
      </c>
      <c r="S2" s="12" t="inlineStr">
        <is>
          <t>opacity</t>
        </is>
      </c>
      <c r="T2" s="13" t="inlineStr">
        <is>
          <t>RGB-PSNR</t>
        </is>
      </c>
      <c r="U2" s="11" t="inlineStr">
        <is>
          <t>YUV-PSNR</t>
        </is>
      </c>
      <c r="V2" s="11" t="inlineStr">
        <is>
          <t>YUV-SSIM</t>
        </is>
      </c>
      <c r="W2" s="11" t="inlineStr">
        <is>
          <t>Custom A</t>
        </is>
      </c>
      <c r="X2" s="11" t="inlineStr">
        <is>
          <t>Custom B</t>
        </is>
      </c>
      <c r="Y2" s="13" t="inlineStr">
        <is>
          <t>RGB-PSNR</t>
        </is>
      </c>
      <c r="Z2" s="11" t="inlineStr">
        <is>
          <t>YUV-PSNR</t>
        </is>
      </c>
      <c r="AA2" s="12" t="inlineStr">
        <is>
          <t>YUV-SSIM</t>
        </is>
      </c>
      <c r="AB2" s="13" t="inlineStr">
        <is>
          <t>RGB-PSNR</t>
        </is>
      </c>
      <c r="AC2" s="11" t="inlineStr">
        <is>
          <t>YUV-PSNR</t>
        </is>
      </c>
      <c r="AD2" s="12" t="inlineStr">
        <is>
          <t>YUV-SSIM</t>
        </is>
      </c>
      <c r="AE2" s="13" t="inlineStr">
        <is>
          <t>Total</t>
        </is>
      </c>
      <c r="AF2" s="11" t="inlineStr">
        <is>
          <t>Geometry</t>
        </is>
      </c>
      <c r="AG2" s="12" t="inlineStr">
        <is>
          <t>Attributes</t>
        </is>
      </c>
      <c r="AH2" s="13" t="inlineStr">
        <is>
          <t>Total</t>
        </is>
      </c>
      <c r="AI2" s="11" t="inlineStr">
        <is>
          <t>Geometry</t>
        </is>
      </c>
      <c r="AJ2" s="12" t="inlineStr">
        <is>
          <t>Attributes</t>
        </is>
      </c>
      <c r="AK2" s="13" t="inlineStr">
        <is>
          <t>encoder</t>
        </is>
      </c>
      <c r="AL2" s="12" t="inlineStr">
        <is>
          <t>decoder</t>
        </is>
      </c>
    </row>
    <row r="3" hidden="1" ht="15.75" customHeight="1">
      <c r="A3" s="214" t="inlineStr">
        <is>
          <t>Forward facing</t>
        </is>
      </c>
      <c r="B3" s="215" t="inlineStr">
        <is>
          <t>NF</t>
        </is>
      </c>
      <c r="C3" s="216" t="inlineStr">
        <is>
          <t>bartender_semitracked</t>
        </is>
      </c>
      <c r="D3" s="216">
        <f>_xlfn.CONCAT(B3,": ",C3)</f>
        <v/>
      </c>
      <c r="E3" s="216" t="n">
        <v>21</v>
      </c>
      <c r="F3" s="217" t="inlineStr">
        <is>
          <t>1920x1080</t>
        </is>
      </c>
      <c r="G3" s="216" t="n">
        <v>0</v>
      </c>
      <c r="H3" s="216" t="n">
        <v>32</v>
      </c>
      <c r="I3" s="217" t="n">
        <v>30</v>
      </c>
      <c r="J3" s="118">
        <f>IF(ISBLANK(K3),"",K3*0.008*I3/H3)</f>
        <v/>
      </c>
      <c r="K3" s="78" t="n"/>
      <c r="L3" s="38" t="n"/>
      <c r="M3" s="38" t="n"/>
      <c r="N3" s="38" t="n"/>
      <c r="O3" s="38" t="n"/>
      <c r="P3" s="38" t="n"/>
      <c r="Q3" s="38" t="n"/>
      <c r="R3" s="38" t="n"/>
      <c r="S3" s="15" t="n"/>
      <c r="T3" s="72" t="n"/>
      <c r="U3" s="39" t="n"/>
      <c r="Y3" s="64" t="n"/>
      <c r="Z3" s="38" t="n"/>
      <c r="AA3" s="15" t="n"/>
      <c r="AB3" s="64" t="n"/>
      <c r="AC3" s="38" t="n"/>
      <c r="AD3" s="15" t="n"/>
      <c r="AE3" s="218" t="n"/>
      <c r="AF3" s="219" t="n"/>
      <c r="AG3" s="220" t="n"/>
      <c r="AH3" s="218" t="n"/>
      <c r="AI3" s="219" t="n"/>
      <c r="AJ3" s="220" t="n"/>
      <c r="AK3" s="218" t="n"/>
      <c r="AL3" s="220" t="n"/>
    </row>
    <row r="4" hidden="1">
      <c r="F4" s="14" t="n"/>
      <c r="I4" s="14" t="n"/>
      <c r="J4" s="119">
        <f>IF(ISBLANK(K4),"",K4*0.008*I3/H3)</f>
        <v/>
      </c>
      <c r="K4" s="77" t="n"/>
      <c r="S4" s="14" t="n"/>
      <c r="T4" s="73" t="n"/>
      <c r="Y4" s="65" t="n"/>
      <c r="AA4" s="14" t="n"/>
      <c r="AB4" s="65" t="n"/>
      <c r="AD4" s="14" t="n"/>
      <c r="AE4" s="221" t="n"/>
      <c r="AF4" s="222" t="n"/>
      <c r="AG4" s="223" t="n"/>
      <c r="AH4" s="221" t="n"/>
      <c r="AI4" s="222" t="n"/>
      <c r="AJ4" s="223" t="n"/>
      <c r="AK4" s="221" t="n"/>
      <c r="AL4" s="223" t="n"/>
    </row>
    <row r="5" hidden="1">
      <c r="F5" s="14" t="n"/>
      <c r="I5" s="14" t="n"/>
      <c r="J5" s="119">
        <f>IF(ISBLANK(K5),"",K5*0.008*I3/H3)</f>
        <v/>
      </c>
      <c r="K5" s="77" t="n"/>
      <c r="S5" s="14" t="n"/>
      <c r="T5" s="73" t="n"/>
      <c r="Y5" s="65" t="n"/>
      <c r="AA5" s="14" t="n"/>
      <c r="AB5" s="65" t="n"/>
      <c r="AD5" s="14" t="n"/>
      <c r="AE5" s="221" t="n"/>
      <c r="AF5" s="222" t="n"/>
      <c r="AG5" s="223" t="n"/>
      <c r="AH5" s="221" t="n"/>
      <c r="AI5" s="222" t="n"/>
      <c r="AJ5" s="223" t="n"/>
      <c r="AK5" s="221" t="n"/>
      <c r="AL5" s="223" t="n"/>
    </row>
    <row r="6" hidden="1">
      <c r="F6" s="14" t="n"/>
      <c r="I6" s="14" t="n"/>
      <c r="J6" s="119">
        <f>IF(ISBLANK(K6),"",K6*0.008*I3/H3)</f>
        <v/>
      </c>
      <c r="K6" s="77" t="n"/>
      <c r="S6" s="14" t="n"/>
      <c r="T6" s="73" t="n"/>
      <c r="Y6" s="65" t="n"/>
      <c r="AA6" s="14" t="n"/>
      <c r="AB6" s="65" t="n"/>
      <c r="AD6" s="14" t="n"/>
      <c r="AE6" s="221" t="n"/>
      <c r="AF6" s="222" t="n"/>
      <c r="AG6" s="223" t="n"/>
      <c r="AH6" s="221" t="n"/>
      <c r="AI6" s="222" t="n"/>
      <c r="AJ6" s="223" t="n"/>
      <c r="AK6" s="221" t="n"/>
      <c r="AL6" s="223" t="n"/>
    </row>
    <row r="7" hidden="1">
      <c r="F7" s="14" t="n"/>
      <c r="I7" s="14" t="n"/>
      <c r="J7" s="119">
        <f>IF(ISBLANK(K7),"",K7*0.008*I3/H3)</f>
        <v/>
      </c>
      <c r="K7" s="77" t="n"/>
      <c r="S7" s="14" t="n"/>
      <c r="T7" s="73" t="n"/>
      <c r="Y7" s="65" t="n"/>
      <c r="AA7" s="14" t="n"/>
      <c r="AB7" s="65" t="n"/>
      <c r="AD7" s="14" t="n"/>
      <c r="AE7" s="221" t="n"/>
      <c r="AF7" s="222" t="n"/>
      <c r="AG7" s="223" t="n"/>
      <c r="AH7" s="221" t="n"/>
      <c r="AI7" s="222" t="n"/>
      <c r="AJ7" s="223" t="n"/>
      <c r="AK7" s="221" t="n"/>
      <c r="AL7" s="223" t="n"/>
    </row>
    <row r="8" hidden="1">
      <c r="B8" s="9" t="n"/>
      <c r="C8" s="9" t="n"/>
      <c r="D8" s="9" t="n"/>
      <c r="E8" s="9" t="n"/>
      <c r="F8" s="67" t="n"/>
      <c r="G8" s="9" t="n"/>
      <c r="H8" s="9" t="n"/>
      <c r="I8" s="67" t="n"/>
      <c r="J8" s="120">
        <f>IF(ISBLANK(K8),"",K8*0.008*I3/H3)</f>
        <v/>
      </c>
      <c r="K8" s="79" t="n"/>
      <c r="L8" s="9" t="n"/>
      <c r="M8" s="9" t="n"/>
      <c r="N8" s="9" t="n"/>
      <c r="O8" s="9" t="n"/>
      <c r="P8" s="9" t="n"/>
      <c r="Q8" s="9" t="n"/>
      <c r="R8" s="9" t="n"/>
      <c r="S8" s="67" t="n"/>
      <c r="T8" s="74" t="n"/>
      <c r="U8" s="17" t="n"/>
      <c r="V8" s="17" t="n"/>
      <c r="W8" s="9" t="n"/>
      <c r="X8" s="9" t="n"/>
      <c r="Y8" s="66" t="n"/>
      <c r="Z8" s="9" t="n"/>
      <c r="AA8" s="67" t="n"/>
      <c r="AB8" s="66" t="n"/>
      <c r="AC8" s="9" t="n"/>
      <c r="AD8" s="67" t="n"/>
      <c r="AE8" s="224" t="n"/>
      <c r="AF8" s="225" t="n"/>
      <c r="AG8" s="226" t="n"/>
      <c r="AH8" s="224" t="n"/>
      <c r="AI8" s="225" t="n"/>
      <c r="AJ8" s="226" t="n"/>
      <c r="AK8" s="224" t="n"/>
      <c r="AL8" s="226" t="n"/>
    </row>
    <row r="9" hidden="1">
      <c r="B9" s="227" t="inlineStr">
        <is>
          <t>NF</t>
        </is>
      </c>
      <c r="C9" s="151" t="inlineStr">
        <is>
          <t>cinema_semitracked</t>
        </is>
      </c>
      <c r="D9" s="151">
        <f>_xlfn.CONCAT(B9,": ",C9)</f>
        <v/>
      </c>
      <c r="E9" s="228" t="n">
        <v>21</v>
      </c>
      <c r="F9" s="187" t="inlineStr">
        <is>
          <t>1920x1080</t>
        </is>
      </c>
      <c r="G9" s="151" t="n">
        <v>0</v>
      </c>
      <c r="H9" s="151" t="n">
        <v>32</v>
      </c>
      <c r="I9" s="187" t="n">
        <v>30</v>
      </c>
      <c r="J9" s="119">
        <f>IF(ISBLANK(K9),"",K9*0.008*I9/H9)</f>
        <v/>
      </c>
      <c r="K9" s="77" t="n"/>
      <c r="S9" s="14" t="n"/>
      <c r="T9" s="73" t="n"/>
      <c r="Y9" s="65" t="n"/>
      <c r="Z9" s="36" t="n"/>
      <c r="AA9" s="69" t="n"/>
      <c r="AB9" s="68" t="n"/>
      <c r="AC9" s="36" t="n"/>
      <c r="AD9" s="69" t="n"/>
      <c r="AE9" s="229" t="n"/>
      <c r="AF9" s="230" t="n"/>
      <c r="AG9" s="231" t="n"/>
      <c r="AH9" s="229" t="n"/>
      <c r="AI9" s="230" t="n"/>
      <c r="AJ9" s="231" t="n"/>
      <c r="AK9" s="229" t="n"/>
      <c r="AL9" s="231" t="n"/>
    </row>
    <row r="10" hidden="1">
      <c r="F10" s="14" t="n"/>
      <c r="I10" s="14" t="n"/>
      <c r="J10" s="119">
        <f>IF(ISBLANK(K10),"",K10*0.008*I9/H9)</f>
        <v/>
      </c>
      <c r="K10" s="77" t="n"/>
      <c r="S10" s="14" t="n"/>
      <c r="T10" s="73" t="n"/>
      <c r="Y10" s="65" t="n"/>
      <c r="AA10" s="14" t="n"/>
      <c r="AB10" s="65" t="n"/>
      <c r="AD10" s="14" t="n"/>
      <c r="AE10" s="221" t="n"/>
      <c r="AF10" s="222" t="n"/>
      <c r="AG10" s="223" t="n"/>
      <c r="AH10" s="221" t="n"/>
      <c r="AI10" s="222" t="n"/>
      <c r="AJ10" s="223" t="n"/>
      <c r="AK10" s="221" t="n"/>
      <c r="AL10" s="223" t="n"/>
    </row>
    <row r="11" hidden="1">
      <c r="F11" s="14" t="n"/>
      <c r="I11" s="14" t="n"/>
      <c r="J11" s="119">
        <f>IF(ISBLANK(K11),"",K11*0.008*I9/H9)</f>
        <v/>
      </c>
      <c r="K11" s="77" t="n"/>
      <c r="S11" s="14" t="n"/>
      <c r="T11" s="73" t="n"/>
      <c r="Y11" s="65" t="n"/>
      <c r="AA11" s="14" t="n"/>
      <c r="AB11" s="65" t="n"/>
      <c r="AD11" s="14" t="n"/>
      <c r="AE11" s="221" t="n"/>
      <c r="AF11" s="222" t="n"/>
      <c r="AG11" s="223" t="n"/>
      <c r="AH11" s="221" t="n"/>
      <c r="AI11" s="222" t="n"/>
      <c r="AJ11" s="223" t="n"/>
      <c r="AK11" s="221" t="n"/>
      <c r="AL11" s="223" t="n"/>
    </row>
    <row r="12" hidden="1">
      <c r="F12" s="14" t="n"/>
      <c r="I12" s="14" t="n"/>
      <c r="J12" s="119">
        <f>IF(ISBLANK(K12),"",K12*0.008*I9/H9)</f>
        <v/>
      </c>
      <c r="K12" s="77" t="n"/>
      <c r="S12" s="14" t="n"/>
      <c r="T12" s="73" t="n"/>
      <c r="Y12" s="65" t="n"/>
      <c r="AA12" s="14" t="n"/>
      <c r="AB12" s="65" t="n"/>
      <c r="AD12" s="14" t="n"/>
      <c r="AE12" s="221" t="n"/>
      <c r="AF12" s="222" t="n"/>
      <c r="AG12" s="223" t="n"/>
      <c r="AH12" s="221" t="n"/>
      <c r="AI12" s="222" t="n"/>
      <c r="AJ12" s="223" t="n"/>
      <c r="AK12" s="221" t="n"/>
      <c r="AL12" s="223" t="n"/>
    </row>
    <row r="13" hidden="1">
      <c r="F13" s="14" t="n"/>
      <c r="I13" s="14" t="n"/>
      <c r="J13" s="119">
        <f>IF(ISBLANK(K13),"",K13*0.008*I9/H9)</f>
        <v/>
      </c>
      <c r="K13" s="77" t="n"/>
      <c r="S13" s="14" t="n"/>
      <c r="T13" s="73" t="n"/>
      <c r="Y13" s="65" t="n"/>
      <c r="AA13" s="14" t="n"/>
      <c r="AB13" s="65" t="n"/>
      <c r="AD13" s="14" t="n"/>
      <c r="AE13" s="221" t="n"/>
      <c r="AF13" s="222" t="n"/>
      <c r="AG13" s="223" t="n"/>
      <c r="AH13" s="221" t="n"/>
      <c r="AI13" s="222" t="n"/>
      <c r="AJ13" s="223" t="n"/>
      <c r="AK13" s="221" t="n"/>
      <c r="AL13" s="223" t="n"/>
    </row>
    <row r="14" hidden="1">
      <c r="B14" s="9" t="n"/>
      <c r="C14" s="9" t="n"/>
      <c r="D14" s="9" t="n"/>
      <c r="E14" s="9" t="n"/>
      <c r="F14" s="67" t="n"/>
      <c r="G14" s="9" t="n"/>
      <c r="H14" s="9" t="n"/>
      <c r="I14" s="67" t="n"/>
      <c r="J14" s="120">
        <f>IF(ISBLANK(K14),"",K14*0.008*I9/H9)</f>
        <v/>
      </c>
      <c r="K14" s="79" t="n"/>
      <c r="L14" s="9" t="n"/>
      <c r="M14" s="9" t="n"/>
      <c r="N14" s="9" t="n"/>
      <c r="O14" s="9" t="n"/>
      <c r="P14" s="9" t="n"/>
      <c r="Q14" s="9" t="n"/>
      <c r="R14" s="9" t="n"/>
      <c r="S14" s="67" t="n"/>
      <c r="T14" s="74" t="n"/>
      <c r="U14" s="17" t="n"/>
      <c r="V14" s="17" t="n"/>
      <c r="W14" s="9" t="n"/>
      <c r="X14" s="9" t="n"/>
      <c r="Y14" s="66" t="n"/>
      <c r="Z14" s="9" t="n"/>
      <c r="AA14" s="67" t="n"/>
      <c r="AB14" s="66" t="n"/>
      <c r="AC14" s="9" t="n"/>
      <c r="AD14" s="67" t="n"/>
      <c r="AE14" s="224" t="n"/>
      <c r="AF14" s="225" t="n"/>
      <c r="AG14" s="226" t="n"/>
      <c r="AH14" s="224" t="n"/>
      <c r="AI14" s="225" t="n"/>
      <c r="AJ14" s="226" t="n"/>
      <c r="AK14" s="224" t="n"/>
      <c r="AL14" s="226" t="n"/>
    </row>
    <row r="15" hidden="1">
      <c r="B15" s="227" t="inlineStr">
        <is>
          <t>NF</t>
        </is>
      </c>
      <c r="C15" s="151" t="inlineStr">
        <is>
          <t>breakfast_semitracked</t>
        </is>
      </c>
      <c r="D15" s="151">
        <f>_xlfn.CONCAT(B15,": ",C15)</f>
        <v/>
      </c>
      <c r="E15" s="228" t="n">
        <v>15</v>
      </c>
      <c r="F15" s="187" t="inlineStr">
        <is>
          <t>1920x1080</t>
        </is>
      </c>
      <c r="G15" s="151" t="n">
        <v>0</v>
      </c>
      <c r="H15" s="151" t="n">
        <v>32</v>
      </c>
      <c r="I15" s="187" t="n">
        <v>30</v>
      </c>
      <c r="J15" s="119">
        <f>IF(ISBLANK(K15),"",K15*0.008*I15/H15)</f>
        <v/>
      </c>
      <c r="K15" s="77" t="n"/>
      <c r="S15" s="14" t="n"/>
      <c r="T15" s="73" t="n"/>
      <c r="Y15" s="65" t="n"/>
      <c r="Z15" s="36" t="n"/>
      <c r="AA15" s="69" t="n"/>
      <c r="AB15" s="68" t="n"/>
      <c r="AC15" s="36" t="n"/>
      <c r="AD15" s="69" t="n"/>
      <c r="AE15" s="229" t="n"/>
      <c r="AF15" s="230" t="n"/>
      <c r="AG15" s="231" t="n"/>
      <c r="AH15" s="229" t="n"/>
      <c r="AI15" s="230" t="n"/>
      <c r="AJ15" s="231" t="n"/>
      <c r="AK15" s="229" t="n"/>
      <c r="AL15" s="231" t="n"/>
    </row>
    <row r="16" hidden="1">
      <c r="F16" s="14" t="n"/>
      <c r="I16" s="14" t="n"/>
      <c r="J16" s="119">
        <f>IF(ISBLANK(K16),"",K16*0.008*I15/H15)</f>
        <v/>
      </c>
      <c r="K16" s="77" t="n"/>
      <c r="S16" s="14" t="n"/>
      <c r="T16" s="73" t="n"/>
      <c r="Y16" s="65" t="n"/>
      <c r="AA16" s="14" t="n"/>
      <c r="AB16" s="65" t="n"/>
      <c r="AD16" s="14" t="n"/>
      <c r="AE16" s="221" t="n"/>
      <c r="AF16" s="222" t="n"/>
      <c r="AG16" s="223" t="n"/>
      <c r="AH16" s="221" t="n"/>
      <c r="AI16" s="222" t="n"/>
      <c r="AJ16" s="223" t="n"/>
      <c r="AK16" s="221" t="n"/>
      <c r="AL16" s="223" t="n"/>
    </row>
    <row r="17" hidden="1">
      <c r="F17" s="14" t="n"/>
      <c r="I17" s="14" t="n"/>
      <c r="J17" s="119">
        <f>IF(ISBLANK(K17),"",K17*0.008*I15/H15)</f>
        <v/>
      </c>
      <c r="K17" s="77" t="n"/>
      <c r="S17" s="14" t="n"/>
      <c r="T17" s="73" t="n"/>
      <c r="Y17" s="65" t="n"/>
      <c r="AA17" s="14" t="n"/>
      <c r="AB17" s="65" t="n"/>
      <c r="AD17" s="14" t="n"/>
      <c r="AE17" s="221" t="n"/>
      <c r="AF17" s="222" t="n"/>
      <c r="AG17" s="223" t="n"/>
      <c r="AH17" s="221" t="n"/>
      <c r="AI17" s="222" t="n"/>
      <c r="AJ17" s="223" t="n"/>
      <c r="AK17" s="221" t="n"/>
      <c r="AL17" s="223" t="n"/>
    </row>
    <row r="18" hidden="1">
      <c r="F18" s="14" t="n"/>
      <c r="I18" s="14" t="n"/>
      <c r="J18" s="119">
        <f>IF(ISBLANK(K18),"",K18*0.008*I15/H15)</f>
        <v/>
      </c>
      <c r="K18" s="77" t="n"/>
      <c r="S18" s="14" t="n"/>
      <c r="T18" s="73" t="n"/>
      <c r="Y18" s="65" t="n"/>
      <c r="AA18" s="14" t="n"/>
      <c r="AB18" s="65" t="n"/>
      <c r="AD18" s="14" t="n"/>
      <c r="AE18" s="221" t="n"/>
      <c r="AF18" s="222" t="n"/>
      <c r="AG18" s="223" t="n"/>
      <c r="AH18" s="221" t="n"/>
      <c r="AI18" s="222" t="n"/>
      <c r="AJ18" s="223" t="n"/>
      <c r="AK18" s="221" t="n"/>
      <c r="AL18" s="223" t="n"/>
    </row>
    <row r="19" hidden="1">
      <c r="F19" s="14" t="n"/>
      <c r="I19" s="14" t="n"/>
      <c r="J19" s="119">
        <f>IF(ISBLANK(K19),"",K19*0.008*I15/H15)</f>
        <v/>
      </c>
      <c r="K19" s="77" t="n"/>
      <c r="S19" s="14" t="n"/>
      <c r="T19" s="73" t="n"/>
      <c r="Y19" s="65" t="n"/>
      <c r="AA19" s="14" t="n"/>
      <c r="AB19" s="65" t="n"/>
      <c r="AD19" s="14" t="n"/>
      <c r="AE19" s="221" t="n"/>
      <c r="AF19" s="222" t="n"/>
      <c r="AG19" s="223" t="n"/>
      <c r="AH19" s="221" t="n"/>
      <c r="AI19" s="222" t="n"/>
      <c r="AJ19" s="223" t="n"/>
      <c r="AK19" s="221" t="n"/>
      <c r="AL19" s="223" t="n"/>
    </row>
    <row r="20" hidden="1">
      <c r="B20" s="9" t="n"/>
      <c r="C20" s="9" t="n"/>
      <c r="D20" s="9" t="n"/>
      <c r="E20" s="9" t="n"/>
      <c r="F20" s="67" t="n"/>
      <c r="G20" s="9" t="n"/>
      <c r="H20" s="9" t="n"/>
      <c r="I20" s="67" t="n"/>
      <c r="J20" s="120">
        <f>IF(ISBLANK(K20),"",K20*0.008*I15/H15)</f>
        <v/>
      </c>
      <c r="K20" s="79" t="n"/>
      <c r="L20" s="9" t="n"/>
      <c r="M20" s="9" t="n"/>
      <c r="N20" s="9" t="n"/>
      <c r="O20" s="9" t="n"/>
      <c r="P20" s="9" t="n"/>
      <c r="Q20" s="9" t="n"/>
      <c r="R20" s="9" t="n"/>
      <c r="S20" s="67" t="n"/>
      <c r="T20" s="74" t="n"/>
      <c r="U20" s="17" t="n"/>
      <c r="V20" s="17" t="n"/>
      <c r="W20" s="9" t="n"/>
      <c r="X20" s="9" t="n"/>
      <c r="Y20" s="66" t="n"/>
      <c r="Z20" s="9" t="n"/>
      <c r="AA20" s="67" t="n"/>
      <c r="AB20" s="66" t="n"/>
      <c r="AC20" s="9" t="n"/>
      <c r="AD20" s="67" t="n"/>
      <c r="AE20" s="224" t="n"/>
      <c r="AF20" s="225" t="n"/>
      <c r="AG20" s="226" t="n"/>
      <c r="AH20" s="224" t="n"/>
      <c r="AI20" s="225" t="n"/>
      <c r="AJ20" s="226" t="n"/>
      <c r="AK20" s="224" t="n"/>
      <c r="AL20" s="226" t="n"/>
    </row>
    <row r="21" hidden="1">
      <c r="B21" s="227" t="inlineStr">
        <is>
          <t>NF</t>
        </is>
      </c>
      <c r="C21" s="151" t="inlineStr">
        <is>
          <t>breakfast_untracked</t>
        </is>
      </c>
      <c r="D21" s="151">
        <f>_xlfn.CONCAT(B21,": ",C21)</f>
        <v/>
      </c>
      <c r="E21" s="228" t="n">
        <v>15</v>
      </c>
      <c r="F21" s="187" t="inlineStr">
        <is>
          <t>1920x1080</t>
        </is>
      </c>
      <c r="G21" s="151" t="n">
        <v>0</v>
      </c>
      <c r="H21" s="151" t="n">
        <v>32</v>
      </c>
      <c r="I21" s="187" t="n">
        <v>30</v>
      </c>
      <c r="J21" s="119">
        <f>IF(ISBLANK(K21),"",K21*0.008*I21/H21)</f>
        <v/>
      </c>
      <c r="K21" s="77" t="n"/>
      <c r="S21" s="14" t="n"/>
      <c r="T21" s="73" t="n"/>
      <c r="Y21" s="65" t="n"/>
      <c r="Z21" s="36" t="n"/>
      <c r="AA21" s="69" t="n"/>
      <c r="AB21" s="68" t="n"/>
      <c r="AC21" s="36" t="n"/>
      <c r="AD21" s="69" t="n"/>
      <c r="AE21" s="229" t="n"/>
      <c r="AF21" s="230" t="n"/>
      <c r="AG21" s="231" t="n"/>
      <c r="AH21" s="229" t="n"/>
      <c r="AI21" s="230" t="n"/>
      <c r="AJ21" s="231" t="n"/>
      <c r="AK21" s="229" t="n"/>
      <c r="AL21" s="231" t="n"/>
    </row>
    <row r="22" hidden="1">
      <c r="F22" s="14" t="n"/>
      <c r="I22" s="14" t="n"/>
      <c r="J22" s="119">
        <f>IF(ISBLANK(K22),"",K22*0.008*I21/H21)</f>
        <v/>
      </c>
      <c r="K22" s="77" t="n"/>
      <c r="S22" s="14" t="n"/>
      <c r="T22" s="73" t="n"/>
      <c r="Y22" s="65" t="n"/>
      <c r="AA22" s="14" t="n"/>
      <c r="AB22" s="65" t="n"/>
      <c r="AD22" s="14" t="n"/>
      <c r="AE22" s="221" t="n"/>
      <c r="AF22" s="222" t="n"/>
      <c r="AG22" s="223" t="n"/>
      <c r="AH22" s="221" t="n"/>
      <c r="AI22" s="222" t="n"/>
      <c r="AJ22" s="223" t="n"/>
      <c r="AK22" s="221" t="n"/>
      <c r="AL22" s="223" t="n"/>
    </row>
    <row r="23" hidden="1">
      <c r="F23" s="14" t="n"/>
      <c r="I23" s="14" t="n"/>
      <c r="J23" s="119">
        <f>IF(ISBLANK(K23),"",K23*0.008*I21/H21)</f>
        <v/>
      </c>
      <c r="K23" s="77" t="n"/>
      <c r="S23" s="14" t="n"/>
      <c r="T23" s="73" t="n"/>
      <c r="Y23" s="65" t="n"/>
      <c r="AA23" s="14" t="n"/>
      <c r="AB23" s="65" t="n"/>
      <c r="AD23" s="14" t="n"/>
      <c r="AE23" s="221" t="n"/>
      <c r="AF23" s="222" t="n"/>
      <c r="AG23" s="223" t="n"/>
      <c r="AH23" s="221" t="n"/>
      <c r="AI23" s="222" t="n"/>
      <c r="AJ23" s="223" t="n"/>
      <c r="AK23" s="221" t="n"/>
      <c r="AL23" s="223" t="n"/>
    </row>
    <row r="24" hidden="1">
      <c r="F24" s="14" t="n"/>
      <c r="I24" s="14" t="n"/>
      <c r="J24" s="119">
        <f>IF(ISBLANK(K24),"",K24*0.008*I21/H21)</f>
        <v/>
      </c>
      <c r="K24" s="77" t="n"/>
      <c r="S24" s="14" t="n"/>
      <c r="T24" s="73" t="n"/>
      <c r="Y24" s="65" t="n"/>
      <c r="AA24" s="14" t="n"/>
      <c r="AB24" s="65" t="n"/>
      <c r="AD24" s="14" t="n"/>
      <c r="AE24" s="221" t="n"/>
      <c r="AF24" s="222" t="n"/>
      <c r="AG24" s="223" t="n"/>
      <c r="AH24" s="221" t="n"/>
      <c r="AI24" s="222" t="n"/>
      <c r="AJ24" s="223" t="n"/>
      <c r="AK24" s="221" t="n"/>
      <c r="AL24" s="223" t="n"/>
    </row>
    <row r="25" hidden="1">
      <c r="F25" s="14" t="n"/>
      <c r="I25" s="14" t="n"/>
      <c r="J25" s="119">
        <f>IF(ISBLANK(K25),"",K25*0.008*I21/H21)</f>
        <v/>
      </c>
      <c r="K25" s="77" t="n"/>
      <c r="S25" s="14" t="n"/>
      <c r="T25" s="73" t="n"/>
      <c r="Y25" s="65" t="n"/>
      <c r="AA25" s="14" t="n"/>
      <c r="AB25" s="65" t="n"/>
      <c r="AD25" s="14" t="n"/>
      <c r="AE25" s="221" t="n"/>
      <c r="AF25" s="222" t="n"/>
      <c r="AG25" s="223" t="n"/>
      <c r="AH25" s="221" t="n"/>
      <c r="AI25" s="222" t="n"/>
      <c r="AJ25" s="223" t="n"/>
      <c r="AK25" s="221" t="n"/>
      <c r="AL25" s="223" t="n"/>
    </row>
    <row r="26" hidden="1">
      <c r="B26" s="9" t="n"/>
      <c r="C26" s="9" t="n"/>
      <c r="D26" s="9" t="n"/>
      <c r="E26" s="9" t="n"/>
      <c r="F26" s="67" t="n"/>
      <c r="G26" s="9" t="n"/>
      <c r="H26" s="9" t="n"/>
      <c r="I26" s="67" t="n"/>
      <c r="J26" s="120">
        <f>IF(ISBLANK(K26),"",K26*0.008*I21/H21)</f>
        <v/>
      </c>
      <c r="K26" s="79" t="n"/>
      <c r="L26" s="9" t="n"/>
      <c r="M26" s="9" t="n"/>
      <c r="N26" s="9" t="n"/>
      <c r="O26" s="9" t="n"/>
      <c r="P26" s="9" t="n"/>
      <c r="Q26" s="9" t="n"/>
      <c r="R26" s="9" t="n"/>
      <c r="S26" s="67" t="n"/>
      <c r="T26" s="74" t="n"/>
      <c r="U26" s="17" t="n"/>
      <c r="V26" s="17" t="n"/>
      <c r="W26" s="9" t="n"/>
      <c r="X26" s="9" t="n"/>
      <c r="Y26" s="66" t="n"/>
      <c r="Z26" s="9" t="n"/>
      <c r="AA26" s="67" t="n"/>
      <c r="AB26" s="66" t="n"/>
      <c r="AC26" s="9" t="n"/>
      <c r="AD26" s="67" t="n"/>
      <c r="AE26" s="224" t="n"/>
      <c r="AF26" s="225" t="n"/>
      <c r="AG26" s="226" t="n"/>
      <c r="AH26" s="224" t="n"/>
      <c r="AI26" s="225" t="n"/>
      <c r="AJ26" s="226" t="n"/>
      <c r="AK26" s="224" t="n"/>
      <c r="AL26" s="226" t="n"/>
    </row>
    <row r="27" hidden="1">
      <c r="B27" s="227" t="inlineStr">
        <is>
          <t>NF</t>
        </is>
      </c>
      <c r="C27" s="151" t="inlineStr">
        <is>
          <t>breakdance_untracked</t>
        </is>
      </c>
      <c r="D27" s="151">
        <f>_xlfn.CONCAT(B27,": ",C27)</f>
        <v/>
      </c>
      <c r="E27" s="228" t="n">
        <v>33</v>
      </c>
      <c r="F27" s="187" t="inlineStr">
        <is>
          <t>1920x1080</t>
        </is>
      </c>
      <c r="G27" s="151" t="n">
        <v>0</v>
      </c>
      <c r="H27" s="151" t="n">
        <v>32</v>
      </c>
      <c r="I27" s="187" t="n">
        <v>30</v>
      </c>
      <c r="J27" s="119">
        <f>IF(ISBLANK(K27),"",K27*0.008*I27/H27)</f>
        <v/>
      </c>
      <c r="K27" s="77" t="n"/>
      <c r="S27" s="14" t="n"/>
      <c r="T27" s="73" t="n"/>
      <c r="Y27" s="65" t="n"/>
      <c r="Z27" s="36" t="n"/>
      <c r="AA27" s="69" t="n"/>
      <c r="AB27" s="68" t="n"/>
      <c r="AC27" s="36" t="n"/>
      <c r="AD27" s="69" t="n"/>
      <c r="AE27" s="229" t="n"/>
      <c r="AF27" s="230" t="n"/>
      <c r="AG27" s="231" t="n"/>
      <c r="AH27" s="229" t="n"/>
      <c r="AI27" s="230" t="n"/>
      <c r="AJ27" s="231" t="n"/>
      <c r="AK27" s="229" t="n"/>
      <c r="AL27" s="231" t="n"/>
    </row>
    <row r="28" hidden="1">
      <c r="F28" s="14" t="n"/>
      <c r="I28" s="14" t="n"/>
      <c r="J28" s="119">
        <f>IF(ISBLANK(K28),"",K28*0.008*I27/H27)</f>
        <v/>
      </c>
      <c r="K28" s="77" t="n"/>
      <c r="S28" s="14" t="n"/>
      <c r="T28" s="73" t="n"/>
      <c r="Y28" s="65" t="n"/>
      <c r="AA28" s="14" t="n"/>
      <c r="AB28" s="65" t="n"/>
      <c r="AD28" s="14" t="n"/>
      <c r="AE28" s="221" t="n"/>
      <c r="AF28" s="222" t="n"/>
      <c r="AG28" s="223" t="n"/>
      <c r="AH28" s="221" t="n"/>
      <c r="AI28" s="222" t="n"/>
      <c r="AJ28" s="223" t="n"/>
      <c r="AK28" s="221" t="n"/>
      <c r="AL28" s="223" t="n"/>
    </row>
    <row r="29" hidden="1">
      <c r="F29" s="14" t="n"/>
      <c r="I29" s="14" t="n"/>
      <c r="J29" s="119">
        <f>IF(ISBLANK(K29),"",K29*0.008*I27/H27)</f>
        <v/>
      </c>
      <c r="K29" s="77" t="n"/>
      <c r="S29" s="14" t="n"/>
      <c r="T29" s="73" t="n"/>
      <c r="Y29" s="65" t="n"/>
      <c r="AA29" s="14" t="n"/>
      <c r="AB29" s="65" t="n"/>
      <c r="AD29" s="14" t="n"/>
      <c r="AE29" s="221" t="n"/>
      <c r="AF29" s="222" t="n"/>
      <c r="AG29" s="223" t="n"/>
      <c r="AH29" s="221" t="n"/>
      <c r="AI29" s="222" t="n"/>
      <c r="AJ29" s="223" t="n"/>
      <c r="AK29" s="221" t="n"/>
      <c r="AL29" s="223" t="n"/>
    </row>
    <row r="30" hidden="1">
      <c r="F30" s="14" t="n"/>
      <c r="I30" s="14" t="n"/>
      <c r="J30" s="119">
        <f>IF(ISBLANK(K30),"",K30*0.008*I27/H27)</f>
        <v/>
      </c>
      <c r="K30" s="77" t="n"/>
      <c r="S30" s="14" t="n"/>
      <c r="T30" s="73" t="n"/>
      <c r="Y30" s="65" t="n"/>
      <c r="AA30" s="14" t="n"/>
      <c r="AB30" s="65" t="n"/>
      <c r="AD30" s="14" t="n"/>
      <c r="AE30" s="221" t="n"/>
      <c r="AF30" s="222" t="n"/>
      <c r="AG30" s="223" t="n"/>
      <c r="AH30" s="221" t="n"/>
      <c r="AI30" s="222" t="n"/>
      <c r="AJ30" s="223" t="n"/>
      <c r="AK30" s="221" t="n"/>
      <c r="AL30" s="223" t="n"/>
    </row>
    <row r="31" hidden="1">
      <c r="F31" s="14" t="n"/>
      <c r="I31" s="14" t="n"/>
      <c r="J31" s="119">
        <f>IF(ISBLANK(K31),"",K31*0.008*I27/H27)</f>
        <v/>
      </c>
      <c r="K31" s="77" t="n"/>
      <c r="S31" s="14" t="n"/>
      <c r="T31" s="73" t="n"/>
      <c r="Y31" s="65" t="n"/>
      <c r="AA31" s="14" t="n"/>
      <c r="AB31" s="65" t="n"/>
      <c r="AD31" s="14" t="n"/>
      <c r="AE31" s="221" t="n"/>
      <c r="AF31" s="222" t="n"/>
      <c r="AG31" s="223" t="n"/>
      <c r="AH31" s="221" t="n"/>
      <c r="AI31" s="222" t="n"/>
      <c r="AJ31" s="223" t="n"/>
      <c r="AK31" s="221" t="n"/>
      <c r="AL31" s="223" t="n"/>
    </row>
    <row r="32" hidden="1">
      <c r="B32" s="9" t="n"/>
      <c r="C32" s="9" t="n"/>
      <c r="D32" s="9" t="n"/>
      <c r="E32" s="9" t="n"/>
      <c r="F32" s="67" t="n"/>
      <c r="G32" s="9" t="n"/>
      <c r="H32" s="9" t="n"/>
      <c r="I32" s="67" t="n"/>
      <c r="J32" s="120">
        <f>IF(ISBLANK(K32),"",K32*0.008*I27/H27)</f>
        <v/>
      </c>
      <c r="K32" s="79" t="n"/>
      <c r="L32" s="9" t="n"/>
      <c r="M32" s="9" t="n"/>
      <c r="N32" s="9" t="n"/>
      <c r="O32" s="9" t="n"/>
      <c r="P32" s="9" t="n"/>
      <c r="Q32" s="9" t="n"/>
      <c r="R32" s="9" t="n"/>
      <c r="S32" s="67" t="n"/>
      <c r="T32" s="74" t="n"/>
      <c r="U32" s="17" t="n"/>
      <c r="V32" s="17" t="n"/>
      <c r="W32" s="9" t="n"/>
      <c r="X32" s="9" t="n"/>
      <c r="Y32" s="66" t="n"/>
      <c r="Z32" s="9" t="n"/>
      <c r="AA32" s="67" t="n"/>
      <c r="AB32" s="66" t="n"/>
      <c r="AC32" s="9" t="n"/>
      <c r="AD32" s="67" t="n"/>
      <c r="AE32" s="224" t="n"/>
      <c r="AF32" s="225" t="n"/>
      <c r="AG32" s="226" t="n"/>
      <c r="AH32" s="224" t="n"/>
      <c r="AI32" s="225" t="n"/>
      <c r="AJ32" s="226" t="n"/>
      <c r="AK32" s="224" t="n"/>
      <c r="AL32" s="226" t="n"/>
    </row>
    <row r="33" hidden="1">
      <c r="B33" s="227" t="inlineStr">
        <is>
          <t>NF</t>
        </is>
      </c>
      <c r="C33" s="153" t="inlineStr">
        <is>
          <t>bartender_tracked</t>
        </is>
      </c>
      <c r="D33" s="153">
        <f>_xlfn.CONCAT(B33,": ",C33)</f>
        <v/>
      </c>
      <c r="E33" s="232" t="n">
        <v>21</v>
      </c>
      <c r="F33" s="161" t="inlineStr">
        <is>
          <t>1920x1080</t>
        </is>
      </c>
      <c r="G33" s="153" t="n">
        <v>0</v>
      </c>
      <c r="H33" s="153" t="n">
        <v>32</v>
      </c>
      <c r="I33" s="161" t="n">
        <v>30</v>
      </c>
      <c r="J33" s="121">
        <f>IF(ISBLANK(K33),"",K33*0.008*I33/H33)</f>
        <v/>
      </c>
      <c r="K33" s="77" t="n"/>
      <c r="S33" s="14" t="n"/>
      <c r="T33" s="73" t="n"/>
      <c r="Y33" s="65" t="n"/>
      <c r="Z33" s="36" t="n"/>
      <c r="AA33" s="69" t="n"/>
      <c r="AB33" s="68" t="n"/>
      <c r="AC33" s="36" t="n"/>
      <c r="AD33" s="69" t="n"/>
      <c r="AE33" s="229" t="n"/>
      <c r="AF33" s="230" t="n"/>
      <c r="AG33" s="231" t="n"/>
      <c r="AH33" s="229" t="n"/>
      <c r="AI33" s="230" t="n"/>
      <c r="AJ33" s="231" t="n"/>
      <c r="AK33" s="229" t="n"/>
      <c r="AL33" s="231" t="n"/>
    </row>
    <row r="34" hidden="1">
      <c r="F34" s="14" t="n"/>
      <c r="I34" s="14" t="n"/>
      <c r="J34" s="121">
        <f>IF(ISBLANK(K34),"",K34*0.008*I33/H33)</f>
        <v/>
      </c>
      <c r="K34" s="77" t="n"/>
      <c r="S34" s="14" t="n"/>
      <c r="T34" s="73" t="n"/>
      <c r="Y34" s="65" t="n"/>
      <c r="AA34" s="14" t="n"/>
      <c r="AB34" s="65" t="n"/>
      <c r="AD34" s="14" t="n"/>
      <c r="AE34" s="221" t="n"/>
      <c r="AF34" s="222" t="n"/>
      <c r="AG34" s="223" t="n"/>
      <c r="AH34" s="221" t="n"/>
      <c r="AI34" s="222" t="n"/>
      <c r="AJ34" s="223" t="n"/>
      <c r="AK34" s="221" t="n"/>
      <c r="AL34" s="223" t="n"/>
    </row>
    <row r="35" hidden="1">
      <c r="F35" s="14" t="n"/>
      <c r="I35" s="14" t="n"/>
      <c r="J35" s="121">
        <f>IF(ISBLANK(K35),"",K35*0.008*I33/H33)</f>
        <v/>
      </c>
      <c r="K35" s="77" t="n"/>
      <c r="S35" s="14" t="n"/>
      <c r="T35" s="73" t="n"/>
      <c r="Y35" s="65" t="n"/>
      <c r="AA35" s="14" t="n"/>
      <c r="AB35" s="65" t="n"/>
      <c r="AD35" s="14" t="n"/>
      <c r="AE35" s="221" t="n"/>
      <c r="AF35" s="222" t="n"/>
      <c r="AG35" s="223" t="n"/>
      <c r="AH35" s="221" t="n"/>
      <c r="AI35" s="222" t="n"/>
      <c r="AJ35" s="223" t="n"/>
      <c r="AK35" s="221" t="n"/>
      <c r="AL35" s="223" t="n"/>
    </row>
    <row r="36" hidden="1">
      <c r="F36" s="14" t="n"/>
      <c r="I36" s="14" t="n"/>
      <c r="J36" s="121">
        <f>IF(ISBLANK(K36),"",K36*0.008*I33/H33)</f>
        <v/>
      </c>
      <c r="K36" s="77" t="n"/>
      <c r="S36" s="14" t="n"/>
      <c r="T36" s="73" t="n"/>
      <c r="Y36" s="65" t="n"/>
      <c r="AA36" s="14" t="n"/>
      <c r="AB36" s="65" t="n"/>
      <c r="AD36" s="14" t="n"/>
      <c r="AE36" s="221" t="n"/>
      <c r="AF36" s="222" t="n"/>
      <c r="AG36" s="223" t="n"/>
      <c r="AH36" s="221" t="n"/>
      <c r="AI36" s="222" t="n"/>
      <c r="AJ36" s="223" t="n"/>
      <c r="AK36" s="221" t="n"/>
      <c r="AL36" s="223" t="n"/>
    </row>
    <row r="37" hidden="1">
      <c r="F37" s="14" t="n"/>
      <c r="I37" s="14" t="n"/>
      <c r="J37" s="121">
        <f>IF(ISBLANK(K37),"",K37*0.008*I33/H33)</f>
        <v/>
      </c>
      <c r="K37" s="77" t="n"/>
      <c r="S37" s="14" t="n"/>
      <c r="T37" s="73" t="n"/>
      <c r="Y37" s="65" t="n"/>
      <c r="AA37" s="14" t="n"/>
      <c r="AB37" s="65" t="n"/>
      <c r="AD37" s="14" t="n"/>
      <c r="AE37" s="221" t="n"/>
      <c r="AF37" s="222" t="n"/>
      <c r="AG37" s="223" t="n"/>
      <c r="AH37" s="221" t="n"/>
      <c r="AI37" s="222" t="n"/>
      <c r="AJ37" s="223" t="n"/>
      <c r="AK37" s="221" t="n"/>
      <c r="AL37" s="223" t="n"/>
    </row>
    <row r="38" hidden="1">
      <c r="B38" s="9" t="n"/>
      <c r="C38" s="9" t="n"/>
      <c r="D38" s="9" t="n"/>
      <c r="E38" s="9" t="n"/>
      <c r="F38" s="67" t="n"/>
      <c r="G38" s="9" t="n"/>
      <c r="H38" s="9" t="n"/>
      <c r="I38" s="67" t="n"/>
      <c r="J38" s="122">
        <f>IF(ISBLANK(K38),"",K38*0.008*I33/H33)</f>
        <v/>
      </c>
      <c r="K38" s="79" t="n"/>
      <c r="L38" s="9" t="n"/>
      <c r="M38" s="9" t="n"/>
      <c r="N38" s="9" t="n"/>
      <c r="O38" s="9" t="n"/>
      <c r="P38" s="9" t="n"/>
      <c r="Q38" s="9" t="n"/>
      <c r="R38" s="9" t="n"/>
      <c r="S38" s="67" t="n"/>
      <c r="T38" s="74" t="n"/>
      <c r="U38" s="17" t="n"/>
      <c r="V38" s="17" t="n"/>
      <c r="W38" s="9" t="n"/>
      <c r="X38" s="9" t="n"/>
      <c r="Y38" s="66" t="n"/>
      <c r="Z38" s="9" t="n"/>
      <c r="AA38" s="67" t="n"/>
      <c r="AB38" s="66" t="n"/>
      <c r="AC38" s="9" t="n"/>
      <c r="AD38" s="67" t="n"/>
      <c r="AE38" s="224" t="n"/>
      <c r="AF38" s="225" t="n"/>
      <c r="AG38" s="226" t="n"/>
      <c r="AH38" s="224" t="n"/>
      <c r="AI38" s="225" t="n"/>
      <c r="AJ38" s="226" t="n"/>
      <c r="AK38" s="224" t="n"/>
      <c r="AL38" s="226" t="n"/>
    </row>
    <row r="39" hidden="1">
      <c r="B39" s="227" t="inlineStr">
        <is>
          <t>NF</t>
        </is>
      </c>
      <c r="C39" s="153" t="inlineStr">
        <is>
          <t>cinema_tracked</t>
        </is>
      </c>
      <c r="D39" s="153">
        <f>_xlfn.CONCAT(B39,": ",C39)</f>
        <v/>
      </c>
      <c r="E39" s="232" t="n">
        <v>21</v>
      </c>
      <c r="F39" s="161" t="inlineStr">
        <is>
          <t>1920x1080</t>
        </is>
      </c>
      <c r="G39" s="153" t="n">
        <v>0</v>
      </c>
      <c r="H39" s="153" t="n">
        <v>32</v>
      </c>
      <c r="I39" s="161" t="n">
        <v>30</v>
      </c>
      <c r="J39" s="121">
        <f>IF(ISBLANK(K39),"",K39*0.008*I39/H39)</f>
        <v/>
      </c>
      <c r="K39" s="77" t="n"/>
      <c r="S39" s="14" t="n"/>
      <c r="T39" s="73" t="n"/>
      <c r="Y39" s="65" t="n"/>
      <c r="Z39" s="36" t="n"/>
      <c r="AA39" s="69" t="n"/>
      <c r="AB39" s="68" t="n"/>
      <c r="AC39" s="36" t="n"/>
      <c r="AD39" s="69" t="n"/>
      <c r="AE39" s="229" t="n"/>
      <c r="AF39" s="230" t="n"/>
      <c r="AG39" s="231" t="n"/>
      <c r="AH39" s="229" t="n"/>
      <c r="AI39" s="230" t="n"/>
      <c r="AJ39" s="231" t="n"/>
      <c r="AK39" s="229" t="n"/>
      <c r="AL39" s="231" t="n"/>
    </row>
    <row r="40" hidden="1">
      <c r="F40" s="14" t="n"/>
      <c r="I40" s="14" t="n"/>
      <c r="J40" s="121">
        <f>IF(ISBLANK(K40),"",K40*0.008*I39/H39)</f>
        <v/>
      </c>
      <c r="K40" s="77" t="n"/>
      <c r="S40" s="14" t="n"/>
      <c r="T40" s="73" t="n"/>
      <c r="Y40" s="65" t="n"/>
      <c r="AA40" s="14" t="n"/>
      <c r="AB40" s="65" t="n"/>
      <c r="AD40" s="14" t="n"/>
      <c r="AE40" s="221" t="n"/>
      <c r="AF40" s="222" t="n"/>
      <c r="AG40" s="223" t="n"/>
      <c r="AH40" s="221" t="n"/>
      <c r="AI40" s="222" t="n"/>
      <c r="AJ40" s="223" t="n"/>
      <c r="AK40" s="221" t="n"/>
      <c r="AL40" s="223" t="n"/>
    </row>
    <row r="41" hidden="1">
      <c r="F41" s="14" t="n"/>
      <c r="I41" s="14" t="n"/>
      <c r="J41" s="121">
        <f>IF(ISBLANK(K41),"",K41*0.008*I39/H39)</f>
        <v/>
      </c>
      <c r="K41" s="77" t="n"/>
      <c r="S41" s="14" t="n"/>
      <c r="T41" s="73" t="n"/>
      <c r="Y41" s="65" t="n"/>
      <c r="AA41" s="14" t="n"/>
      <c r="AB41" s="65" t="n"/>
      <c r="AD41" s="14" t="n"/>
      <c r="AE41" s="221" t="n"/>
      <c r="AF41" s="222" t="n"/>
      <c r="AG41" s="223" t="n"/>
      <c r="AH41" s="221" t="n"/>
      <c r="AI41" s="222" t="n"/>
      <c r="AJ41" s="223" t="n"/>
      <c r="AK41" s="221" t="n"/>
      <c r="AL41" s="223" t="n"/>
    </row>
    <row r="42" hidden="1">
      <c r="F42" s="14" t="n"/>
      <c r="I42" s="14" t="n"/>
      <c r="J42" s="121">
        <f>IF(ISBLANK(K42),"",K42*0.008*I39/H39)</f>
        <v/>
      </c>
      <c r="K42" s="77" t="n"/>
      <c r="S42" s="14" t="n"/>
      <c r="T42" s="73" t="n"/>
      <c r="Y42" s="65" t="n"/>
      <c r="AA42" s="14" t="n"/>
      <c r="AB42" s="65" t="n"/>
      <c r="AD42" s="14" t="n"/>
      <c r="AE42" s="221" t="n"/>
      <c r="AF42" s="222" t="n"/>
      <c r="AG42" s="223" t="n"/>
      <c r="AH42" s="221" t="n"/>
      <c r="AI42" s="222" t="n"/>
      <c r="AJ42" s="223" t="n"/>
      <c r="AK42" s="221" t="n"/>
      <c r="AL42" s="223" t="n"/>
    </row>
    <row r="43" hidden="1">
      <c r="F43" s="14" t="n"/>
      <c r="I43" s="14" t="n"/>
      <c r="J43" s="121">
        <f>IF(ISBLANK(K43),"",K43*0.008*I39/H39)</f>
        <v/>
      </c>
      <c r="K43" s="77" t="n"/>
      <c r="S43" s="14" t="n"/>
      <c r="T43" s="73" t="n"/>
      <c r="Y43" s="65" t="n"/>
      <c r="AA43" s="14" t="n"/>
      <c r="AB43" s="65" t="n"/>
      <c r="AD43" s="14" t="n"/>
      <c r="AE43" s="221" t="n"/>
      <c r="AF43" s="222" t="n"/>
      <c r="AG43" s="223" t="n"/>
      <c r="AH43" s="221" t="n"/>
      <c r="AI43" s="222" t="n"/>
      <c r="AJ43" s="223" t="n"/>
      <c r="AK43" s="221" t="n"/>
      <c r="AL43" s="223" t="n"/>
    </row>
    <row r="44" hidden="1">
      <c r="B44" s="9" t="n"/>
      <c r="C44" s="9" t="n"/>
      <c r="D44" s="9" t="n"/>
      <c r="E44" s="9" t="n"/>
      <c r="F44" s="67" t="n"/>
      <c r="G44" s="9" t="n"/>
      <c r="H44" s="9" t="n"/>
      <c r="I44" s="67" t="n"/>
      <c r="J44" s="122">
        <f>IF(ISBLANK(K44),"",K44*0.008*I39/H39)</f>
        <v/>
      </c>
      <c r="K44" s="79" t="n"/>
      <c r="L44" s="9" t="n"/>
      <c r="M44" s="9" t="n"/>
      <c r="N44" s="9" t="n"/>
      <c r="O44" s="9" t="n"/>
      <c r="P44" s="9" t="n"/>
      <c r="Q44" s="9" t="n"/>
      <c r="R44" s="9" t="n"/>
      <c r="S44" s="67" t="n"/>
      <c r="T44" s="74" t="n"/>
      <c r="U44" s="17" t="n"/>
      <c r="V44" s="17" t="n"/>
      <c r="W44" s="9" t="n"/>
      <c r="X44" s="9" t="n"/>
      <c r="Y44" s="66" t="n"/>
      <c r="Z44" s="9" t="n"/>
      <c r="AA44" s="67" t="n"/>
      <c r="AB44" s="66" t="n"/>
      <c r="AC44" s="9" t="n"/>
      <c r="AD44" s="67" t="n"/>
      <c r="AE44" s="224" t="n"/>
      <c r="AF44" s="225" t="n"/>
      <c r="AG44" s="226" t="n"/>
      <c r="AH44" s="224" t="n"/>
      <c r="AI44" s="225" t="n"/>
      <c r="AJ44" s="226" t="n"/>
      <c r="AK44" s="224" t="n"/>
      <c r="AL44" s="226" t="n"/>
    </row>
    <row r="45" hidden="1">
      <c r="B45" s="227" t="inlineStr">
        <is>
          <t>NF</t>
        </is>
      </c>
      <c r="C45" s="153" t="inlineStr">
        <is>
          <t>breakfast_tracked</t>
        </is>
      </c>
      <c r="D45" s="153">
        <f>_xlfn.CONCAT(B45,": ",C45)</f>
        <v/>
      </c>
      <c r="E45" s="232" t="n">
        <v>15</v>
      </c>
      <c r="F45" s="161" t="inlineStr">
        <is>
          <t>1920x1080</t>
        </is>
      </c>
      <c r="G45" s="153" t="n">
        <v>0</v>
      </c>
      <c r="H45" s="153" t="n">
        <v>32</v>
      </c>
      <c r="I45" s="161" t="n">
        <v>30</v>
      </c>
      <c r="J45" s="121">
        <f>IF(ISBLANK(K45),"",K45*0.008*I45/H45)</f>
        <v/>
      </c>
      <c r="K45" s="77" t="n"/>
      <c r="S45" s="14" t="n"/>
      <c r="T45" s="73" t="n"/>
      <c r="Y45" s="65" t="n"/>
      <c r="Z45" s="36" t="n"/>
      <c r="AA45" s="69" t="n"/>
      <c r="AB45" s="68" t="n"/>
      <c r="AC45" s="36" t="n"/>
      <c r="AD45" s="69" t="n"/>
      <c r="AE45" s="229" t="n"/>
      <c r="AF45" s="230" t="n"/>
      <c r="AG45" s="231" t="n"/>
      <c r="AH45" s="229" t="n"/>
      <c r="AI45" s="230" t="n"/>
      <c r="AJ45" s="231" t="n"/>
      <c r="AK45" s="229" t="n"/>
      <c r="AL45" s="231" t="n"/>
    </row>
    <row r="46" hidden="1">
      <c r="F46" s="14" t="n"/>
      <c r="I46" s="14" t="n"/>
      <c r="J46" s="121">
        <f>IF(ISBLANK(K46),"",K46*0.008*I45/H45)</f>
        <v/>
      </c>
      <c r="K46" s="77" t="n"/>
      <c r="S46" s="14" t="n"/>
      <c r="T46" s="73" t="n"/>
      <c r="Y46" s="65" t="n"/>
      <c r="AA46" s="14" t="n"/>
      <c r="AB46" s="65" t="n"/>
      <c r="AD46" s="14" t="n"/>
      <c r="AE46" s="221" t="n"/>
      <c r="AF46" s="222" t="n"/>
      <c r="AG46" s="223" t="n"/>
      <c r="AH46" s="221" t="n"/>
      <c r="AI46" s="222" t="n"/>
      <c r="AJ46" s="223" t="n"/>
      <c r="AK46" s="221" t="n"/>
      <c r="AL46" s="223" t="n"/>
    </row>
    <row r="47" hidden="1">
      <c r="F47" s="14" t="n"/>
      <c r="I47" s="14" t="n"/>
      <c r="J47" s="121">
        <f>IF(ISBLANK(K47),"",K47*0.008*I45/H45)</f>
        <v/>
      </c>
      <c r="K47" s="77" t="n"/>
      <c r="S47" s="14" t="n"/>
      <c r="T47" s="73" t="n"/>
      <c r="Y47" s="65" t="n"/>
      <c r="AA47" s="14" t="n"/>
      <c r="AB47" s="65" t="n"/>
      <c r="AD47" s="14" t="n"/>
      <c r="AE47" s="221" t="n"/>
      <c r="AF47" s="222" t="n"/>
      <c r="AG47" s="223" t="n"/>
      <c r="AH47" s="221" t="n"/>
      <c r="AI47" s="222" t="n"/>
      <c r="AJ47" s="223" t="n"/>
      <c r="AK47" s="221" t="n"/>
      <c r="AL47" s="223" t="n"/>
    </row>
    <row r="48" hidden="1">
      <c r="F48" s="14" t="n"/>
      <c r="I48" s="14" t="n"/>
      <c r="J48" s="121">
        <f>IF(ISBLANK(K48),"",K48*0.008*I45/H45)</f>
        <v/>
      </c>
      <c r="K48" s="77" t="n"/>
      <c r="S48" s="14" t="n"/>
      <c r="T48" s="73" t="n"/>
      <c r="Y48" s="65" t="n"/>
      <c r="AA48" s="14" t="n"/>
      <c r="AB48" s="65" t="n"/>
      <c r="AD48" s="14" t="n"/>
      <c r="AE48" s="221" t="n"/>
      <c r="AF48" s="222" t="n"/>
      <c r="AG48" s="223" t="n"/>
      <c r="AH48" s="221" t="n"/>
      <c r="AI48" s="222" t="n"/>
      <c r="AJ48" s="223" t="n"/>
      <c r="AK48" s="221" t="n"/>
      <c r="AL48" s="223" t="n"/>
    </row>
    <row r="49" hidden="1">
      <c r="F49" s="14" t="n"/>
      <c r="I49" s="14" t="n"/>
      <c r="J49" s="121">
        <f>IF(ISBLANK(K49),"",K49*0.008*I45/H45)</f>
        <v/>
      </c>
      <c r="K49" s="77" t="n"/>
      <c r="S49" s="14" t="n"/>
      <c r="T49" s="73" t="n"/>
      <c r="Y49" s="65" t="n"/>
      <c r="AA49" s="14" t="n"/>
      <c r="AB49" s="65" t="n"/>
      <c r="AD49" s="14" t="n"/>
      <c r="AE49" s="221" t="n"/>
      <c r="AF49" s="222" t="n"/>
      <c r="AG49" s="223" t="n"/>
      <c r="AH49" s="221" t="n"/>
      <c r="AI49" s="222" t="n"/>
      <c r="AJ49" s="223" t="n"/>
      <c r="AK49" s="221" t="n"/>
      <c r="AL49" s="223" t="n"/>
    </row>
    <row r="50" hidden="1">
      <c r="A50" s="9" t="n"/>
      <c r="B50" s="9" t="n"/>
      <c r="C50" s="9" t="n"/>
      <c r="D50" s="9" t="n"/>
      <c r="E50" s="9" t="n"/>
      <c r="F50" s="67" t="n"/>
      <c r="G50" s="9" t="n"/>
      <c r="H50" s="9" t="n"/>
      <c r="I50" s="67" t="n"/>
      <c r="J50" s="122">
        <f>IF(ISBLANK(K50),"",K50*0.008*I45/H45)</f>
        <v/>
      </c>
      <c r="K50" s="79" t="n"/>
      <c r="L50" s="9" t="n"/>
      <c r="M50" s="9" t="n"/>
      <c r="N50" s="9" t="n"/>
      <c r="O50" s="9" t="n"/>
      <c r="P50" s="9" t="n"/>
      <c r="Q50" s="9" t="n"/>
      <c r="R50" s="9" t="n"/>
      <c r="S50" s="67" t="n"/>
      <c r="T50" s="74" t="n"/>
      <c r="U50" s="17" t="n"/>
      <c r="V50" s="17" t="n"/>
      <c r="W50" s="9" t="n"/>
      <c r="X50" s="9" t="n"/>
      <c r="Y50" s="66" t="n"/>
      <c r="Z50" s="9" t="n"/>
      <c r="AA50" s="67" t="n"/>
      <c r="AB50" s="66" t="n"/>
      <c r="AC50" s="9" t="n"/>
      <c r="AD50" s="67" t="n"/>
      <c r="AE50" s="224" t="n"/>
      <c r="AF50" s="225" t="n"/>
      <c r="AG50" s="226" t="n"/>
      <c r="AH50" s="224" t="n"/>
      <c r="AI50" s="225" t="n"/>
      <c r="AJ50" s="226" t="n"/>
      <c r="AK50" s="224" t="n"/>
      <c r="AL50" s="226" t="n"/>
    </row>
    <row r="51" hidden="1" ht="15.75" customHeight="1">
      <c r="A51" s="185" t="inlineStr">
        <is>
          <t>Object centric</t>
        </is>
      </c>
      <c r="B51" s="233" t="inlineStr">
        <is>
          <t>NF</t>
        </is>
      </c>
      <c r="C51" s="155" t="inlineStr">
        <is>
          <t>manwithfruit_tracked</t>
        </is>
      </c>
      <c r="D51" s="155">
        <f>_xlfn.CONCAT(B51,": ",C51)</f>
        <v/>
      </c>
      <c r="E51" s="234" t="n">
        <v>24</v>
      </c>
      <c r="F51" s="190" t="inlineStr">
        <is>
          <t>3840x2160</t>
        </is>
      </c>
      <c r="G51" s="155" t="n">
        <v>81</v>
      </c>
      <c r="H51" s="155" t="n">
        <v>32</v>
      </c>
      <c r="I51" s="190" t="n">
        <v>30</v>
      </c>
      <c r="J51" s="119">
        <f>IF(ISBLANK(K51),"",K51*0.008*I51/H51)</f>
        <v/>
      </c>
      <c r="K51" s="77" t="n"/>
      <c r="S51" s="14" t="n"/>
      <c r="T51" s="73" t="n"/>
      <c r="Y51" s="65" t="n"/>
      <c r="Z51" s="36" t="n"/>
      <c r="AA51" s="69" t="n"/>
      <c r="AB51" s="68" t="n"/>
      <c r="AC51" s="36" t="n"/>
      <c r="AD51" s="69" t="n"/>
      <c r="AE51" s="229" t="n"/>
      <c r="AF51" s="230" t="n"/>
      <c r="AG51" s="231" t="n"/>
      <c r="AH51" s="229" t="n"/>
      <c r="AI51" s="230" t="n"/>
      <c r="AJ51" s="231" t="n"/>
      <c r="AK51" s="229" t="n"/>
      <c r="AL51" s="231" t="n"/>
    </row>
    <row r="52" hidden="1">
      <c r="F52" s="14" t="n"/>
      <c r="I52" s="14" t="n"/>
      <c r="J52" s="119">
        <f>IF(ISBLANK(K52),"",K52*0.008*I51/H51)</f>
        <v/>
      </c>
      <c r="K52" s="77" t="n"/>
      <c r="S52" s="14" t="n"/>
      <c r="T52" s="73" t="n"/>
      <c r="Y52" s="65" t="n"/>
      <c r="AA52" s="14" t="n"/>
      <c r="AB52" s="65" t="n"/>
      <c r="AD52" s="14" t="n"/>
      <c r="AE52" s="221" t="n"/>
      <c r="AF52" s="222" t="n"/>
      <c r="AG52" s="223" t="n"/>
      <c r="AH52" s="221" t="n"/>
      <c r="AI52" s="222" t="n"/>
      <c r="AJ52" s="223" t="n"/>
      <c r="AK52" s="221" t="n"/>
      <c r="AL52" s="223" t="n"/>
    </row>
    <row r="53" hidden="1">
      <c r="F53" s="14" t="n"/>
      <c r="I53" s="14" t="n"/>
      <c r="J53" s="119">
        <f>IF(ISBLANK(K53),"",K53*0.008*I51/H51)</f>
        <v/>
      </c>
      <c r="K53" s="77" t="n"/>
      <c r="S53" s="14" t="n"/>
      <c r="T53" s="73" t="n"/>
      <c r="Y53" s="65" t="n"/>
      <c r="AA53" s="14" t="n"/>
      <c r="AB53" s="65" t="n"/>
      <c r="AD53" s="14" t="n"/>
      <c r="AE53" s="221" t="n"/>
      <c r="AF53" s="222" t="n"/>
      <c r="AG53" s="223" t="n"/>
      <c r="AH53" s="221" t="n"/>
      <c r="AI53" s="222" t="n"/>
      <c r="AJ53" s="223" t="n"/>
      <c r="AK53" s="221" t="n"/>
      <c r="AL53" s="223" t="n"/>
    </row>
    <row r="54" hidden="1">
      <c r="F54" s="14" t="n"/>
      <c r="I54" s="14" t="n"/>
      <c r="J54" s="119">
        <f>IF(ISBLANK(K54),"",K54*0.008*I51/H51)</f>
        <v/>
      </c>
      <c r="K54" s="77" t="n"/>
      <c r="S54" s="14" t="n"/>
      <c r="T54" s="73" t="n"/>
      <c r="Y54" s="65" t="n"/>
      <c r="AA54" s="14" t="n"/>
      <c r="AB54" s="65" t="n"/>
      <c r="AD54" s="14" t="n"/>
      <c r="AE54" s="221" t="n"/>
      <c r="AF54" s="222" t="n"/>
      <c r="AG54" s="223" t="n"/>
      <c r="AH54" s="221" t="n"/>
      <c r="AI54" s="222" t="n"/>
      <c r="AJ54" s="223" t="n"/>
      <c r="AK54" s="221" t="n"/>
      <c r="AL54" s="223" t="n"/>
    </row>
    <row r="55" hidden="1">
      <c r="F55" s="14" t="n"/>
      <c r="I55" s="14" t="n"/>
      <c r="J55" s="119">
        <f>IF(ISBLANK(K55),"",K55*0.008*I51/H51)</f>
        <v/>
      </c>
      <c r="K55" s="77" t="n"/>
      <c r="S55" s="14" t="n"/>
      <c r="T55" s="73" t="n"/>
      <c r="Y55" s="65" t="n"/>
      <c r="AA55" s="14" t="n"/>
      <c r="AB55" s="65" t="n"/>
      <c r="AD55" s="14" t="n"/>
      <c r="AE55" s="221" t="n"/>
      <c r="AF55" s="222" t="n"/>
      <c r="AG55" s="223" t="n"/>
      <c r="AH55" s="221" t="n"/>
      <c r="AI55" s="222" t="n"/>
      <c r="AJ55" s="223" t="n"/>
      <c r="AK55" s="221" t="n"/>
      <c r="AL55" s="223" t="n"/>
    </row>
    <row r="56" hidden="1" ht="16.2" customHeight="1" thickBot="1">
      <c r="A56" s="10" t="n"/>
      <c r="B56" s="10" t="n"/>
      <c r="C56" s="10" t="n"/>
      <c r="D56" s="10" t="n"/>
      <c r="E56" s="10" t="n"/>
      <c r="F56" s="71" t="n"/>
      <c r="G56" s="10" t="n"/>
      <c r="H56" s="10" t="n"/>
      <c r="I56" s="71" t="n"/>
      <c r="J56" s="123">
        <f>IF(ISBLANK(K56),"",K56*0.008*I51/H51)</f>
        <v/>
      </c>
      <c r="K56" s="81" t="n"/>
      <c r="L56" s="10" t="n"/>
      <c r="M56" s="10" t="n"/>
      <c r="N56" s="10" t="n"/>
      <c r="O56" s="10" t="n"/>
      <c r="P56" s="10" t="n"/>
      <c r="Q56" s="10" t="n"/>
      <c r="R56" s="10" t="n"/>
      <c r="S56" s="71" t="n"/>
      <c r="T56" s="76" t="n"/>
      <c r="U56" s="18" t="n"/>
      <c r="V56" s="18" t="n"/>
      <c r="W56" s="10" t="n"/>
      <c r="X56" s="10" t="n"/>
      <c r="Y56" s="70" t="n"/>
      <c r="Z56" s="10" t="n"/>
      <c r="AA56" s="71" t="n"/>
      <c r="AB56" s="70" t="n"/>
      <c r="AC56" s="10" t="n"/>
      <c r="AD56" s="71" t="n"/>
      <c r="AE56" s="235" t="n"/>
      <c r="AF56" s="236" t="n"/>
      <c r="AG56" s="237" t="n"/>
      <c r="AH56" s="235" t="n"/>
      <c r="AI56" s="236" t="n"/>
      <c r="AJ56" s="237" t="n"/>
      <c r="AK56" s="235" t="n"/>
      <c r="AL56" s="237" t="n"/>
    </row>
    <row r="57" ht="15.75" customHeight="1">
      <c r="A57" s="238" t="inlineStr">
        <is>
          <t>Forward facing</t>
        </is>
      </c>
      <c r="B57" s="239" t="inlineStr">
        <is>
          <t>1F</t>
        </is>
      </c>
      <c r="C57" s="151" t="inlineStr">
        <is>
          <t>bartender_semitracked</t>
        </is>
      </c>
      <c r="D57" s="151">
        <f>_xlfn.CONCAT(B57,": ",C57)</f>
        <v/>
      </c>
      <c r="E57" s="216" t="n">
        <v>21</v>
      </c>
      <c r="F57" s="187" t="inlineStr">
        <is>
          <t>1920x1080</t>
        </is>
      </c>
      <c r="G57" s="151" t="n">
        <v>0</v>
      </c>
      <c r="H57" s="151" t="n">
        <v>1</v>
      </c>
      <c r="I57" s="187" t="n"/>
      <c r="J57" s="119" t="n"/>
      <c r="K57" s="77" t="n"/>
      <c r="S57" s="14" t="n"/>
      <c r="T57" s="73" t="n"/>
      <c r="Y57" s="65" t="n"/>
      <c r="Z57" s="38" t="n"/>
      <c r="AA57" s="15" t="n"/>
      <c r="AB57" s="64" t="n"/>
      <c r="AC57" s="38" t="n"/>
      <c r="AD57" s="15" t="n"/>
      <c r="AE57" s="218" t="n"/>
      <c r="AF57" s="219" t="n"/>
      <c r="AG57" s="220" t="n"/>
      <c r="AH57" s="218" t="n"/>
      <c r="AI57" s="219" t="n"/>
      <c r="AJ57" s="220" t="n"/>
      <c r="AK57" s="218" t="n"/>
      <c r="AL57" s="220" t="n"/>
    </row>
    <row r="58">
      <c r="F58" s="14" t="n"/>
      <c r="I58" s="14" t="n"/>
      <c r="J58" s="119" t="n"/>
      <c r="K58" s="77" t="n"/>
      <c r="S58" s="14" t="n"/>
      <c r="T58" s="73" t="n"/>
      <c r="Y58" s="65" t="n"/>
      <c r="AA58" s="14" t="n"/>
      <c r="AB58" s="65" t="n"/>
      <c r="AD58" s="14" t="n"/>
      <c r="AE58" s="221" t="n"/>
      <c r="AF58" s="222" t="n"/>
      <c r="AG58" s="223" t="n"/>
      <c r="AH58" s="221" t="n"/>
      <c r="AI58" s="222" t="n"/>
      <c r="AJ58" s="223" t="n"/>
      <c r="AK58" s="221" t="n"/>
      <c r="AL58" s="223" t="n"/>
    </row>
    <row r="59">
      <c r="F59" s="14" t="n"/>
      <c r="I59" s="14" t="n"/>
      <c r="J59" s="119" t="n"/>
      <c r="K59" s="77" t="n"/>
      <c r="S59" s="14" t="n"/>
      <c r="T59" s="73" t="n"/>
      <c r="Y59" s="65" t="n"/>
      <c r="AA59" s="14" t="n"/>
      <c r="AB59" s="65" t="n"/>
      <c r="AD59" s="14" t="n"/>
      <c r="AE59" s="221" t="n"/>
      <c r="AF59" s="222" t="n"/>
      <c r="AG59" s="223" t="n"/>
      <c r="AH59" s="221" t="n"/>
      <c r="AI59" s="222" t="n"/>
      <c r="AJ59" s="223" t="n"/>
      <c r="AK59" s="221" t="n"/>
      <c r="AL59" s="223" t="n"/>
    </row>
    <row r="60">
      <c r="F60" s="14" t="n"/>
      <c r="I60" s="14" t="n"/>
      <c r="J60" s="119" t="n"/>
      <c r="K60" s="77" t="n"/>
      <c r="S60" s="14" t="n"/>
      <c r="T60" s="73" t="n"/>
      <c r="Y60" s="65" t="n"/>
      <c r="AA60" s="14" t="n"/>
      <c r="AB60" s="65" t="n"/>
      <c r="AD60" s="14" t="n"/>
      <c r="AE60" s="221" t="n"/>
      <c r="AF60" s="222" t="n"/>
      <c r="AG60" s="223" t="n"/>
      <c r="AH60" s="221" t="n"/>
      <c r="AI60" s="222" t="n"/>
      <c r="AJ60" s="223" t="n"/>
      <c r="AK60" s="221" t="n"/>
      <c r="AL60" s="223" t="n"/>
    </row>
    <row r="61">
      <c r="F61" s="14" t="n"/>
      <c r="I61" s="14" t="n"/>
      <c r="J61" s="119" t="n"/>
      <c r="K61" s="77" t="n"/>
      <c r="S61" s="14" t="n"/>
      <c r="T61" s="73" t="n"/>
      <c r="Y61" s="65" t="n"/>
      <c r="AA61" s="14" t="n"/>
      <c r="AB61" s="65" t="n"/>
      <c r="AD61" s="14" t="n"/>
      <c r="AE61" s="221" t="n"/>
      <c r="AF61" s="222" t="n"/>
      <c r="AG61" s="223" t="n"/>
      <c r="AH61" s="221" t="n"/>
      <c r="AI61" s="222" t="n"/>
      <c r="AJ61" s="223" t="n"/>
      <c r="AK61" s="221" t="n"/>
      <c r="AL61" s="223" t="n"/>
    </row>
    <row r="62">
      <c r="B62" s="9" t="n"/>
      <c r="C62" s="9" t="n"/>
      <c r="D62" s="9" t="n"/>
      <c r="E62" s="9" t="n"/>
      <c r="F62" s="67" t="n"/>
      <c r="G62" s="9" t="n"/>
      <c r="H62" s="9" t="n"/>
      <c r="I62" s="67" t="n"/>
      <c r="J62" s="120" t="n"/>
      <c r="K62" s="79" t="n"/>
      <c r="L62" s="9" t="n"/>
      <c r="M62" s="9" t="n"/>
      <c r="N62" s="9" t="n"/>
      <c r="O62" s="9" t="n"/>
      <c r="P62" s="9" t="n"/>
      <c r="Q62" s="9" t="n"/>
      <c r="R62" s="9" t="n"/>
      <c r="S62" s="67" t="n"/>
      <c r="T62" s="74" t="n"/>
      <c r="U62" s="17" t="n"/>
      <c r="V62" s="17" t="n"/>
      <c r="W62" s="9" t="n"/>
      <c r="X62" s="9" t="n"/>
      <c r="Y62" s="66" t="n"/>
      <c r="Z62" s="9" t="n"/>
      <c r="AA62" s="67" t="n"/>
      <c r="AB62" s="66" t="n"/>
      <c r="AC62" s="9" t="n"/>
      <c r="AD62" s="67" t="n"/>
      <c r="AE62" s="224" t="n"/>
      <c r="AF62" s="225" t="n"/>
      <c r="AG62" s="226" t="n"/>
      <c r="AH62" s="224" t="n"/>
      <c r="AI62" s="225" t="n"/>
      <c r="AJ62" s="226" t="n"/>
      <c r="AK62" s="224" t="n"/>
      <c r="AL62" s="226" t="n"/>
    </row>
    <row r="63">
      <c r="B63" s="240" t="inlineStr">
        <is>
          <t>1F</t>
        </is>
      </c>
      <c r="C63" s="151" t="inlineStr">
        <is>
          <t>cinema_semitracked</t>
        </is>
      </c>
      <c r="D63" s="151">
        <f>_xlfn.CONCAT(B63,": ",C63)</f>
        <v/>
      </c>
      <c r="E63" s="228" t="n">
        <v>21</v>
      </c>
      <c r="F63" s="187" t="inlineStr">
        <is>
          <t>1920x1080</t>
        </is>
      </c>
      <c r="G63" s="151" t="n">
        <v>0</v>
      </c>
      <c r="H63" s="151" t="n">
        <v>1</v>
      </c>
      <c r="I63" s="187" t="n"/>
      <c r="J63" s="119" t="n"/>
      <c r="K63" s="77" t="n"/>
      <c r="S63" s="14" t="n"/>
      <c r="T63" s="73" t="n"/>
      <c r="Y63" s="65" t="n"/>
      <c r="Z63" s="36" t="n"/>
      <c r="AA63" s="69" t="n"/>
      <c r="AB63" s="68" t="n"/>
      <c r="AC63" s="36" t="n"/>
      <c r="AD63" s="69" t="n"/>
      <c r="AE63" s="229" t="n"/>
      <c r="AF63" s="230" t="n"/>
      <c r="AG63" s="231" t="n"/>
      <c r="AH63" s="229" t="n"/>
      <c r="AI63" s="230" t="n"/>
      <c r="AJ63" s="231" t="n"/>
      <c r="AK63" s="229" t="n"/>
      <c r="AL63" s="231" t="n"/>
    </row>
    <row r="64">
      <c r="F64" s="14" t="n"/>
      <c r="I64" s="14" t="n"/>
      <c r="J64" s="119" t="n"/>
      <c r="K64" s="77" t="n"/>
      <c r="S64" s="14" t="n"/>
      <c r="T64" s="73" t="n"/>
      <c r="Y64" s="65" t="n"/>
      <c r="AA64" s="14" t="n"/>
      <c r="AB64" s="65" t="n"/>
      <c r="AD64" s="14" t="n"/>
      <c r="AE64" s="221" t="n"/>
      <c r="AF64" s="222" t="n"/>
      <c r="AG64" s="223" t="n"/>
      <c r="AH64" s="221" t="n"/>
      <c r="AI64" s="222" t="n"/>
      <c r="AJ64" s="223" t="n"/>
      <c r="AK64" s="221" t="n"/>
      <c r="AL64" s="223" t="n"/>
    </row>
    <row r="65">
      <c r="F65" s="14" t="n"/>
      <c r="I65" s="14" t="n"/>
      <c r="J65" s="119" t="n"/>
      <c r="K65" s="77" t="n"/>
      <c r="S65" s="14" t="n"/>
      <c r="T65" s="73" t="n"/>
      <c r="Y65" s="65" t="n"/>
      <c r="AA65" s="14" t="n"/>
      <c r="AB65" s="65" t="n"/>
      <c r="AD65" s="14" t="n"/>
      <c r="AE65" s="221" t="n"/>
      <c r="AF65" s="222" t="n"/>
      <c r="AG65" s="223" t="n"/>
      <c r="AH65" s="221" t="n"/>
      <c r="AI65" s="222" t="n"/>
      <c r="AJ65" s="223" t="n"/>
      <c r="AK65" s="221" t="n"/>
      <c r="AL65" s="223" t="n"/>
    </row>
    <row r="66">
      <c r="F66" s="14" t="n"/>
      <c r="I66" s="14" t="n"/>
      <c r="J66" s="119" t="n"/>
      <c r="K66" s="77" t="n"/>
      <c r="S66" s="14" t="n"/>
      <c r="T66" s="73" t="n"/>
      <c r="Y66" s="65" t="n"/>
      <c r="AA66" s="14" t="n"/>
      <c r="AB66" s="65" t="n"/>
      <c r="AD66" s="14" t="n"/>
      <c r="AE66" s="221" t="n"/>
      <c r="AF66" s="222" t="n"/>
      <c r="AG66" s="223" t="n"/>
      <c r="AH66" s="221" t="n"/>
      <c r="AI66" s="222" t="n"/>
      <c r="AJ66" s="223" t="n"/>
      <c r="AK66" s="221" t="n"/>
      <c r="AL66" s="223" t="n"/>
    </row>
    <row r="67">
      <c r="F67" s="14" t="n"/>
      <c r="I67" s="14" t="n"/>
      <c r="J67" s="119" t="n"/>
      <c r="K67" s="77" t="n"/>
      <c r="S67" s="14" t="n"/>
      <c r="T67" s="73" t="n"/>
      <c r="Y67" s="65" t="n"/>
      <c r="AA67" s="14" t="n"/>
      <c r="AB67" s="65" t="n"/>
      <c r="AD67" s="14" t="n"/>
      <c r="AE67" s="221" t="n"/>
      <c r="AF67" s="222" t="n"/>
      <c r="AG67" s="223" t="n"/>
      <c r="AH67" s="221" t="n"/>
      <c r="AI67" s="222" t="n"/>
      <c r="AJ67" s="223" t="n"/>
      <c r="AK67" s="221" t="n"/>
      <c r="AL67" s="223" t="n"/>
    </row>
    <row r="68">
      <c r="B68" s="9" t="n"/>
      <c r="C68" s="9" t="n"/>
      <c r="D68" s="9" t="n"/>
      <c r="E68" s="9" t="n"/>
      <c r="F68" s="67" t="n"/>
      <c r="G68" s="9" t="n"/>
      <c r="H68" s="9" t="n"/>
      <c r="I68" s="67" t="n"/>
      <c r="J68" s="120" t="n"/>
      <c r="K68" s="79" t="n"/>
      <c r="L68" s="9" t="n"/>
      <c r="M68" s="9" t="n"/>
      <c r="N68" s="9" t="n"/>
      <c r="O68" s="9" t="n"/>
      <c r="P68" s="9" t="n"/>
      <c r="Q68" s="9" t="n"/>
      <c r="R68" s="9" t="n"/>
      <c r="S68" s="67" t="n"/>
      <c r="T68" s="74" t="n"/>
      <c r="U68" s="17" t="n"/>
      <c r="V68" s="17" t="n"/>
      <c r="W68" s="9" t="n"/>
      <c r="X68" s="9" t="n"/>
      <c r="Y68" s="66" t="n"/>
      <c r="Z68" s="9" t="n"/>
      <c r="AA68" s="67" t="n"/>
      <c r="AB68" s="66" t="n"/>
      <c r="AC68" s="9" t="n"/>
      <c r="AD68" s="67" t="n"/>
      <c r="AE68" s="224" t="n"/>
      <c r="AF68" s="225" t="n"/>
      <c r="AG68" s="226" t="n"/>
      <c r="AH68" s="224" t="n"/>
      <c r="AI68" s="225" t="n"/>
      <c r="AJ68" s="226" t="n"/>
      <c r="AK68" s="224" t="n"/>
      <c r="AL68" s="226" t="n"/>
    </row>
    <row r="69">
      <c r="B69" s="240" t="inlineStr">
        <is>
          <t>1F</t>
        </is>
      </c>
      <c r="C69" s="151" t="inlineStr">
        <is>
          <t>breakfast_semitracked</t>
        </is>
      </c>
      <c r="D69" s="151">
        <f>_xlfn.CONCAT(B69,": ",C69)</f>
        <v/>
      </c>
      <c r="E69" s="228" t="n">
        <v>15</v>
      </c>
      <c r="F69" s="187" t="inlineStr">
        <is>
          <t>1920x1080</t>
        </is>
      </c>
      <c r="G69" s="151" t="n">
        <v>0</v>
      </c>
      <c r="H69" s="151" t="n">
        <v>1</v>
      </c>
      <c r="I69" s="187" t="n"/>
      <c r="J69" s="119" t="n"/>
      <c r="K69" s="77" t="n"/>
      <c r="S69" s="14" t="n"/>
      <c r="T69" s="73" t="n"/>
      <c r="Y69" s="65" t="n"/>
      <c r="Z69" s="36" t="n"/>
      <c r="AA69" s="69" t="n"/>
      <c r="AB69" s="68" t="n"/>
      <c r="AC69" s="36" t="n"/>
      <c r="AD69" s="69" t="n"/>
      <c r="AE69" s="229" t="n"/>
      <c r="AF69" s="230" t="n"/>
      <c r="AG69" s="231" t="n"/>
      <c r="AH69" s="229" t="n"/>
      <c r="AI69" s="230" t="n"/>
      <c r="AJ69" s="231" t="n"/>
      <c r="AK69" s="229" t="n"/>
      <c r="AL69" s="231" t="n"/>
    </row>
    <row r="70">
      <c r="F70" s="14" t="n"/>
      <c r="I70" s="14" t="n"/>
      <c r="J70" s="119" t="n"/>
      <c r="K70" s="77" t="n"/>
      <c r="S70" s="14" t="n"/>
      <c r="T70" s="73" t="n"/>
      <c r="Y70" s="65" t="n"/>
      <c r="AA70" s="14" t="n"/>
      <c r="AB70" s="65" t="n"/>
      <c r="AD70" s="14" t="n"/>
      <c r="AE70" s="221" t="n"/>
      <c r="AF70" s="222" t="n"/>
      <c r="AG70" s="223" t="n"/>
      <c r="AH70" s="221" t="n"/>
      <c r="AI70" s="222" t="n"/>
      <c r="AJ70" s="223" t="n"/>
      <c r="AK70" s="221" t="n"/>
      <c r="AL70" s="223" t="n"/>
    </row>
    <row r="71">
      <c r="F71" s="14" t="n"/>
      <c r="I71" s="14" t="n"/>
      <c r="J71" s="119" t="n"/>
      <c r="K71" s="77" t="n"/>
      <c r="S71" s="14" t="n"/>
      <c r="T71" s="73" t="n"/>
      <c r="Y71" s="65" t="n"/>
      <c r="AA71" s="14" t="n"/>
      <c r="AB71" s="65" t="n"/>
      <c r="AD71" s="14" t="n"/>
      <c r="AE71" s="221" t="n"/>
      <c r="AF71" s="222" t="n"/>
      <c r="AG71" s="223" t="n"/>
      <c r="AH71" s="221" t="n"/>
      <c r="AI71" s="222" t="n"/>
      <c r="AJ71" s="223" t="n"/>
      <c r="AK71" s="221" t="n"/>
      <c r="AL71" s="223" t="n"/>
    </row>
    <row r="72">
      <c r="F72" s="14" t="n"/>
      <c r="I72" s="14" t="n"/>
      <c r="J72" s="119" t="n"/>
      <c r="K72" s="77" t="n"/>
      <c r="S72" s="14" t="n"/>
      <c r="T72" s="73" t="n"/>
      <c r="Y72" s="65" t="n"/>
      <c r="AA72" s="14" t="n"/>
      <c r="AB72" s="65" t="n"/>
      <c r="AD72" s="14" t="n"/>
      <c r="AE72" s="221" t="n"/>
      <c r="AF72" s="222" t="n"/>
      <c r="AG72" s="223" t="n"/>
      <c r="AH72" s="221" t="n"/>
      <c r="AI72" s="222" t="n"/>
      <c r="AJ72" s="223" t="n"/>
      <c r="AK72" s="221" t="n"/>
      <c r="AL72" s="223" t="n"/>
    </row>
    <row r="73">
      <c r="F73" s="14" t="n"/>
      <c r="I73" s="14" t="n"/>
      <c r="J73" s="119" t="n"/>
      <c r="K73" s="77" t="n"/>
      <c r="S73" s="14" t="n"/>
      <c r="T73" s="73" t="n"/>
      <c r="Y73" s="65" t="n"/>
      <c r="AA73" s="14" t="n"/>
      <c r="AB73" s="65" t="n"/>
      <c r="AD73" s="14" t="n"/>
      <c r="AE73" s="221" t="n"/>
      <c r="AF73" s="222" t="n"/>
      <c r="AG73" s="223" t="n"/>
      <c r="AH73" s="221" t="n"/>
      <c r="AI73" s="222" t="n"/>
      <c r="AJ73" s="223" t="n"/>
      <c r="AK73" s="221" t="n"/>
      <c r="AL73" s="223" t="n"/>
    </row>
    <row r="74">
      <c r="B74" s="9" t="n"/>
      <c r="C74" s="9" t="n"/>
      <c r="D74" s="9" t="n"/>
      <c r="E74" s="9" t="n"/>
      <c r="F74" s="67" t="n"/>
      <c r="G74" s="9" t="n"/>
      <c r="H74" s="9" t="n"/>
      <c r="I74" s="67" t="n"/>
      <c r="J74" s="120" t="n"/>
      <c r="K74" s="79" t="n"/>
      <c r="L74" s="9" t="n"/>
      <c r="M74" s="9" t="n"/>
      <c r="N74" s="9" t="n"/>
      <c r="O74" s="9" t="n"/>
      <c r="P74" s="9" t="n"/>
      <c r="Q74" s="9" t="n"/>
      <c r="R74" s="9" t="n"/>
      <c r="S74" s="67" t="n"/>
      <c r="T74" s="74" t="n"/>
      <c r="U74" s="17" t="n"/>
      <c r="V74" s="17" t="n"/>
      <c r="W74" s="9" t="n"/>
      <c r="X74" s="9" t="n"/>
      <c r="Y74" s="66" t="n"/>
      <c r="Z74" s="9" t="n"/>
      <c r="AA74" s="67" t="n"/>
      <c r="AB74" s="66" t="n"/>
      <c r="AC74" s="9" t="n"/>
      <c r="AD74" s="67" t="n"/>
      <c r="AE74" s="224" t="n"/>
      <c r="AF74" s="225" t="n"/>
      <c r="AG74" s="226" t="n"/>
      <c r="AH74" s="224" t="n"/>
      <c r="AI74" s="225" t="n"/>
      <c r="AJ74" s="226" t="n"/>
      <c r="AK74" s="224" t="n"/>
      <c r="AL74" s="226" t="n"/>
    </row>
    <row r="75">
      <c r="B75" s="240" t="inlineStr">
        <is>
          <t>1F</t>
        </is>
      </c>
      <c r="C75" s="151" t="inlineStr">
        <is>
          <t>breakfast_untracked</t>
        </is>
      </c>
      <c r="D75" s="151">
        <f>_xlfn.CONCAT(B75,": ",C75)</f>
        <v/>
      </c>
      <c r="E75" s="228" t="n">
        <v>15</v>
      </c>
      <c r="F75" s="187" t="inlineStr">
        <is>
          <t>1920x1080</t>
        </is>
      </c>
      <c r="G75" s="151" t="n">
        <v>0</v>
      </c>
      <c r="H75" s="151" t="n">
        <v>1</v>
      </c>
      <c r="I75" s="187" t="n"/>
      <c r="J75" s="119" t="n"/>
      <c r="K75" s="77" t="n"/>
      <c r="S75" s="14" t="n"/>
      <c r="T75" s="73" t="n"/>
      <c r="Y75" s="65" t="n"/>
      <c r="Z75" s="36" t="n"/>
      <c r="AA75" s="69" t="n"/>
      <c r="AB75" s="68" t="n"/>
      <c r="AC75" s="36" t="n"/>
      <c r="AD75" s="69" t="n"/>
      <c r="AE75" s="229" t="n"/>
      <c r="AF75" s="230" t="n"/>
      <c r="AG75" s="231" t="n"/>
      <c r="AH75" s="229" t="n"/>
      <c r="AI75" s="230" t="n"/>
      <c r="AJ75" s="231" t="n"/>
      <c r="AK75" s="229" t="n"/>
      <c r="AL75" s="231" t="n"/>
    </row>
    <row r="76">
      <c r="F76" s="14" t="n"/>
      <c r="I76" s="14" t="n"/>
      <c r="J76" s="119" t="n"/>
      <c r="K76" s="77" t="n"/>
      <c r="S76" s="14" t="n"/>
      <c r="T76" s="73" t="n"/>
      <c r="Y76" s="65" t="n"/>
      <c r="AA76" s="14" t="n"/>
      <c r="AB76" s="65" t="n"/>
      <c r="AD76" s="14" t="n"/>
      <c r="AE76" s="221" t="n"/>
      <c r="AF76" s="222" t="n"/>
      <c r="AG76" s="223" t="n"/>
      <c r="AH76" s="221" t="n"/>
      <c r="AI76" s="222" t="n"/>
      <c r="AJ76" s="223" t="n"/>
      <c r="AK76" s="221" t="n"/>
      <c r="AL76" s="223" t="n"/>
    </row>
    <row r="77">
      <c r="F77" s="14" t="n"/>
      <c r="I77" s="14" t="n"/>
      <c r="J77" s="119" t="n"/>
      <c r="K77" s="77" t="n"/>
      <c r="S77" s="14" t="n"/>
      <c r="T77" s="73" t="n"/>
      <c r="Y77" s="65" t="n"/>
      <c r="AA77" s="14" t="n"/>
      <c r="AB77" s="65" t="n"/>
      <c r="AD77" s="14" t="n"/>
      <c r="AE77" s="221" t="n"/>
      <c r="AF77" s="222" t="n"/>
      <c r="AG77" s="223" t="n"/>
      <c r="AH77" s="221" t="n"/>
      <c r="AI77" s="222" t="n"/>
      <c r="AJ77" s="223" t="n"/>
      <c r="AK77" s="221" t="n"/>
      <c r="AL77" s="223" t="n"/>
    </row>
    <row r="78">
      <c r="F78" s="14" t="n"/>
      <c r="I78" s="14" t="n"/>
      <c r="J78" s="119" t="n"/>
      <c r="K78" s="77" t="n"/>
      <c r="S78" s="14" t="n"/>
      <c r="T78" s="73" t="n"/>
      <c r="Y78" s="65" t="n"/>
      <c r="AA78" s="14" t="n"/>
      <c r="AB78" s="65" t="n"/>
      <c r="AD78" s="14" t="n"/>
      <c r="AE78" s="221" t="n"/>
      <c r="AF78" s="222" t="n"/>
      <c r="AG78" s="223" t="n"/>
      <c r="AH78" s="221" t="n"/>
      <c r="AI78" s="222" t="n"/>
      <c r="AJ78" s="223" t="n"/>
      <c r="AK78" s="221" t="n"/>
      <c r="AL78" s="223" t="n"/>
    </row>
    <row r="79">
      <c r="F79" s="14" t="n"/>
      <c r="I79" s="14" t="n"/>
      <c r="J79" s="119" t="n"/>
      <c r="K79" s="77" t="n"/>
      <c r="S79" s="14" t="n"/>
      <c r="T79" s="73" t="n"/>
      <c r="Y79" s="65" t="n"/>
      <c r="AA79" s="14" t="n"/>
      <c r="AB79" s="65" t="n"/>
      <c r="AD79" s="14" t="n"/>
      <c r="AE79" s="221" t="n"/>
      <c r="AF79" s="222" t="n"/>
      <c r="AG79" s="223" t="n"/>
      <c r="AH79" s="221" t="n"/>
      <c r="AI79" s="222" t="n"/>
      <c r="AJ79" s="223" t="n"/>
      <c r="AK79" s="221" t="n"/>
      <c r="AL79" s="223" t="n"/>
    </row>
    <row r="80">
      <c r="B80" s="9" t="n"/>
      <c r="C80" s="9" t="n"/>
      <c r="D80" s="9" t="n"/>
      <c r="E80" s="9" t="n"/>
      <c r="F80" s="67" t="n"/>
      <c r="G80" s="9" t="n"/>
      <c r="H80" s="9" t="n"/>
      <c r="I80" s="67" t="n"/>
      <c r="J80" s="120" t="n"/>
      <c r="K80" s="79" t="n"/>
      <c r="L80" s="9" t="n"/>
      <c r="M80" s="9" t="n"/>
      <c r="N80" s="9" t="n"/>
      <c r="O80" s="9" t="n"/>
      <c r="P80" s="9" t="n"/>
      <c r="Q80" s="9" t="n"/>
      <c r="R80" s="9" t="n"/>
      <c r="S80" s="67" t="n"/>
      <c r="T80" s="74" t="n"/>
      <c r="U80" s="17" t="n"/>
      <c r="V80" s="17" t="n"/>
      <c r="W80" s="9" t="n"/>
      <c r="X80" s="9" t="n"/>
      <c r="Y80" s="66" t="n"/>
      <c r="Z80" s="9" t="n"/>
      <c r="AA80" s="67" t="n"/>
      <c r="AB80" s="66" t="n"/>
      <c r="AC80" s="9" t="n"/>
      <c r="AD80" s="67" t="n"/>
      <c r="AE80" s="224" t="n"/>
      <c r="AF80" s="225" t="n"/>
      <c r="AG80" s="226" t="n"/>
      <c r="AH80" s="224" t="n"/>
      <c r="AI80" s="225" t="n"/>
      <c r="AJ80" s="226" t="n"/>
      <c r="AK80" s="224" t="n"/>
      <c r="AL80" s="226" t="n"/>
    </row>
    <row r="81">
      <c r="B81" s="240" t="inlineStr">
        <is>
          <t>1F</t>
        </is>
      </c>
      <c r="C81" s="151" t="inlineStr">
        <is>
          <t>breakdance_untracked</t>
        </is>
      </c>
      <c r="D81" s="151">
        <f>_xlfn.CONCAT(B81,": ",C81)</f>
        <v/>
      </c>
      <c r="E81" s="228" t="n">
        <v>33</v>
      </c>
      <c r="F81" s="187" t="inlineStr">
        <is>
          <t>1920x1080</t>
        </is>
      </c>
      <c r="G81" s="151" t="n">
        <v>0</v>
      </c>
      <c r="H81" s="151" t="n">
        <v>1</v>
      </c>
      <c r="I81" s="187" t="n"/>
      <c r="J81" s="119" t="n"/>
      <c r="K81" s="77" t="n"/>
      <c r="S81" s="14" t="n"/>
      <c r="T81" s="73" t="n"/>
      <c r="Y81" s="65" t="n"/>
      <c r="Z81" s="36" t="n"/>
      <c r="AA81" s="69" t="n"/>
      <c r="AB81" s="68" t="n"/>
      <c r="AC81" s="36" t="n"/>
      <c r="AD81" s="69" t="n"/>
      <c r="AE81" s="229" t="n"/>
      <c r="AF81" s="230" t="n"/>
      <c r="AG81" s="231" t="n"/>
      <c r="AH81" s="229" t="n"/>
      <c r="AI81" s="230" t="n"/>
      <c r="AJ81" s="231" t="n"/>
      <c r="AK81" s="229" t="n"/>
      <c r="AL81" s="231" t="n"/>
    </row>
    <row r="82">
      <c r="F82" s="14" t="n"/>
      <c r="I82" s="14" t="n"/>
      <c r="J82" s="119" t="n"/>
      <c r="K82" s="77" t="n"/>
      <c r="S82" s="14" t="n"/>
      <c r="T82" s="73" t="n"/>
      <c r="Y82" s="65" t="n"/>
      <c r="AA82" s="14" t="n"/>
      <c r="AB82" s="65" t="n"/>
      <c r="AD82" s="14" t="n"/>
      <c r="AE82" s="221" t="n"/>
      <c r="AF82" s="222" t="n"/>
      <c r="AG82" s="223" t="n"/>
      <c r="AH82" s="221" t="n"/>
      <c r="AI82" s="222" t="n"/>
      <c r="AJ82" s="223" t="n"/>
      <c r="AK82" s="221" t="n"/>
      <c r="AL82" s="223" t="n"/>
    </row>
    <row r="83">
      <c r="F83" s="14" t="n"/>
      <c r="I83" s="14" t="n"/>
      <c r="J83" s="119" t="n"/>
      <c r="K83" s="77" t="n"/>
      <c r="S83" s="14" t="n"/>
      <c r="T83" s="73" t="n"/>
      <c r="Y83" s="65" t="n"/>
      <c r="AA83" s="14" t="n"/>
      <c r="AB83" s="65" t="n"/>
      <c r="AD83" s="14" t="n"/>
      <c r="AE83" s="221" t="n"/>
      <c r="AF83" s="222" t="n"/>
      <c r="AG83" s="223" t="n"/>
      <c r="AH83" s="221" t="n"/>
      <c r="AI83" s="222" t="n"/>
      <c r="AJ83" s="223" t="n"/>
      <c r="AK83" s="221" t="n"/>
      <c r="AL83" s="223" t="n"/>
    </row>
    <row r="84">
      <c r="F84" s="14" t="n"/>
      <c r="I84" s="14" t="n"/>
      <c r="J84" s="119" t="n"/>
      <c r="K84" s="77" t="n"/>
      <c r="S84" s="14" t="n"/>
      <c r="T84" s="73" t="n"/>
      <c r="Y84" s="65" t="n"/>
      <c r="AA84" s="14" t="n"/>
      <c r="AB84" s="65" t="n"/>
      <c r="AD84" s="14" t="n"/>
      <c r="AE84" s="221" t="n"/>
      <c r="AF84" s="222" t="n"/>
      <c r="AG84" s="223" t="n"/>
      <c r="AH84" s="221" t="n"/>
      <c r="AI84" s="222" t="n"/>
      <c r="AJ84" s="223" t="n"/>
      <c r="AK84" s="221" t="n"/>
      <c r="AL84" s="223" t="n"/>
    </row>
    <row r="85">
      <c r="F85" s="14" t="n"/>
      <c r="I85" s="14" t="n"/>
      <c r="J85" s="119" t="n"/>
      <c r="K85" s="77" t="n"/>
      <c r="S85" s="14" t="n"/>
      <c r="T85" s="73" t="n"/>
      <c r="Y85" s="65" t="n"/>
      <c r="AA85" s="14" t="n"/>
      <c r="AB85" s="65" t="n"/>
      <c r="AD85" s="14" t="n"/>
      <c r="AE85" s="221" t="n"/>
      <c r="AF85" s="222" t="n"/>
      <c r="AG85" s="223" t="n"/>
      <c r="AH85" s="221" t="n"/>
      <c r="AI85" s="222" t="n"/>
      <c r="AJ85" s="223" t="n"/>
      <c r="AK85" s="221" t="n"/>
      <c r="AL85" s="223" t="n"/>
    </row>
    <row r="86">
      <c r="B86" s="9" t="n"/>
      <c r="C86" s="9" t="n"/>
      <c r="D86" s="9" t="n"/>
      <c r="E86" s="9" t="n"/>
      <c r="F86" s="67" t="n"/>
      <c r="G86" s="9" t="n"/>
      <c r="H86" s="9" t="n"/>
      <c r="I86" s="67" t="n"/>
      <c r="J86" s="120" t="n"/>
      <c r="K86" s="79" t="n"/>
      <c r="L86" s="9" t="n"/>
      <c r="M86" s="9" t="n"/>
      <c r="N86" s="9" t="n"/>
      <c r="O86" s="9" t="n"/>
      <c r="P86" s="9" t="n"/>
      <c r="Q86" s="9" t="n"/>
      <c r="R86" s="9" t="n"/>
      <c r="S86" s="67" t="n"/>
      <c r="T86" s="74" t="n"/>
      <c r="U86" s="17" t="n"/>
      <c r="V86" s="17" t="n"/>
      <c r="W86" s="9" t="n"/>
      <c r="X86" s="9" t="n"/>
      <c r="Y86" s="66" t="n"/>
      <c r="Z86" s="9" t="n"/>
      <c r="AA86" s="67" t="n"/>
      <c r="AB86" s="66" t="n"/>
      <c r="AC86" s="9" t="n"/>
      <c r="AD86" s="67" t="n"/>
      <c r="AE86" s="224" t="n"/>
      <c r="AF86" s="225" t="n"/>
      <c r="AG86" s="226" t="n"/>
      <c r="AH86" s="224" t="n"/>
      <c r="AI86" s="225" t="n"/>
      <c r="AJ86" s="226" t="n"/>
      <c r="AK86" s="224" t="n"/>
      <c r="AL86" s="226" t="n"/>
    </row>
    <row r="87">
      <c r="B87" s="240" t="inlineStr">
        <is>
          <t>1F</t>
        </is>
      </c>
      <c r="C87" s="153" t="inlineStr">
        <is>
          <t>bartender_tracked</t>
        </is>
      </c>
      <c r="D87" s="153">
        <f>_xlfn.CONCAT(B87,": ",C87)</f>
        <v/>
      </c>
      <c r="E87" s="232" t="n">
        <v>21</v>
      </c>
      <c r="F87" s="161" t="inlineStr">
        <is>
          <t>1920x1080</t>
        </is>
      </c>
      <c r="G87" s="153" t="n">
        <v>0</v>
      </c>
      <c r="H87" s="153" t="n">
        <v>1</v>
      </c>
      <c r="I87" s="161" t="n"/>
      <c r="J87" s="121" t="n"/>
      <c r="K87" s="77" t="n"/>
      <c r="S87" s="14" t="n"/>
      <c r="T87" s="73" t="n"/>
      <c r="Y87" s="65" t="n"/>
      <c r="Z87" s="36" t="n"/>
      <c r="AA87" s="69" t="n"/>
      <c r="AB87" s="68" t="n"/>
      <c r="AC87" s="36" t="n"/>
      <c r="AD87" s="69" t="n"/>
      <c r="AE87" s="229" t="n"/>
      <c r="AF87" s="230" t="n"/>
      <c r="AG87" s="231" t="n"/>
      <c r="AH87" s="229" t="n"/>
      <c r="AI87" s="230" t="n"/>
      <c r="AJ87" s="231" t="n"/>
      <c r="AK87" s="229" t="n"/>
      <c r="AL87" s="231" t="n"/>
    </row>
    <row r="88">
      <c r="F88" s="14" t="n"/>
      <c r="I88" s="14" t="n"/>
      <c r="J88" s="121" t="n"/>
      <c r="K88" s="77" t="n"/>
      <c r="S88" s="14" t="n"/>
      <c r="T88" s="73" t="n"/>
      <c r="Y88" s="65" t="n"/>
      <c r="AA88" s="14" t="n"/>
      <c r="AB88" s="65" t="n"/>
      <c r="AD88" s="14" t="n"/>
      <c r="AE88" s="221" t="n"/>
      <c r="AF88" s="222" t="n"/>
      <c r="AG88" s="223" t="n"/>
      <c r="AH88" s="221" t="n"/>
      <c r="AI88" s="222" t="n"/>
      <c r="AJ88" s="223" t="n"/>
      <c r="AK88" s="221" t="n"/>
      <c r="AL88" s="223" t="n"/>
    </row>
    <row r="89">
      <c r="F89" s="14" t="n"/>
      <c r="I89" s="14" t="n"/>
      <c r="J89" s="121" t="n"/>
      <c r="K89" s="77" t="n"/>
      <c r="S89" s="14" t="n"/>
      <c r="T89" s="73" t="n"/>
      <c r="Y89" s="65" t="n"/>
      <c r="AA89" s="14" t="n"/>
      <c r="AB89" s="65" t="n"/>
      <c r="AD89" s="14" t="n"/>
      <c r="AE89" s="221" t="n"/>
      <c r="AF89" s="222" t="n"/>
      <c r="AG89" s="223" t="n"/>
      <c r="AH89" s="221" t="n"/>
      <c r="AI89" s="222" t="n"/>
      <c r="AJ89" s="223" t="n"/>
      <c r="AK89" s="221" t="n"/>
      <c r="AL89" s="223" t="n"/>
    </row>
    <row r="90">
      <c r="F90" s="14" t="n"/>
      <c r="I90" s="14" t="n"/>
      <c r="J90" s="121" t="n"/>
      <c r="K90" s="77" t="n"/>
      <c r="S90" s="14" t="n"/>
      <c r="T90" s="73" t="n"/>
      <c r="Y90" s="65" t="n"/>
      <c r="AA90" s="14" t="n"/>
      <c r="AB90" s="65" t="n"/>
      <c r="AD90" s="14" t="n"/>
      <c r="AE90" s="221" t="n"/>
      <c r="AF90" s="222" t="n"/>
      <c r="AG90" s="223" t="n"/>
      <c r="AH90" s="221" t="n"/>
      <c r="AI90" s="222" t="n"/>
      <c r="AJ90" s="223" t="n"/>
      <c r="AK90" s="221" t="n"/>
      <c r="AL90" s="223" t="n"/>
    </row>
    <row r="91">
      <c r="F91" s="14" t="n"/>
      <c r="I91" s="14" t="n"/>
      <c r="J91" s="121" t="n"/>
      <c r="K91" s="77" t="n"/>
      <c r="S91" s="14" t="n"/>
      <c r="T91" s="73" t="n"/>
      <c r="Y91" s="65" t="n"/>
      <c r="AA91" s="14" t="n"/>
      <c r="AB91" s="65" t="n"/>
      <c r="AD91" s="14" t="n"/>
      <c r="AE91" s="221" t="n"/>
      <c r="AF91" s="222" t="n"/>
      <c r="AG91" s="223" t="n"/>
      <c r="AH91" s="221" t="n"/>
      <c r="AI91" s="222" t="n"/>
      <c r="AJ91" s="223" t="n"/>
      <c r="AK91" s="221" t="n"/>
      <c r="AL91" s="223" t="n"/>
    </row>
    <row r="92">
      <c r="B92" s="9" t="n"/>
      <c r="C92" s="9" t="n"/>
      <c r="D92" s="9" t="n"/>
      <c r="E92" s="9" t="n"/>
      <c r="F92" s="67" t="n"/>
      <c r="G92" s="9" t="n"/>
      <c r="H92" s="9" t="n"/>
      <c r="I92" s="67" t="n"/>
      <c r="J92" s="122" t="n"/>
      <c r="K92" s="79" t="n"/>
      <c r="L92" s="9" t="n"/>
      <c r="M92" s="9" t="n"/>
      <c r="N92" s="9" t="n"/>
      <c r="O92" s="9" t="n"/>
      <c r="P92" s="9" t="n"/>
      <c r="Q92" s="9" t="n"/>
      <c r="R92" s="9" t="n"/>
      <c r="S92" s="67" t="n"/>
      <c r="T92" s="74" t="n"/>
      <c r="U92" s="17" t="n"/>
      <c r="V92" s="17" t="n"/>
      <c r="W92" s="9" t="n"/>
      <c r="X92" s="9" t="n"/>
      <c r="Y92" s="66" t="n"/>
      <c r="Z92" s="9" t="n"/>
      <c r="AA92" s="67" t="n"/>
      <c r="AB92" s="66" t="n"/>
      <c r="AC92" s="9" t="n"/>
      <c r="AD92" s="67" t="n"/>
      <c r="AE92" s="224" t="n"/>
      <c r="AF92" s="225" t="n"/>
      <c r="AG92" s="226" t="n"/>
      <c r="AH92" s="224" t="n"/>
      <c r="AI92" s="225" t="n"/>
      <c r="AJ92" s="226" t="n"/>
      <c r="AK92" s="224" t="n"/>
      <c r="AL92" s="226" t="n"/>
    </row>
    <row r="93">
      <c r="B93" s="240" t="inlineStr">
        <is>
          <t>1F</t>
        </is>
      </c>
      <c r="C93" s="153" t="inlineStr">
        <is>
          <t>cinema_tracked</t>
        </is>
      </c>
      <c r="D93" s="153">
        <f>_xlfn.CONCAT(B93,": ",C93)</f>
        <v/>
      </c>
      <c r="E93" s="232" t="n">
        <v>21</v>
      </c>
      <c r="F93" s="161" t="inlineStr">
        <is>
          <t>1920x1080</t>
        </is>
      </c>
      <c r="G93" s="153" t="n">
        <v>0</v>
      </c>
      <c r="H93" s="153" t="n">
        <v>1</v>
      </c>
      <c r="I93" s="161" t="n"/>
      <c r="J93" s="121" t="n"/>
      <c r="K93" s="77" t="n"/>
      <c r="S93" s="14" t="n"/>
      <c r="T93" s="73" t="n"/>
      <c r="Y93" s="65" t="n"/>
      <c r="Z93" s="36" t="n"/>
      <c r="AA93" s="69" t="n"/>
      <c r="AB93" s="68" t="n"/>
      <c r="AC93" s="36" t="n"/>
      <c r="AD93" s="69" t="n"/>
      <c r="AE93" s="229" t="n"/>
      <c r="AF93" s="230" t="n"/>
      <c r="AG93" s="231" t="n"/>
      <c r="AH93" s="229" t="n"/>
      <c r="AI93" s="230" t="n"/>
      <c r="AJ93" s="231" t="n"/>
      <c r="AK93" s="229" t="n"/>
      <c r="AL93" s="231" t="n"/>
    </row>
    <row r="94">
      <c r="F94" s="14" t="n"/>
      <c r="I94" s="14" t="n"/>
      <c r="J94" s="121" t="n"/>
      <c r="K94" s="77" t="n"/>
      <c r="S94" s="14" t="n"/>
      <c r="T94" s="73" t="n"/>
      <c r="Y94" s="65" t="n"/>
      <c r="AA94" s="14" t="n"/>
      <c r="AB94" s="65" t="n"/>
      <c r="AD94" s="14" t="n"/>
      <c r="AE94" s="221" t="n"/>
      <c r="AF94" s="222" t="n"/>
      <c r="AG94" s="223" t="n"/>
      <c r="AH94" s="221" t="n"/>
      <c r="AI94" s="222" t="n"/>
      <c r="AJ94" s="223" t="n"/>
      <c r="AK94" s="221" t="n"/>
      <c r="AL94" s="223" t="n"/>
    </row>
    <row r="95">
      <c r="F95" s="14" t="n"/>
      <c r="I95" s="14" t="n"/>
      <c r="J95" s="121" t="n"/>
      <c r="K95" s="77" t="n">
        <v>7432171</v>
      </c>
      <c r="L95" t="n">
        <v>565005</v>
      </c>
      <c r="M95" t="n">
        <v>1204053</v>
      </c>
      <c r="N95" t="n">
        <v>755623</v>
      </c>
      <c r="O95" t="n">
        <v>744694</v>
      </c>
      <c r="P95" t="n">
        <v>966930</v>
      </c>
      <c r="Q95" t="n">
        <v>1711842</v>
      </c>
      <c r="R95" t="n">
        <v>1097861</v>
      </c>
      <c r="S95" s="14" t="n">
        <v>385186</v>
      </c>
      <c r="T95" s="73" t="n">
        <v>35.77093812153991</v>
      </c>
      <c r="U95" t="n">
        <v>40.98120544849106</v>
      </c>
      <c r="V95" t="n">
        <v>0</v>
      </c>
      <c r="W95" t="n">
        <v>0</v>
      </c>
      <c r="X95" t="n">
        <v>0</v>
      </c>
      <c r="Y95" s="65" t="n">
        <v>33.734841320486</v>
      </c>
      <c r="Z95" t="n">
        <v>39.116914207056</v>
      </c>
      <c r="AA95" s="14" t="n">
        <v>0</v>
      </c>
      <c r="AB95" s="65" t="n">
        <v>37.563874751891</v>
      </c>
      <c r="AC95" t="n">
        <v>42.432005347805</v>
      </c>
      <c r="AD95" s="14" t="n">
        <v>0</v>
      </c>
      <c r="AE95" s="221" t="n">
        <v>48.122</v>
      </c>
      <c r="AF95" s="222" t="n">
        <v>27.76</v>
      </c>
      <c r="AG95" s="223" t="n">
        <v>15.937</v>
      </c>
      <c r="AH95" s="221" t="n">
        <v>13.095</v>
      </c>
      <c r="AI95" s="222" t="n">
        <v>1.059</v>
      </c>
      <c r="AJ95" s="223" t="n">
        <v>11.951</v>
      </c>
      <c r="AK95" s="221" t="n">
        <v>509328</v>
      </c>
      <c r="AL95" s="223" t="n">
        <v>308572</v>
      </c>
    </row>
    <row r="96">
      <c r="F96" s="14" t="n"/>
      <c r="I96" s="14" t="n"/>
      <c r="J96" s="121" t="n"/>
      <c r="K96" s="77" t="n"/>
      <c r="S96" s="14" t="n"/>
      <c r="T96" s="73" t="n"/>
      <c r="Y96" s="65" t="n"/>
      <c r="AA96" s="14" t="n"/>
      <c r="AB96" s="65" t="n"/>
      <c r="AD96" s="14" t="n"/>
      <c r="AE96" s="221" t="n"/>
      <c r="AF96" s="222" t="n"/>
      <c r="AG96" s="223" t="n"/>
      <c r="AH96" s="221" t="n"/>
      <c r="AI96" s="222" t="n"/>
      <c r="AJ96" s="223" t="n"/>
      <c r="AK96" s="221" t="n"/>
      <c r="AL96" s="223" t="n"/>
    </row>
    <row r="97">
      <c r="F97" s="14" t="n"/>
      <c r="I97" s="14" t="n"/>
      <c r="J97" s="121" t="n"/>
      <c r="K97" s="77" t="n"/>
      <c r="S97" s="14" t="n"/>
      <c r="T97" s="73" t="n"/>
      <c r="Y97" s="65" t="n"/>
      <c r="AA97" s="14" t="n"/>
      <c r="AB97" s="65" t="n"/>
      <c r="AD97" s="14" t="n"/>
      <c r="AE97" s="221" t="n"/>
      <c r="AF97" s="222" t="n"/>
      <c r="AG97" s="223" t="n"/>
      <c r="AH97" s="221" t="n"/>
      <c r="AI97" s="222" t="n"/>
      <c r="AJ97" s="223" t="n"/>
      <c r="AK97" s="221" t="n"/>
      <c r="AL97" s="223" t="n"/>
    </row>
    <row r="98">
      <c r="B98" s="9" t="n"/>
      <c r="C98" s="9" t="n"/>
      <c r="D98" s="9" t="n"/>
      <c r="E98" s="9" t="n"/>
      <c r="F98" s="67" t="n"/>
      <c r="G98" s="9" t="n"/>
      <c r="H98" s="9" t="n"/>
      <c r="I98" s="67" t="n"/>
      <c r="J98" s="122" t="n"/>
      <c r="K98" s="79" t="n"/>
      <c r="L98" s="9" t="n"/>
      <c r="M98" s="9" t="n"/>
      <c r="N98" s="9" t="n"/>
      <c r="O98" s="9" t="n"/>
      <c r="P98" s="9" t="n"/>
      <c r="Q98" s="9" t="n"/>
      <c r="R98" s="9" t="n"/>
      <c r="S98" s="67" t="n"/>
      <c r="T98" s="74" t="n"/>
      <c r="U98" s="17" t="n"/>
      <c r="V98" s="17" t="n"/>
      <c r="W98" s="9" t="n"/>
      <c r="X98" s="9" t="n"/>
      <c r="Y98" s="66" t="n"/>
      <c r="Z98" s="9" t="n"/>
      <c r="AA98" s="67" t="n"/>
      <c r="AB98" s="66" t="n"/>
      <c r="AC98" s="9" t="n"/>
      <c r="AD98" s="67" t="n"/>
      <c r="AE98" s="224" t="n"/>
      <c r="AF98" s="225" t="n"/>
      <c r="AG98" s="226" t="n"/>
      <c r="AH98" s="224" t="n"/>
      <c r="AI98" s="225" t="n"/>
      <c r="AJ98" s="226" t="n"/>
      <c r="AK98" s="224" t="n"/>
      <c r="AL98" s="226" t="n"/>
    </row>
    <row r="99">
      <c r="B99" s="241" t="inlineStr">
        <is>
          <t>1F</t>
        </is>
      </c>
      <c r="C99" s="154" t="inlineStr">
        <is>
          <t>breakfast_tracked</t>
        </is>
      </c>
      <c r="D99" s="154">
        <f>_xlfn.CONCAT(B99,": ",C99)</f>
        <v/>
      </c>
      <c r="E99" s="242" t="n">
        <v>15</v>
      </c>
      <c r="F99" s="188" t="inlineStr">
        <is>
          <t>1920x1080</t>
        </is>
      </c>
      <c r="G99" s="154" t="n">
        <v>0</v>
      </c>
      <c r="H99" s="154" t="n">
        <v>1</v>
      </c>
      <c r="I99" s="188" t="n"/>
      <c r="J99" s="121" t="n"/>
      <c r="K99" s="77" t="n"/>
      <c r="S99" s="14" t="n"/>
      <c r="T99" s="73" t="n"/>
      <c r="Y99" s="65" t="n"/>
      <c r="Z99" s="36" t="n"/>
      <c r="AA99" s="69" t="n"/>
      <c r="AB99" s="68" t="n"/>
      <c r="AC99" s="36" t="n"/>
      <c r="AD99" s="69" t="n"/>
      <c r="AE99" s="229" t="n"/>
      <c r="AF99" s="230" t="n"/>
      <c r="AG99" s="231" t="n"/>
      <c r="AH99" s="229" t="n"/>
      <c r="AI99" s="230" t="n"/>
      <c r="AJ99" s="231" t="n"/>
      <c r="AK99" s="229" t="n"/>
      <c r="AL99" s="231" t="n"/>
    </row>
    <row r="100">
      <c r="F100" s="14" t="n"/>
      <c r="I100" s="14" t="n"/>
      <c r="J100" s="121" t="n"/>
      <c r="K100" s="77" t="n"/>
      <c r="S100" s="14" t="n"/>
      <c r="T100" s="73" t="n"/>
      <c r="Y100" s="65" t="n"/>
      <c r="AA100" s="14" t="n"/>
      <c r="AB100" s="65" t="n"/>
      <c r="AD100" s="14" t="n"/>
      <c r="AE100" s="221" t="n"/>
      <c r="AF100" s="222" t="n"/>
      <c r="AG100" s="223" t="n"/>
      <c r="AH100" s="221" t="n"/>
      <c r="AI100" s="222" t="n"/>
      <c r="AJ100" s="223" t="n"/>
      <c r="AK100" s="221" t="n"/>
      <c r="AL100" s="223" t="n"/>
    </row>
    <row r="101">
      <c r="F101" s="14" t="n"/>
      <c r="I101" s="14" t="n"/>
      <c r="J101" s="121" t="n"/>
      <c r="K101" s="77" t="n"/>
      <c r="S101" s="14" t="n"/>
      <c r="T101" s="73" t="n"/>
      <c r="Y101" s="65" t="n"/>
      <c r="AA101" s="14" t="n"/>
      <c r="AB101" s="65" t="n"/>
      <c r="AD101" s="14" t="n"/>
      <c r="AE101" s="221" t="n"/>
      <c r="AF101" s="222" t="n"/>
      <c r="AG101" s="223" t="n"/>
      <c r="AH101" s="221" t="n"/>
      <c r="AI101" s="222" t="n"/>
      <c r="AJ101" s="223" t="n"/>
      <c r="AK101" s="221" t="n"/>
      <c r="AL101" s="223" t="n"/>
    </row>
    <row r="102">
      <c r="F102" s="14" t="n"/>
      <c r="I102" s="14" t="n"/>
      <c r="J102" s="121" t="n"/>
      <c r="K102" s="77" t="n"/>
      <c r="S102" s="14" t="n"/>
      <c r="T102" s="73" t="n"/>
      <c r="Y102" s="65" t="n"/>
      <c r="AA102" s="14" t="n"/>
      <c r="AB102" s="65" t="n"/>
      <c r="AD102" s="14" t="n"/>
      <c r="AE102" s="221" t="n"/>
      <c r="AF102" s="222" t="n"/>
      <c r="AG102" s="223" t="n"/>
      <c r="AH102" s="221" t="n"/>
      <c r="AI102" s="222" t="n"/>
      <c r="AJ102" s="223" t="n"/>
      <c r="AK102" s="221" t="n"/>
      <c r="AL102" s="223" t="n"/>
    </row>
    <row r="103">
      <c r="F103" s="14" t="n"/>
      <c r="I103" s="14" t="n"/>
      <c r="J103" s="121" t="n"/>
      <c r="K103" s="77" t="n"/>
      <c r="S103" s="14" t="n"/>
      <c r="T103" s="73" t="n"/>
      <c r="Y103" s="65" t="n"/>
      <c r="AA103" s="14" t="n"/>
      <c r="AB103" s="65" t="n"/>
      <c r="AD103" s="14" t="n"/>
      <c r="AE103" s="221" t="n"/>
      <c r="AF103" s="222" t="n"/>
      <c r="AG103" s="223" t="n"/>
      <c r="AH103" s="221" t="n"/>
      <c r="AI103" s="222" t="n"/>
      <c r="AJ103" s="223" t="n"/>
      <c r="AK103" s="221" t="n"/>
      <c r="AL103" s="223" t="n"/>
    </row>
    <row r="104" ht="16.2" customHeight="1" thickBot="1">
      <c r="A104" s="10" t="n"/>
      <c r="B104" s="10" t="n"/>
      <c r="C104" s="10" t="n"/>
      <c r="D104" s="10" t="n"/>
      <c r="E104" s="10" t="n"/>
      <c r="F104" s="71" t="n"/>
      <c r="G104" s="10" t="n"/>
      <c r="H104" s="10" t="n"/>
      <c r="I104" s="71" t="n"/>
      <c r="J104" s="124" t="n"/>
      <c r="K104" s="81" t="n"/>
      <c r="L104" s="10" t="n"/>
      <c r="M104" s="10" t="n"/>
      <c r="N104" s="10" t="n"/>
      <c r="O104" s="10" t="n"/>
      <c r="P104" s="10" t="n"/>
      <c r="Q104" s="10" t="n"/>
      <c r="R104" s="10" t="n"/>
      <c r="S104" s="71" t="n"/>
      <c r="T104" s="76" t="n"/>
      <c r="U104" s="18" t="n"/>
      <c r="V104" s="18" t="n"/>
      <c r="W104" s="10" t="n"/>
      <c r="X104" s="10" t="n"/>
      <c r="Y104" s="70" t="n"/>
      <c r="Z104" s="10" t="n"/>
      <c r="AA104" s="71" t="n"/>
      <c r="AB104" s="70" t="n"/>
      <c r="AC104" s="10" t="n"/>
      <c r="AD104" s="71" t="n"/>
      <c r="AE104" s="235" t="n"/>
      <c r="AF104" s="236" t="n"/>
      <c r="AG104" s="237" t="n"/>
      <c r="AH104" s="235" t="n"/>
      <c r="AI104" s="236" t="n"/>
      <c r="AJ104" s="237" t="n"/>
      <c r="AK104" s="235" t="n"/>
      <c r="AL104" s="237" t="n"/>
    </row>
    <row r="105" ht="15" customHeight="1">
      <c r="A105" s="243" t="inlineStr">
        <is>
          <t>Object centric</t>
        </is>
      </c>
      <c r="B105" s="244" t="inlineStr">
        <is>
          <t>1F</t>
        </is>
      </c>
      <c r="C105" s="151" t="inlineStr">
        <is>
          <t>manwithfruit_tracked</t>
        </is>
      </c>
      <c r="D105" s="151">
        <f>_xlfn.CONCAT(B105,": ",C105)</f>
        <v/>
      </c>
      <c r="E105" s="216" t="n">
        <v>24</v>
      </c>
      <c r="F105" s="187" t="inlineStr">
        <is>
          <t>3840x2160</t>
        </is>
      </c>
      <c r="G105" s="151" t="n">
        <v>81</v>
      </c>
      <c r="H105" s="151" t="n">
        <v>1</v>
      </c>
      <c r="I105" s="187" t="n"/>
      <c r="J105" s="119" t="n"/>
      <c r="K105" s="77" t="n"/>
      <c r="S105" s="14" t="n"/>
      <c r="T105" s="73" t="n"/>
      <c r="Y105" s="65" t="n"/>
      <c r="Z105" s="38" t="n"/>
      <c r="AA105" s="15" t="n"/>
      <c r="AB105" s="64" t="n"/>
      <c r="AC105" s="38" t="n"/>
      <c r="AD105" s="15" t="n"/>
      <c r="AE105" s="218" t="n"/>
      <c r="AF105" s="219" t="n"/>
      <c r="AG105" s="220" t="n"/>
      <c r="AH105" s="218" t="n"/>
      <c r="AI105" s="219" t="n"/>
      <c r="AJ105" s="220" t="n"/>
      <c r="AK105" s="218" t="n"/>
      <c r="AL105" s="220" t="n"/>
    </row>
    <row r="106">
      <c r="F106" s="14" t="n"/>
      <c r="I106" s="14" t="n"/>
      <c r="J106" s="119" t="n"/>
      <c r="K106" s="77" t="n"/>
      <c r="S106" s="14" t="n"/>
      <c r="T106" s="73" t="n"/>
      <c r="Y106" s="65" t="n"/>
      <c r="AA106" s="14" t="n"/>
      <c r="AB106" s="65" t="n"/>
      <c r="AD106" s="14" t="n"/>
      <c r="AE106" s="221" t="n"/>
      <c r="AF106" s="222" t="n"/>
      <c r="AG106" s="223" t="n"/>
      <c r="AH106" s="221" t="n"/>
      <c r="AI106" s="222" t="n"/>
      <c r="AJ106" s="223" t="n"/>
      <c r="AK106" s="221" t="n"/>
      <c r="AL106" s="223" t="n"/>
    </row>
    <row r="107">
      <c r="F107" s="14" t="n"/>
      <c r="I107" s="14" t="n"/>
      <c r="J107" s="119" t="n"/>
      <c r="K107" s="77" t="n"/>
      <c r="S107" s="14" t="n"/>
      <c r="T107" s="73" t="n"/>
      <c r="Y107" s="65" t="n"/>
      <c r="AA107" s="14" t="n"/>
      <c r="AB107" s="65" t="n"/>
      <c r="AD107" s="14" t="n"/>
      <c r="AE107" s="221" t="n"/>
      <c r="AF107" s="222" t="n"/>
      <c r="AG107" s="223" t="n"/>
      <c r="AH107" s="221" t="n"/>
      <c r="AI107" s="222" t="n"/>
      <c r="AJ107" s="223" t="n"/>
      <c r="AK107" s="221" t="n"/>
      <c r="AL107" s="223" t="n"/>
    </row>
    <row r="108">
      <c r="F108" s="14" t="n"/>
      <c r="I108" s="14" t="n"/>
      <c r="J108" s="119" t="n"/>
      <c r="K108" s="77" t="n"/>
      <c r="S108" s="14" t="n"/>
      <c r="T108" s="73" t="n"/>
      <c r="Y108" s="65" t="n"/>
      <c r="AA108" s="14" t="n"/>
      <c r="AB108" s="65" t="n"/>
      <c r="AD108" s="14" t="n"/>
      <c r="AE108" s="221" t="n"/>
      <c r="AF108" s="222" t="n"/>
      <c r="AG108" s="223" t="n"/>
      <c r="AH108" s="221" t="n"/>
      <c r="AI108" s="222" t="n"/>
      <c r="AJ108" s="223" t="n"/>
      <c r="AK108" s="221" t="n"/>
      <c r="AL108" s="223" t="n"/>
    </row>
    <row r="109">
      <c r="F109" s="14" t="n"/>
      <c r="I109" s="14" t="n"/>
      <c r="J109" s="119" t="n"/>
      <c r="K109" s="77" t="n"/>
      <c r="S109" s="14" t="n"/>
      <c r="T109" s="73" t="n"/>
      <c r="Y109" s="65" t="n"/>
      <c r="AA109" s="14" t="n"/>
      <c r="AB109" s="65" t="n"/>
      <c r="AD109" s="14" t="n"/>
      <c r="AE109" s="221" t="n"/>
      <c r="AF109" s="222" t="n"/>
      <c r="AG109" s="223" t="n"/>
      <c r="AH109" s="221" t="n"/>
      <c r="AI109" s="222" t="n"/>
      <c r="AJ109" s="223" t="n"/>
      <c r="AK109" s="221" t="n"/>
      <c r="AL109" s="223" t="n"/>
    </row>
    <row r="110">
      <c r="B110" s="9" t="n"/>
      <c r="C110" s="9" t="n"/>
      <c r="D110" s="9" t="n"/>
      <c r="E110" s="9" t="n"/>
      <c r="F110" s="67" t="n"/>
      <c r="G110" s="9" t="n"/>
      <c r="H110" s="9" t="n"/>
      <c r="I110" s="67" t="n"/>
      <c r="J110" s="120" t="n"/>
      <c r="K110" s="79" t="n"/>
      <c r="L110" s="9" t="n"/>
      <c r="M110" s="9" t="n"/>
      <c r="N110" s="9" t="n"/>
      <c r="O110" s="9" t="n"/>
      <c r="P110" s="9" t="n"/>
      <c r="Q110" s="9" t="n"/>
      <c r="R110" s="9" t="n"/>
      <c r="S110" s="67" t="n"/>
      <c r="T110" s="74" t="n"/>
      <c r="U110" s="17" t="n"/>
      <c r="V110" s="17" t="n"/>
      <c r="W110" s="9" t="n"/>
      <c r="X110" s="9" t="n"/>
      <c r="Y110" s="66" t="n"/>
      <c r="Z110" s="9" t="n"/>
      <c r="AA110" s="67" t="n"/>
      <c r="AB110" s="66" t="n"/>
      <c r="AC110" s="9" t="n"/>
      <c r="AD110" s="67" t="n"/>
      <c r="AE110" s="224" t="n"/>
      <c r="AF110" s="225" t="n"/>
      <c r="AG110" s="226" t="n"/>
      <c r="AH110" s="224" t="n"/>
      <c r="AI110" s="225" t="n"/>
      <c r="AJ110" s="226" t="n"/>
      <c r="AK110" s="224" t="n"/>
      <c r="AL110" s="226" t="n"/>
    </row>
    <row r="111">
      <c r="B111" s="245" t="inlineStr">
        <is>
          <t>1F</t>
        </is>
      </c>
      <c r="C111" s="151" t="inlineStr">
        <is>
          <t>lego_ferrari</t>
        </is>
      </c>
      <c r="D111" s="151">
        <f>_xlfn.CONCAT(B111,": ",C111)</f>
        <v/>
      </c>
      <c r="E111" s="228" t="n">
        <v>128</v>
      </c>
      <c r="F111" s="187" t="inlineStr">
        <is>
          <t>4594x5514</t>
        </is>
      </c>
      <c r="G111" s="151" t="n">
        <v>0</v>
      </c>
      <c r="H111" s="151" t="n">
        <v>1</v>
      </c>
      <c r="I111" s="187" t="n"/>
      <c r="J111" s="119" t="n"/>
      <c r="K111" s="77" t="n"/>
      <c r="S111" s="14" t="n"/>
      <c r="T111" s="73" t="n"/>
      <c r="Y111" s="65" t="n"/>
      <c r="Z111" s="36" t="n"/>
      <c r="AA111" s="69" t="n"/>
      <c r="AB111" s="68" t="n"/>
      <c r="AC111" s="36" t="n"/>
      <c r="AD111" s="69" t="n"/>
      <c r="AE111" s="229" t="n"/>
      <c r="AF111" s="230" t="n"/>
      <c r="AG111" s="231" t="n"/>
      <c r="AH111" s="229" t="n"/>
      <c r="AI111" s="230" t="n"/>
      <c r="AJ111" s="231" t="n"/>
      <c r="AK111" s="229" t="n"/>
      <c r="AL111" s="231" t="n"/>
    </row>
    <row r="112">
      <c r="F112" s="14" t="n"/>
      <c r="I112" s="14" t="n"/>
      <c r="J112" s="119" t="n"/>
      <c r="K112" s="77" t="n"/>
      <c r="S112" s="14" t="n"/>
      <c r="T112" s="73" t="n"/>
      <c r="Y112" s="65" t="n"/>
      <c r="AA112" s="14" t="n"/>
      <c r="AB112" s="65" t="n"/>
      <c r="AD112" s="14" t="n"/>
      <c r="AE112" s="221" t="n"/>
      <c r="AF112" s="222" t="n"/>
      <c r="AG112" s="223" t="n"/>
      <c r="AH112" s="221" t="n"/>
      <c r="AI112" s="222" t="n"/>
      <c r="AJ112" s="223" t="n"/>
      <c r="AK112" s="221" t="n"/>
      <c r="AL112" s="223" t="n"/>
    </row>
    <row r="113">
      <c r="F113" s="14" t="n"/>
      <c r="I113" s="14" t="n"/>
      <c r="J113" s="119" t="n"/>
      <c r="K113" s="77" t="n"/>
      <c r="S113" s="14" t="n"/>
      <c r="T113" s="73" t="n"/>
      <c r="Y113" s="65" t="n"/>
      <c r="AA113" s="14" t="n"/>
      <c r="AB113" s="65" t="n"/>
      <c r="AD113" s="14" t="n"/>
      <c r="AE113" s="221" t="n"/>
      <c r="AF113" s="222" t="n"/>
      <c r="AG113" s="223" t="n"/>
      <c r="AH113" s="221" t="n"/>
      <c r="AI113" s="222" t="n"/>
      <c r="AJ113" s="223" t="n"/>
      <c r="AK113" s="221" t="n"/>
      <c r="AL113" s="223" t="n"/>
    </row>
    <row r="114">
      <c r="F114" s="14" t="n"/>
      <c r="I114" s="14" t="n"/>
      <c r="J114" s="119" t="n"/>
      <c r="K114" s="77" t="n"/>
      <c r="S114" s="14" t="n"/>
      <c r="T114" s="73" t="n"/>
      <c r="Y114" s="65" t="n"/>
      <c r="AA114" s="14" t="n"/>
      <c r="AB114" s="65" t="n"/>
      <c r="AD114" s="14" t="n"/>
      <c r="AE114" s="221" t="n"/>
      <c r="AF114" s="222" t="n"/>
      <c r="AG114" s="223" t="n"/>
      <c r="AH114" s="221" t="n"/>
      <c r="AI114" s="222" t="n"/>
      <c r="AJ114" s="223" t="n"/>
      <c r="AK114" s="221" t="n"/>
      <c r="AL114" s="223" t="n"/>
    </row>
    <row r="115">
      <c r="F115" s="14" t="n"/>
      <c r="I115" s="14" t="n"/>
      <c r="J115" s="119" t="n"/>
      <c r="K115" s="77" t="n"/>
      <c r="S115" s="14" t="n"/>
      <c r="T115" s="73" t="n"/>
      <c r="Y115" s="65" t="n"/>
      <c r="AA115" s="14" t="n"/>
      <c r="AB115" s="65" t="n"/>
      <c r="AD115" s="14" t="n"/>
      <c r="AE115" s="221" t="n"/>
      <c r="AF115" s="222" t="n"/>
      <c r="AG115" s="223" t="n"/>
      <c r="AH115" s="221" t="n"/>
      <c r="AI115" s="222" t="n"/>
      <c r="AJ115" s="223" t="n"/>
      <c r="AK115" s="221" t="n"/>
      <c r="AL115" s="223" t="n"/>
    </row>
    <row r="116">
      <c r="B116" s="9" t="n"/>
      <c r="C116" s="9" t="n"/>
      <c r="D116" s="9" t="n"/>
      <c r="E116" s="9" t="n"/>
      <c r="F116" s="67" t="n"/>
      <c r="G116" s="9" t="n"/>
      <c r="H116" s="9" t="n"/>
      <c r="I116" s="67" t="n"/>
      <c r="J116" s="120" t="n"/>
      <c r="K116" s="79" t="n"/>
      <c r="L116" s="9" t="n"/>
      <c r="M116" s="9" t="n"/>
      <c r="N116" s="9" t="n"/>
      <c r="O116" s="9" t="n"/>
      <c r="P116" s="9" t="n"/>
      <c r="Q116" s="9" t="n"/>
      <c r="R116" s="9" t="n"/>
      <c r="S116" s="67" t="n"/>
      <c r="T116" s="74" t="n"/>
      <c r="U116" s="17" t="n"/>
      <c r="V116" s="17" t="n"/>
      <c r="W116" s="9" t="n"/>
      <c r="X116" s="9" t="n"/>
      <c r="Y116" s="66" t="n"/>
      <c r="Z116" s="9" t="n"/>
      <c r="AA116" s="67" t="n"/>
      <c r="AB116" s="66" t="n"/>
      <c r="AC116" s="9" t="n"/>
      <c r="AD116" s="67" t="n"/>
      <c r="AE116" s="224" t="n"/>
      <c r="AF116" s="225" t="n"/>
      <c r="AG116" s="226" t="n"/>
      <c r="AH116" s="224" t="n"/>
      <c r="AI116" s="225" t="n"/>
      <c r="AJ116" s="226" t="n"/>
      <c r="AK116" s="224" t="n"/>
      <c r="AL116" s="226" t="n"/>
    </row>
    <row r="117">
      <c r="B117" s="245" t="inlineStr">
        <is>
          <t>1F</t>
        </is>
      </c>
      <c r="C117" s="151" t="inlineStr">
        <is>
          <t>lego_bugatti</t>
        </is>
      </c>
      <c r="D117" s="151">
        <f>_xlfn.CONCAT(B117,": ",C117)</f>
        <v/>
      </c>
      <c r="E117" s="228" t="n">
        <v>132</v>
      </c>
      <c r="F117" s="187" t="inlineStr">
        <is>
          <t>3852x2868</t>
        </is>
      </c>
      <c r="G117" s="151" t="n">
        <v>0</v>
      </c>
      <c r="H117" s="151" t="n">
        <v>1</v>
      </c>
      <c r="I117" s="187" t="n"/>
      <c r="J117" s="119" t="n"/>
      <c r="K117" s="77" t="n"/>
      <c r="S117" s="14" t="n"/>
      <c r="T117" s="73" t="n"/>
      <c r="Y117" s="65" t="n"/>
      <c r="Z117" s="36" t="n"/>
      <c r="AA117" s="69" t="n"/>
      <c r="AB117" s="68" t="n"/>
      <c r="AC117" s="36" t="n"/>
      <c r="AD117" s="69" t="n"/>
      <c r="AE117" s="229" t="n"/>
      <c r="AF117" s="230" t="n"/>
      <c r="AG117" s="231" t="n"/>
      <c r="AH117" s="229" t="n"/>
      <c r="AI117" s="230" t="n"/>
      <c r="AJ117" s="231" t="n"/>
      <c r="AK117" s="229" t="n"/>
      <c r="AL117" s="231" t="n"/>
    </row>
    <row r="118">
      <c r="F118" s="14" t="n"/>
      <c r="I118" s="14" t="n"/>
      <c r="J118" s="119" t="n"/>
      <c r="K118" s="77" t="n"/>
      <c r="S118" s="14" t="n"/>
      <c r="T118" s="73" t="n"/>
      <c r="Y118" s="65" t="n"/>
      <c r="AA118" s="14" t="n"/>
      <c r="AB118" s="65" t="n"/>
      <c r="AD118" s="14" t="n"/>
      <c r="AE118" s="221" t="n"/>
      <c r="AF118" s="222" t="n"/>
      <c r="AG118" s="223" t="n"/>
      <c r="AH118" s="221" t="n"/>
      <c r="AI118" s="222" t="n"/>
      <c r="AJ118" s="223" t="n"/>
      <c r="AK118" s="221" t="n"/>
      <c r="AL118" s="223" t="n"/>
    </row>
    <row r="119">
      <c r="F119" s="14" t="n"/>
      <c r="I119" s="14" t="n"/>
      <c r="J119" s="119" t="n"/>
      <c r="K119" s="77" t="n"/>
      <c r="S119" s="14" t="n"/>
      <c r="T119" s="73" t="n"/>
      <c r="Y119" s="65" t="n"/>
      <c r="AA119" s="14" t="n"/>
      <c r="AB119" s="65" t="n"/>
      <c r="AD119" s="14" t="n"/>
      <c r="AE119" s="221" t="n"/>
      <c r="AF119" s="222" t="n"/>
      <c r="AG119" s="223" t="n"/>
      <c r="AH119" s="221" t="n"/>
      <c r="AI119" s="222" t="n"/>
      <c r="AJ119" s="223" t="n"/>
      <c r="AK119" s="221" t="n"/>
      <c r="AL119" s="223" t="n"/>
    </row>
    <row r="120">
      <c r="F120" s="14" t="n"/>
      <c r="I120" s="14" t="n"/>
      <c r="J120" s="119" t="n"/>
      <c r="K120" s="77" t="n"/>
      <c r="S120" s="14" t="n"/>
      <c r="T120" s="73" t="n"/>
      <c r="Y120" s="65" t="n"/>
      <c r="AA120" s="14" t="n"/>
      <c r="AB120" s="65" t="n"/>
      <c r="AD120" s="14" t="n"/>
      <c r="AE120" s="221" t="n"/>
      <c r="AF120" s="222" t="n"/>
      <c r="AG120" s="223" t="n"/>
      <c r="AH120" s="221" t="n"/>
      <c r="AI120" s="222" t="n"/>
      <c r="AJ120" s="223" t="n"/>
      <c r="AK120" s="221" t="n"/>
      <c r="AL120" s="223" t="n"/>
    </row>
    <row r="121">
      <c r="F121" s="14" t="n"/>
      <c r="I121" s="14" t="n"/>
      <c r="J121" s="119" t="n"/>
      <c r="K121" s="77" t="n"/>
      <c r="S121" s="14" t="n"/>
      <c r="T121" s="73" t="n"/>
      <c r="Y121" s="65" t="n"/>
      <c r="AA121" s="14" t="n"/>
      <c r="AB121" s="65" t="n"/>
      <c r="AD121" s="14" t="n"/>
      <c r="AE121" s="221" t="n"/>
      <c r="AF121" s="222" t="n"/>
      <c r="AG121" s="223" t="n"/>
      <c r="AH121" s="221" t="n"/>
      <c r="AI121" s="222" t="n"/>
      <c r="AJ121" s="223" t="n"/>
      <c r="AK121" s="221" t="n"/>
      <c r="AL121" s="223" t="n"/>
    </row>
    <row r="122">
      <c r="B122" s="9" t="n"/>
      <c r="C122" s="9" t="n"/>
      <c r="D122" s="9" t="n"/>
      <c r="E122" s="9" t="n"/>
      <c r="F122" s="67" t="n"/>
      <c r="G122" s="9" t="n"/>
      <c r="H122" s="9" t="n"/>
      <c r="I122" s="67" t="n"/>
      <c r="J122" s="120" t="n"/>
      <c r="K122" s="79" t="n"/>
      <c r="L122" s="9" t="n"/>
      <c r="M122" s="9" t="n"/>
      <c r="N122" s="9" t="n"/>
      <c r="O122" s="9" t="n"/>
      <c r="P122" s="9" t="n"/>
      <c r="Q122" s="9" t="n"/>
      <c r="R122" s="9" t="n"/>
      <c r="S122" s="67" t="n"/>
      <c r="T122" s="74" t="n"/>
      <c r="U122" s="17" t="n"/>
      <c r="V122" s="17" t="n"/>
      <c r="W122" s="9" t="n"/>
      <c r="X122" s="9" t="n"/>
      <c r="Y122" s="66" t="n"/>
      <c r="Z122" s="9" t="n"/>
      <c r="AA122" s="67" t="n"/>
      <c r="AB122" s="66" t="n"/>
      <c r="AC122" s="9" t="n"/>
      <c r="AD122" s="67" t="n"/>
      <c r="AE122" s="224" t="n"/>
      <c r="AF122" s="225" t="n"/>
      <c r="AG122" s="226" t="n"/>
      <c r="AH122" s="224" t="n"/>
      <c r="AI122" s="225" t="n"/>
      <c r="AJ122" s="226" t="n"/>
      <c r="AK122" s="224" t="n"/>
      <c r="AL122" s="226" t="n"/>
    </row>
    <row r="123">
      <c r="B123" s="245" t="inlineStr">
        <is>
          <t>1F</t>
        </is>
      </c>
      <c r="C123" s="151" t="inlineStr">
        <is>
          <t>cricket_player</t>
        </is>
      </c>
      <c r="D123" s="151">
        <f>_xlfn.CONCAT(B123,": ",C123)</f>
        <v/>
      </c>
      <c r="E123" s="228" t="n">
        <v>60</v>
      </c>
      <c r="F123" s="187" t="inlineStr">
        <is>
          <t>4520x2540</t>
        </is>
      </c>
      <c r="G123" s="151" t="n">
        <v>0</v>
      </c>
      <c r="H123" s="151" t="n">
        <v>1</v>
      </c>
      <c r="I123" s="187" t="n"/>
      <c r="J123" s="119" t="n"/>
      <c r="K123" s="77" t="n"/>
      <c r="S123" s="14" t="n"/>
      <c r="T123" s="73" t="n"/>
      <c r="Y123" s="65" t="n"/>
      <c r="Z123" s="36" t="n"/>
      <c r="AA123" s="69" t="n"/>
      <c r="AB123" s="68" t="n"/>
      <c r="AC123" s="36" t="n"/>
      <c r="AD123" s="69" t="n"/>
      <c r="AE123" s="229" t="n"/>
      <c r="AF123" s="230" t="n"/>
      <c r="AG123" s="231" t="n"/>
      <c r="AH123" s="229" t="n"/>
      <c r="AI123" s="230" t="n"/>
      <c r="AJ123" s="231" t="n"/>
      <c r="AK123" s="229" t="n"/>
      <c r="AL123" s="231" t="n"/>
    </row>
    <row r="124">
      <c r="F124" s="14" t="n"/>
      <c r="I124" s="14" t="n"/>
      <c r="J124" s="119" t="n"/>
      <c r="K124" s="77" t="n"/>
      <c r="S124" s="14" t="n"/>
      <c r="T124" s="73" t="n"/>
      <c r="Y124" s="65" t="n"/>
      <c r="AA124" s="14" t="n"/>
      <c r="AB124" s="65" t="n"/>
      <c r="AD124" s="14" t="n"/>
      <c r="AE124" s="221" t="n"/>
      <c r="AF124" s="222" t="n"/>
      <c r="AG124" s="223" t="n"/>
      <c r="AH124" s="221" t="n"/>
      <c r="AI124" s="222" t="n"/>
      <c r="AJ124" s="223" t="n"/>
      <c r="AK124" s="221" t="n"/>
      <c r="AL124" s="223" t="n"/>
    </row>
    <row r="125">
      <c r="F125" s="14" t="n"/>
      <c r="I125" s="14" t="n"/>
      <c r="J125" s="119" t="n"/>
      <c r="K125" s="77" t="n"/>
      <c r="S125" s="14" t="n"/>
      <c r="T125" s="73" t="n"/>
      <c r="Y125" s="65" t="n"/>
      <c r="AA125" s="14" t="n"/>
      <c r="AB125" s="65" t="n"/>
      <c r="AD125" s="14" t="n"/>
      <c r="AE125" s="221" t="n"/>
      <c r="AF125" s="222" t="n"/>
      <c r="AG125" s="223" t="n"/>
      <c r="AH125" s="221" t="n"/>
      <c r="AI125" s="222" t="n"/>
      <c r="AJ125" s="223" t="n"/>
      <c r="AK125" s="221" t="n"/>
      <c r="AL125" s="223" t="n"/>
    </row>
    <row r="126">
      <c r="F126" s="14" t="n"/>
      <c r="I126" s="14" t="n"/>
      <c r="J126" s="119" t="n"/>
      <c r="K126" s="77" t="n"/>
      <c r="S126" s="14" t="n"/>
      <c r="T126" s="73" t="n"/>
      <c r="Y126" s="65" t="n"/>
      <c r="AA126" s="14" t="n"/>
      <c r="AB126" s="65" t="n"/>
      <c r="AD126" s="14" t="n"/>
      <c r="AE126" s="221" t="n"/>
      <c r="AF126" s="222" t="n"/>
      <c r="AG126" s="223" t="n"/>
      <c r="AH126" s="221" t="n"/>
      <c r="AI126" s="222" t="n"/>
      <c r="AJ126" s="223" t="n"/>
      <c r="AK126" s="221" t="n"/>
      <c r="AL126" s="223" t="n"/>
    </row>
    <row r="127">
      <c r="F127" s="14" t="n"/>
      <c r="I127" s="14" t="n"/>
      <c r="J127" s="119" t="n"/>
      <c r="K127" s="77" t="n"/>
      <c r="S127" s="14" t="n"/>
      <c r="T127" s="73" t="n"/>
      <c r="Y127" s="65" t="n"/>
      <c r="AA127" s="14" t="n"/>
      <c r="AB127" s="65" t="n"/>
      <c r="AD127" s="14" t="n"/>
      <c r="AE127" s="221" t="n"/>
      <c r="AF127" s="222" t="n"/>
      <c r="AG127" s="223" t="n"/>
      <c r="AH127" s="221" t="n"/>
      <c r="AI127" s="222" t="n"/>
      <c r="AJ127" s="223" t="n"/>
      <c r="AK127" s="221" t="n"/>
      <c r="AL127" s="223" t="n"/>
    </row>
    <row r="128">
      <c r="B128" s="9" t="n"/>
      <c r="C128" s="9" t="n"/>
      <c r="D128" s="9" t="n"/>
      <c r="E128" s="9" t="n"/>
      <c r="F128" s="67" t="n"/>
      <c r="G128" s="9" t="n"/>
      <c r="H128" s="9" t="n"/>
      <c r="I128" s="67" t="n"/>
      <c r="J128" s="120" t="n"/>
      <c r="K128" s="79" t="n"/>
      <c r="L128" s="9" t="n"/>
      <c r="M128" s="9" t="n"/>
      <c r="N128" s="9" t="n"/>
      <c r="O128" s="9" t="n"/>
      <c r="P128" s="9" t="n"/>
      <c r="Q128" s="9" t="n"/>
      <c r="R128" s="9" t="n"/>
      <c r="S128" s="67" t="n"/>
      <c r="T128" s="74" t="n"/>
      <c r="U128" s="17" t="n"/>
      <c r="V128" s="17" t="n"/>
      <c r="W128" s="9" t="n"/>
      <c r="X128" s="9" t="n"/>
      <c r="Y128" s="66" t="n"/>
      <c r="Z128" s="9" t="n"/>
      <c r="AA128" s="67" t="n"/>
      <c r="AB128" s="66" t="n"/>
      <c r="AC128" s="9" t="n"/>
      <c r="AD128" s="67" t="n"/>
      <c r="AE128" s="224" t="n"/>
      <c r="AF128" s="225" t="n"/>
      <c r="AG128" s="226" t="n"/>
      <c r="AH128" s="224" t="n"/>
      <c r="AI128" s="225" t="n"/>
      <c r="AJ128" s="226" t="n"/>
      <c r="AK128" s="224" t="n"/>
      <c r="AL128" s="226" t="n"/>
    </row>
    <row r="129">
      <c r="B129" s="245" t="inlineStr">
        <is>
          <t>1F</t>
        </is>
      </c>
      <c r="C129" s="151" t="inlineStr">
        <is>
          <t>plant</t>
        </is>
      </c>
      <c r="D129" s="151">
        <f>_xlfn.CONCAT(B129,": ",C129)</f>
        <v/>
      </c>
      <c r="E129" s="228" t="n">
        <v>66</v>
      </c>
      <c r="F129" s="187" t="inlineStr">
        <is>
          <t>2954x3968</t>
        </is>
      </c>
      <c r="G129" s="151" t="n">
        <v>0</v>
      </c>
      <c r="H129" s="151" t="n">
        <v>1</v>
      </c>
      <c r="I129" s="187" t="n"/>
      <c r="J129" s="119" t="n"/>
      <c r="K129" s="77" t="n"/>
      <c r="S129" s="14" t="n"/>
      <c r="T129" s="73" t="n"/>
      <c r="Y129" s="65" t="n"/>
      <c r="Z129" s="36" t="n"/>
      <c r="AA129" s="69" t="n"/>
      <c r="AB129" s="68" t="n"/>
      <c r="AC129" s="36" t="n"/>
      <c r="AD129" s="69" t="n"/>
      <c r="AE129" s="229" t="n"/>
      <c r="AF129" s="230" t="n"/>
      <c r="AG129" s="231" t="n"/>
      <c r="AH129" s="229" t="n"/>
      <c r="AI129" s="230" t="n"/>
      <c r="AJ129" s="231" t="n"/>
      <c r="AK129" s="229" t="n"/>
      <c r="AL129" s="231" t="n"/>
    </row>
    <row r="130">
      <c r="F130" s="14" t="n"/>
      <c r="I130" s="14" t="n"/>
      <c r="J130" s="119" t="n"/>
      <c r="K130" s="77" t="n"/>
      <c r="S130" s="14" t="n"/>
      <c r="T130" s="73" t="n"/>
      <c r="Y130" s="65" t="n"/>
      <c r="AA130" s="14" t="n"/>
      <c r="AB130" s="65" t="n"/>
      <c r="AD130" s="14" t="n"/>
      <c r="AE130" s="221" t="n"/>
      <c r="AF130" s="222" t="n"/>
      <c r="AG130" s="223" t="n"/>
      <c r="AH130" s="221" t="n"/>
      <c r="AI130" s="222" t="n"/>
      <c r="AJ130" s="223" t="n"/>
      <c r="AK130" s="221" t="n"/>
      <c r="AL130" s="223" t="n"/>
    </row>
    <row r="131">
      <c r="F131" s="14" t="n"/>
      <c r="I131" s="14" t="n"/>
      <c r="J131" s="119" t="n"/>
      <c r="K131" s="77" t="n"/>
      <c r="S131" s="14" t="n"/>
      <c r="T131" s="73" t="n"/>
      <c r="Y131" s="65" t="n"/>
      <c r="AA131" s="14" t="n"/>
      <c r="AB131" s="65" t="n"/>
      <c r="AD131" s="14" t="n"/>
      <c r="AE131" s="221" t="n"/>
      <c r="AF131" s="222" t="n"/>
      <c r="AG131" s="223" t="n"/>
      <c r="AH131" s="221" t="n"/>
      <c r="AI131" s="222" t="n"/>
      <c r="AJ131" s="223" t="n"/>
      <c r="AK131" s="221" t="n"/>
      <c r="AL131" s="223" t="n"/>
    </row>
    <row r="132">
      <c r="F132" s="14" t="n"/>
      <c r="I132" s="14" t="n"/>
      <c r="J132" s="119" t="n"/>
      <c r="K132" s="77" t="n"/>
      <c r="S132" s="14" t="n"/>
      <c r="T132" s="73" t="n"/>
      <c r="Y132" s="65" t="n"/>
      <c r="AA132" s="14" t="n"/>
      <c r="AB132" s="65" t="n"/>
      <c r="AD132" s="14" t="n"/>
      <c r="AE132" s="221" t="n"/>
      <c r="AF132" s="222" t="n"/>
      <c r="AG132" s="223" t="n"/>
      <c r="AH132" s="221" t="n"/>
      <c r="AI132" s="222" t="n"/>
      <c r="AJ132" s="223" t="n"/>
      <c r="AK132" s="221" t="n"/>
      <c r="AL132" s="223" t="n"/>
    </row>
    <row r="133">
      <c r="F133" s="14" t="n"/>
      <c r="I133" s="14" t="n"/>
      <c r="J133" s="119" t="n"/>
      <c r="K133" s="77" t="n"/>
      <c r="S133" s="14" t="n"/>
      <c r="T133" s="73" t="n"/>
      <c r="Y133" s="65" t="n"/>
      <c r="AA133" s="14" t="n"/>
      <c r="AB133" s="65" t="n"/>
      <c r="AD133" s="14" t="n"/>
      <c r="AE133" s="221" t="n"/>
      <c r="AF133" s="222" t="n"/>
      <c r="AG133" s="223" t="n"/>
      <c r="AH133" s="221" t="n"/>
      <c r="AI133" s="222" t="n"/>
      <c r="AJ133" s="223" t="n"/>
      <c r="AK133" s="221" t="n"/>
      <c r="AL133" s="223" t="n"/>
    </row>
    <row r="134">
      <c r="B134" s="9" t="n"/>
      <c r="C134" s="9" t="n"/>
      <c r="D134" s="9" t="n"/>
      <c r="E134" s="9" t="n"/>
      <c r="F134" s="67" t="n"/>
      <c r="G134" s="9" t="n"/>
      <c r="H134" s="9" t="n"/>
      <c r="I134" s="67" t="n"/>
      <c r="J134" s="120" t="n"/>
      <c r="K134" s="79" t="n"/>
      <c r="L134" s="9" t="n"/>
      <c r="M134" s="9" t="n"/>
      <c r="N134" s="9" t="n"/>
      <c r="O134" s="9" t="n"/>
      <c r="P134" s="9" t="n"/>
      <c r="Q134" s="9" t="n"/>
      <c r="R134" s="9" t="n"/>
      <c r="S134" s="67" t="n"/>
      <c r="T134" s="74" t="n"/>
      <c r="U134" s="17" t="n"/>
      <c r="V134" s="17" t="n"/>
      <c r="W134" s="9" t="n"/>
      <c r="X134" s="9" t="n"/>
      <c r="Y134" s="66" t="n"/>
      <c r="Z134" s="9" t="n"/>
      <c r="AA134" s="67" t="n"/>
      <c r="AB134" s="66" t="n"/>
      <c r="AC134" s="9" t="n"/>
      <c r="AD134" s="67" t="n"/>
      <c r="AE134" s="224" t="n"/>
      <c r="AF134" s="225" t="n"/>
      <c r="AG134" s="226" t="n"/>
      <c r="AH134" s="224" t="n"/>
      <c r="AI134" s="225" t="n"/>
      <c r="AJ134" s="226" t="n"/>
      <c r="AK134" s="224" t="n"/>
      <c r="AL134" s="226" t="n"/>
    </row>
    <row r="135">
      <c r="B135" s="245" t="inlineStr">
        <is>
          <t>1F</t>
        </is>
      </c>
      <c r="C135" s="151" t="inlineStr">
        <is>
          <t>solo_tango_female</t>
        </is>
      </c>
      <c r="D135" s="151">
        <f>_xlfn.CONCAT(B135,": ",C135)</f>
        <v/>
      </c>
      <c r="E135" s="228" t="n">
        <v>44</v>
      </c>
      <c r="F135" s="187" t="inlineStr">
        <is>
          <t>4534x2542</t>
        </is>
      </c>
      <c r="G135" s="151" t="n">
        <v>0</v>
      </c>
      <c r="H135" s="151" t="n">
        <v>1</v>
      </c>
      <c r="I135" s="187" t="n"/>
      <c r="J135" s="119" t="n"/>
      <c r="K135" s="77" t="n"/>
      <c r="S135" s="14" t="n"/>
      <c r="T135" s="73" t="n"/>
      <c r="Y135" s="65" t="n"/>
      <c r="Z135" s="36" t="n"/>
      <c r="AA135" s="69" t="n"/>
      <c r="AB135" s="68" t="n"/>
      <c r="AC135" s="36" t="n"/>
      <c r="AD135" s="69" t="n"/>
      <c r="AE135" s="229" t="n"/>
      <c r="AF135" s="230" t="n"/>
      <c r="AG135" s="231" t="n"/>
      <c r="AH135" s="229" t="n"/>
      <c r="AI135" s="230" t="n"/>
      <c r="AJ135" s="231" t="n"/>
      <c r="AK135" s="229" t="n"/>
      <c r="AL135" s="231" t="n"/>
    </row>
    <row r="136">
      <c r="F136" s="14" t="n"/>
      <c r="I136" s="14" t="n"/>
      <c r="J136" s="119" t="n"/>
      <c r="K136" s="77" t="n"/>
      <c r="S136" s="14" t="n"/>
      <c r="T136" s="73" t="n"/>
      <c r="Y136" s="65" t="n"/>
      <c r="AA136" s="14" t="n"/>
      <c r="AB136" s="65" t="n"/>
      <c r="AD136" s="14" t="n"/>
      <c r="AE136" s="221" t="n"/>
      <c r="AF136" s="222" t="n"/>
      <c r="AG136" s="223" t="n"/>
      <c r="AH136" s="221" t="n"/>
      <c r="AI136" s="222" t="n"/>
      <c r="AJ136" s="223" t="n"/>
      <c r="AK136" s="221" t="n"/>
      <c r="AL136" s="223" t="n"/>
    </row>
    <row r="137">
      <c r="F137" s="14" t="n"/>
      <c r="I137" s="14" t="n"/>
      <c r="J137" s="119" t="n"/>
      <c r="K137" s="77" t="n"/>
      <c r="S137" s="14" t="n"/>
      <c r="T137" s="73" t="n"/>
      <c r="Y137" s="65" t="n"/>
      <c r="AA137" s="14" t="n"/>
      <c r="AB137" s="65" t="n"/>
      <c r="AD137" s="14" t="n"/>
      <c r="AE137" s="221" t="n"/>
      <c r="AF137" s="222" t="n"/>
      <c r="AG137" s="223" t="n"/>
      <c r="AH137" s="221" t="n"/>
      <c r="AI137" s="222" t="n"/>
      <c r="AJ137" s="223" t="n"/>
      <c r="AK137" s="221" t="n"/>
      <c r="AL137" s="223" t="n"/>
    </row>
    <row r="138">
      <c r="F138" s="14" t="n"/>
      <c r="I138" s="14" t="n"/>
      <c r="J138" s="119" t="n"/>
      <c r="K138" s="77" t="n"/>
      <c r="S138" s="14" t="n"/>
      <c r="T138" s="73" t="n"/>
      <c r="Y138" s="65" t="n"/>
      <c r="AA138" s="14" t="n"/>
      <c r="AB138" s="65" t="n"/>
      <c r="AD138" s="14" t="n"/>
      <c r="AE138" s="221" t="n"/>
      <c r="AF138" s="222" t="n"/>
      <c r="AG138" s="223" t="n"/>
      <c r="AH138" s="221" t="n"/>
      <c r="AI138" s="222" t="n"/>
      <c r="AJ138" s="223" t="n"/>
      <c r="AK138" s="221" t="n"/>
      <c r="AL138" s="223" t="n"/>
    </row>
    <row r="139">
      <c r="F139" s="14" t="n"/>
      <c r="I139" s="14" t="n"/>
      <c r="J139" s="119" t="n"/>
      <c r="K139" s="77" t="n"/>
      <c r="S139" s="14" t="n"/>
      <c r="T139" s="73" t="n"/>
      <c r="Y139" s="65" t="n"/>
      <c r="AA139" s="14" t="n"/>
      <c r="AB139" s="65" t="n"/>
      <c r="AD139" s="14" t="n"/>
      <c r="AE139" s="221" t="n"/>
      <c r="AF139" s="222" t="n"/>
      <c r="AG139" s="223" t="n"/>
      <c r="AH139" s="221" t="n"/>
      <c r="AI139" s="222" t="n"/>
      <c r="AJ139" s="223" t="n"/>
      <c r="AK139" s="221" t="n"/>
      <c r="AL139" s="223" t="n"/>
    </row>
    <row r="140">
      <c r="B140" s="9" t="n"/>
      <c r="C140" s="9" t="n"/>
      <c r="D140" s="9" t="n"/>
      <c r="E140" s="9" t="n"/>
      <c r="F140" s="67" t="n"/>
      <c r="G140" s="9" t="n"/>
      <c r="H140" s="9" t="n"/>
      <c r="I140" s="67" t="n"/>
      <c r="J140" s="120" t="n"/>
      <c r="K140" s="79" t="n"/>
      <c r="L140" s="9" t="n"/>
      <c r="M140" s="9" t="n"/>
      <c r="N140" s="9" t="n"/>
      <c r="O140" s="9" t="n"/>
      <c r="P140" s="9" t="n"/>
      <c r="Q140" s="9" t="n"/>
      <c r="R140" s="9" t="n"/>
      <c r="S140" s="67" t="n"/>
      <c r="T140" s="74" t="n"/>
      <c r="U140" s="17" t="n"/>
      <c r="V140" s="17" t="n"/>
      <c r="W140" s="9" t="n"/>
      <c r="X140" s="9" t="n"/>
      <c r="Y140" s="66" t="n"/>
      <c r="Z140" s="9" t="n"/>
      <c r="AA140" s="67" t="n"/>
      <c r="AB140" s="66" t="n"/>
      <c r="AC140" s="9" t="n"/>
      <c r="AD140" s="67" t="n"/>
      <c r="AE140" s="224" t="n"/>
      <c r="AF140" s="225" t="n"/>
      <c r="AG140" s="226" t="n"/>
      <c r="AH140" s="224" t="n"/>
      <c r="AI140" s="225" t="n"/>
      <c r="AJ140" s="226" t="n"/>
      <c r="AK140" s="224" t="n"/>
      <c r="AL140" s="226" t="n"/>
    </row>
    <row r="141">
      <c r="B141" s="245" t="inlineStr">
        <is>
          <t>1F</t>
        </is>
      </c>
      <c r="C141" s="151" t="inlineStr">
        <is>
          <t>solo_tango_male</t>
        </is>
      </c>
      <c r="D141" s="151">
        <f>_xlfn.CONCAT(B141,": ",C141)</f>
        <v/>
      </c>
      <c r="E141" s="228" t="n">
        <v>44</v>
      </c>
      <c r="F141" s="187" t="inlineStr">
        <is>
          <t>4528x2544</t>
        </is>
      </c>
      <c r="G141" s="151" t="n">
        <v>0</v>
      </c>
      <c r="H141" s="151" t="n">
        <v>1</v>
      </c>
      <c r="I141" s="187" t="n"/>
      <c r="J141" s="119" t="n"/>
      <c r="K141" s="77" t="n"/>
      <c r="S141" s="14" t="n"/>
      <c r="T141" s="73" t="n"/>
      <c r="Y141" s="65" t="n"/>
      <c r="Z141" s="36" t="n"/>
      <c r="AA141" s="69" t="n"/>
      <c r="AB141" s="68" t="n"/>
      <c r="AC141" s="36" t="n"/>
      <c r="AD141" s="69" t="n"/>
      <c r="AE141" s="229" t="n"/>
      <c r="AF141" s="230" t="n"/>
      <c r="AG141" s="231" t="n"/>
      <c r="AH141" s="229" t="n"/>
      <c r="AI141" s="230" t="n"/>
      <c r="AJ141" s="231" t="n"/>
      <c r="AK141" s="229" t="n"/>
      <c r="AL141" s="231" t="n"/>
    </row>
    <row r="142">
      <c r="F142" s="14" t="n"/>
      <c r="I142" s="14" t="n"/>
      <c r="J142" s="119" t="n"/>
      <c r="K142" s="77" t="n"/>
      <c r="S142" s="14" t="n"/>
      <c r="T142" s="73" t="n"/>
      <c r="Y142" s="65" t="n"/>
      <c r="AA142" s="14" t="n"/>
      <c r="AB142" s="65" t="n"/>
      <c r="AD142" s="14" t="n"/>
      <c r="AE142" s="221" t="n"/>
      <c r="AF142" s="222" t="n"/>
      <c r="AG142" s="223" t="n"/>
      <c r="AH142" s="221" t="n"/>
      <c r="AI142" s="222" t="n"/>
      <c r="AJ142" s="223" t="n"/>
      <c r="AK142" s="221" t="n"/>
      <c r="AL142" s="223" t="n"/>
    </row>
    <row r="143">
      <c r="F143" s="14" t="n"/>
      <c r="I143" s="14" t="n"/>
      <c r="J143" s="119" t="n"/>
      <c r="K143" s="77" t="n"/>
      <c r="S143" s="14" t="n"/>
      <c r="T143" s="73" t="n"/>
      <c r="Y143" s="65" t="n"/>
      <c r="AA143" s="14" t="n"/>
      <c r="AB143" s="65" t="n"/>
      <c r="AD143" s="14" t="n"/>
      <c r="AE143" s="221" t="n"/>
      <c r="AF143" s="222" t="n"/>
      <c r="AG143" s="223" t="n"/>
      <c r="AH143" s="221" t="n"/>
      <c r="AI143" s="222" t="n"/>
      <c r="AJ143" s="223" t="n"/>
      <c r="AK143" s="221" t="n"/>
      <c r="AL143" s="223" t="n"/>
    </row>
    <row r="144">
      <c r="F144" s="14" t="n"/>
      <c r="I144" s="14" t="n"/>
      <c r="J144" s="119" t="n"/>
      <c r="K144" s="77" t="n"/>
      <c r="S144" s="14" t="n"/>
      <c r="T144" s="73" t="n"/>
      <c r="Y144" s="65" t="n"/>
      <c r="AA144" s="14" t="n"/>
      <c r="AB144" s="65" t="n"/>
      <c r="AD144" s="14" t="n"/>
      <c r="AE144" s="221" t="n"/>
      <c r="AF144" s="222" t="n"/>
      <c r="AG144" s="223" t="n"/>
      <c r="AH144" s="221" t="n"/>
      <c r="AI144" s="222" t="n"/>
      <c r="AJ144" s="223" t="n"/>
      <c r="AK144" s="221" t="n"/>
      <c r="AL144" s="223" t="n"/>
    </row>
    <row r="145">
      <c r="F145" s="14" t="n"/>
      <c r="I145" s="14" t="n"/>
      <c r="J145" s="119" t="n"/>
      <c r="K145" s="77" t="n"/>
      <c r="S145" s="14" t="n"/>
      <c r="T145" s="73" t="n"/>
      <c r="Y145" s="65" t="n"/>
      <c r="AA145" s="14" t="n"/>
      <c r="AB145" s="65" t="n"/>
      <c r="AD145" s="14" t="n"/>
      <c r="AE145" s="221" t="n"/>
      <c r="AF145" s="222" t="n"/>
      <c r="AG145" s="223" t="n"/>
      <c r="AH145" s="221" t="n"/>
      <c r="AI145" s="222" t="n"/>
      <c r="AJ145" s="223" t="n"/>
      <c r="AK145" s="221" t="n"/>
      <c r="AL145" s="223" t="n"/>
    </row>
    <row r="146">
      <c r="B146" s="9" t="n"/>
      <c r="C146" s="9" t="n"/>
      <c r="D146" s="9" t="n"/>
      <c r="E146" s="9" t="n"/>
      <c r="F146" s="67" t="n"/>
      <c r="G146" s="9" t="n"/>
      <c r="H146" s="9" t="n"/>
      <c r="I146" s="67" t="n"/>
      <c r="J146" s="120" t="n"/>
      <c r="K146" s="79" t="n"/>
      <c r="L146" s="9" t="n"/>
      <c r="M146" s="9" t="n"/>
      <c r="N146" s="9" t="n"/>
      <c r="O146" s="9" t="n"/>
      <c r="P146" s="9" t="n"/>
      <c r="Q146" s="9" t="n"/>
      <c r="R146" s="9" t="n"/>
      <c r="S146" s="67" t="n"/>
      <c r="T146" s="74" t="n"/>
      <c r="U146" s="17" t="n"/>
      <c r="V146" s="17" t="n"/>
      <c r="W146" s="9" t="n"/>
      <c r="X146" s="9" t="n"/>
      <c r="Y146" s="66" t="n"/>
      <c r="Z146" s="9" t="n"/>
      <c r="AA146" s="67" t="n"/>
      <c r="AB146" s="66" t="n"/>
      <c r="AC146" s="9" t="n"/>
      <c r="AD146" s="67" t="n"/>
      <c r="AE146" s="224" t="n"/>
      <c r="AF146" s="225" t="n"/>
      <c r="AG146" s="226" t="n"/>
      <c r="AH146" s="224" t="n"/>
      <c r="AI146" s="225" t="n"/>
      <c r="AJ146" s="226" t="n"/>
      <c r="AK146" s="224" t="n"/>
      <c r="AL146" s="226" t="n"/>
    </row>
    <row r="147">
      <c r="B147" s="245" t="inlineStr">
        <is>
          <t>1F</t>
        </is>
      </c>
      <c r="C147" s="151" t="inlineStr">
        <is>
          <t>tango_duo</t>
        </is>
      </c>
      <c r="D147" s="151">
        <f>_xlfn.CONCAT(B147,": ",C147)</f>
        <v/>
      </c>
      <c r="E147" s="228" t="n">
        <v>44</v>
      </c>
      <c r="F147" s="187" t="inlineStr">
        <is>
          <t>4522x2538</t>
        </is>
      </c>
      <c r="G147" s="151" t="n">
        <v>0</v>
      </c>
      <c r="H147" s="151" t="n">
        <v>1</v>
      </c>
      <c r="I147" s="187" t="n"/>
      <c r="J147" s="119" t="n"/>
      <c r="K147" s="77" t="n"/>
      <c r="S147" s="14" t="n"/>
      <c r="T147" s="73" t="n"/>
      <c r="Y147" s="65" t="n"/>
      <c r="Z147" s="36" t="n"/>
      <c r="AA147" s="69" t="n"/>
      <c r="AB147" s="68" t="n"/>
      <c r="AC147" s="36" t="n"/>
      <c r="AD147" s="69" t="n"/>
      <c r="AE147" s="229" t="n"/>
      <c r="AF147" s="230" t="n"/>
      <c r="AG147" s="231" t="n"/>
      <c r="AH147" s="229" t="n"/>
      <c r="AI147" s="230" t="n"/>
      <c r="AJ147" s="231" t="n"/>
      <c r="AK147" s="229" t="n"/>
      <c r="AL147" s="231" t="n"/>
    </row>
    <row r="148">
      <c r="F148" s="14" t="n"/>
      <c r="I148" s="14" t="n"/>
      <c r="J148" s="119" t="n"/>
      <c r="K148" s="77" t="n"/>
      <c r="S148" s="14" t="n"/>
      <c r="T148" s="73" t="n"/>
      <c r="Y148" s="65" t="n"/>
      <c r="AA148" s="14" t="n"/>
      <c r="AB148" s="65" t="n"/>
      <c r="AD148" s="14" t="n"/>
      <c r="AE148" s="221" t="n"/>
      <c r="AF148" s="222" t="n"/>
      <c r="AG148" s="223" t="n"/>
      <c r="AH148" s="221" t="n"/>
      <c r="AI148" s="222" t="n"/>
      <c r="AJ148" s="223" t="n"/>
      <c r="AK148" s="221" t="n"/>
      <c r="AL148" s="223" t="n"/>
    </row>
    <row r="149">
      <c r="F149" s="14" t="n"/>
      <c r="I149" s="14" t="n"/>
      <c r="J149" s="119" t="n"/>
      <c r="K149" s="77" t="n"/>
      <c r="S149" s="14" t="n"/>
      <c r="T149" s="73" t="n"/>
      <c r="Y149" s="65" t="n"/>
      <c r="AA149" s="14" t="n"/>
      <c r="AB149" s="65" t="n"/>
      <c r="AD149" s="14" t="n"/>
      <c r="AE149" s="221" t="n"/>
      <c r="AF149" s="222" t="n"/>
      <c r="AG149" s="223" t="n"/>
      <c r="AH149" s="221" t="n"/>
      <c r="AI149" s="222" t="n"/>
      <c r="AJ149" s="223" t="n"/>
      <c r="AK149" s="221" t="n"/>
      <c r="AL149" s="223" t="n"/>
    </row>
    <row r="150">
      <c r="F150" s="14" t="n"/>
      <c r="I150" s="14" t="n"/>
      <c r="J150" s="119" t="n"/>
      <c r="K150" s="77" t="n"/>
      <c r="S150" s="14" t="n"/>
      <c r="T150" s="73" t="n"/>
      <c r="Y150" s="65" t="n"/>
      <c r="AA150" s="14" t="n"/>
      <c r="AB150" s="65" t="n"/>
      <c r="AD150" s="14" t="n"/>
      <c r="AE150" s="221" t="n"/>
      <c r="AF150" s="222" t="n"/>
      <c r="AG150" s="223" t="n"/>
      <c r="AH150" s="221" t="n"/>
      <c r="AI150" s="222" t="n"/>
      <c r="AJ150" s="223" t="n"/>
      <c r="AK150" s="221" t="n"/>
      <c r="AL150" s="223" t="n"/>
    </row>
    <row r="151">
      <c r="F151" s="14" t="n"/>
      <c r="I151" s="14" t="n"/>
      <c r="J151" s="119" t="n"/>
      <c r="K151" s="77" t="n"/>
      <c r="S151" s="14" t="n"/>
      <c r="T151" s="73" t="n"/>
      <c r="Y151" s="65" t="n"/>
      <c r="AA151" s="14" t="n"/>
      <c r="AB151" s="65" t="n"/>
      <c r="AD151" s="14" t="n"/>
      <c r="AE151" s="221" t="n"/>
      <c r="AF151" s="222" t="n"/>
      <c r="AG151" s="223" t="n"/>
      <c r="AH151" s="221" t="n"/>
      <c r="AI151" s="222" t="n"/>
      <c r="AJ151" s="223" t="n"/>
      <c r="AK151" s="221" t="n"/>
      <c r="AL151" s="223" t="n"/>
    </row>
    <row r="152">
      <c r="B152" s="9" t="n"/>
      <c r="C152" s="9" t="n"/>
      <c r="D152" s="9" t="n"/>
      <c r="E152" s="9" t="n"/>
      <c r="F152" s="67" t="n"/>
      <c r="G152" s="9" t="n"/>
      <c r="H152" s="9" t="n"/>
      <c r="I152" s="67" t="n"/>
      <c r="J152" s="120" t="n"/>
      <c r="K152" s="79" t="n"/>
      <c r="L152" s="9" t="n"/>
      <c r="M152" s="9" t="n"/>
      <c r="N152" s="9" t="n"/>
      <c r="O152" s="9" t="n"/>
      <c r="P152" s="9" t="n"/>
      <c r="Q152" s="9" t="n"/>
      <c r="R152" s="9" t="n"/>
      <c r="S152" s="67" t="n"/>
      <c r="T152" s="74" t="n"/>
      <c r="U152" s="17" t="n"/>
      <c r="V152" s="17" t="n"/>
      <c r="W152" s="9" t="n"/>
      <c r="X152" s="9" t="n"/>
      <c r="Y152" s="66" t="n"/>
      <c r="Z152" s="9" t="n"/>
      <c r="AA152" s="67" t="n"/>
      <c r="AB152" s="66" t="n"/>
      <c r="AC152" s="9" t="n"/>
      <c r="AD152" s="67" t="n"/>
      <c r="AE152" s="224" t="n"/>
      <c r="AF152" s="225" t="n"/>
      <c r="AG152" s="226" t="n"/>
      <c r="AH152" s="224" t="n"/>
      <c r="AI152" s="225" t="n"/>
      <c r="AJ152" s="226" t="n"/>
      <c r="AK152" s="224" t="n"/>
      <c r="AL152" s="226" t="n"/>
    </row>
    <row r="153">
      <c r="B153" s="245" t="inlineStr">
        <is>
          <t>1F</t>
        </is>
      </c>
      <c r="C153" s="228" t="inlineStr">
        <is>
          <t>tennis_player</t>
        </is>
      </c>
      <c r="D153" s="228">
        <f>_xlfn.CONCAT(B153,": ",C153)</f>
        <v/>
      </c>
      <c r="E153" s="228" t="n">
        <v>60</v>
      </c>
      <c r="F153" s="246" t="inlineStr">
        <is>
          <t>4518x2540</t>
        </is>
      </c>
      <c r="G153" s="228" t="n">
        <v>0</v>
      </c>
      <c r="H153" s="228" t="n">
        <v>1</v>
      </c>
      <c r="I153" s="246" t="n"/>
      <c r="J153" s="134" t="n"/>
      <c r="K153" s="80" t="n"/>
      <c r="L153" s="36" t="n"/>
      <c r="M153" s="36" t="n"/>
      <c r="N153" s="36" t="n"/>
      <c r="O153" s="36" t="n"/>
      <c r="P153" s="36" t="n"/>
      <c r="Q153" s="36" t="n"/>
      <c r="R153" s="36" t="n"/>
      <c r="S153" s="69" t="n"/>
      <c r="T153" s="75" t="n"/>
      <c r="U153" s="37" t="n"/>
      <c r="V153" s="37" t="n"/>
      <c r="W153" s="36" t="n"/>
      <c r="X153" s="36" t="n"/>
      <c r="Y153" s="68" t="n"/>
      <c r="Z153" s="36" t="n"/>
      <c r="AA153" s="69" t="n"/>
      <c r="AB153" s="68" t="n"/>
      <c r="AC153" s="36" t="n"/>
      <c r="AD153" s="69" t="n"/>
      <c r="AE153" s="229" t="n"/>
      <c r="AF153" s="230" t="n"/>
      <c r="AG153" s="231" t="n"/>
      <c r="AH153" s="229" t="n"/>
      <c r="AI153" s="230" t="n"/>
      <c r="AJ153" s="231" t="n"/>
      <c r="AK153" s="229" t="n"/>
      <c r="AL153" s="231" t="n"/>
    </row>
    <row r="154">
      <c r="F154" s="14" t="n"/>
      <c r="I154" s="14" t="n"/>
      <c r="J154" s="135" t="n"/>
      <c r="K154" s="77" t="n"/>
      <c r="S154" s="14" t="n"/>
      <c r="T154" s="73" t="n"/>
      <c r="Y154" s="65" t="n"/>
      <c r="AA154" s="14" t="n"/>
      <c r="AB154" s="65" t="n"/>
      <c r="AD154" s="14" t="n"/>
      <c r="AE154" s="221" t="n"/>
      <c r="AF154" s="222" t="n"/>
      <c r="AG154" s="223" t="n"/>
      <c r="AH154" s="221" t="n"/>
      <c r="AI154" s="222" t="n"/>
      <c r="AJ154" s="223" t="n"/>
      <c r="AK154" s="221" t="n"/>
      <c r="AL154" s="223" t="n"/>
    </row>
    <row r="155">
      <c r="F155" s="14" t="n"/>
      <c r="I155" s="14" t="n"/>
      <c r="J155" s="135" t="n"/>
      <c r="K155" s="77" t="n"/>
      <c r="S155" s="14" t="n"/>
      <c r="T155" s="73" t="n"/>
      <c r="Y155" s="65" t="n"/>
      <c r="AA155" s="14" t="n"/>
      <c r="AB155" s="65" t="n"/>
      <c r="AD155" s="14" t="n"/>
      <c r="AE155" s="221" t="n"/>
      <c r="AF155" s="222" t="n"/>
      <c r="AG155" s="223" t="n"/>
      <c r="AH155" s="221" t="n"/>
      <c r="AI155" s="222" t="n"/>
      <c r="AJ155" s="223" t="n"/>
      <c r="AK155" s="221" t="n"/>
      <c r="AL155" s="223" t="n"/>
    </row>
    <row r="156">
      <c r="F156" s="14" t="n"/>
      <c r="I156" s="14" t="n"/>
      <c r="J156" s="135" t="n"/>
      <c r="K156" s="77" t="n"/>
      <c r="S156" s="14" t="n"/>
      <c r="T156" s="73" t="n"/>
      <c r="Y156" s="65" t="n"/>
      <c r="AA156" s="14" t="n"/>
      <c r="AB156" s="65" t="n"/>
      <c r="AD156" s="14" t="n"/>
      <c r="AE156" s="221" t="n"/>
      <c r="AF156" s="222" t="n"/>
      <c r="AG156" s="223" t="n"/>
      <c r="AH156" s="221" t="n"/>
      <c r="AI156" s="222" t="n"/>
      <c r="AJ156" s="223" t="n"/>
      <c r="AK156" s="221" t="n"/>
      <c r="AL156" s="223" t="n"/>
    </row>
    <row r="157">
      <c r="F157" s="14" t="n"/>
      <c r="I157" s="14" t="n"/>
      <c r="J157" s="135" t="n"/>
      <c r="K157" s="77" t="n"/>
      <c r="S157" s="14" t="n"/>
      <c r="T157" s="73" t="n"/>
      <c r="Y157" s="65" t="n"/>
      <c r="AA157" s="14" t="n"/>
      <c r="AB157" s="65" t="n"/>
      <c r="AD157" s="14" t="n"/>
      <c r="AE157" s="221" t="n"/>
      <c r="AF157" s="222" t="n"/>
      <c r="AG157" s="223" t="n"/>
      <c r="AH157" s="221" t="n"/>
      <c r="AI157" s="222" t="n"/>
      <c r="AJ157" s="223" t="n"/>
      <c r="AK157" s="221" t="n"/>
      <c r="AL157" s="223" t="n"/>
    </row>
    <row r="158">
      <c r="B158" s="9" t="n"/>
      <c r="C158" s="9" t="n"/>
      <c r="D158" s="9" t="n"/>
      <c r="E158" s="9" t="n"/>
      <c r="F158" s="67" t="n"/>
      <c r="G158" s="9" t="n"/>
      <c r="H158" s="9" t="n"/>
      <c r="I158" s="67" t="n"/>
      <c r="J158" s="136" t="n"/>
      <c r="K158" s="79" t="n"/>
      <c r="L158" s="9" t="n"/>
      <c r="M158" s="9" t="n"/>
      <c r="N158" s="9" t="n"/>
      <c r="O158" s="9" t="n"/>
      <c r="P158" s="9" t="n"/>
      <c r="Q158" s="9" t="n"/>
      <c r="R158" s="9" t="n"/>
      <c r="S158" s="67" t="n"/>
      <c r="T158" s="74" t="n"/>
      <c r="U158" s="17" t="n"/>
      <c r="V158" s="17" t="n"/>
      <c r="W158" s="9" t="n"/>
      <c r="X158" s="9" t="n"/>
      <c r="Y158" s="66" t="n"/>
      <c r="Z158" s="9" t="n"/>
      <c r="AA158" s="67" t="n"/>
      <c r="AB158" s="66" t="n"/>
      <c r="AC158" s="9" t="n"/>
      <c r="AD158" s="67" t="n"/>
      <c r="AE158" s="224" t="n"/>
      <c r="AF158" s="225" t="n"/>
      <c r="AG158" s="226" t="n"/>
      <c r="AH158" s="224" t="n"/>
      <c r="AI158" s="225" t="n"/>
      <c r="AJ158" s="226" t="n"/>
      <c r="AK158" s="224" t="n"/>
      <c r="AL158" s="226" t="n"/>
    </row>
    <row r="159">
      <c r="B159" s="245" t="inlineStr">
        <is>
          <t>1F</t>
        </is>
      </c>
      <c r="C159" s="228" t="inlineStr">
        <is>
          <t>library</t>
        </is>
      </c>
      <c r="D159" s="228">
        <f>_xlfn.CONCAT(B159,": ",C159)</f>
        <v/>
      </c>
      <c r="E159" s="228" t="n">
        <v>173292</v>
      </c>
      <c r="F159" s="246" t="inlineStr">
        <is>
          <t>3793x2131</t>
        </is>
      </c>
      <c r="G159" s="228" t="n">
        <v>0</v>
      </c>
      <c r="H159" s="228" t="n">
        <v>1</v>
      </c>
      <c r="I159" s="246" t="n"/>
      <c r="J159" s="134" t="n"/>
      <c r="K159" s="80" t="n"/>
      <c r="L159" s="36" t="n"/>
      <c r="M159" s="36" t="n"/>
      <c r="N159" s="36" t="n"/>
      <c r="O159" s="36" t="n"/>
      <c r="P159" s="36" t="n"/>
      <c r="Q159" s="36" t="n"/>
      <c r="R159" s="36" t="n"/>
      <c r="S159" s="69" t="n"/>
      <c r="T159" s="75" t="n"/>
      <c r="U159" s="37" t="n"/>
      <c r="V159" s="37" t="n"/>
      <c r="W159" s="36" t="n"/>
      <c r="X159" s="36" t="n"/>
      <c r="Y159" s="68" t="n"/>
      <c r="Z159" s="36" t="n"/>
      <c r="AA159" s="69" t="n"/>
      <c r="AB159" s="68" t="n"/>
      <c r="AC159" s="36" t="n"/>
      <c r="AD159" s="69" t="n"/>
      <c r="AE159" s="229" t="n"/>
      <c r="AF159" s="230" t="n"/>
      <c r="AG159" s="231" t="n"/>
      <c r="AH159" s="229" t="n"/>
      <c r="AI159" s="230" t="n"/>
      <c r="AJ159" s="231" t="n"/>
      <c r="AK159" s="229" t="n"/>
      <c r="AL159" s="231" t="n"/>
    </row>
    <row r="160">
      <c r="F160" s="14" t="n"/>
      <c r="I160" s="14" t="n"/>
      <c r="J160" s="135" t="n"/>
      <c r="K160" s="77" t="n"/>
      <c r="S160" s="14" t="n"/>
      <c r="T160" s="73" t="n"/>
      <c r="Y160" s="65" t="n"/>
      <c r="AA160" s="14" t="n"/>
      <c r="AB160" s="65" t="n"/>
      <c r="AD160" s="14" t="n"/>
      <c r="AE160" s="221" t="n"/>
      <c r="AF160" s="222" t="n"/>
      <c r="AG160" s="223" t="n"/>
      <c r="AH160" s="221" t="n"/>
      <c r="AI160" s="222" t="n"/>
      <c r="AJ160" s="223" t="n"/>
      <c r="AK160" s="221" t="n"/>
      <c r="AL160" s="223" t="n"/>
    </row>
    <row r="161">
      <c r="F161" s="14" t="n"/>
      <c r="I161" s="14" t="n"/>
      <c r="J161" s="135" t="n"/>
      <c r="K161" s="77" t="n"/>
      <c r="S161" s="14" t="n"/>
      <c r="T161" s="73" t="n"/>
      <c r="Y161" s="65" t="n"/>
      <c r="AA161" s="14" t="n"/>
      <c r="AB161" s="65" t="n"/>
      <c r="AD161" s="14" t="n"/>
      <c r="AE161" s="221" t="n"/>
      <c r="AF161" s="222" t="n"/>
      <c r="AG161" s="223" t="n"/>
      <c r="AH161" s="221" t="n"/>
      <c r="AI161" s="222" t="n"/>
      <c r="AJ161" s="223" t="n"/>
      <c r="AK161" s="221" t="n"/>
      <c r="AL161" s="223" t="n"/>
    </row>
    <row r="162">
      <c r="F162" s="14" t="n"/>
      <c r="I162" s="14" t="n"/>
      <c r="J162" s="135" t="n"/>
      <c r="K162" s="77" t="n"/>
      <c r="S162" s="14" t="n"/>
      <c r="T162" s="73" t="n"/>
      <c r="Y162" s="65" t="n"/>
      <c r="AA162" s="14" t="n"/>
      <c r="AB162" s="65" t="n"/>
      <c r="AD162" s="14" t="n"/>
      <c r="AE162" s="221" t="n"/>
      <c r="AF162" s="222" t="n"/>
      <c r="AG162" s="223" t="n"/>
      <c r="AH162" s="221" t="n"/>
      <c r="AI162" s="222" t="n"/>
      <c r="AJ162" s="223" t="n"/>
      <c r="AK162" s="221" t="n"/>
      <c r="AL162" s="223" t="n"/>
    </row>
    <row r="163">
      <c r="F163" s="14" t="n"/>
      <c r="I163" s="14" t="n"/>
      <c r="J163" s="135" t="n"/>
      <c r="K163" s="77" t="n"/>
      <c r="S163" s="14" t="n"/>
      <c r="T163" s="73" t="n"/>
      <c r="Y163" s="65" t="n"/>
      <c r="AA163" s="14" t="n"/>
      <c r="AB163" s="65" t="n"/>
      <c r="AD163" s="14" t="n"/>
      <c r="AE163" s="221" t="n"/>
      <c r="AF163" s="222" t="n"/>
      <c r="AG163" s="223" t="n"/>
      <c r="AH163" s="221" t="n"/>
      <c r="AI163" s="222" t="n"/>
      <c r="AJ163" s="223" t="n"/>
      <c r="AK163" s="221" t="n"/>
      <c r="AL163" s="223" t="n"/>
    </row>
    <row r="164">
      <c r="B164" s="9" t="n"/>
      <c r="C164" s="9" t="n"/>
      <c r="D164" s="9" t="n"/>
      <c r="E164" s="9" t="n"/>
      <c r="F164" s="67" t="n"/>
      <c r="G164" s="9" t="n"/>
      <c r="H164" s="9" t="n"/>
      <c r="I164" s="67" t="n"/>
      <c r="J164" s="136" t="n"/>
      <c r="K164" s="79" t="n"/>
      <c r="L164" s="9" t="n"/>
      <c r="M164" s="9" t="n"/>
      <c r="N164" s="9" t="n"/>
      <c r="O164" s="9" t="n"/>
      <c r="P164" s="9" t="n"/>
      <c r="Q164" s="9" t="n"/>
      <c r="R164" s="9" t="n"/>
      <c r="S164" s="67" t="n"/>
      <c r="T164" s="74" t="n"/>
      <c r="U164" s="17" t="n"/>
      <c r="V164" s="17" t="n"/>
      <c r="W164" s="9" t="n"/>
      <c r="X164" s="9" t="n"/>
      <c r="Y164" s="66" t="n"/>
      <c r="Z164" s="9" t="n"/>
      <c r="AA164" s="67" t="n"/>
      <c r="AB164" s="66" t="n"/>
      <c r="AC164" s="9" t="n"/>
      <c r="AD164" s="67" t="n"/>
      <c r="AE164" s="224" t="n"/>
      <c r="AF164" s="225" t="n"/>
      <c r="AG164" s="226" t="n"/>
      <c r="AH164" s="224" t="n"/>
      <c r="AI164" s="225" t="n"/>
      <c r="AJ164" s="226" t="n"/>
      <c r="AK164" s="224" t="n"/>
      <c r="AL164" s="226" t="n"/>
    </row>
    <row r="165">
      <c r="B165" s="245" t="inlineStr">
        <is>
          <t>1F</t>
        </is>
      </c>
      <c r="C165" s="228" t="inlineStr">
        <is>
          <t>flowerdance</t>
        </is>
      </c>
      <c r="D165" s="228">
        <f>_xlfn.CONCAT(B165,": ",C165)</f>
        <v/>
      </c>
      <c r="E165" s="228" t="n">
        <v>64</v>
      </c>
      <c r="F165" s="246" t="inlineStr">
        <is>
          <t>2456x2054</t>
        </is>
      </c>
      <c r="G165" s="228" t="n">
        <v>0</v>
      </c>
      <c r="H165" s="228" t="n">
        <v>1</v>
      </c>
      <c r="I165" s="246" t="n"/>
      <c r="J165" s="134" t="n"/>
      <c r="K165" s="80" t="n"/>
      <c r="L165" s="36" t="n"/>
      <c r="M165" s="36" t="n"/>
      <c r="N165" s="36" t="n"/>
      <c r="O165" s="36" t="n"/>
      <c r="P165" s="36" t="n"/>
      <c r="Q165" s="36" t="n"/>
      <c r="R165" s="36" t="n"/>
      <c r="S165" s="69" t="n"/>
      <c r="T165" s="75" t="n"/>
      <c r="U165" s="37" t="n"/>
      <c r="V165" s="37" t="n"/>
      <c r="W165" s="36" t="n"/>
      <c r="X165" s="36" t="n"/>
      <c r="Y165" s="68" t="n"/>
      <c r="Z165" s="36" t="n"/>
      <c r="AA165" s="69" t="n"/>
      <c r="AB165" s="68" t="n"/>
      <c r="AC165" s="36" t="n"/>
      <c r="AD165" s="69" t="n"/>
      <c r="AE165" s="229" t="n"/>
      <c r="AF165" s="230" t="n"/>
      <c r="AG165" s="231" t="n"/>
      <c r="AH165" s="229" t="n"/>
      <c r="AI165" s="230" t="n"/>
      <c r="AJ165" s="231" t="n"/>
      <c r="AK165" s="229" t="n"/>
      <c r="AL165" s="231" t="n"/>
    </row>
    <row r="166">
      <c r="F166" s="14" t="n"/>
      <c r="I166" s="14" t="n"/>
      <c r="J166" s="135" t="n"/>
      <c r="K166" s="77" t="n"/>
      <c r="S166" s="14" t="n"/>
      <c r="T166" s="73" t="n"/>
      <c r="Y166" s="65" t="n"/>
      <c r="AA166" s="14" t="n"/>
      <c r="AB166" s="65" t="n"/>
      <c r="AD166" s="14" t="n"/>
      <c r="AE166" s="221" t="n"/>
      <c r="AF166" s="222" t="n"/>
      <c r="AG166" s="223" t="n"/>
      <c r="AH166" s="221" t="n"/>
      <c r="AI166" s="222" t="n"/>
      <c r="AJ166" s="223" t="n"/>
      <c r="AK166" s="221" t="n"/>
      <c r="AL166" s="223" t="n"/>
    </row>
    <row r="167">
      <c r="F167" s="14" t="n"/>
      <c r="I167" s="14" t="n"/>
      <c r="J167" s="135" t="n"/>
      <c r="K167" s="77" t="n"/>
      <c r="S167" s="14" t="n"/>
      <c r="T167" s="73" t="n"/>
      <c r="Y167" s="65" t="n"/>
      <c r="AA167" s="14" t="n"/>
      <c r="AB167" s="65" t="n"/>
      <c r="AD167" s="14" t="n"/>
      <c r="AE167" s="221" t="n"/>
      <c r="AF167" s="222" t="n"/>
      <c r="AG167" s="223" t="n"/>
      <c r="AH167" s="221" t="n"/>
      <c r="AI167" s="222" t="n"/>
      <c r="AJ167" s="223" t="n"/>
      <c r="AK167" s="221" t="n"/>
      <c r="AL167" s="223" t="n"/>
    </row>
    <row r="168">
      <c r="F168" s="14" t="n"/>
      <c r="I168" s="14" t="n"/>
      <c r="J168" s="135" t="n"/>
      <c r="K168" s="77" t="n"/>
      <c r="S168" s="14" t="n"/>
      <c r="T168" s="73" t="n"/>
      <c r="Y168" s="65" t="n"/>
      <c r="AA168" s="14" t="n"/>
      <c r="AB168" s="65" t="n"/>
      <c r="AD168" s="14" t="n"/>
      <c r="AE168" s="221" t="n"/>
      <c r="AF168" s="222" t="n"/>
      <c r="AG168" s="223" t="n"/>
      <c r="AH168" s="221" t="n"/>
      <c r="AI168" s="222" t="n"/>
      <c r="AJ168" s="223" t="n"/>
      <c r="AK168" s="221" t="n"/>
      <c r="AL168" s="223" t="n"/>
    </row>
    <row r="169">
      <c r="F169" s="14" t="n"/>
      <c r="I169" s="14" t="n"/>
      <c r="J169" s="135" t="n"/>
      <c r="K169" s="77" t="n"/>
      <c r="S169" s="14" t="n"/>
      <c r="T169" s="73" t="n"/>
      <c r="Y169" s="65" t="n"/>
      <c r="AA169" s="14" t="n"/>
      <c r="AB169" s="65" t="n"/>
      <c r="AD169" s="14" t="n"/>
      <c r="AE169" s="221" t="n"/>
      <c r="AF169" s="222" t="n"/>
      <c r="AG169" s="223" t="n"/>
      <c r="AH169" s="221" t="n"/>
      <c r="AI169" s="222" t="n"/>
      <c r="AJ169" s="223" t="n"/>
      <c r="AK169" s="221" t="n"/>
      <c r="AL169" s="223" t="n"/>
    </row>
    <row r="170">
      <c r="B170" s="9" t="n"/>
      <c r="C170" s="9" t="n"/>
      <c r="D170" s="9" t="n"/>
      <c r="E170" s="9" t="n"/>
      <c r="F170" s="67" t="n"/>
      <c r="G170" s="9" t="n"/>
      <c r="H170" s="9" t="n"/>
      <c r="I170" s="67" t="n"/>
      <c r="J170" s="136" t="n"/>
      <c r="K170" s="79" t="n"/>
      <c r="L170" s="9" t="n"/>
      <c r="M170" s="9" t="n"/>
      <c r="N170" s="9" t="n"/>
      <c r="O170" s="9" t="n"/>
      <c r="P170" s="9" t="n"/>
      <c r="Q170" s="9" t="n"/>
      <c r="R170" s="9" t="n"/>
      <c r="S170" s="67" t="n"/>
      <c r="T170" s="74" t="n"/>
      <c r="U170" s="17" t="n"/>
      <c r="V170" s="17" t="n"/>
      <c r="W170" s="9" t="n"/>
      <c r="X170" s="9" t="n"/>
      <c r="Y170" s="66" t="n"/>
      <c r="Z170" s="9" t="n"/>
      <c r="AA170" s="67" t="n"/>
      <c r="AB170" s="66" t="n"/>
      <c r="AC170" s="9" t="n"/>
      <c r="AD170" s="67" t="n"/>
      <c r="AE170" s="224" t="n"/>
      <c r="AF170" s="225" t="n"/>
      <c r="AG170" s="226" t="n"/>
      <c r="AH170" s="224" t="n"/>
      <c r="AI170" s="225" t="n"/>
      <c r="AJ170" s="226" t="n"/>
      <c r="AK170" s="224" t="n"/>
      <c r="AL170" s="226" t="n"/>
    </row>
    <row r="171">
      <c r="B171" s="181" t="inlineStr">
        <is>
          <t>1F</t>
        </is>
      </c>
      <c r="C171" s="155" t="inlineStr">
        <is>
          <t>gymnast</t>
        </is>
      </c>
      <c r="D171" s="155">
        <f>_xlfn.CONCAT(B171,": ",C171)</f>
        <v/>
      </c>
      <c r="E171" s="155" t="n">
        <v>64</v>
      </c>
      <c r="F171" s="190" t="inlineStr">
        <is>
          <t>2456x2054</t>
        </is>
      </c>
      <c r="G171" s="155" t="n">
        <v>200</v>
      </c>
      <c r="H171" s="155" t="n">
        <v>1</v>
      </c>
      <c r="I171" s="190" t="n"/>
      <c r="J171" s="119" t="n"/>
      <c r="K171" s="77" t="n"/>
      <c r="S171" s="14" t="n"/>
      <c r="T171" s="73" t="n"/>
      <c r="Y171" s="65" t="n"/>
      <c r="AA171" s="14" t="n"/>
      <c r="AB171" s="65" t="n"/>
      <c r="AD171" s="14" t="n"/>
      <c r="AE171" s="221" t="n"/>
      <c r="AF171" s="222" t="n"/>
      <c r="AG171" s="223" t="n"/>
      <c r="AH171" s="221" t="n"/>
      <c r="AI171" s="222" t="n"/>
      <c r="AJ171" s="223" t="n"/>
      <c r="AK171" s="221" t="n"/>
      <c r="AL171" s="223" t="n"/>
    </row>
    <row r="172">
      <c r="F172" s="14" t="n"/>
      <c r="I172" s="14" t="n"/>
      <c r="J172" s="119" t="n"/>
      <c r="K172" s="77" t="n"/>
      <c r="S172" s="14" t="n"/>
      <c r="T172" s="73" t="n"/>
      <c r="Y172" s="65" t="n"/>
      <c r="AA172" s="14" t="n"/>
      <c r="AB172" s="65" t="n"/>
      <c r="AD172" s="14" t="n"/>
      <c r="AE172" s="221" t="n"/>
      <c r="AF172" s="222" t="n"/>
      <c r="AG172" s="223" t="n"/>
      <c r="AH172" s="221" t="n"/>
      <c r="AI172" s="222" t="n"/>
      <c r="AJ172" s="223" t="n"/>
      <c r="AK172" s="221" t="n"/>
      <c r="AL172" s="223" t="n"/>
    </row>
    <row r="173">
      <c r="F173" s="14" t="n"/>
      <c r="I173" s="14" t="n"/>
      <c r="J173" s="119" t="n"/>
      <c r="K173" s="77" t="n"/>
      <c r="S173" s="14" t="n"/>
      <c r="T173" s="73" t="n"/>
      <c r="Y173" s="65" t="n"/>
      <c r="AA173" s="14" t="n"/>
      <c r="AB173" s="65" t="n"/>
      <c r="AD173" s="14" t="n"/>
      <c r="AE173" s="221" t="n"/>
      <c r="AF173" s="222" t="n"/>
      <c r="AG173" s="223" t="n"/>
      <c r="AH173" s="221" t="n"/>
      <c r="AI173" s="222" t="n"/>
      <c r="AJ173" s="223" t="n"/>
      <c r="AK173" s="221" t="n"/>
      <c r="AL173" s="223" t="n"/>
    </row>
    <row r="174">
      <c r="F174" s="14" t="n"/>
      <c r="I174" s="14" t="n"/>
      <c r="J174" s="119" t="n"/>
      <c r="K174" s="77" t="n"/>
      <c r="S174" s="14" t="n"/>
      <c r="T174" s="73" t="n"/>
      <c r="Y174" s="65" t="n"/>
      <c r="AA174" s="14" t="n"/>
      <c r="AB174" s="65" t="n"/>
      <c r="AD174" s="14" t="n"/>
      <c r="AE174" s="221" t="n"/>
      <c r="AF174" s="222" t="n"/>
      <c r="AG174" s="223" t="n"/>
      <c r="AH174" s="221" t="n"/>
      <c r="AI174" s="222" t="n"/>
      <c r="AJ174" s="223" t="n"/>
      <c r="AK174" s="221" t="n"/>
      <c r="AL174" s="223" t="n"/>
    </row>
    <row r="175">
      <c r="F175" s="14" t="n"/>
      <c r="I175" s="14" t="n"/>
      <c r="J175" s="119" t="n"/>
      <c r="K175" s="77" t="n"/>
      <c r="S175" s="14" t="n"/>
      <c r="T175" s="73" t="n"/>
      <c r="Y175" s="65" t="n"/>
      <c r="AA175" s="14" t="n"/>
      <c r="AB175" s="65" t="n"/>
      <c r="AD175" s="14" t="n"/>
      <c r="AE175" s="221" t="n"/>
      <c r="AF175" s="222" t="n"/>
      <c r="AG175" s="223" t="n"/>
      <c r="AH175" s="221" t="n"/>
      <c r="AI175" s="222" t="n"/>
      <c r="AJ175" s="223" t="n"/>
      <c r="AK175" s="221" t="n"/>
      <c r="AL175" s="223" t="n"/>
    </row>
    <row r="176" ht="16.2" customHeight="1" thickBot="1">
      <c r="A176" s="10" t="n"/>
      <c r="B176" s="10" t="n"/>
      <c r="C176" s="10" t="n"/>
      <c r="D176" s="10" t="n"/>
      <c r="E176" s="10" t="n"/>
      <c r="F176" s="71" t="n"/>
      <c r="G176" s="10" t="n"/>
      <c r="H176" s="10" t="n"/>
      <c r="I176" s="71" t="n"/>
      <c r="J176" s="123" t="n"/>
      <c r="K176" s="81" t="n"/>
      <c r="L176" s="10" t="n"/>
      <c r="M176" s="10" t="n"/>
      <c r="N176" s="10" t="n"/>
      <c r="O176" s="10" t="n"/>
      <c r="P176" s="10" t="n"/>
      <c r="Q176" s="10" t="n"/>
      <c r="R176" s="10" t="n"/>
      <c r="S176" s="71" t="n"/>
      <c r="T176" s="76" t="n"/>
      <c r="U176" s="18" t="n"/>
      <c r="V176" s="18" t="n"/>
      <c r="W176" s="10" t="n"/>
      <c r="X176" s="10" t="n"/>
      <c r="Y176" s="70" t="n"/>
      <c r="Z176" s="10" t="n"/>
      <c r="AA176" s="71" t="n"/>
      <c r="AB176" s="70" t="n"/>
      <c r="AC176" s="10" t="n"/>
      <c r="AD176" s="71" t="n"/>
      <c r="AE176" s="235" t="n"/>
      <c r="AF176" s="236" t="n"/>
      <c r="AG176" s="237" t="n"/>
      <c r="AH176" s="235" t="n"/>
      <c r="AI176" s="236" t="n"/>
      <c r="AJ176" s="237" t="n"/>
      <c r="AK176" s="235" t="n"/>
      <c r="AL176" s="237" t="n"/>
    </row>
  </sheetData>
  <mergeCells count="245">
    <mergeCell ref="F57:F62"/>
    <mergeCell ref="C69:C74"/>
    <mergeCell ref="AH1:AJ1"/>
    <mergeCell ref="G99:G104"/>
    <mergeCell ref="E21:E26"/>
    <mergeCell ref="G165:G170"/>
    <mergeCell ref="H171:H176"/>
    <mergeCell ref="G21:G26"/>
    <mergeCell ref="E39:E44"/>
    <mergeCell ref="I15:I20"/>
    <mergeCell ref="F63:F68"/>
    <mergeCell ref="H63:H68"/>
    <mergeCell ref="D99:D104"/>
    <mergeCell ref="F99:F104"/>
    <mergeCell ref="H93:H98"/>
    <mergeCell ref="B27:B32"/>
    <mergeCell ref="D27:D32"/>
    <mergeCell ref="F171:F176"/>
    <mergeCell ref="B93:B98"/>
    <mergeCell ref="E117:E122"/>
    <mergeCell ref="I159:I164"/>
    <mergeCell ref="B3:B8"/>
    <mergeCell ref="E1:F1"/>
    <mergeCell ref="H39:H44"/>
    <mergeCell ref="E51:E56"/>
    <mergeCell ref="B117:B122"/>
    <mergeCell ref="E87:E92"/>
    <mergeCell ref="G87:G92"/>
    <mergeCell ref="F33:F38"/>
    <mergeCell ref="I87:I92"/>
    <mergeCell ref="G1:I1"/>
    <mergeCell ref="D141:D146"/>
    <mergeCell ref="D75:D80"/>
    <mergeCell ref="F141:F146"/>
    <mergeCell ref="D135:D140"/>
    <mergeCell ref="F75:F80"/>
    <mergeCell ref="H69:H74"/>
    <mergeCell ref="I171:I176"/>
    <mergeCell ref="F135:F140"/>
    <mergeCell ref="A105:A176"/>
    <mergeCell ref="C105:C110"/>
    <mergeCell ref="A57:A104"/>
    <mergeCell ref="D3:D8"/>
    <mergeCell ref="B69:B74"/>
    <mergeCell ref="G33:G38"/>
    <mergeCell ref="C129:C134"/>
    <mergeCell ref="I33:I38"/>
    <mergeCell ref="I51:I56"/>
    <mergeCell ref="C27:C32"/>
    <mergeCell ref="E27:E32"/>
    <mergeCell ref="D15:D20"/>
    <mergeCell ref="D117:D122"/>
    <mergeCell ref="F111:F116"/>
    <mergeCell ref="I99:I104"/>
    <mergeCell ref="G9:G14"/>
    <mergeCell ref="AB1:AD1"/>
    <mergeCell ref="C111:C116"/>
    <mergeCell ref="I9:I14"/>
    <mergeCell ref="B159:B164"/>
    <mergeCell ref="G75:G80"/>
    <mergeCell ref="E93:E98"/>
    <mergeCell ref="D159:D164"/>
    <mergeCell ref="B153:B158"/>
    <mergeCell ref="C3:C8"/>
    <mergeCell ref="D153:D158"/>
    <mergeCell ref="E3:E8"/>
    <mergeCell ref="F147:F152"/>
    <mergeCell ref="K1:S1"/>
    <mergeCell ref="H147:H152"/>
    <mergeCell ref="B81:B86"/>
    <mergeCell ref="E135:E140"/>
    <mergeCell ref="D81:D86"/>
    <mergeCell ref="G117:G122"/>
    <mergeCell ref="E123:E128"/>
    <mergeCell ref="C45:C50"/>
    <mergeCell ref="B105:B110"/>
    <mergeCell ref="G141:G146"/>
    <mergeCell ref="G39:G44"/>
    <mergeCell ref="D105:D110"/>
    <mergeCell ref="I75:I80"/>
    <mergeCell ref="I135:I140"/>
    <mergeCell ref="E69:E74"/>
    <mergeCell ref="F129:F134"/>
    <mergeCell ref="H129:H134"/>
    <mergeCell ref="H123:H128"/>
    <mergeCell ref="B57:B62"/>
    <mergeCell ref="D57:D62"/>
    <mergeCell ref="D171:D176"/>
    <mergeCell ref="C21:C26"/>
    <mergeCell ref="AK1:AL1"/>
    <mergeCell ref="E15:E20"/>
    <mergeCell ref="F165:F170"/>
    <mergeCell ref="G15:G20"/>
    <mergeCell ref="C51:C56"/>
    <mergeCell ref="C153:C158"/>
    <mergeCell ref="I111:I116"/>
    <mergeCell ref="B99:B104"/>
    <mergeCell ref="H57:H62"/>
    <mergeCell ref="B171:B176"/>
    <mergeCell ref="H75:H80"/>
    <mergeCell ref="D165:D170"/>
    <mergeCell ref="H111:H116"/>
    <mergeCell ref="D9:D14"/>
    <mergeCell ref="F9:F14"/>
    <mergeCell ref="B45:B50"/>
    <mergeCell ref="G153:G158"/>
    <mergeCell ref="H3:H8"/>
    <mergeCell ref="D39:D44"/>
    <mergeCell ref="I153:I158"/>
    <mergeCell ref="F39:F44"/>
    <mergeCell ref="G129:G134"/>
    <mergeCell ref="G63:G68"/>
    <mergeCell ref="C87:C92"/>
    <mergeCell ref="E81:E86"/>
    <mergeCell ref="I63:I68"/>
    <mergeCell ref="G81:G86"/>
    <mergeCell ref="I81:I86"/>
    <mergeCell ref="C57:C62"/>
    <mergeCell ref="E57:E62"/>
    <mergeCell ref="B141:B146"/>
    <mergeCell ref="B75:B80"/>
    <mergeCell ref="B135:B140"/>
    <mergeCell ref="G105:G110"/>
    <mergeCell ref="I105:I110"/>
    <mergeCell ref="H165:H170"/>
    <mergeCell ref="C33:C38"/>
    <mergeCell ref="F87:F92"/>
    <mergeCell ref="E33:E38"/>
    <mergeCell ref="I27:I32"/>
    <mergeCell ref="E165:E170"/>
    <mergeCell ref="F15:F20"/>
    <mergeCell ref="C141:C146"/>
    <mergeCell ref="I45:I50"/>
    <mergeCell ref="E141:E146"/>
    <mergeCell ref="G57:G62"/>
    <mergeCell ref="F21:F26"/>
    <mergeCell ref="H21:H26"/>
    <mergeCell ref="F51:F56"/>
    <mergeCell ref="B111:B116"/>
    <mergeCell ref="A3:A50"/>
    <mergeCell ref="H51:H56"/>
    <mergeCell ref="I141:I146"/>
    <mergeCell ref="E99:E104"/>
    <mergeCell ref="G93:G98"/>
    <mergeCell ref="C9:C14"/>
    <mergeCell ref="I93:I98"/>
    <mergeCell ref="C75:C80"/>
    <mergeCell ref="E9:E14"/>
    <mergeCell ref="G171:G176"/>
    <mergeCell ref="G69:G74"/>
    <mergeCell ref="B147:B152"/>
    <mergeCell ref="I165:I170"/>
    <mergeCell ref="I21:I26"/>
    <mergeCell ref="D147:D152"/>
    <mergeCell ref="C99:C104"/>
    <mergeCell ref="I39:I44"/>
    <mergeCell ref="T1:X1"/>
    <mergeCell ref="F105:F110"/>
    <mergeCell ref="H99:H104"/>
    <mergeCell ref="B33:B38"/>
    <mergeCell ref="D33:D38"/>
    <mergeCell ref="F27:F32"/>
    <mergeCell ref="D93:D98"/>
    <mergeCell ref="C39:C44"/>
    <mergeCell ref="H27:H32"/>
    <mergeCell ref="C159:C164"/>
    <mergeCell ref="F93:F98"/>
    <mergeCell ref="I117:I122"/>
    <mergeCell ref="B9:B14"/>
    <mergeCell ref="E75:E80"/>
    <mergeCell ref="G135:G140"/>
    <mergeCell ref="E45:E50"/>
    <mergeCell ref="C81:C86"/>
    <mergeCell ref="F117:F122"/>
    <mergeCell ref="B129:B134"/>
    <mergeCell ref="H33:H38"/>
    <mergeCell ref="D129:D134"/>
    <mergeCell ref="E159:E164"/>
    <mergeCell ref="B123:B128"/>
    <mergeCell ref="D123:D128"/>
    <mergeCell ref="G159:G164"/>
    <mergeCell ref="F123:F128"/>
    <mergeCell ref="B51:B56"/>
    <mergeCell ref="H141:H146"/>
    <mergeCell ref="H135:H140"/>
    <mergeCell ref="Y1:AA1"/>
    <mergeCell ref="D69:D74"/>
    <mergeCell ref="C15:C20"/>
    <mergeCell ref="F69:F74"/>
    <mergeCell ref="A51:A56"/>
    <mergeCell ref="E129:E134"/>
    <mergeCell ref="E111:E116"/>
    <mergeCell ref="C147:C152"/>
    <mergeCell ref="H117:H122"/>
    <mergeCell ref="G111:G116"/>
    <mergeCell ref="E147:E152"/>
    <mergeCell ref="G27:G32"/>
    <mergeCell ref="H9:H14"/>
    <mergeCell ref="D45:D50"/>
    <mergeCell ref="AE1:AG1"/>
    <mergeCell ref="F45:F50"/>
    <mergeCell ref="B165:B170"/>
    <mergeCell ref="C171:C176"/>
    <mergeCell ref="B21:B26"/>
    <mergeCell ref="I129:I134"/>
    <mergeCell ref="D111:D116"/>
    <mergeCell ref="D21:D26"/>
    <mergeCell ref="E153:E158"/>
    <mergeCell ref="F3:F8"/>
    <mergeCell ref="G147:G152"/>
    <mergeCell ref="B39:B44"/>
    <mergeCell ref="C63:C68"/>
    <mergeCell ref="I147:I152"/>
    <mergeCell ref="E171:E176"/>
    <mergeCell ref="E63:E68"/>
    <mergeCell ref="C93:C98"/>
    <mergeCell ref="I57:I62"/>
    <mergeCell ref="C117:C122"/>
    <mergeCell ref="C123:C128"/>
    <mergeCell ref="F159:F164"/>
    <mergeCell ref="E105:E110"/>
    <mergeCell ref="H159:H164"/>
    <mergeCell ref="F153:F158"/>
    <mergeCell ref="G3:G8"/>
    <mergeCell ref="H153:H158"/>
    <mergeCell ref="I3:I8"/>
    <mergeCell ref="B87:B92"/>
    <mergeCell ref="H45:H50"/>
    <mergeCell ref="D87:D92"/>
    <mergeCell ref="F81:F86"/>
    <mergeCell ref="H81:H86"/>
    <mergeCell ref="B15:B20"/>
    <mergeCell ref="G123:G128"/>
    <mergeCell ref="C165:C170"/>
    <mergeCell ref="I123:I128"/>
    <mergeCell ref="G45:G50"/>
    <mergeCell ref="C135:C140"/>
    <mergeCell ref="G51:G56"/>
    <mergeCell ref="H105:H110"/>
    <mergeCell ref="H87:H92"/>
    <mergeCell ref="I69:I74"/>
    <mergeCell ref="H15:H20"/>
    <mergeCell ref="D51:D56"/>
    <mergeCell ref="B63:B68"/>
    <mergeCell ref="D63:D68"/>
  </mergeCells>
  <conditionalFormatting sqref="K3:K176 T3:V176 AE3:AE176 AH3:AH176">
    <cfRule type="expression" priority="168" dxfId="75">
      <formula>ISEVEN(ROW())</formula>
    </cfRule>
    <cfRule type="expression" priority="167" dxfId="74">
      <formula>ISODD(ROW())</formula>
    </cfRule>
  </conditionalFormatting>
  <conditionalFormatting sqref="L3:S126 AF3:AG126 AI3:AL126">
    <cfRule type="expression" priority="165" dxfId="1">
      <formula>ISODD(ROW())</formula>
    </cfRule>
    <cfRule type="expression" priority="166" dxfId="0">
      <formula>ISEVEN(ROW())</formula>
    </cfRule>
  </conditionalFormatting>
  <conditionalFormatting sqref="M127:S128 AF127:AG128 AI127:AL128">
    <cfRule type="expression" priority="163" dxfId="1">
      <formula>ISODD(ROW())</formula>
    </cfRule>
    <cfRule type="expression" priority="164" dxfId="0">
      <formula>ISEVEN(ROW())</formula>
    </cfRule>
  </conditionalFormatting>
  <conditionalFormatting sqref="M139:S140 AF139:AG140 AI139:AL140">
    <cfRule type="expression" priority="159" dxfId="1">
      <formula>ISODD(ROW())</formula>
    </cfRule>
    <cfRule type="expression" priority="160" dxfId="0">
      <formula>ISEVEN(ROW())</formula>
    </cfRule>
  </conditionalFormatting>
  <conditionalFormatting sqref="M151:S152 AF151:AG152 AI151:AL152">
    <cfRule type="expression" priority="155" dxfId="1">
      <formula>ISODD(ROW())</formula>
    </cfRule>
    <cfRule type="expression" priority="156" dxfId="0">
      <formula>ISEVEN(ROW())</formula>
    </cfRule>
  </conditionalFormatting>
  <conditionalFormatting sqref="L127:L128">
    <cfRule type="expression" priority="129" dxfId="1">
      <formula>ISODD(ROW())</formula>
    </cfRule>
    <cfRule type="expression" priority="130" dxfId="0">
      <formula>ISEVEN(ROW())</formula>
    </cfRule>
  </conditionalFormatting>
  <conditionalFormatting sqref="L139:L140">
    <cfRule type="expression" priority="125" dxfId="1">
      <formula>ISODD(ROW())</formula>
    </cfRule>
    <cfRule type="expression" priority="126" dxfId="0">
      <formula>ISEVEN(ROW())</formula>
    </cfRule>
  </conditionalFormatting>
  <conditionalFormatting sqref="L151:L152">
    <cfRule type="expression" priority="121" dxfId="1">
      <formula>ISODD(ROW())</formula>
    </cfRule>
    <cfRule type="expression" priority="122" dxfId="0">
      <formula>ISEVEN(ROW())</formula>
    </cfRule>
  </conditionalFormatting>
  <conditionalFormatting sqref="M129:S138 AF129:AG138 AI129:AL138">
    <cfRule type="expression" priority="99" dxfId="1">
      <formula>ISODD(ROW())</formula>
    </cfRule>
    <cfRule type="expression" priority="100" dxfId="0">
      <formula>ISEVEN(ROW())</formula>
    </cfRule>
  </conditionalFormatting>
  <conditionalFormatting sqref="L129:L138">
    <cfRule type="expression" priority="97" dxfId="1">
      <formula>ISODD(ROW())</formula>
    </cfRule>
    <cfRule type="expression" priority="98" dxfId="0">
      <formula>ISEVEN(ROW())</formula>
    </cfRule>
  </conditionalFormatting>
  <conditionalFormatting sqref="M141:S150 AF141:AG150 AI141:AL150">
    <cfRule type="expression" priority="95" dxfId="1">
      <formula>ISODD(ROW())</formula>
    </cfRule>
    <cfRule type="expression" priority="96" dxfId="0">
      <formula>ISEVEN(ROW())</formula>
    </cfRule>
  </conditionalFormatting>
  <conditionalFormatting sqref="L141:L150">
    <cfRule type="expression" priority="93" dxfId="1">
      <formula>ISODD(ROW())</formula>
    </cfRule>
    <cfRule type="expression" priority="94" dxfId="0">
      <formula>ISEVEN(ROW())</formula>
    </cfRule>
  </conditionalFormatting>
  <conditionalFormatting sqref="M171:S176 AF171:AG176 AI171:AL176">
    <cfRule type="expression" priority="91" dxfId="1">
      <formula>ISODD(ROW())</formula>
    </cfRule>
    <cfRule type="expression" priority="92" dxfId="0">
      <formula>ISEVEN(ROW())</formula>
    </cfRule>
  </conditionalFormatting>
  <conditionalFormatting sqref="L153:L176">
    <cfRule type="expression" priority="89" dxfId="1">
      <formula>ISODD(ROW())</formula>
    </cfRule>
    <cfRule type="expression" priority="90" dxfId="0">
      <formula>ISEVEN(ROW())</formula>
    </cfRule>
  </conditionalFormatting>
  <conditionalFormatting sqref="Y3:AD8">
    <cfRule type="expression" priority="71" dxfId="1">
      <formula>ISODD(ROW())</formula>
    </cfRule>
    <cfRule type="expression" priority="72" dxfId="0">
      <formula>ISEVEN(ROW())</formula>
    </cfRule>
  </conditionalFormatting>
  <conditionalFormatting sqref="Y9:AD14">
    <cfRule type="expression" priority="69" dxfId="1">
      <formula>ISODD(ROW())</formula>
    </cfRule>
    <cfRule type="expression" priority="70" dxfId="0">
      <formula>ISEVEN(ROW())</formula>
    </cfRule>
  </conditionalFormatting>
  <conditionalFormatting sqref="Y15:AD20">
    <cfRule type="expression" priority="67" dxfId="1">
      <formula>ISODD(ROW())</formula>
    </cfRule>
    <cfRule type="expression" priority="68" dxfId="0">
      <formula>ISEVEN(ROW())</formula>
    </cfRule>
  </conditionalFormatting>
  <conditionalFormatting sqref="Y21:AD26">
    <cfRule type="expression" priority="65" dxfId="1">
      <formula>ISODD(ROW())</formula>
    </cfRule>
    <cfRule type="expression" priority="66" dxfId="0">
      <formula>ISEVEN(ROW())</formula>
    </cfRule>
  </conditionalFormatting>
  <conditionalFormatting sqref="Y27:AD32">
    <cfRule type="expression" priority="63" dxfId="1">
      <formula>ISODD(ROW())</formula>
    </cfRule>
    <cfRule type="expression" priority="64" dxfId="0">
      <formula>ISEVEN(ROW())</formula>
    </cfRule>
  </conditionalFormatting>
  <conditionalFormatting sqref="Y33:AD38">
    <cfRule type="expression" priority="59" dxfId="1">
      <formula>ISODD(ROW())</formula>
    </cfRule>
    <cfRule type="expression" priority="60" dxfId="0">
      <formula>ISEVEN(ROW())</formula>
    </cfRule>
  </conditionalFormatting>
  <conditionalFormatting sqref="Y39:AD44">
    <cfRule type="expression" priority="57" dxfId="1">
      <formula>ISODD(ROW())</formula>
    </cfRule>
    <cfRule type="expression" priority="58" dxfId="0">
      <formula>ISEVEN(ROW())</formula>
    </cfRule>
  </conditionalFormatting>
  <conditionalFormatting sqref="Y45:AD50">
    <cfRule type="expression" priority="55" dxfId="1">
      <formula>ISODD(ROW())</formula>
    </cfRule>
    <cfRule type="expression" priority="56" dxfId="0">
      <formula>ISEVEN(ROW())</formula>
    </cfRule>
  </conditionalFormatting>
  <conditionalFormatting sqref="Y57:AD62">
    <cfRule type="expression" priority="53" dxfId="1">
      <formula>ISODD(ROW())</formula>
    </cfRule>
    <cfRule type="expression" priority="54" dxfId="0">
      <formula>ISEVEN(ROW())</formula>
    </cfRule>
  </conditionalFormatting>
  <conditionalFormatting sqref="Y63:AD68">
    <cfRule type="expression" priority="51" dxfId="1">
      <formula>ISODD(ROW())</formula>
    </cfRule>
    <cfRule type="expression" priority="52" dxfId="0">
      <formula>ISEVEN(ROW())</formula>
    </cfRule>
  </conditionalFormatting>
  <conditionalFormatting sqref="Y69:AD104">
    <cfRule type="expression" priority="49" dxfId="1">
      <formula>ISODD(ROW())</formula>
    </cfRule>
    <cfRule type="expression" priority="50" dxfId="0">
      <formula>ISEVEN(ROW())</formula>
    </cfRule>
  </conditionalFormatting>
  <conditionalFormatting sqref="Y111:AD116">
    <cfRule type="expression" priority="45" dxfId="1">
      <formula>ISODD(ROW())</formula>
    </cfRule>
    <cfRule type="expression" priority="46" dxfId="0">
      <formula>ISEVEN(ROW())</formula>
    </cfRule>
  </conditionalFormatting>
  <conditionalFormatting sqref="Y117:AD122">
    <cfRule type="expression" priority="43" dxfId="1">
      <formula>ISODD(ROW())</formula>
    </cfRule>
    <cfRule type="expression" priority="44" dxfId="0">
      <formula>ISEVEN(ROW())</formula>
    </cfRule>
  </conditionalFormatting>
  <conditionalFormatting sqref="Y123:AD128">
    <cfRule type="expression" priority="41" dxfId="1">
      <formula>ISODD(ROW())</formula>
    </cfRule>
    <cfRule type="expression" priority="42" dxfId="0">
      <formula>ISEVEN(ROW())</formula>
    </cfRule>
  </conditionalFormatting>
  <conditionalFormatting sqref="Y129:AD134">
    <cfRule type="expression" priority="39" dxfId="1">
      <formula>ISODD(ROW())</formula>
    </cfRule>
    <cfRule type="expression" priority="40" dxfId="0">
      <formula>ISEVEN(ROW())</formula>
    </cfRule>
  </conditionalFormatting>
  <conditionalFormatting sqref="Y135:AD140">
    <cfRule type="expression" priority="37" dxfId="1">
      <formula>ISODD(ROW())</formula>
    </cfRule>
    <cfRule type="expression" priority="38" dxfId="0">
      <formula>ISEVEN(ROW())</formula>
    </cfRule>
  </conditionalFormatting>
  <conditionalFormatting sqref="Y141:AD146">
    <cfRule type="expression" priority="35" dxfId="1">
      <formula>ISODD(ROW())</formula>
    </cfRule>
    <cfRule type="expression" priority="36" dxfId="0">
      <formula>ISEVEN(ROW())</formula>
    </cfRule>
  </conditionalFormatting>
  <conditionalFormatting sqref="Y147:AD152">
    <cfRule type="expression" priority="33" dxfId="1">
      <formula>ISODD(ROW())</formula>
    </cfRule>
    <cfRule type="expression" priority="34" dxfId="0">
      <formula>ISEVEN(ROW())</formula>
    </cfRule>
  </conditionalFormatting>
  <conditionalFormatting sqref="Y171:AD176">
    <cfRule type="expression" priority="31" dxfId="1">
      <formula>ISODD(ROW())</formula>
    </cfRule>
    <cfRule type="expression" priority="32" dxfId="0">
      <formula>ISEVEN(ROW())</formula>
    </cfRule>
  </conditionalFormatting>
  <conditionalFormatting sqref="Y105:AD110">
    <cfRule type="expression" priority="9" dxfId="1">
      <formula>ISODD(ROW())</formula>
    </cfRule>
    <cfRule type="expression" priority="10" dxfId="0">
      <formula>ISEVEN(ROW())</formula>
    </cfRule>
  </conditionalFormatting>
  <conditionalFormatting sqref="Y51:AD56">
    <cfRule type="expression" priority="7" dxfId="1">
      <formula>ISODD(ROW())</formula>
    </cfRule>
    <cfRule type="expression" priority="8" dxfId="0">
      <formula>ISEVEN(ROW())</formula>
    </cfRule>
  </conditionalFormatting>
  <conditionalFormatting sqref="W3:X176">
    <cfRule type="expression" priority="5" dxfId="1">
      <formula>ISODD(ROW())</formula>
    </cfRule>
    <cfRule type="expression" priority="6" dxfId="0">
      <formula>ISEVEN(ROW())</formula>
    </cfRule>
  </conditionalFormatting>
  <conditionalFormatting sqref="M153:S170 AF153:AG170 AI153:AL170">
    <cfRule type="expression" priority="3" dxfId="1">
      <formula>ISODD(ROW())</formula>
    </cfRule>
    <cfRule type="expression" priority="4" dxfId="0">
      <formula>ISEVEN(ROW())</formula>
    </cfRule>
  </conditionalFormatting>
  <conditionalFormatting sqref="Y153:AD170">
    <cfRule type="expression" priority="1" dxfId="1">
      <formula>ISODD(ROW())</formula>
    </cfRule>
    <cfRule type="expression" priority="2" dxfId="0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L176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57" sqref="B57:B62"/>
    </sheetView>
  </sheetViews>
  <sheetFormatPr baseColWidth="8" defaultRowHeight="15.6" outlineLevelCol="0"/>
  <cols>
    <col width="10.5" customWidth="1" style="6" min="1" max="2"/>
    <col width="29" customWidth="1" style="6" min="3" max="3"/>
    <col hidden="1" width="29" customWidth="1" style="6" min="4" max="4"/>
    <col width="10.69921875" customWidth="1" style="6" min="5" max="5"/>
    <col width="10.3984375" customWidth="1" style="6" min="6" max="6"/>
    <col width="10.5" customWidth="1" style="6" min="7" max="7"/>
    <col width="11.8984375" customWidth="1" style="6" min="8" max="8"/>
    <col width="9.69921875" customWidth="1" style="6" min="9" max="9"/>
    <col width="12.5" customWidth="1" style="125" min="10" max="10"/>
    <col width="12.5" customWidth="1" style="82" min="11" max="11"/>
    <col width="9" customWidth="1" min="16" max="19"/>
    <col width="10" customWidth="1" style="3" min="20" max="30"/>
    <col width="9" customWidth="1" style="211" min="31" max="31"/>
    <col width="10" customWidth="1" style="211" min="32" max="33"/>
    <col width="9" customWidth="1" style="211" min="34" max="36"/>
  </cols>
  <sheetData>
    <row r="1" customFormat="1" s="7">
      <c r="A1" s="156" t="n"/>
      <c r="B1" s="156" t="n"/>
      <c r="C1" s="156" t="n"/>
      <c r="D1" s="156" t="n"/>
      <c r="E1" s="157" t="inlineStr">
        <is>
          <t>camera views</t>
        </is>
      </c>
      <c r="F1" s="14" t="n"/>
      <c r="G1" s="157" t="inlineStr">
        <is>
          <t>frames</t>
        </is>
      </c>
      <c r="I1" s="14" t="n"/>
      <c r="J1" s="156" t="inlineStr">
        <is>
          <t>bit rate</t>
        </is>
      </c>
      <c r="K1" s="212" t="inlineStr">
        <is>
          <t>bitstream size [bytes]</t>
        </is>
      </c>
      <c r="S1" s="14" t="n"/>
      <c r="T1" s="213" t="inlineStr">
        <is>
          <t>Average objective quality</t>
        </is>
      </c>
      <c r="X1" s="14" t="n"/>
      <c r="Y1" s="213" t="inlineStr">
        <is>
          <t>Minimum objective quality</t>
        </is>
      </c>
      <c r="AA1" s="14" t="n"/>
      <c r="AB1" s="213" t="inlineStr">
        <is>
          <t>Maximum objective quality</t>
        </is>
      </c>
      <c r="AD1" s="14" t="n"/>
      <c r="AE1" s="213" t="inlineStr">
        <is>
          <t>Encoding time [s]</t>
        </is>
      </c>
      <c r="AG1" s="14" t="n"/>
      <c r="AH1" s="213" t="inlineStr">
        <is>
          <t>Decoding time [s]</t>
        </is>
      </c>
      <c r="AJ1" s="14" t="n"/>
      <c r="AK1" s="213" t="inlineStr">
        <is>
          <t>Max RSS [KB]</t>
        </is>
      </c>
      <c r="AL1" s="14" t="n"/>
    </row>
    <row r="2" ht="16.2" customFormat="1" customHeight="1" s="7" thickBot="1">
      <c r="A2" s="11" t="inlineStr">
        <is>
          <t>Class</t>
        </is>
      </c>
      <c r="B2" s="11" t="n"/>
      <c r="C2" s="11" t="inlineStr">
        <is>
          <t>Sequence</t>
        </is>
      </c>
      <c r="D2" s="11" t="inlineStr">
        <is>
          <t>Reference name</t>
        </is>
      </c>
      <c r="E2" s="11" t="inlineStr">
        <is>
          <t>view count</t>
        </is>
      </c>
      <c r="F2" s="12" t="inlineStr">
        <is>
          <t>frame size</t>
        </is>
      </c>
      <c r="G2" s="11" t="inlineStr">
        <is>
          <t>start frame</t>
        </is>
      </c>
      <c r="H2" s="11" t="inlineStr">
        <is>
          <t>frame count</t>
        </is>
      </c>
      <c r="I2" s="12" t="inlineStr">
        <is>
          <t>frame rate</t>
        </is>
      </c>
      <c r="J2" s="11" t="inlineStr">
        <is>
          <t>[kbps]</t>
        </is>
      </c>
      <c r="K2" s="13" t="inlineStr">
        <is>
          <t>Total</t>
        </is>
      </c>
      <c r="L2" s="11" t="inlineStr">
        <is>
          <t>position</t>
        </is>
      </c>
      <c r="M2" s="11" t="inlineStr">
        <is>
          <t>sh0</t>
        </is>
      </c>
      <c r="N2" s="11" t="inlineStr">
        <is>
          <t>sh1</t>
        </is>
      </c>
      <c r="O2" s="11" t="inlineStr">
        <is>
          <t>sh2</t>
        </is>
      </c>
      <c r="P2" s="11" t="inlineStr">
        <is>
          <t>sh3</t>
        </is>
      </c>
      <c r="Q2" s="11" t="inlineStr">
        <is>
          <t>rotation</t>
        </is>
      </c>
      <c r="R2" s="11" t="inlineStr">
        <is>
          <t>scaling</t>
        </is>
      </c>
      <c r="S2" s="12" t="inlineStr">
        <is>
          <t>opacity</t>
        </is>
      </c>
      <c r="T2" s="13" t="inlineStr">
        <is>
          <t>RGB-PSNR</t>
        </is>
      </c>
      <c r="U2" s="11" t="inlineStr">
        <is>
          <t>YUV-PSNR</t>
        </is>
      </c>
      <c r="V2" s="11" t="inlineStr">
        <is>
          <t>YUV-SSIM</t>
        </is>
      </c>
      <c r="W2" s="11" t="inlineStr">
        <is>
          <t>Custom A</t>
        </is>
      </c>
      <c r="X2" s="11" t="inlineStr">
        <is>
          <t>Custom B</t>
        </is>
      </c>
      <c r="Y2" s="13" t="inlineStr">
        <is>
          <t>RGB-PSNR</t>
        </is>
      </c>
      <c r="Z2" s="11" t="inlineStr">
        <is>
          <t>YUV-PSNR</t>
        </is>
      </c>
      <c r="AA2" s="12" t="inlineStr">
        <is>
          <t>YUV-SSIM</t>
        </is>
      </c>
      <c r="AB2" s="13" t="inlineStr">
        <is>
          <t>RGB-PSNR</t>
        </is>
      </c>
      <c r="AC2" s="11" t="inlineStr">
        <is>
          <t>YUV-PSNR</t>
        </is>
      </c>
      <c r="AD2" s="12" t="inlineStr">
        <is>
          <t>YUV-SSIM</t>
        </is>
      </c>
      <c r="AE2" s="13" t="inlineStr">
        <is>
          <t>Total</t>
        </is>
      </c>
      <c r="AF2" s="11" t="inlineStr">
        <is>
          <t>Geometry</t>
        </is>
      </c>
      <c r="AG2" s="12" t="inlineStr">
        <is>
          <t>Attributes</t>
        </is>
      </c>
      <c r="AH2" s="13" t="inlineStr">
        <is>
          <t>Total</t>
        </is>
      </c>
      <c r="AI2" s="11" t="inlineStr">
        <is>
          <t>Geometry</t>
        </is>
      </c>
      <c r="AJ2" s="12" t="inlineStr">
        <is>
          <t>Attributes</t>
        </is>
      </c>
      <c r="AK2" s="13" t="inlineStr">
        <is>
          <t>encoder</t>
        </is>
      </c>
      <c r="AL2" s="12" t="inlineStr">
        <is>
          <t>decoder</t>
        </is>
      </c>
    </row>
    <row r="3" hidden="1" ht="15.75" customHeight="1">
      <c r="A3" s="214" t="inlineStr">
        <is>
          <t>Forward facing</t>
        </is>
      </c>
      <c r="B3" s="215" t="inlineStr">
        <is>
          <t>NF</t>
        </is>
      </c>
      <c r="C3" s="216" t="inlineStr">
        <is>
          <t>bartender_semitracked</t>
        </is>
      </c>
      <c r="D3" s="216">
        <f>_xlfn.CONCAT(B3,": ",C3)</f>
        <v/>
      </c>
      <c r="E3" s="216" t="n">
        <v>21</v>
      </c>
      <c r="F3" s="217" t="inlineStr">
        <is>
          <t>1920x1080</t>
        </is>
      </c>
      <c r="G3" s="216" t="n">
        <v>0</v>
      </c>
      <c r="H3" s="216" t="n">
        <v>32</v>
      </c>
      <c r="I3" s="217" t="n">
        <v>30</v>
      </c>
      <c r="J3" s="118">
        <f>IF(ISBLANK(K3),"",K3*0.008*I3/H3)</f>
        <v/>
      </c>
      <c r="K3" s="78" t="n"/>
      <c r="L3" s="38" t="n"/>
      <c r="M3" s="38" t="n"/>
      <c r="N3" s="38" t="n"/>
      <c r="O3" s="38" t="n"/>
      <c r="P3" s="38" t="n"/>
      <c r="Q3" s="38" t="n"/>
      <c r="R3" s="38" t="n"/>
      <c r="S3" s="15" t="n"/>
      <c r="T3" s="72" t="n"/>
      <c r="U3" s="39" t="n"/>
      <c r="Y3" s="64" t="n"/>
      <c r="Z3" s="38" t="n"/>
      <c r="AA3" s="15" t="n"/>
      <c r="AB3" s="64" t="n"/>
      <c r="AC3" s="38" t="n"/>
      <c r="AD3" s="15" t="n"/>
      <c r="AE3" s="218" t="n"/>
      <c r="AF3" s="219" t="n"/>
      <c r="AG3" s="220" t="n"/>
      <c r="AH3" s="218" t="n"/>
      <c r="AI3" s="219" t="n"/>
      <c r="AJ3" s="220" t="n"/>
      <c r="AK3" s="218" t="n"/>
      <c r="AL3" s="220" t="n"/>
    </row>
    <row r="4" hidden="1">
      <c r="F4" s="14" t="n"/>
      <c r="I4" s="14" t="n"/>
      <c r="J4" s="119">
        <f>IF(ISBLANK(K4),"",K4*0.008*I3/H3)</f>
        <v/>
      </c>
      <c r="K4" s="77" t="n"/>
      <c r="S4" s="14" t="n"/>
      <c r="T4" s="73" t="n"/>
      <c r="Y4" s="65" t="n"/>
      <c r="AA4" s="14" t="n"/>
      <c r="AB4" s="65" t="n"/>
      <c r="AD4" s="14" t="n"/>
      <c r="AE4" s="221" t="n"/>
      <c r="AF4" s="222" t="n"/>
      <c r="AG4" s="223" t="n"/>
      <c r="AH4" s="221" t="n"/>
      <c r="AI4" s="222" t="n"/>
      <c r="AJ4" s="223" t="n"/>
      <c r="AK4" s="221" t="n"/>
      <c r="AL4" s="223" t="n"/>
    </row>
    <row r="5" hidden="1">
      <c r="F5" s="14" t="n"/>
      <c r="I5" s="14" t="n"/>
      <c r="J5" s="119">
        <f>IF(ISBLANK(K5),"",K5*0.008*I3/H3)</f>
        <v/>
      </c>
      <c r="K5" s="77" t="n"/>
      <c r="S5" s="14" t="n"/>
      <c r="T5" s="73" t="n"/>
      <c r="Y5" s="65" t="n"/>
      <c r="AA5" s="14" t="n"/>
      <c r="AB5" s="65" t="n"/>
      <c r="AD5" s="14" t="n"/>
      <c r="AE5" s="221" t="n"/>
      <c r="AF5" s="222" t="n"/>
      <c r="AG5" s="223" t="n"/>
      <c r="AH5" s="221" t="n"/>
      <c r="AI5" s="222" t="n"/>
      <c r="AJ5" s="223" t="n"/>
      <c r="AK5" s="221" t="n"/>
      <c r="AL5" s="223" t="n"/>
    </row>
    <row r="6" hidden="1">
      <c r="F6" s="14" t="n"/>
      <c r="I6" s="14" t="n"/>
      <c r="J6" s="119">
        <f>IF(ISBLANK(K6),"",K6*0.008*I3/H3)</f>
        <v/>
      </c>
      <c r="K6" s="77" t="n"/>
      <c r="S6" s="14" t="n"/>
      <c r="T6" s="73" t="n"/>
      <c r="Y6" s="65" t="n"/>
      <c r="AA6" s="14" t="n"/>
      <c r="AB6" s="65" t="n"/>
      <c r="AD6" s="14" t="n"/>
      <c r="AE6" s="221" t="n"/>
      <c r="AF6" s="222" t="n"/>
      <c r="AG6" s="223" t="n"/>
      <c r="AH6" s="221" t="n"/>
      <c r="AI6" s="222" t="n"/>
      <c r="AJ6" s="223" t="n"/>
      <c r="AK6" s="221" t="n"/>
      <c r="AL6" s="223" t="n"/>
    </row>
    <row r="7" hidden="1">
      <c r="F7" s="14" t="n"/>
      <c r="I7" s="14" t="n"/>
      <c r="J7" s="119">
        <f>IF(ISBLANK(K7),"",K7*0.008*I3/H3)</f>
        <v/>
      </c>
      <c r="K7" s="77" t="n"/>
      <c r="S7" s="14" t="n"/>
      <c r="T7" s="73" t="n"/>
      <c r="Y7" s="65" t="n"/>
      <c r="AA7" s="14" t="n"/>
      <c r="AB7" s="65" t="n"/>
      <c r="AD7" s="14" t="n"/>
      <c r="AE7" s="221" t="n"/>
      <c r="AF7" s="222" t="n"/>
      <c r="AG7" s="223" t="n"/>
      <c r="AH7" s="221" t="n"/>
      <c r="AI7" s="222" t="n"/>
      <c r="AJ7" s="223" t="n"/>
      <c r="AK7" s="221" t="n"/>
      <c r="AL7" s="223" t="n"/>
    </row>
    <row r="8" hidden="1">
      <c r="B8" s="9" t="n"/>
      <c r="C8" s="9" t="n"/>
      <c r="D8" s="9" t="n"/>
      <c r="E8" s="9" t="n"/>
      <c r="F8" s="67" t="n"/>
      <c r="G8" s="9" t="n"/>
      <c r="H8" s="9" t="n"/>
      <c r="I8" s="67" t="n"/>
      <c r="J8" s="120">
        <f>IF(ISBLANK(K8),"",K8*0.008*I3/H3)</f>
        <v/>
      </c>
      <c r="K8" s="79" t="n"/>
      <c r="L8" s="9" t="n"/>
      <c r="M8" s="9" t="n"/>
      <c r="N8" s="9" t="n"/>
      <c r="O8" s="9" t="n"/>
      <c r="P8" s="9" t="n"/>
      <c r="Q8" s="9" t="n"/>
      <c r="R8" s="9" t="n"/>
      <c r="S8" s="67" t="n"/>
      <c r="T8" s="74" t="n"/>
      <c r="U8" s="17" t="n"/>
      <c r="V8" s="17" t="n"/>
      <c r="W8" s="9" t="n"/>
      <c r="X8" s="9" t="n"/>
      <c r="Y8" s="66" t="n"/>
      <c r="Z8" s="9" t="n"/>
      <c r="AA8" s="67" t="n"/>
      <c r="AB8" s="66" t="n"/>
      <c r="AC8" s="9" t="n"/>
      <c r="AD8" s="67" t="n"/>
      <c r="AE8" s="224" t="n"/>
      <c r="AF8" s="225" t="n"/>
      <c r="AG8" s="226" t="n"/>
      <c r="AH8" s="224" t="n"/>
      <c r="AI8" s="225" t="n"/>
      <c r="AJ8" s="226" t="n"/>
      <c r="AK8" s="224" t="n"/>
      <c r="AL8" s="226" t="n"/>
    </row>
    <row r="9" hidden="1">
      <c r="B9" s="227" t="inlineStr">
        <is>
          <t>NF</t>
        </is>
      </c>
      <c r="C9" s="151" t="inlineStr">
        <is>
          <t>cinema_semitracked</t>
        </is>
      </c>
      <c r="D9" s="151">
        <f>_xlfn.CONCAT(B9,": ",C9)</f>
        <v/>
      </c>
      <c r="E9" s="228" t="n">
        <v>21</v>
      </c>
      <c r="F9" s="187" t="inlineStr">
        <is>
          <t>1920x1080</t>
        </is>
      </c>
      <c r="G9" s="151" t="n">
        <v>0</v>
      </c>
      <c r="H9" s="151" t="n">
        <v>32</v>
      </c>
      <c r="I9" s="187" t="n">
        <v>30</v>
      </c>
      <c r="J9" s="119">
        <f>IF(ISBLANK(K9),"",K9*0.008*I9/H9)</f>
        <v/>
      </c>
      <c r="K9" s="77" t="n"/>
      <c r="S9" s="14" t="n"/>
      <c r="T9" s="73" t="n"/>
      <c r="Y9" s="65" t="n"/>
      <c r="Z9" s="36" t="n"/>
      <c r="AA9" s="69" t="n"/>
      <c r="AB9" s="68" t="n"/>
      <c r="AC9" s="36" t="n"/>
      <c r="AD9" s="69" t="n"/>
      <c r="AE9" s="229" t="n"/>
      <c r="AF9" s="230" t="n"/>
      <c r="AG9" s="231" t="n"/>
      <c r="AH9" s="229" t="n"/>
      <c r="AI9" s="230" t="n"/>
      <c r="AJ9" s="231" t="n"/>
      <c r="AK9" s="229" t="n"/>
      <c r="AL9" s="231" t="n"/>
    </row>
    <row r="10" hidden="1">
      <c r="F10" s="14" t="n"/>
      <c r="I10" s="14" t="n"/>
      <c r="J10" s="119">
        <f>IF(ISBLANK(K10),"",K10*0.008*I9/H9)</f>
        <v/>
      </c>
      <c r="K10" s="77" t="n"/>
      <c r="S10" s="14" t="n"/>
      <c r="T10" s="73" t="n"/>
      <c r="Y10" s="65" t="n"/>
      <c r="AA10" s="14" t="n"/>
      <c r="AB10" s="65" t="n"/>
      <c r="AD10" s="14" t="n"/>
      <c r="AE10" s="221" t="n"/>
      <c r="AF10" s="222" t="n"/>
      <c r="AG10" s="223" t="n"/>
      <c r="AH10" s="221" t="n"/>
      <c r="AI10" s="222" t="n"/>
      <c r="AJ10" s="223" t="n"/>
      <c r="AK10" s="221" t="n"/>
      <c r="AL10" s="223" t="n"/>
    </row>
    <row r="11" hidden="1">
      <c r="F11" s="14" t="n"/>
      <c r="I11" s="14" t="n"/>
      <c r="J11" s="119">
        <f>IF(ISBLANK(K11),"",K11*0.008*I9/H9)</f>
        <v/>
      </c>
      <c r="K11" s="77" t="n"/>
      <c r="S11" s="14" t="n"/>
      <c r="T11" s="73" t="n"/>
      <c r="Y11" s="65" t="n"/>
      <c r="AA11" s="14" t="n"/>
      <c r="AB11" s="65" t="n"/>
      <c r="AD11" s="14" t="n"/>
      <c r="AE11" s="221" t="n"/>
      <c r="AF11" s="222" t="n"/>
      <c r="AG11" s="223" t="n"/>
      <c r="AH11" s="221" t="n"/>
      <c r="AI11" s="222" t="n"/>
      <c r="AJ11" s="223" t="n"/>
      <c r="AK11" s="221" t="n"/>
      <c r="AL11" s="223" t="n"/>
    </row>
    <row r="12" hidden="1">
      <c r="F12" s="14" t="n"/>
      <c r="I12" s="14" t="n"/>
      <c r="J12" s="119">
        <f>IF(ISBLANK(K12),"",K12*0.008*I9/H9)</f>
        <v/>
      </c>
      <c r="K12" s="77" t="n"/>
      <c r="S12" s="14" t="n"/>
      <c r="T12" s="73" t="n"/>
      <c r="Y12" s="65" t="n"/>
      <c r="AA12" s="14" t="n"/>
      <c r="AB12" s="65" t="n"/>
      <c r="AD12" s="14" t="n"/>
      <c r="AE12" s="221" t="n"/>
      <c r="AF12" s="222" t="n"/>
      <c r="AG12" s="223" t="n"/>
      <c r="AH12" s="221" t="n"/>
      <c r="AI12" s="222" t="n"/>
      <c r="AJ12" s="223" t="n"/>
      <c r="AK12" s="221" t="n"/>
      <c r="AL12" s="223" t="n"/>
    </row>
    <row r="13" hidden="1">
      <c r="F13" s="14" t="n"/>
      <c r="I13" s="14" t="n"/>
      <c r="J13" s="119">
        <f>IF(ISBLANK(K13),"",K13*0.008*I9/H9)</f>
        <v/>
      </c>
      <c r="K13" s="77" t="n"/>
      <c r="S13" s="14" t="n"/>
      <c r="T13" s="73" t="n"/>
      <c r="Y13" s="65" t="n"/>
      <c r="AA13" s="14" t="n"/>
      <c r="AB13" s="65" t="n"/>
      <c r="AD13" s="14" t="n"/>
      <c r="AE13" s="221" t="n"/>
      <c r="AF13" s="222" t="n"/>
      <c r="AG13" s="223" t="n"/>
      <c r="AH13" s="221" t="n"/>
      <c r="AI13" s="222" t="n"/>
      <c r="AJ13" s="223" t="n"/>
      <c r="AK13" s="221" t="n"/>
      <c r="AL13" s="223" t="n"/>
    </row>
    <row r="14" hidden="1">
      <c r="B14" s="9" t="n"/>
      <c r="C14" s="9" t="n"/>
      <c r="D14" s="9" t="n"/>
      <c r="E14" s="9" t="n"/>
      <c r="F14" s="67" t="n"/>
      <c r="G14" s="9" t="n"/>
      <c r="H14" s="9" t="n"/>
      <c r="I14" s="67" t="n"/>
      <c r="J14" s="120">
        <f>IF(ISBLANK(K14),"",K14*0.008*I9/H9)</f>
        <v/>
      </c>
      <c r="K14" s="79" t="n"/>
      <c r="L14" s="9" t="n"/>
      <c r="M14" s="9" t="n"/>
      <c r="N14" s="9" t="n"/>
      <c r="O14" s="9" t="n"/>
      <c r="P14" s="9" t="n"/>
      <c r="Q14" s="9" t="n"/>
      <c r="R14" s="9" t="n"/>
      <c r="S14" s="67" t="n"/>
      <c r="T14" s="74" t="n"/>
      <c r="U14" s="17" t="n"/>
      <c r="V14" s="17" t="n"/>
      <c r="W14" s="9" t="n"/>
      <c r="X14" s="9" t="n"/>
      <c r="Y14" s="66" t="n"/>
      <c r="Z14" s="9" t="n"/>
      <c r="AA14" s="67" t="n"/>
      <c r="AB14" s="66" t="n"/>
      <c r="AC14" s="9" t="n"/>
      <c r="AD14" s="67" t="n"/>
      <c r="AE14" s="224" t="n"/>
      <c r="AF14" s="225" t="n"/>
      <c r="AG14" s="226" t="n"/>
      <c r="AH14" s="224" t="n"/>
      <c r="AI14" s="225" t="n"/>
      <c r="AJ14" s="226" t="n"/>
      <c r="AK14" s="224" t="n"/>
      <c r="AL14" s="226" t="n"/>
    </row>
    <row r="15" hidden="1">
      <c r="B15" s="227" t="inlineStr">
        <is>
          <t>NF</t>
        </is>
      </c>
      <c r="C15" s="151" t="inlineStr">
        <is>
          <t>breakfast_semitracked</t>
        </is>
      </c>
      <c r="D15" s="151">
        <f>_xlfn.CONCAT(B15,": ",C15)</f>
        <v/>
      </c>
      <c r="E15" s="228" t="n">
        <v>15</v>
      </c>
      <c r="F15" s="187" t="inlineStr">
        <is>
          <t>1920x1080</t>
        </is>
      </c>
      <c r="G15" s="151" t="n">
        <v>0</v>
      </c>
      <c r="H15" s="151" t="n">
        <v>32</v>
      </c>
      <c r="I15" s="187" t="n">
        <v>30</v>
      </c>
      <c r="J15" s="119">
        <f>IF(ISBLANK(K15),"",K15*0.008*I15/H15)</f>
        <v/>
      </c>
      <c r="K15" s="77" t="n"/>
      <c r="S15" s="14" t="n"/>
      <c r="T15" s="73" t="n"/>
      <c r="Y15" s="65" t="n"/>
      <c r="Z15" s="36" t="n"/>
      <c r="AA15" s="69" t="n"/>
      <c r="AB15" s="68" t="n"/>
      <c r="AC15" s="36" t="n"/>
      <c r="AD15" s="69" t="n"/>
      <c r="AE15" s="229" t="n"/>
      <c r="AF15" s="230" t="n"/>
      <c r="AG15" s="231" t="n"/>
      <c r="AH15" s="229" t="n"/>
      <c r="AI15" s="230" t="n"/>
      <c r="AJ15" s="231" t="n"/>
      <c r="AK15" s="229" t="n"/>
      <c r="AL15" s="231" t="n"/>
    </row>
    <row r="16" hidden="1">
      <c r="F16" s="14" t="n"/>
      <c r="I16" s="14" t="n"/>
      <c r="J16" s="119">
        <f>IF(ISBLANK(K16),"",K16*0.008*I15/H15)</f>
        <v/>
      </c>
      <c r="K16" s="77" t="n"/>
      <c r="S16" s="14" t="n"/>
      <c r="T16" s="73" t="n"/>
      <c r="Y16" s="65" t="n"/>
      <c r="AA16" s="14" t="n"/>
      <c r="AB16" s="65" t="n"/>
      <c r="AD16" s="14" t="n"/>
      <c r="AE16" s="221" t="n"/>
      <c r="AF16" s="222" t="n"/>
      <c r="AG16" s="223" t="n"/>
      <c r="AH16" s="221" t="n"/>
      <c r="AI16" s="222" t="n"/>
      <c r="AJ16" s="223" t="n"/>
      <c r="AK16" s="221" t="n"/>
      <c r="AL16" s="223" t="n"/>
    </row>
    <row r="17" hidden="1">
      <c r="F17" s="14" t="n"/>
      <c r="I17" s="14" t="n"/>
      <c r="J17" s="119">
        <f>IF(ISBLANK(K17),"",K17*0.008*I15/H15)</f>
        <v/>
      </c>
      <c r="K17" s="77" t="n"/>
      <c r="S17" s="14" t="n"/>
      <c r="T17" s="73" t="n"/>
      <c r="Y17" s="65" t="n"/>
      <c r="AA17" s="14" t="n"/>
      <c r="AB17" s="65" t="n"/>
      <c r="AD17" s="14" t="n"/>
      <c r="AE17" s="221" t="n"/>
      <c r="AF17" s="222" t="n"/>
      <c r="AG17" s="223" t="n"/>
      <c r="AH17" s="221" t="n"/>
      <c r="AI17" s="222" t="n"/>
      <c r="AJ17" s="223" t="n"/>
      <c r="AK17" s="221" t="n"/>
      <c r="AL17" s="223" t="n"/>
    </row>
    <row r="18" hidden="1">
      <c r="F18" s="14" t="n"/>
      <c r="I18" s="14" t="n"/>
      <c r="J18" s="119">
        <f>IF(ISBLANK(K18),"",K18*0.008*I15/H15)</f>
        <v/>
      </c>
      <c r="K18" s="77" t="n"/>
      <c r="S18" s="14" t="n"/>
      <c r="T18" s="73" t="n"/>
      <c r="Y18" s="65" t="n"/>
      <c r="AA18" s="14" t="n"/>
      <c r="AB18" s="65" t="n"/>
      <c r="AD18" s="14" t="n"/>
      <c r="AE18" s="221" t="n"/>
      <c r="AF18" s="222" t="n"/>
      <c r="AG18" s="223" t="n"/>
      <c r="AH18" s="221" t="n"/>
      <c r="AI18" s="222" t="n"/>
      <c r="AJ18" s="223" t="n"/>
      <c r="AK18" s="221" t="n"/>
      <c r="AL18" s="223" t="n"/>
    </row>
    <row r="19" hidden="1">
      <c r="F19" s="14" t="n"/>
      <c r="I19" s="14" t="n"/>
      <c r="J19" s="119">
        <f>IF(ISBLANK(K19),"",K19*0.008*I15/H15)</f>
        <v/>
      </c>
      <c r="K19" s="77" t="n"/>
      <c r="S19" s="14" t="n"/>
      <c r="T19" s="73" t="n"/>
      <c r="Y19" s="65" t="n"/>
      <c r="AA19" s="14" t="n"/>
      <c r="AB19" s="65" t="n"/>
      <c r="AD19" s="14" t="n"/>
      <c r="AE19" s="221" t="n"/>
      <c r="AF19" s="222" t="n"/>
      <c r="AG19" s="223" t="n"/>
      <c r="AH19" s="221" t="n"/>
      <c r="AI19" s="222" t="n"/>
      <c r="AJ19" s="223" t="n"/>
      <c r="AK19" s="221" t="n"/>
      <c r="AL19" s="223" t="n"/>
    </row>
    <row r="20" hidden="1">
      <c r="B20" s="9" t="n"/>
      <c r="C20" s="9" t="n"/>
      <c r="D20" s="9" t="n"/>
      <c r="E20" s="9" t="n"/>
      <c r="F20" s="67" t="n"/>
      <c r="G20" s="9" t="n"/>
      <c r="H20" s="9" t="n"/>
      <c r="I20" s="67" t="n"/>
      <c r="J20" s="120">
        <f>IF(ISBLANK(K20),"",K20*0.008*I15/H15)</f>
        <v/>
      </c>
      <c r="K20" s="79" t="n"/>
      <c r="L20" s="9" t="n"/>
      <c r="M20" s="9" t="n"/>
      <c r="N20" s="9" t="n"/>
      <c r="O20" s="9" t="n"/>
      <c r="P20" s="9" t="n"/>
      <c r="Q20" s="9" t="n"/>
      <c r="R20" s="9" t="n"/>
      <c r="S20" s="67" t="n"/>
      <c r="T20" s="74" t="n"/>
      <c r="U20" s="17" t="n"/>
      <c r="V20" s="17" t="n"/>
      <c r="W20" s="9" t="n"/>
      <c r="X20" s="9" t="n"/>
      <c r="Y20" s="66" t="n"/>
      <c r="Z20" s="9" t="n"/>
      <c r="AA20" s="67" t="n"/>
      <c r="AB20" s="66" t="n"/>
      <c r="AC20" s="9" t="n"/>
      <c r="AD20" s="67" t="n"/>
      <c r="AE20" s="224" t="n"/>
      <c r="AF20" s="225" t="n"/>
      <c r="AG20" s="226" t="n"/>
      <c r="AH20" s="224" t="n"/>
      <c r="AI20" s="225" t="n"/>
      <c r="AJ20" s="226" t="n"/>
      <c r="AK20" s="224" t="n"/>
      <c r="AL20" s="226" t="n"/>
    </row>
    <row r="21" hidden="1">
      <c r="B21" s="227" t="inlineStr">
        <is>
          <t>NF</t>
        </is>
      </c>
      <c r="C21" s="151" t="inlineStr">
        <is>
          <t>breakfast_untracked</t>
        </is>
      </c>
      <c r="D21" s="151">
        <f>_xlfn.CONCAT(B21,": ",C21)</f>
        <v/>
      </c>
      <c r="E21" s="228" t="n">
        <v>15</v>
      </c>
      <c r="F21" s="187" t="inlineStr">
        <is>
          <t>1920x1080</t>
        </is>
      </c>
      <c r="G21" s="151" t="n">
        <v>0</v>
      </c>
      <c r="H21" s="151" t="n">
        <v>32</v>
      </c>
      <c r="I21" s="187" t="n">
        <v>30</v>
      </c>
      <c r="J21" s="119">
        <f>IF(ISBLANK(K21),"",K21*0.008*I21/H21)</f>
        <v/>
      </c>
      <c r="K21" s="77" t="n"/>
      <c r="S21" s="14" t="n"/>
      <c r="T21" s="73" t="n"/>
      <c r="Y21" s="65" t="n"/>
      <c r="Z21" s="36" t="n"/>
      <c r="AA21" s="69" t="n"/>
      <c r="AB21" s="68" t="n"/>
      <c r="AC21" s="36" t="n"/>
      <c r="AD21" s="69" t="n"/>
      <c r="AE21" s="229" t="n"/>
      <c r="AF21" s="230" t="n"/>
      <c r="AG21" s="231" t="n"/>
      <c r="AH21" s="229" t="n"/>
      <c r="AI21" s="230" t="n"/>
      <c r="AJ21" s="231" t="n"/>
      <c r="AK21" s="229" t="n"/>
      <c r="AL21" s="231" t="n"/>
    </row>
    <row r="22" hidden="1">
      <c r="F22" s="14" t="n"/>
      <c r="I22" s="14" t="n"/>
      <c r="J22" s="119">
        <f>IF(ISBLANK(K22),"",K22*0.008*I21/H21)</f>
        <v/>
      </c>
      <c r="K22" s="77" t="n"/>
      <c r="S22" s="14" t="n"/>
      <c r="T22" s="73" t="n"/>
      <c r="Y22" s="65" t="n"/>
      <c r="AA22" s="14" t="n"/>
      <c r="AB22" s="65" t="n"/>
      <c r="AD22" s="14" t="n"/>
      <c r="AE22" s="221" t="n"/>
      <c r="AF22" s="222" t="n"/>
      <c r="AG22" s="223" t="n"/>
      <c r="AH22" s="221" t="n"/>
      <c r="AI22" s="222" t="n"/>
      <c r="AJ22" s="223" t="n"/>
      <c r="AK22" s="221" t="n"/>
      <c r="AL22" s="223" t="n"/>
    </row>
    <row r="23" hidden="1">
      <c r="F23" s="14" t="n"/>
      <c r="I23" s="14" t="n"/>
      <c r="J23" s="119">
        <f>IF(ISBLANK(K23),"",K23*0.008*I21/H21)</f>
        <v/>
      </c>
      <c r="K23" s="77" t="n"/>
      <c r="S23" s="14" t="n"/>
      <c r="T23" s="73" t="n"/>
      <c r="Y23" s="65" t="n"/>
      <c r="AA23" s="14" t="n"/>
      <c r="AB23" s="65" t="n"/>
      <c r="AD23" s="14" t="n"/>
      <c r="AE23" s="221" t="n"/>
      <c r="AF23" s="222" t="n"/>
      <c r="AG23" s="223" t="n"/>
      <c r="AH23" s="221" t="n"/>
      <c r="AI23" s="222" t="n"/>
      <c r="AJ23" s="223" t="n"/>
      <c r="AK23" s="221" t="n"/>
      <c r="AL23" s="223" t="n"/>
    </row>
    <row r="24" hidden="1">
      <c r="F24" s="14" t="n"/>
      <c r="I24" s="14" t="n"/>
      <c r="J24" s="119">
        <f>IF(ISBLANK(K24),"",K24*0.008*I21/H21)</f>
        <v/>
      </c>
      <c r="K24" s="77" t="n"/>
      <c r="S24" s="14" t="n"/>
      <c r="T24" s="73" t="n"/>
      <c r="Y24" s="65" t="n"/>
      <c r="AA24" s="14" t="n"/>
      <c r="AB24" s="65" t="n"/>
      <c r="AD24" s="14" t="n"/>
      <c r="AE24" s="221" t="n"/>
      <c r="AF24" s="222" t="n"/>
      <c r="AG24" s="223" t="n"/>
      <c r="AH24" s="221" t="n"/>
      <c r="AI24" s="222" t="n"/>
      <c r="AJ24" s="223" t="n"/>
      <c r="AK24" s="221" t="n"/>
      <c r="AL24" s="223" t="n"/>
    </row>
    <row r="25" hidden="1">
      <c r="F25" s="14" t="n"/>
      <c r="I25" s="14" t="n"/>
      <c r="J25" s="119">
        <f>IF(ISBLANK(K25),"",K25*0.008*I21/H21)</f>
        <v/>
      </c>
      <c r="K25" s="77" t="n"/>
      <c r="S25" s="14" t="n"/>
      <c r="T25" s="73" t="n"/>
      <c r="Y25" s="65" t="n"/>
      <c r="AA25" s="14" t="n"/>
      <c r="AB25" s="65" t="n"/>
      <c r="AD25" s="14" t="n"/>
      <c r="AE25" s="221" t="n"/>
      <c r="AF25" s="222" t="n"/>
      <c r="AG25" s="223" t="n"/>
      <c r="AH25" s="221" t="n"/>
      <c r="AI25" s="222" t="n"/>
      <c r="AJ25" s="223" t="n"/>
      <c r="AK25" s="221" t="n"/>
      <c r="AL25" s="223" t="n"/>
    </row>
    <row r="26" hidden="1">
      <c r="B26" s="9" t="n"/>
      <c r="C26" s="9" t="n"/>
      <c r="D26" s="9" t="n"/>
      <c r="E26" s="9" t="n"/>
      <c r="F26" s="67" t="n"/>
      <c r="G26" s="9" t="n"/>
      <c r="H26" s="9" t="n"/>
      <c r="I26" s="67" t="n"/>
      <c r="J26" s="120">
        <f>IF(ISBLANK(K26),"",K26*0.008*I21/H21)</f>
        <v/>
      </c>
      <c r="K26" s="79" t="n"/>
      <c r="L26" s="9" t="n"/>
      <c r="M26" s="9" t="n"/>
      <c r="N26" s="9" t="n"/>
      <c r="O26" s="9" t="n"/>
      <c r="P26" s="9" t="n"/>
      <c r="Q26" s="9" t="n"/>
      <c r="R26" s="9" t="n"/>
      <c r="S26" s="67" t="n"/>
      <c r="T26" s="74" t="n"/>
      <c r="U26" s="17" t="n"/>
      <c r="V26" s="17" t="n"/>
      <c r="W26" s="9" t="n"/>
      <c r="X26" s="9" t="n"/>
      <c r="Y26" s="66" t="n"/>
      <c r="Z26" s="9" t="n"/>
      <c r="AA26" s="67" t="n"/>
      <c r="AB26" s="66" t="n"/>
      <c r="AC26" s="9" t="n"/>
      <c r="AD26" s="67" t="n"/>
      <c r="AE26" s="224" t="n"/>
      <c r="AF26" s="225" t="n"/>
      <c r="AG26" s="226" t="n"/>
      <c r="AH26" s="224" t="n"/>
      <c r="AI26" s="225" t="n"/>
      <c r="AJ26" s="226" t="n"/>
      <c r="AK26" s="224" t="n"/>
      <c r="AL26" s="226" t="n"/>
    </row>
    <row r="27" hidden="1">
      <c r="B27" s="227" t="inlineStr">
        <is>
          <t>NF</t>
        </is>
      </c>
      <c r="C27" s="151" t="inlineStr">
        <is>
          <t>breakdance_untracked</t>
        </is>
      </c>
      <c r="D27" s="151">
        <f>_xlfn.CONCAT(B27,": ",C27)</f>
        <v/>
      </c>
      <c r="E27" s="228" t="n">
        <v>33</v>
      </c>
      <c r="F27" s="187" t="inlineStr">
        <is>
          <t>1920x1080</t>
        </is>
      </c>
      <c r="G27" s="151" t="n">
        <v>0</v>
      </c>
      <c r="H27" s="151" t="n">
        <v>32</v>
      </c>
      <c r="I27" s="187" t="n">
        <v>30</v>
      </c>
      <c r="J27" s="119">
        <f>IF(ISBLANK(K27),"",K27*0.008*I27/H27)</f>
        <v/>
      </c>
      <c r="K27" s="77" t="n"/>
      <c r="S27" s="14" t="n"/>
      <c r="T27" s="73" t="n"/>
      <c r="Y27" s="65" t="n"/>
      <c r="Z27" s="36" t="n"/>
      <c r="AA27" s="69" t="n"/>
      <c r="AB27" s="68" t="n"/>
      <c r="AC27" s="36" t="n"/>
      <c r="AD27" s="69" t="n"/>
      <c r="AE27" s="229" t="n"/>
      <c r="AF27" s="230" t="n"/>
      <c r="AG27" s="231" t="n"/>
      <c r="AH27" s="229" t="n"/>
      <c r="AI27" s="230" t="n"/>
      <c r="AJ27" s="231" t="n"/>
      <c r="AK27" s="229" t="n"/>
      <c r="AL27" s="231" t="n"/>
    </row>
    <row r="28" hidden="1">
      <c r="F28" s="14" t="n"/>
      <c r="I28" s="14" t="n"/>
      <c r="J28" s="119">
        <f>IF(ISBLANK(K28),"",K28*0.008*I27/H27)</f>
        <v/>
      </c>
      <c r="K28" s="77" t="n"/>
      <c r="S28" s="14" t="n"/>
      <c r="T28" s="73" t="n"/>
      <c r="Y28" s="65" t="n"/>
      <c r="AA28" s="14" t="n"/>
      <c r="AB28" s="65" t="n"/>
      <c r="AD28" s="14" t="n"/>
      <c r="AE28" s="221" t="n"/>
      <c r="AF28" s="222" t="n"/>
      <c r="AG28" s="223" t="n"/>
      <c r="AH28" s="221" t="n"/>
      <c r="AI28" s="222" t="n"/>
      <c r="AJ28" s="223" t="n"/>
      <c r="AK28" s="221" t="n"/>
      <c r="AL28" s="223" t="n"/>
    </row>
    <row r="29" hidden="1">
      <c r="F29" s="14" t="n"/>
      <c r="I29" s="14" t="n"/>
      <c r="J29" s="119">
        <f>IF(ISBLANK(K29),"",K29*0.008*I27/H27)</f>
        <v/>
      </c>
      <c r="K29" s="77" t="n"/>
      <c r="S29" s="14" t="n"/>
      <c r="T29" s="73" t="n"/>
      <c r="Y29" s="65" t="n"/>
      <c r="AA29" s="14" t="n"/>
      <c r="AB29" s="65" t="n"/>
      <c r="AD29" s="14" t="n"/>
      <c r="AE29" s="221" t="n"/>
      <c r="AF29" s="222" t="n"/>
      <c r="AG29" s="223" t="n"/>
      <c r="AH29" s="221" t="n"/>
      <c r="AI29" s="222" t="n"/>
      <c r="AJ29" s="223" t="n"/>
      <c r="AK29" s="221" t="n"/>
      <c r="AL29" s="223" t="n"/>
    </row>
    <row r="30" hidden="1">
      <c r="F30" s="14" t="n"/>
      <c r="I30" s="14" t="n"/>
      <c r="J30" s="119">
        <f>IF(ISBLANK(K30),"",K30*0.008*I27/H27)</f>
        <v/>
      </c>
      <c r="K30" s="77" t="n"/>
      <c r="S30" s="14" t="n"/>
      <c r="T30" s="73" t="n"/>
      <c r="Y30" s="65" t="n"/>
      <c r="AA30" s="14" t="n"/>
      <c r="AB30" s="65" t="n"/>
      <c r="AD30" s="14" t="n"/>
      <c r="AE30" s="221" t="n"/>
      <c r="AF30" s="222" t="n"/>
      <c r="AG30" s="223" t="n"/>
      <c r="AH30" s="221" t="n"/>
      <c r="AI30" s="222" t="n"/>
      <c r="AJ30" s="223" t="n"/>
      <c r="AK30" s="221" t="n"/>
      <c r="AL30" s="223" t="n"/>
    </row>
    <row r="31" hidden="1">
      <c r="F31" s="14" t="n"/>
      <c r="I31" s="14" t="n"/>
      <c r="J31" s="119">
        <f>IF(ISBLANK(K31),"",K31*0.008*I27/H27)</f>
        <v/>
      </c>
      <c r="K31" s="77" t="n"/>
      <c r="S31" s="14" t="n"/>
      <c r="T31" s="73" t="n"/>
      <c r="Y31" s="65" t="n"/>
      <c r="AA31" s="14" t="n"/>
      <c r="AB31" s="65" t="n"/>
      <c r="AD31" s="14" t="n"/>
      <c r="AE31" s="221" t="n"/>
      <c r="AF31" s="222" t="n"/>
      <c r="AG31" s="223" t="n"/>
      <c r="AH31" s="221" t="n"/>
      <c r="AI31" s="222" t="n"/>
      <c r="AJ31" s="223" t="n"/>
      <c r="AK31" s="221" t="n"/>
      <c r="AL31" s="223" t="n"/>
    </row>
    <row r="32" hidden="1">
      <c r="B32" s="9" t="n"/>
      <c r="C32" s="9" t="n"/>
      <c r="D32" s="9" t="n"/>
      <c r="E32" s="9" t="n"/>
      <c r="F32" s="67" t="n"/>
      <c r="G32" s="9" t="n"/>
      <c r="H32" s="9" t="n"/>
      <c r="I32" s="67" t="n"/>
      <c r="J32" s="120">
        <f>IF(ISBLANK(K32),"",K32*0.008*I27/H27)</f>
        <v/>
      </c>
      <c r="K32" s="79" t="n"/>
      <c r="L32" s="9" t="n"/>
      <c r="M32" s="9" t="n"/>
      <c r="N32" s="9" t="n"/>
      <c r="O32" s="9" t="n"/>
      <c r="P32" s="9" t="n"/>
      <c r="Q32" s="9" t="n"/>
      <c r="R32" s="9" t="n"/>
      <c r="S32" s="67" t="n"/>
      <c r="T32" s="74" t="n"/>
      <c r="U32" s="17" t="n"/>
      <c r="V32" s="17" t="n"/>
      <c r="W32" s="9" t="n"/>
      <c r="X32" s="9" t="n"/>
      <c r="Y32" s="66" t="n"/>
      <c r="Z32" s="9" t="n"/>
      <c r="AA32" s="67" t="n"/>
      <c r="AB32" s="66" t="n"/>
      <c r="AC32" s="9" t="n"/>
      <c r="AD32" s="67" t="n"/>
      <c r="AE32" s="224" t="n"/>
      <c r="AF32" s="225" t="n"/>
      <c r="AG32" s="226" t="n"/>
      <c r="AH32" s="224" t="n"/>
      <c r="AI32" s="225" t="n"/>
      <c r="AJ32" s="226" t="n"/>
      <c r="AK32" s="224" t="n"/>
      <c r="AL32" s="226" t="n"/>
    </row>
    <row r="33" hidden="1">
      <c r="B33" s="227" t="inlineStr">
        <is>
          <t>NF</t>
        </is>
      </c>
      <c r="C33" s="153" t="inlineStr">
        <is>
          <t>bartender_tracked</t>
        </is>
      </c>
      <c r="D33" s="153">
        <f>_xlfn.CONCAT(B33,": ",C33)</f>
        <v/>
      </c>
      <c r="E33" s="232" t="n">
        <v>21</v>
      </c>
      <c r="F33" s="161" t="inlineStr">
        <is>
          <t>1920x1080</t>
        </is>
      </c>
      <c r="G33" s="153" t="n">
        <v>0</v>
      </c>
      <c r="H33" s="153" t="n">
        <v>32</v>
      </c>
      <c r="I33" s="161" t="n">
        <v>30</v>
      </c>
      <c r="J33" s="121">
        <f>IF(ISBLANK(K33),"",K33*0.008*I33/H33)</f>
        <v/>
      </c>
      <c r="K33" s="77" t="n"/>
      <c r="S33" s="14" t="n"/>
      <c r="T33" s="73" t="n"/>
      <c r="Y33" s="65" t="n"/>
      <c r="Z33" s="36" t="n"/>
      <c r="AA33" s="69" t="n"/>
      <c r="AB33" s="68" t="n"/>
      <c r="AC33" s="36" t="n"/>
      <c r="AD33" s="69" t="n"/>
      <c r="AE33" s="229" t="n"/>
      <c r="AF33" s="230" t="n"/>
      <c r="AG33" s="231" t="n"/>
      <c r="AH33" s="229" t="n"/>
      <c r="AI33" s="230" t="n"/>
      <c r="AJ33" s="231" t="n"/>
      <c r="AK33" s="229" t="n"/>
      <c r="AL33" s="231" t="n"/>
    </row>
    <row r="34" hidden="1">
      <c r="F34" s="14" t="n"/>
      <c r="I34" s="14" t="n"/>
      <c r="J34" s="121">
        <f>IF(ISBLANK(K34),"",K34*0.008*I33/H33)</f>
        <v/>
      </c>
      <c r="K34" s="77" t="n"/>
      <c r="S34" s="14" t="n"/>
      <c r="T34" s="73" t="n"/>
      <c r="Y34" s="65" t="n"/>
      <c r="AA34" s="14" t="n"/>
      <c r="AB34" s="65" t="n"/>
      <c r="AD34" s="14" t="n"/>
      <c r="AE34" s="221" t="n"/>
      <c r="AF34" s="222" t="n"/>
      <c r="AG34" s="223" t="n"/>
      <c r="AH34" s="221" t="n"/>
      <c r="AI34" s="222" t="n"/>
      <c r="AJ34" s="223" t="n"/>
      <c r="AK34" s="221" t="n"/>
      <c r="AL34" s="223" t="n"/>
    </row>
    <row r="35" hidden="1">
      <c r="F35" s="14" t="n"/>
      <c r="I35" s="14" t="n"/>
      <c r="J35" s="121">
        <f>IF(ISBLANK(K35),"",K35*0.008*I33/H33)</f>
        <v/>
      </c>
      <c r="K35" s="77" t="n"/>
      <c r="S35" s="14" t="n"/>
      <c r="T35" s="73" t="n"/>
      <c r="Y35" s="65" t="n"/>
      <c r="AA35" s="14" t="n"/>
      <c r="AB35" s="65" t="n"/>
      <c r="AD35" s="14" t="n"/>
      <c r="AE35" s="221" t="n"/>
      <c r="AF35" s="222" t="n"/>
      <c r="AG35" s="223" t="n"/>
      <c r="AH35" s="221" t="n"/>
      <c r="AI35" s="222" t="n"/>
      <c r="AJ35" s="223" t="n"/>
      <c r="AK35" s="221" t="n"/>
      <c r="AL35" s="223" t="n"/>
    </row>
    <row r="36" hidden="1">
      <c r="F36" s="14" t="n"/>
      <c r="I36" s="14" t="n"/>
      <c r="J36" s="121">
        <f>IF(ISBLANK(K36),"",K36*0.008*I33/H33)</f>
        <v/>
      </c>
      <c r="K36" s="77" t="n"/>
      <c r="S36" s="14" t="n"/>
      <c r="T36" s="73" t="n"/>
      <c r="Y36" s="65" t="n"/>
      <c r="AA36" s="14" t="n"/>
      <c r="AB36" s="65" t="n"/>
      <c r="AD36" s="14" t="n"/>
      <c r="AE36" s="221" t="n"/>
      <c r="AF36" s="222" t="n"/>
      <c r="AG36" s="223" t="n"/>
      <c r="AH36" s="221" t="n"/>
      <c r="AI36" s="222" t="n"/>
      <c r="AJ36" s="223" t="n"/>
      <c r="AK36" s="221" t="n"/>
      <c r="AL36" s="223" t="n"/>
    </row>
    <row r="37" hidden="1">
      <c r="F37" s="14" t="n"/>
      <c r="I37" s="14" t="n"/>
      <c r="J37" s="121">
        <f>IF(ISBLANK(K37),"",K37*0.008*I33/H33)</f>
        <v/>
      </c>
      <c r="K37" s="77" t="n"/>
      <c r="S37" s="14" t="n"/>
      <c r="T37" s="73" t="n"/>
      <c r="Y37" s="65" t="n"/>
      <c r="AA37" s="14" t="n"/>
      <c r="AB37" s="65" t="n"/>
      <c r="AD37" s="14" t="n"/>
      <c r="AE37" s="221" t="n"/>
      <c r="AF37" s="222" t="n"/>
      <c r="AG37" s="223" t="n"/>
      <c r="AH37" s="221" t="n"/>
      <c r="AI37" s="222" t="n"/>
      <c r="AJ37" s="223" t="n"/>
      <c r="AK37" s="221" t="n"/>
      <c r="AL37" s="223" t="n"/>
    </row>
    <row r="38" hidden="1">
      <c r="B38" s="9" t="n"/>
      <c r="C38" s="9" t="n"/>
      <c r="D38" s="9" t="n"/>
      <c r="E38" s="9" t="n"/>
      <c r="F38" s="67" t="n"/>
      <c r="G38" s="9" t="n"/>
      <c r="H38" s="9" t="n"/>
      <c r="I38" s="67" t="n"/>
      <c r="J38" s="122">
        <f>IF(ISBLANK(K38),"",K38*0.008*I33/H33)</f>
        <v/>
      </c>
      <c r="K38" s="79" t="n"/>
      <c r="L38" s="9" t="n"/>
      <c r="M38" s="9" t="n"/>
      <c r="N38" s="9" t="n"/>
      <c r="O38" s="9" t="n"/>
      <c r="P38" s="9" t="n"/>
      <c r="Q38" s="9" t="n"/>
      <c r="R38" s="9" t="n"/>
      <c r="S38" s="67" t="n"/>
      <c r="T38" s="74" t="n"/>
      <c r="U38" s="17" t="n"/>
      <c r="V38" s="17" t="n"/>
      <c r="W38" s="9" t="n"/>
      <c r="X38" s="9" t="n"/>
      <c r="Y38" s="66" t="n"/>
      <c r="Z38" s="9" t="n"/>
      <c r="AA38" s="67" t="n"/>
      <c r="AB38" s="66" t="n"/>
      <c r="AC38" s="9" t="n"/>
      <c r="AD38" s="67" t="n"/>
      <c r="AE38" s="224" t="n"/>
      <c r="AF38" s="225" t="n"/>
      <c r="AG38" s="226" t="n"/>
      <c r="AH38" s="224" t="n"/>
      <c r="AI38" s="225" t="n"/>
      <c r="AJ38" s="226" t="n"/>
      <c r="AK38" s="224" t="n"/>
      <c r="AL38" s="226" t="n"/>
    </row>
    <row r="39" hidden="1">
      <c r="B39" s="227" t="inlineStr">
        <is>
          <t>NF</t>
        </is>
      </c>
      <c r="C39" s="153" t="inlineStr">
        <is>
          <t>cinema_tracked</t>
        </is>
      </c>
      <c r="D39" s="153">
        <f>_xlfn.CONCAT(B39,": ",C39)</f>
        <v/>
      </c>
      <c r="E39" s="232" t="n">
        <v>21</v>
      </c>
      <c r="F39" s="161" t="inlineStr">
        <is>
          <t>1920x1080</t>
        </is>
      </c>
      <c r="G39" s="153" t="n">
        <v>0</v>
      </c>
      <c r="H39" s="153" t="n">
        <v>32</v>
      </c>
      <c r="I39" s="161" t="n">
        <v>30</v>
      </c>
      <c r="J39" s="121">
        <f>IF(ISBLANK(K39),"",K39*0.008*I39/H39)</f>
        <v/>
      </c>
      <c r="K39" s="77" t="n"/>
      <c r="S39" s="14" t="n"/>
      <c r="T39" s="73" t="n"/>
      <c r="Y39" s="65" t="n"/>
      <c r="Z39" s="36" t="n"/>
      <c r="AA39" s="69" t="n"/>
      <c r="AB39" s="68" t="n"/>
      <c r="AC39" s="36" t="n"/>
      <c r="AD39" s="69" t="n"/>
      <c r="AE39" s="229" t="n"/>
      <c r="AF39" s="230" t="n"/>
      <c r="AG39" s="231" t="n"/>
      <c r="AH39" s="229" t="n"/>
      <c r="AI39" s="230" t="n"/>
      <c r="AJ39" s="231" t="n"/>
      <c r="AK39" s="229" t="n"/>
      <c r="AL39" s="231" t="n"/>
    </row>
    <row r="40" hidden="1">
      <c r="F40" s="14" t="n"/>
      <c r="I40" s="14" t="n"/>
      <c r="J40" s="121">
        <f>IF(ISBLANK(K40),"",K40*0.008*I39/H39)</f>
        <v/>
      </c>
      <c r="K40" s="77" t="n"/>
      <c r="S40" s="14" t="n"/>
      <c r="T40" s="73" t="n"/>
      <c r="Y40" s="65" t="n"/>
      <c r="AA40" s="14" t="n"/>
      <c r="AB40" s="65" t="n"/>
      <c r="AD40" s="14" t="n"/>
      <c r="AE40" s="221" t="n"/>
      <c r="AF40" s="222" t="n"/>
      <c r="AG40" s="223" t="n"/>
      <c r="AH40" s="221" t="n"/>
      <c r="AI40" s="222" t="n"/>
      <c r="AJ40" s="223" t="n"/>
      <c r="AK40" s="221" t="n"/>
      <c r="AL40" s="223" t="n"/>
    </row>
    <row r="41" hidden="1">
      <c r="F41" s="14" t="n"/>
      <c r="I41" s="14" t="n"/>
      <c r="J41" s="121">
        <f>IF(ISBLANK(K41),"",K41*0.008*I39/H39)</f>
        <v/>
      </c>
      <c r="K41" s="77" t="n"/>
      <c r="S41" s="14" t="n"/>
      <c r="T41" s="73" t="n"/>
      <c r="Y41" s="65" t="n"/>
      <c r="AA41" s="14" t="n"/>
      <c r="AB41" s="65" t="n"/>
      <c r="AD41" s="14" t="n"/>
      <c r="AE41" s="221" t="n"/>
      <c r="AF41" s="222" t="n"/>
      <c r="AG41" s="223" t="n"/>
      <c r="AH41" s="221" t="n"/>
      <c r="AI41" s="222" t="n"/>
      <c r="AJ41" s="223" t="n"/>
      <c r="AK41" s="221" t="n"/>
      <c r="AL41" s="223" t="n"/>
    </row>
    <row r="42" hidden="1">
      <c r="F42" s="14" t="n"/>
      <c r="I42" s="14" t="n"/>
      <c r="J42" s="121">
        <f>IF(ISBLANK(K42),"",K42*0.008*I39/H39)</f>
        <v/>
      </c>
      <c r="K42" s="77" t="n"/>
      <c r="S42" s="14" t="n"/>
      <c r="T42" s="73" t="n"/>
      <c r="Y42" s="65" t="n"/>
      <c r="AA42" s="14" t="n"/>
      <c r="AB42" s="65" t="n"/>
      <c r="AD42" s="14" t="n"/>
      <c r="AE42" s="221" t="n"/>
      <c r="AF42" s="222" t="n"/>
      <c r="AG42" s="223" t="n"/>
      <c r="AH42" s="221" t="n"/>
      <c r="AI42" s="222" t="n"/>
      <c r="AJ42" s="223" t="n"/>
      <c r="AK42" s="221" t="n"/>
      <c r="AL42" s="223" t="n"/>
    </row>
    <row r="43" hidden="1">
      <c r="F43" s="14" t="n"/>
      <c r="I43" s="14" t="n"/>
      <c r="J43" s="121">
        <f>IF(ISBLANK(K43),"",K43*0.008*I39/H39)</f>
        <v/>
      </c>
      <c r="K43" s="77" t="n"/>
      <c r="S43" s="14" t="n"/>
      <c r="T43" s="73" t="n"/>
      <c r="Y43" s="65" t="n"/>
      <c r="AA43" s="14" t="n"/>
      <c r="AB43" s="65" t="n"/>
      <c r="AD43" s="14" t="n"/>
      <c r="AE43" s="221" t="n"/>
      <c r="AF43" s="222" t="n"/>
      <c r="AG43" s="223" t="n"/>
      <c r="AH43" s="221" t="n"/>
      <c r="AI43" s="222" t="n"/>
      <c r="AJ43" s="223" t="n"/>
      <c r="AK43" s="221" t="n"/>
      <c r="AL43" s="223" t="n"/>
    </row>
    <row r="44" hidden="1">
      <c r="B44" s="9" t="n"/>
      <c r="C44" s="9" t="n"/>
      <c r="D44" s="9" t="n"/>
      <c r="E44" s="9" t="n"/>
      <c r="F44" s="67" t="n"/>
      <c r="G44" s="9" t="n"/>
      <c r="H44" s="9" t="n"/>
      <c r="I44" s="67" t="n"/>
      <c r="J44" s="122">
        <f>IF(ISBLANK(K44),"",K44*0.008*I39/H39)</f>
        <v/>
      </c>
      <c r="K44" s="79" t="n"/>
      <c r="L44" s="9" t="n"/>
      <c r="M44" s="9" t="n"/>
      <c r="N44" s="9" t="n"/>
      <c r="O44" s="9" t="n"/>
      <c r="P44" s="9" t="n"/>
      <c r="Q44" s="9" t="n"/>
      <c r="R44" s="9" t="n"/>
      <c r="S44" s="67" t="n"/>
      <c r="T44" s="74" t="n"/>
      <c r="U44" s="17" t="n"/>
      <c r="V44" s="17" t="n"/>
      <c r="W44" s="9" t="n"/>
      <c r="X44" s="9" t="n"/>
      <c r="Y44" s="66" t="n"/>
      <c r="Z44" s="9" t="n"/>
      <c r="AA44" s="67" t="n"/>
      <c r="AB44" s="66" t="n"/>
      <c r="AC44" s="9" t="n"/>
      <c r="AD44" s="67" t="n"/>
      <c r="AE44" s="224" t="n"/>
      <c r="AF44" s="225" t="n"/>
      <c r="AG44" s="226" t="n"/>
      <c r="AH44" s="224" t="n"/>
      <c r="AI44" s="225" t="n"/>
      <c r="AJ44" s="226" t="n"/>
      <c r="AK44" s="224" t="n"/>
      <c r="AL44" s="226" t="n"/>
    </row>
    <row r="45" hidden="1">
      <c r="B45" s="227" t="inlineStr">
        <is>
          <t>NF</t>
        </is>
      </c>
      <c r="C45" s="153" t="inlineStr">
        <is>
          <t>breakfast_tracked</t>
        </is>
      </c>
      <c r="D45" s="153">
        <f>_xlfn.CONCAT(B45,": ",C45)</f>
        <v/>
      </c>
      <c r="E45" s="232" t="n">
        <v>15</v>
      </c>
      <c r="F45" s="161" t="inlineStr">
        <is>
          <t>1920x1080</t>
        </is>
      </c>
      <c r="G45" s="153" t="n">
        <v>0</v>
      </c>
      <c r="H45" s="153" t="n">
        <v>32</v>
      </c>
      <c r="I45" s="161" t="n">
        <v>30</v>
      </c>
      <c r="J45" s="121">
        <f>IF(ISBLANK(K45),"",K45*0.008*I45/H45)</f>
        <v/>
      </c>
      <c r="K45" s="77" t="n"/>
      <c r="S45" s="14" t="n"/>
      <c r="T45" s="73" t="n"/>
      <c r="Y45" s="65" t="n"/>
      <c r="Z45" s="36" t="n"/>
      <c r="AA45" s="69" t="n"/>
      <c r="AB45" s="68" t="n"/>
      <c r="AC45" s="36" t="n"/>
      <c r="AD45" s="69" t="n"/>
      <c r="AE45" s="229" t="n"/>
      <c r="AF45" s="230" t="n"/>
      <c r="AG45" s="231" t="n"/>
      <c r="AH45" s="229" t="n"/>
      <c r="AI45" s="230" t="n"/>
      <c r="AJ45" s="231" t="n"/>
      <c r="AK45" s="229" t="n"/>
      <c r="AL45" s="231" t="n"/>
    </row>
    <row r="46" hidden="1">
      <c r="F46" s="14" t="n"/>
      <c r="I46" s="14" t="n"/>
      <c r="J46" s="121">
        <f>IF(ISBLANK(K46),"",K46*0.008*I45/H45)</f>
        <v/>
      </c>
      <c r="K46" s="77" t="n"/>
      <c r="S46" s="14" t="n"/>
      <c r="T46" s="73" t="n"/>
      <c r="Y46" s="65" t="n"/>
      <c r="AA46" s="14" t="n"/>
      <c r="AB46" s="65" t="n"/>
      <c r="AD46" s="14" t="n"/>
      <c r="AE46" s="221" t="n"/>
      <c r="AF46" s="222" t="n"/>
      <c r="AG46" s="223" t="n"/>
      <c r="AH46" s="221" t="n"/>
      <c r="AI46" s="222" t="n"/>
      <c r="AJ46" s="223" t="n"/>
      <c r="AK46" s="221" t="n"/>
      <c r="AL46" s="223" t="n"/>
    </row>
    <row r="47" hidden="1">
      <c r="F47" s="14" t="n"/>
      <c r="I47" s="14" t="n"/>
      <c r="J47" s="121">
        <f>IF(ISBLANK(K47),"",K47*0.008*I45/H45)</f>
        <v/>
      </c>
      <c r="K47" s="77" t="n"/>
      <c r="S47" s="14" t="n"/>
      <c r="T47" s="73" t="n"/>
      <c r="Y47" s="65" t="n"/>
      <c r="AA47" s="14" t="n"/>
      <c r="AB47" s="65" t="n"/>
      <c r="AD47" s="14" t="n"/>
      <c r="AE47" s="221" t="n"/>
      <c r="AF47" s="222" t="n"/>
      <c r="AG47" s="223" t="n"/>
      <c r="AH47" s="221" t="n"/>
      <c r="AI47" s="222" t="n"/>
      <c r="AJ47" s="223" t="n"/>
      <c r="AK47" s="221" t="n"/>
      <c r="AL47" s="223" t="n"/>
    </row>
    <row r="48" hidden="1">
      <c r="F48" s="14" t="n"/>
      <c r="I48" s="14" t="n"/>
      <c r="J48" s="121">
        <f>IF(ISBLANK(K48),"",K48*0.008*I45/H45)</f>
        <v/>
      </c>
      <c r="K48" s="77" t="n"/>
      <c r="S48" s="14" t="n"/>
      <c r="T48" s="73" t="n"/>
      <c r="Y48" s="65" t="n"/>
      <c r="AA48" s="14" t="n"/>
      <c r="AB48" s="65" t="n"/>
      <c r="AD48" s="14" t="n"/>
      <c r="AE48" s="221" t="n"/>
      <c r="AF48" s="222" t="n"/>
      <c r="AG48" s="223" t="n"/>
      <c r="AH48" s="221" t="n"/>
      <c r="AI48" s="222" t="n"/>
      <c r="AJ48" s="223" t="n"/>
      <c r="AK48" s="221" t="n"/>
      <c r="AL48" s="223" t="n"/>
    </row>
    <row r="49" hidden="1">
      <c r="F49" s="14" t="n"/>
      <c r="I49" s="14" t="n"/>
      <c r="J49" s="121">
        <f>IF(ISBLANK(K49),"",K49*0.008*I45/H45)</f>
        <v/>
      </c>
      <c r="K49" s="77" t="n"/>
      <c r="S49" s="14" t="n"/>
      <c r="T49" s="73" t="n"/>
      <c r="Y49" s="65" t="n"/>
      <c r="AA49" s="14" t="n"/>
      <c r="AB49" s="65" t="n"/>
      <c r="AD49" s="14" t="n"/>
      <c r="AE49" s="221" t="n"/>
      <c r="AF49" s="222" t="n"/>
      <c r="AG49" s="223" t="n"/>
      <c r="AH49" s="221" t="n"/>
      <c r="AI49" s="222" t="n"/>
      <c r="AJ49" s="223" t="n"/>
      <c r="AK49" s="221" t="n"/>
      <c r="AL49" s="223" t="n"/>
    </row>
    <row r="50" hidden="1">
      <c r="A50" s="9" t="n"/>
      <c r="B50" s="9" t="n"/>
      <c r="C50" s="9" t="n"/>
      <c r="D50" s="9" t="n"/>
      <c r="E50" s="9" t="n"/>
      <c r="F50" s="67" t="n"/>
      <c r="G50" s="9" t="n"/>
      <c r="H50" s="9" t="n"/>
      <c r="I50" s="67" t="n"/>
      <c r="J50" s="122">
        <f>IF(ISBLANK(K50),"",K50*0.008*I45/H45)</f>
        <v/>
      </c>
      <c r="K50" s="79" t="n"/>
      <c r="L50" s="9" t="n"/>
      <c r="M50" s="9" t="n"/>
      <c r="N50" s="9" t="n"/>
      <c r="O50" s="9" t="n"/>
      <c r="P50" s="9" t="n"/>
      <c r="Q50" s="9" t="n"/>
      <c r="R50" s="9" t="n"/>
      <c r="S50" s="67" t="n"/>
      <c r="T50" s="74" t="n"/>
      <c r="U50" s="17" t="n"/>
      <c r="V50" s="17" t="n"/>
      <c r="W50" s="9" t="n"/>
      <c r="X50" s="9" t="n"/>
      <c r="Y50" s="66" t="n"/>
      <c r="Z50" s="9" t="n"/>
      <c r="AA50" s="67" t="n"/>
      <c r="AB50" s="66" t="n"/>
      <c r="AC50" s="9" t="n"/>
      <c r="AD50" s="67" t="n"/>
      <c r="AE50" s="224" t="n"/>
      <c r="AF50" s="225" t="n"/>
      <c r="AG50" s="226" t="n"/>
      <c r="AH50" s="224" t="n"/>
      <c r="AI50" s="225" t="n"/>
      <c r="AJ50" s="226" t="n"/>
      <c r="AK50" s="224" t="n"/>
      <c r="AL50" s="226" t="n"/>
    </row>
    <row r="51" hidden="1" ht="15.75" customHeight="1">
      <c r="A51" s="185" t="inlineStr">
        <is>
          <t>Object centric</t>
        </is>
      </c>
      <c r="B51" s="233" t="inlineStr">
        <is>
          <t>NF</t>
        </is>
      </c>
      <c r="C51" s="155" t="inlineStr">
        <is>
          <t>manwithfruit_tracked</t>
        </is>
      </c>
      <c r="D51" s="155">
        <f>_xlfn.CONCAT(B51,": ",C51)</f>
        <v/>
      </c>
      <c r="E51" s="234" t="n">
        <v>24</v>
      </c>
      <c r="F51" s="190" t="inlineStr">
        <is>
          <t>3840x2160</t>
        </is>
      </c>
      <c r="G51" s="155" t="n">
        <v>81</v>
      </c>
      <c r="H51" s="155" t="n">
        <v>32</v>
      </c>
      <c r="I51" s="190" t="n">
        <v>30</v>
      </c>
      <c r="J51" s="119">
        <f>IF(ISBLANK(K51),"",K51*0.008*I51/H51)</f>
        <v/>
      </c>
      <c r="K51" s="77" t="n"/>
      <c r="S51" s="14" t="n"/>
      <c r="T51" s="73" t="n"/>
      <c r="Y51" s="65" t="n"/>
      <c r="Z51" s="36" t="n"/>
      <c r="AA51" s="69" t="n"/>
      <c r="AB51" s="68" t="n"/>
      <c r="AC51" s="36" t="n"/>
      <c r="AD51" s="69" t="n"/>
      <c r="AE51" s="229" t="n"/>
      <c r="AF51" s="230" t="n"/>
      <c r="AG51" s="231" t="n"/>
      <c r="AH51" s="229" t="n"/>
      <c r="AI51" s="230" t="n"/>
      <c r="AJ51" s="231" t="n"/>
      <c r="AK51" s="229" t="n"/>
      <c r="AL51" s="231" t="n"/>
    </row>
    <row r="52" hidden="1">
      <c r="F52" s="14" t="n"/>
      <c r="I52" s="14" t="n"/>
      <c r="J52" s="119">
        <f>IF(ISBLANK(K52),"",K52*0.008*I51/H51)</f>
        <v/>
      </c>
      <c r="K52" s="77" t="n"/>
      <c r="S52" s="14" t="n"/>
      <c r="T52" s="73" t="n"/>
      <c r="Y52" s="65" t="n"/>
      <c r="AA52" s="14" t="n"/>
      <c r="AB52" s="65" t="n"/>
      <c r="AD52" s="14" t="n"/>
      <c r="AE52" s="221" t="n"/>
      <c r="AF52" s="222" t="n"/>
      <c r="AG52" s="223" t="n"/>
      <c r="AH52" s="221" t="n"/>
      <c r="AI52" s="222" t="n"/>
      <c r="AJ52" s="223" t="n"/>
      <c r="AK52" s="221" t="n"/>
      <c r="AL52" s="223" t="n"/>
    </row>
    <row r="53" hidden="1">
      <c r="F53" s="14" t="n"/>
      <c r="I53" s="14" t="n"/>
      <c r="J53" s="119">
        <f>IF(ISBLANK(K53),"",K53*0.008*I51/H51)</f>
        <v/>
      </c>
      <c r="K53" s="77" t="n"/>
      <c r="S53" s="14" t="n"/>
      <c r="T53" s="73" t="n"/>
      <c r="Y53" s="65" t="n"/>
      <c r="AA53" s="14" t="n"/>
      <c r="AB53" s="65" t="n"/>
      <c r="AD53" s="14" t="n"/>
      <c r="AE53" s="221" t="n"/>
      <c r="AF53" s="222" t="n"/>
      <c r="AG53" s="223" t="n"/>
      <c r="AH53" s="221" t="n"/>
      <c r="AI53" s="222" t="n"/>
      <c r="AJ53" s="223" t="n"/>
      <c r="AK53" s="221" t="n"/>
      <c r="AL53" s="223" t="n"/>
    </row>
    <row r="54" hidden="1">
      <c r="F54" s="14" t="n"/>
      <c r="I54" s="14" t="n"/>
      <c r="J54" s="119">
        <f>IF(ISBLANK(K54),"",K54*0.008*I51/H51)</f>
        <v/>
      </c>
      <c r="K54" s="77" t="n"/>
      <c r="S54" s="14" t="n"/>
      <c r="T54" s="73" t="n"/>
      <c r="Y54" s="65" t="n"/>
      <c r="AA54" s="14" t="n"/>
      <c r="AB54" s="65" t="n"/>
      <c r="AD54" s="14" t="n"/>
      <c r="AE54" s="221" t="n"/>
      <c r="AF54" s="222" t="n"/>
      <c r="AG54" s="223" t="n"/>
      <c r="AH54" s="221" t="n"/>
      <c r="AI54" s="222" t="n"/>
      <c r="AJ54" s="223" t="n"/>
      <c r="AK54" s="221" t="n"/>
      <c r="AL54" s="223" t="n"/>
    </row>
    <row r="55" hidden="1">
      <c r="F55" s="14" t="n"/>
      <c r="I55" s="14" t="n"/>
      <c r="J55" s="119">
        <f>IF(ISBLANK(K55),"",K55*0.008*I51/H51)</f>
        <v/>
      </c>
      <c r="K55" s="77" t="n"/>
      <c r="S55" s="14" t="n"/>
      <c r="T55" s="73" t="n"/>
      <c r="Y55" s="65" t="n"/>
      <c r="AA55" s="14" t="n"/>
      <c r="AB55" s="65" t="n"/>
      <c r="AD55" s="14" t="n"/>
      <c r="AE55" s="221" t="n"/>
      <c r="AF55" s="222" t="n"/>
      <c r="AG55" s="223" t="n"/>
      <c r="AH55" s="221" t="n"/>
      <c r="AI55" s="222" t="n"/>
      <c r="AJ55" s="223" t="n"/>
      <c r="AK55" s="221" t="n"/>
      <c r="AL55" s="223" t="n"/>
    </row>
    <row r="56" hidden="1" ht="16.2" customHeight="1" thickBot="1">
      <c r="A56" s="10" t="n"/>
      <c r="B56" s="10" t="n"/>
      <c r="C56" s="10" t="n"/>
      <c r="D56" s="10" t="n"/>
      <c r="E56" s="10" t="n"/>
      <c r="F56" s="71" t="n"/>
      <c r="G56" s="10" t="n"/>
      <c r="H56" s="10" t="n"/>
      <c r="I56" s="71" t="n"/>
      <c r="J56" s="123">
        <f>IF(ISBLANK(K56),"",K56*0.008*I51/H51)</f>
        <v/>
      </c>
      <c r="K56" s="81" t="n"/>
      <c r="L56" s="10" t="n"/>
      <c r="M56" s="10" t="n"/>
      <c r="N56" s="10" t="n"/>
      <c r="O56" s="10" t="n"/>
      <c r="P56" s="10" t="n"/>
      <c r="Q56" s="10" t="n"/>
      <c r="R56" s="10" t="n"/>
      <c r="S56" s="71" t="n"/>
      <c r="T56" s="76" t="n"/>
      <c r="U56" s="18" t="n"/>
      <c r="V56" s="18" t="n"/>
      <c r="W56" s="10" t="n"/>
      <c r="X56" s="10" t="n"/>
      <c r="Y56" s="70" t="n"/>
      <c r="Z56" s="10" t="n"/>
      <c r="AA56" s="71" t="n"/>
      <c r="AB56" s="70" t="n"/>
      <c r="AC56" s="10" t="n"/>
      <c r="AD56" s="71" t="n"/>
      <c r="AE56" s="235" t="n"/>
      <c r="AF56" s="236" t="n"/>
      <c r="AG56" s="237" t="n"/>
      <c r="AH56" s="235" t="n"/>
      <c r="AI56" s="236" t="n"/>
      <c r="AJ56" s="237" t="n"/>
      <c r="AK56" s="235" t="n"/>
      <c r="AL56" s="237" t="n"/>
    </row>
    <row r="57" ht="15.75" customHeight="1">
      <c r="A57" s="238" t="inlineStr">
        <is>
          <t>Forward facing</t>
        </is>
      </c>
      <c r="B57" s="239" t="inlineStr">
        <is>
          <t>1F</t>
        </is>
      </c>
      <c r="C57" s="151" t="inlineStr">
        <is>
          <t>bartender_semitracked</t>
        </is>
      </c>
      <c r="D57" s="151">
        <f>_xlfn.CONCAT(B57,": ",C57)</f>
        <v/>
      </c>
      <c r="E57" s="216" t="n">
        <v>21</v>
      </c>
      <c r="F57" s="187" t="inlineStr">
        <is>
          <t>1920x1080</t>
        </is>
      </c>
      <c r="G57" s="151" t="n">
        <v>0</v>
      </c>
      <c r="H57" s="151" t="n">
        <v>1</v>
      </c>
      <c r="I57" s="187" t="n"/>
      <c r="J57" s="119" t="n"/>
      <c r="K57" s="77" t="n"/>
      <c r="S57" s="14" t="n"/>
      <c r="T57" s="73" t="n"/>
      <c r="Y57" s="65" t="n"/>
      <c r="Z57" s="38" t="n"/>
      <c r="AA57" s="15" t="n"/>
      <c r="AB57" s="64" t="n"/>
      <c r="AC57" s="38" t="n"/>
      <c r="AD57" s="15" t="n"/>
      <c r="AE57" s="218" t="n"/>
      <c r="AF57" s="219" t="n"/>
      <c r="AG57" s="220" t="n"/>
      <c r="AH57" s="218" t="n"/>
      <c r="AI57" s="219" t="n"/>
      <c r="AJ57" s="220" t="n"/>
      <c r="AK57" s="218" t="n"/>
      <c r="AL57" s="220" t="n"/>
    </row>
    <row r="58">
      <c r="F58" s="14" t="n"/>
      <c r="I58" s="14" t="n"/>
      <c r="J58" s="119" t="n"/>
      <c r="K58" s="77" t="n"/>
      <c r="S58" s="14" t="n"/>
      <c r="T58" s="73" t="n"/>
      <c r="Y58" s="65" t="n"/>
      <c r="AA58" s="14" t="n"/>
      <c r="AB58" s="65" t="n"/>
      <c r="AD58" s="14" t="n"/>
      <c r="AE58" s="221" t="n"/>
      <c r="AF58" s="222" t="n"/>
      <c r="AG58" s="223" t="n"/>
      <c r="AH58" s="221" t="n"/>
      <c r="AI58" s="222" t="n"/>
      <c r="AJ58" s="223" t="n"/>
      <c r="AK58" s="221" t="n"/>
      <c r="AL58" s="223" t="n"/>
    </row>
    <row r="59">
      <c r="F59" s="14" t="n"/>
      <c r="I59" s="14" t="n"/>
      <c r="J59" s="119" t="n"/>
      <c r="K59" s="77" t="n"/>
      <c r="S59" s="14" t="n"/>
      <c r="T59" s="73" t="n"/>
      <c r="Y59" s="65" t="n"/>
      <c r="AA59" s="14" t="n"/>
      <c r="AB59" s="65" t="n"/>
      <c r="AD59" s="14" t="n"/>
      <c r="AE59" s="221" t="n"/>
      <c r="AF59" s="222" t="n"/>
      <c r="AG59" s="223" t="n"/>
      <c r="AH59" s="221" t="n"/>
      <c r="AI59" s="222" t="n"/>
      <c r="AJ59" s="223" t="n"/>
      <c r="AK59" s="221" t="n"/>
      <c r="AL59" s="223" t="n"/>
    </row>
    <row r="60">
      <c r="F60" s="14" t="n"/>
      <c r="I60" s="14" t="n"/>
      <c r="J60" s="119" t="n"/>
      <c r="K60" s="77" t="n"/>
      <c r="S60" s="14" t="n"/>
      <c r="T60" s="73" t="n"/>
      <c r="Y60" s="65" t="n"/>
      <c r="AA60" s="14" t="n"/>
      <c r="AB60" s="65" t="n"/>
      <c r="AD60" s="14" t="n"/>
      <c r="AE60" s="221" t="n"/>
      <c r="AF60" s="222" t="n"/>
      <c r="AG60" s="223" t="n"/>
      <c r="AH60" s="221" t="n"/>
      <c r="AI60" s="222" t="n"/>
      <c r="AJ60" s="223" t="n"/>
      <c r="AK60" s="221" t="n"/>
      <c r="AL60" s="223" t="n"/>
    </row>
    <row r="61">
      <c r="F61" s="14" t="n"/>
      <c r="I61" s="14" t="n"/>
      <c r="J61" s="119" t="n"/>
      <c r="K61" s="77" t="n"/>
      <c r="S61" s="14" t="n"/>
      <c r="T61" s="73" t="n"/>
      <c r="Y61" s="65" t="n"/>
      <c r="AA61" s="14" t="n"/>
      <c r="AB61" s="65" t="n"/>
      <c r="AD61" s="14" t="n"/>
      <c r="AE61" s="221" t="n"/>
      <c r="AF61" s="222" t="n"/>
      <c r="AG61" s="223" t="n"/>
      <c r="AH61" s="221" t="n"/>
      <c r="AI61" s="222" t="n"/>
      <c r="AJ61" s="223" t="n"/>
      <c r="AK61" s="221" t="n"/>
      <c r="AL61" s="223" t="n"/>
    </row>
    <row r="62">
      <c r="B62" s="9" t="n"/>
      <c r="C62" s="9" t="n"/>
      <c r="D62" s="9" t="n"/>
      <c r="E62" s="9" t="n"/>
      <c r="F62" s="67" t="n"/>
      <c r="G62" s="9" t="n"/>
      <c r="H62" s="9" t="n"/>
      <c r="I62" s="67" t="n"/>
      <c r="J62" s="120" t="n"/>
      <c r="K62" s="79" t="n"/>
      <c r="L62" s="9" t="n"/>
      <c r="M62" s="9" t="n"/>
      <c r="N62" s="9" t="n"/>
      <c r="O62" s="9" t="n"/>
      <c r="P62" s="9" t="n"/>
      <c r="Q62" s="9" t="n"/>
      <c r="R62" s="9" t="n"/>
      <c r="S62" s="67" t="n"/>
      <c r="T62" s="74" t="n"/>
      <c r="U62" s="17" t="n"/>
      <c r="V62" s="17" t="n"/>
      <c r="W62" s="9" t="n"/>
      <c r="X62" s="9" t="n"/>
      <c r="Y62" s="66" t="n"/>
      <c r="Z62" s="9" t="n"/>
      <c r="AA62" s="67" t="n"/>
      <c r="AB62" s="66" t="n"/>
      <c r="AC62" s="9" t="n"/>
      <c r="AD62" s="67" t="n"/>
      <c r="AE62" s="224" t="n"/>
      <c r="AF62" s="225" t="n"/>
      <c r="AG62" s="226" t="n"/>
      <c r="AH62" s="224" t="n"/>
      <c r="AI62" s="225" t="n"/>
      <c r="AJ62" s="226" t="n"/>
      <c r="AK62" s="224" t="n"/>
      <c r="AL62" s="226" t="n"/>
    </row>
    <row r="63">
      <c r="B63" s="240" t="inlineStr">
        <is>
          <t>1F</t>
        </is>
      </c>
      <c r="C63" s="151" t="inlineStr">
        <is>
          <t>cinema_semitracked</t>
        </is>
      </c>
      <c r="D63" s="151">
        <f>_xlfn.CONCAT(B63,": ",C63)</f>
        <v/>
      </c>
      <c r="E63" s="228" t="n">
        <v>21</v>
      </c>
      <c r="F63" s="187" t="inlineStr">
        <is>
          <t>1920x1080</t>
        </is>
      </c>
      <c r="G63" s="151" t="n">
        <v>0</v>
      </c>
      <c r="H63" s="151" t="n">
        <v>1</v>
      </c>
      <c r="I63" s="187" t="n"/>
      <c r="J63" s="119" t="n"/>
      <c r="K63" s="77" t="n"/>
      <c r="S63" s="14" t="n"/>
      <c r="T63" s="73" t="n"/>
      <c r="Y63" s="65" t="n"/>
      <c r="Z63" s="36" t="n"/>
      <c r="AA63" s="69" t="n"/>
      <c r="AB63" s="68" t="n"/>
      <c r="AC63" s="36" t="n"/>
      <c r="AD63" s="69" t="n"/>
      <c r="AE63" s="229" t="n"/>
      <c r="AF63" s="230" t="n"/>
      <c r="AG63" s="231" t="n"/>
      <c r="AH63" s="229" t="n"/>
      <c r="AI63" s="230" t="n"/>
      <c r="AJ63" s="231" t="n"/>
      <c r="AK63" s="229" t="n"/>
      <c r="AL63" s="231" t="n"/>
    </row>
    <row r="64">
      <c r="F64" s="14" t="n"/>
      <c r="I64" s="14" t="n"/>
      <c r="J64" s="119" t="n"/>
      <c r="K64" s="77" t="n"/>
      <c r="S64" s="14" t="n"/>
      <c r="T64" s="73" t="n"/>
      <c r="Y64" s="65" t="n"/>
      <c r="AA64" s="14" t="n"/>
      <c r="AB64" s="65" t="n"/>
      <c r="AD64" s="14" t="n"/>
      <c r="AE64" s="221" t="n"/>
      <c r="AF64" s="222" t="n"/>
      <c r="AG64" s="223" t="n"/>
      <c r="AH64" s="221" t="n"/>
      <c r="AI64" s="222" t="n"/>
      <c r="AJ64" s="223" t="n"/>
      <c r="AK64" s="221" t="n"/>
      <c r="AL64" s="223" t="n"/>
    </row>
    <row r="65">
      <c r="F65" s="14" t="n"/>
      <c r="I65" s="14" t="n"/>
      <c r="J65" s="119" t="n"/>
      <c r="K65" s="77" t="n"/>
      <c r="S65" s="14" t="n"/>
      <c r="T65" s="73" t="n"/>
      <c r="Y65" s="65" t="n"/>
      <c r="AA65" s="14" t="n"/>
      <c r="AB65" s="65" t="n"/>
      <c r="AD65" s="14" t="n"/>
      <c r="AE65" s="221" t="n"/>
      <c r="AF65" s="222" t="n"/>
      <c r="AG65" s="223" t="n"/>
      <c r="AH65" s="221" t="n"/>
      <c r="AI65" s="222" t="n"/>
      <c r="AJ65" s="223" t="n"/>
      <c r="AK65" s="221" t="n"/>
      <c r="AL65" s="223" t="n"/>
    </row>
    <row r="66">
      <c r="F66" s="14" t="n"/>
      <c r="I66" s="14" t="n"/>
      <c r="J66" s="119" t="n"/>
      <c r="K66" s="77" t="n"/>
      <c r="S66" s="14" t="n"/>
      <c r="T66" s="73" t="n"/>
      <c r="Y66" s="65" t="n"/>
      <c r="AA66" s="14" t="n"/>
      <c r="AB66" s="65" t="n"/>
      <c r="AD66" s="14" t="n"/>
      <c r="AE66" s="221" t="n"/>
      <c r="AF66" s="222" t="n"/>
      <c r="AG66" s="223" t="n"/>
      <c r="AH66" s="221" t="n"/>
      <c r="AI66" s="222" t="n"/>
      <c r="AJ66" s="223" t="n"/>
      <c r="AK66" s="221" t="n"/>
      <c r="AL66" s="223" t="n"/>
    </row>
    <row r="67">
      <c r="F67" s="14" t="n"/>
      <c r="I67" s="14" t="n"/>
      <c r="J67" s="119" t="n"/>
      <c r="K67" s="77" t="n"/>
      <c r="S67" s="14" t="n"/>
      <c r="T67" s="73" t="n"/>
      <c r="Y67" s="65" t="n"/>
      <c r="AA67" s="14" t="n"/>
      <c r="AB67" s="65" t="n"/>
      <c r="AD67" s="14" t="n"/>
      <c r="AE67" s="221" t="n"/>
      <c r="AF67" s="222" t="n"/>
      <c r="AG67" s="223" t="n"/>
      <c r="AH67" s="221" t="n"/>
      <c r="AI67" s="222" t="n"/>
      <c r="AJ67" s="223" t="n"/>
      <c r="AK67" s="221" t="n"/>
      <c r="AL67" s="223" t="n"/>
    </row>
    <row r="68">
      <c r="B68" s="9" t="n"/>
      <c r="C68" s="9" t="n"/>
      <c r="D68" s="9" t="n"/>
      <c r="E68" s="9" t="n"/>
      <c r="F68" s="67" t="n"/>
      <c r="G68" s="9" t="n"/>
      <c r="H68" s="9" t="n"/>
      <c r="I68" s="67" t="n"/>
      <c r="J68" s="120" t="n"/>
      <c r="K68" s="79" t="n"/>
      <c r="L68" s="9" t="n"/>
      <c r="M68" s="9" t="n"/>
      <c r="N68" s="9" t="n"/>
      <c r="O68" s="9" t="n"/>
      <c r="P68" s="9" t="n"/>
      <c r="Q68" s="9" t="n"/>
      <c r="R68" s="9" t="n"/>
      <c r="S68" s="67" t="n"/>
      <c r="T68" s="74" t="n"/>
      <c r="U68" s="17" t="n"/>
      <c r="V68" s="17" t="n"/>
      <c r="W68" s="9" t="n"/>
      <c r="X68" s="9" t="n"/>
      <c r="Y68" s="66" t="n"/>
      <c r="Z68" s="9" t="n"/>
      <c r="AA68" s="67" t="n"/>
      <c r="AB68" s="66" t="n"/>
      <c r="AC68" s="9" t="n"/>
      <c r="AD68" s="67" t="n"/>
      <c r="AE68" s="224" t="n"/>
      <c r="AF68" s="225" t="n"/>
      <c r="AG68" s="226" t="n"/>
      <c r="AH68" s="224" t="n"/>
      <c r="AI68" s="225" t="n"/>
      <c r="AJ68" s="226" t="n"/>
      <c r="AK68" s="224" t="n"/>
      <c r="AL68" s="226" t="n"/>
    </row>
    <row r="69">
      <c r="B69" s="240" t="inlineStr">
        <is>
          <t>1F</t>
        </is>
      </c>
      <c r="C69" s="151" t="inlineStr">
        <is>
          <t>breakfast_semitracked</t>
        </is>
      </c>
      <c r="D69" s="151">
        <f>_xlfn.CONCAT(B69,": ",C69)</f>
        <v/>
      </c>
      <c r="E69" s="228" t="n">
        <v>15</v>
      </c>
      <c r="F69" s="187" t="inlineStr">
        <is>
          <t>1920x1080</t>
        </is>
      </c>
      <c r="G69" s="151" t="n">
        <v>0</v>
      </c>
      <c r="H69" s="151" t="n">
        <v>1</v>
      </c>
      <c r="I69" s="187" t="n"/>
      <c r="J69" s="119" t="n"/>
      <c r="K69" s="77" t="n"/>
      <c r="S69" s="14" t="n"/>
      <c r="T69" s="73" t="n"/>
      <c r="Y69" s="65" t="n"/>
      <c r="Z69" s="36" t="n"/>
      <c r="AA69" s="69" t="n"/>
      <c r="AB69" s="68" t="n"/>
      <c r="AC69" s="36" t="n"/>
      <c r="AD69" s="69" t="n"/>
      <c r="AE69" s="229" t="n"/>
      <c r="AF69" s="230" t="n"/>
      <c r="AG69" s="231" t="n"/>
      <c r="AH69" s="229" t="n"/>
      <c r="AI69" s="230" t="n"/>
      <c r="AJ69" s="231" t="n"/>
      <c r="AK69" s="229" t="n"/>
      <c r="AL69" s="231" t="n"/>
    </row>
    <row r="70">
      <c r="F70" s="14" t="n"/>
      <c r="I70" s="14" t="n"/>
      <c r="J70" s="119" t="n"/>
      <c r="K70" s="77" t="n"/>
      <c r="S70" s="14" t="n"/>
      <c r="T70" s="73" t="n"/>
      <c r="Y70" s="65" t="n"/>
      <c r="AA70" s="14" t="n"/>
      <c r="AB70" s="65" t="n"/>
      <c r="AD70" s="14" t="n"/>
      <c r="AE70" s="221" t="n"/>
      <c r="AF70" s="222" t="n"/>
      <c r="AG70" s="223" t="n"/>
      <c r="AH70" s="221" t="n"/>
      <c r="AI70" s="222" t="n"/>
      <c r="AJ70" s="223" t="n"/>
      <c r="AK70" s="221" t="n"/>
      <c r="AL70" s="223" t="n"/>
    </row>
    <row r="71">
      <c r="F71" s="14" t="n"/>
      <c r="I71" s="14" t="n"/>
      <c r="J71" s="119" t="n"/>
      <c r="K71" s="77" t="n"/>
      <c r="S71" s="14" t="n"/>
      <c r="T71" s="73" t="n"/>
      <c r="Y71" s="65" t="n"/>
      <c r="AA71" s="14" t="n"/>
      <c r="AB71" s="65" t="n"/>
      <c r="AD71" s="14" t="n"/>
      <c r="AE71" s="221" t="n"/>
      <c r="AF71" s="222" t="n"/>
      <c r="AG71" s="223" t="n"/>
      <c r="AH71" s="221" t="n"/>
      <c r="AI71" s="222" t="n"/>
      <c r="AJ71" s="223" t="n"/>
      <c r="AK71" s="221" t="n"/>
      <c r="AL71" s="223" t="n"/>
    </row>
    <row r="72">
      <c r="F72" s="14" t="n"/>
      <c r="I72" s="14" t="n"/>
      <c r="J72" s="119" t="n"/>
      <c r="K72" s="77" t="n"/>
      <c r="S72" s="14" t="n"/>
      <c r="T72" s="73" t="n"/>
      <c r="Y72" s="65" t="n"/>
      <c r="AA72" s="14" t="n"/>
      <c r="AB72" s="65" t="n"/>
      <c r="AD72" s="14" t="n"/>
      <c r="AE72" s="221" t="n"/>
      <c r="AF72" s="222" t="n"/>
      <c r="AG72" s="223" t="n"/>
      <c r="AH72" s="221" t="n"/>
      <c r="AI72" s="222" t="n"/>
      <c r="AJ72" s="223" t="n"/>
      <c r="AK72" s="221" t="n"/>
      <c r="AL72" s="223" t="n"/>
    </row>
    <row r="73">
      <c r="F73" s="14" t="n"/>
      <c r="I73" s="14" t="n"/>
      <c r="J73" s="119" t="n"/>
      <c r="K73" s="77" t="n"/>
      <c r="S73" s="14" t="n"/>
      <c r="T73" s="73" t="n"/>
      <c r="Y73" s="65" t="n"/>
      <c r="AA73" s="14" t="n"/>
      <c r="AB73" s="65" t="n"/>
      <c r="AD73" s="14" t="n"/>
      <c r="AE73" s="221" t="n"/>
      <c r="AF73" s="222" t="n"/>
      <c r="AG73" s="223" t="n"/>
      <c r="AH73" s="221" t="n"/>
      <c r="AI73" s="222" t="n"/>
      <c r="AJ73" s="223" t="n"/>
      <c r="AK73" s="221" t="n"/>
      <c r="AL73" s="223" t="n"/>
    </row>
    <row r="74">
      <c r="B74" s="9" t="n"/>
      <c r="C74" s="9" t="n"/>
      <c r="D74" s="9" t="n"/>
      <c r="E74" s="9" t="n"/>
      <c r="F74" s="67" t="n"/>
      <c r="G74" s="9" t="n"/>
      <c r="H74" s="9" t="n"/>
      <c r="I74" s="67" t="n"/>
      <c r="J74" s="120" t="n"/>
      <c r="K74" s="79" t="n"/>
      <c r="L74" s="9" t="n"/>
      <c r="M74" s="9" t="n"/>
      <c r="N74" s="9" t="n"/>
      <c r="O74" s="9" t="n"/>
      <c r="P74" s="9" t="n"/>
      <c r="Q74" s="9" t="n"/>
      <c r="R74" s="9" t="n"/>
      <c r="S74" s="67" t="n"/>
      <c r="T74" s="74" t="n"/>
      <c r="U74" s="17" t="n"/>
      <c r="V74" s="17" t="n"/>
      <c r="W74" s="9" t="n"/>
      <c r="X74" s="9" t="n"/>
      <c r="Y74" s="66" t="n"/>
      <c r="Z74" s="9" t="n"/>
      <c r="AA74" s="67" t="n"/>
      <c r="AB74" s="66" t="n"/>
      <c r="AC74" s="9" t="n"/>
      <c r="AD74" s="67" t="n"/>
      <c r="AE74" s="224" t="n"/>
      <c r="AF74" s="225" t="n"/>
      <c r="AG74" s="226" t="n"/>
      <c r="AH74" s="224" t="n"/>
      <c r="AI74" s="225" t="n"/>
      <c r="AJ74" s="226" t="n"/>
      <c r="AK74" s="224" t="n"/>
      <c r="AL74" s="226" t="n"/>
    </row>
    <row r="75">
      <c r="B75" s="240" t="inlineStr">
        <is>
          <t>1F</t>
        </is>
      </c>
      <c r="C75" s="151" t="inlineStr">
        <is>
          <t>breakfast_untracked</t>
        </is>
      </c>
      <c r="D75" s="151">
        <f>_xlfn.CONCAT(B75,": ",C75)</f>
        <v/>
      </c>
      <c r="E75" s="228" t="n">
        <v>15</v>
      </c>
      <c r="F75" s="187" t="inlineStr">
        <is>
          <t>1920x1080</t>
        </is>
      </c>
      <c r="G75" s="151" t="n">
        <v>0</v>
      </c>
      <c r="H75" s="151" t="n">
        <v>1</v>
      </c>
      <c r="I75" s="187" t="n"/>
      <c r="J75" s="119" t="n"/>
      <c r="K75" s="77" t="n"/>
      <c r="S75" s="14" t="n"/>
      <c r="T75" s="73" t="n"/>
      <c r="Y75" s="65" t="n"/>
      <c r="Z75" s="36" t="n"/>
      <c r="AA75" s="69" t="n"/>
      <c r="AB75" s="68" t="n"/>
      <c r="AC75" s="36" t="n"/>
      <c r="AD75" s="69" t="n"/>
      <c r="AE75" s="229" t="n"/>
      <c r="AF75" s="230" t="n"/>
      <c r="AG75" s="231" t="n"/>
      <c r="AH75" s="229" t="n"/>
      <c r="AI75" s="230" t="n"/>
      <c r="AJ75" s="231" t="n"/>
      <c r="AK75" s="229" t="n"/>
      <c r="AL75" s="231" t="n"/>
    </row>
    <row r="76">
      <c r="F76" s="14" t="n"/>
      <c r="I76" s="14" t="n"/>
      <c r="J76" s="119" t="n"/>
      <c r="K76" s="77" t="n"/>
      <c r="S76" s="14" t="n"/>
      <c r="T76" s="73" t="n"/>
      <c r="Y76" s="65" t="n"/>
      <c r="AA76" s="14" t="n"/>
      <c r="AB76" s="65" t="n"/>
      <c r="AD76" s="14" t="n"/>
      <c r="AE76" s="221" t="n"/>
      <c r="AF76" s="222" t="n"/>
      <c r="AG76" s="223" t="n"/>
      <c r="AH76" s="221" t="n"/>
      <c r="AI76" s="222" t="n"/>
      <c r="AJ76" s="223" t="n"/>
      <c r="AK76" s="221" t="n"/>
      <c r="AL76" s="223" t="n"/>
    </row>
    <row r="77">
      <c r="F77" s="14" t="n"/>
      <c r="I77" s="14" t="n"/>
      <c r="J77" s="119" t="n"/>
      <c r="K77" s="77" t="n"/>
      <c r="S77" s="14" t="n"/>
      <c r="T77" s="73" t="n"/>
      <c r="Y77" s="65" t="n"/>
      <c r="AA77" s="14" t="n"/>
      <c r="AB77" s="65" t="n"/>
      <c r="AD77" s="14" t="n"/>
      <c r="AE77" s="221" t="n"/>
      <c r="AF77" s="222" t="n"/>
      <c r="AG77" s="223" t="n"/>
      <c r="AH77" s="221" t="n"/>
      <c r="AI77" s="222" t="n"/>
      <c r="AJ77" s="223" t="n"/>
      <c r="AK77" s="221" t="n"/>
      <c r="AL77" s="223" t="n"/>
    </row>
    <row r="78">
      <c r="F78" s="14" t="n"/>
      <c r="I78" s="14" t="n"/>
      <c r="J78" s="119" t="n"/>
      <c r="K78" s="77" t="n"/>
      <c r="S78" s="14" t="n"/>
      <c r="T78" s="73" t="n"/>
      <c r="Y78" s="65" t="n"/>
      <c r="AA78" s="14" t="n"/>
      <c r="AB78" s="65" t="n"/>
      <c r="AD78" s="14" t="n"/>
      <c r="AE78" s="221" t="n"/>
      <c r="AF78" s="222" t="n"/>
      <c r="AG78" s="223" t="n"/>
      <c r="AH78" s="221" t="n"/>
      <c r="AI78" s="222" t="n"/>
      <c r="AJ78" s="223" t="n"/>
      <c r="AK78" s="221" t="n"/>
      <c r="AL78" s="223" t="n"/>
    </row>
    <row r="79">
      <c r="F79" s="14" t="n"/>
      <c r="I79" s="14" t="n"/>
      <c r="J79" s="119" t="n"/>
      <c r="K79" s="77" t="n"/>
      <c r="S79" s="14" t="n"/>
      <c r="T79" s="73" t="n"/>
      <c r="Y79" s="65" t="n"/>
      <c r="AA79" s="14" t="n"/>
      <c r="AB79" s="65" t="n"/>
      <c r="AD79" s="14" t="n"/>
      <c r="AE79" s="221" t="n"/>
      <c r="AF79" s="222" t="n"/>
      <c r="AG79" s="223" t="n"/>
      <c r="AH79" s="221" t="n"/>
      <c r="AI79" s="222" t="n"/>
      <c r="AJ79" s="223" t="n"/>
      <c r="AK79" s="221" t="n"/>
      <c r="AL79" s="223" t="n"/>
    </row>
    <row r="80">
      <c r="B80" s="9" t="n"/>
      <c r="C80" s="9" t="n"/>
      <c r="D80" s="9" t="n"/>
      <c r="E80" s="9" t="n"/>
      <c r="F80" s="67" t="n"/>
      <c r="G80" s="9" t="n"/>
      <c r="H80" s="9" t="n"/>
      <c r="I80" s="67" t="n"/>
      <c r="J80" s="120" t="n"/>
      <c r="K80" s="79" t="n"/>
      <c r="L80" s="9" t="n"/>
      <c r="M80" s="9" t="n"/>
      <c r="N80" s="9" t="n"/>
      <c r="O80" s="9" t="n"/>
      <c r="P80" s="9" t="n"/>
      <c r="Q80" s="9" t="n"/>
      <c r="R80" s="9" t="n"/>
      <c r="S80" s="67" t="n"/>
      <c r="T80" s="74" t="n"/>
      <c r="U80" s="17" t="n"/>
      <c r="V80" s="17" t="n"/>
      <c r="W80" s="9" t="n"/>
      <c r="X80" s="9" t="n"/>
      <c r="Y80" s="66" t="n"/>
      <c r="Z80" s="9" t="n"/>
      <c r="AA80" s="67" t="n"/>
      <c r="AB80" s="66" t="n"/>
      <c r="AC80" s="9" t="n"/>
      <c r="AD80" s="67" t="n"/>
      <c r="AE80" s="224" t="n"/>
      <c r="AF80" s="225" t="n"/>
      <c r="AG80" s="226" t="n"/>
      <c r="AH80" s="224" t="n"/>
      <c r="AI80" s="225" t="n"/>
      <c r="AJ80" s="226" t="n"/>
      <c r="AK80" s="224" t="n"/>
      <c r="AL80" s="226" t="n"/>
    </row>
    <row r="81">
      <c r="B81" s="240" t="inlineStr">
        <is>
          <t>1F</t>
        </is>
      </c>
      <c r="C81" s="151" t="inlineStr">
        <is>
          <t>breakdance_untracked</t>
        </is>
      </c>
      <c r="D81" s="151">
        <f>_xlfn.CONCAT(B81,": ",C81)</f>
        <v/>
      </c>
      <c r="E81" s="228" t="n">
        <v>33</v>
      </c>
      <c r="F81" s="187" t="inlineStr">
        <is>
          <t>1920x1080</t>
        </is>
      </c>
      <c r="G81" s="151" t="n">
        <v>0</v>
      </c>
      <c r="H81" s="151" t="n">
        <v>1</v>
      </c>
      <c r="I81" s="187" t="n"/>
      <c r="J81" s="119" t="n"/>
      <c r="K81" s="77" t="n"/>
      <c r="S81" s="14" t="n"/>
      <c r="T81" s="73" t="n"/>
      <c r="Y81" s="65" t="n"/>
      <c r="Z81" s="36" t="n"/>
      <c r="AA81" s="69" t="n"/>
      <c r="AB81" s="68" t="n"/>
      <c r="AC81" s="36" t="n"/>
      <c r="AD81" s="69" t="n"/>
      <c r="AE81" s="229" t="n"/>
      <c r="AF81" s="230" t="n"/>
      <c r="AG81" s="231" t="n"/>
      <c r="AH81" s="229" t="n"/>
      <c r="AI81" s="230" t="n"/>
      <c r="AJ81" s="231" t="n"/>
      <c r="AK81" s="229" t="n"/>
      <c r="AL81" s="231" t="n"/>
    </row>
    <row r="82">
      <c r="F82" s="14" t="n"/>
      <c r="I82" s="14" t="n"/>
      <c r="J82" s="119" t="n"/>
      <c r="K82" s="77" t="n"/>
      <c r="S82" s="14" t="n"/>
      <c r="T82" s="73" t="n"/>
      <c r="Y82" s="65" t="n"/>
      <c r="AA82" s="14" t="n"/>
      <c r="AB82" s="65" t="n"/>
      <c r="AD82" s="14" t="n"/>
      <c r="AE82" s="221" t="n"/>
      <c r="AF82" s="222" t="n"/>
      <c r="AG82" s="223" t="n"/>
      <c r="AH82" s="221" t="n"/>
      <c r="AI82" s="222" t="n"/>
      <c r="AJ82" s="223" t="n"/>
      <c r="AK82" s="221" t="n"/>
      <c r="AL82" s="223" t="n"/>
    </row>
    <row r="83">
      <c r="F83" s="14" t="n"/>
      <c r="I83" s="14" t="n"/>
      <c r="J83" s="119" t="n"/>
      <c r="K83" s="77" t="n"/>
      <c r="S83" s="14" t="n"/>
      <c r="T83" s="73" t="n"/>
      <c r="Y83" s="65" t="n"/>
      <c r="AA83" s="14" t="n"/>
      <c r="AB83" s="65" t="n"/>
      <c r="AD83" s="14" t="n"/>
      <c r="AE83" s="221" t="n"/>
      <c r="AF83" s="222" t="n"/>
      <c r="AG83" s="223" t="n"/>
      <c r="AH83" s="221" t="n"/>
      <c r="AI83" s="222" t="n"/>
      <c r="AJ83" s="223" t="n"/>
      <c r="AK83" s="221" t="n"/>
      <c r="AL83" s="223" t="n"/>
    </row>
    <row r="84">
      <c r="F84" s="14" t="n"/>
      <c r="I84" s="14" t="n"/>
      <c r="J84" s="119" t="n"/>
      <c r="K84" s="77" t="n"/>
      <c r="S84" s="14" t="n"/>
      <c r="T84" s="73" t="n"/>
      <c r="Y84" s="65" t="n"/>
      <c r="AA84" s="14" t="n"/>
      <c r="AB84" s="65" t="n"/>
      <c r="AD84" s="14" t="n"/>
      <c r="AE84" s="221" t="n"/>
      <c r="AF84" s="222" t="n"/>
      <c r="AG84" s="223" t="n"/>
      <c r="AH84" s="221" t="n"/>
      <c r="AI84" s="222" t="n"/>
      <c r="AJ84" s="223" t="n"/>
      <c r="AK84" s="221" t="n"/>
      <c r="AL84" s="223" t="n"/>
    </row>
    <row r="85">
      <c r="F85" s="14" t="n"/>
      <c r="I85" s="14" t="n"/>
      <c r="J85" s="119" t="n"/>
      <c r="K85" s="77" t="n"/>
      <c r="S85" s="14" t="n"/>
      <c r="T85" s="73" t="n"/>
      <c r="Y85" s="65" t="n"/>
      <c r="AA85" s="14" t="n"/>
      <c r="AB85" s="65" t="n"/>
      <c r="AD85" s="14" t="n"/>
      <c r="AE85" s="221" t="n"/>
      <c r="AF85" s="222" t="n"/>
      <c r="AG85" s="223" t="n"/>
      <c r="AH85" s="221" t="n"/>
      <c r="AI85" s="222" t="n"/>
      <c r="AJ85" s="223" t="n"/>
      <c r="AK85" s="221" t="n"/>
      <c r="AL85" s="223" t="n"/>
    </row>
    <row r="86">
      <c r="B86" s="9" t="n"/>
      <c r="C86" s="9" t="n"/>
      <c r="D86" s="9" t="n"/>
      <c r="E86" s="9" t="n"/>
      <c r="F86" s="67" t="n"/>
      <c r="G86" s="9" t="n"/>
      <c r="H86" s="9" t="n"/>
      <c r="I86" s="67" t="n"/>
      <c r="J86" s="120" t="n"/>
      <c r="K86" s="79" t="n"/>
      <c r="L86" s="9" t="n"/>
      <c r="M86" s="9" t="n"/>
      <c r="N86" s="9" t="n"/>
      <c r="O86" s="9" t="n"/>
      <c r="P86" s="9" t="n"/>
      <c r="Q86" s="9" t="n"/>
      <c r="R86" s="9" t="n"/>
      <c r="S86" s="67" t="n"/>
      <c r="T86" s="74" t="n"/>
      <c r="U86" s="17" t="n"/>
      <c r="V86" s="17" t="n"/>
      <c r="W86" s="9" t="n"/>
      <c r="X86" s="9" t="n"/>
      <c r="Y86" s="66" t="n"/>
      <c r="Z86" s="9" t="n"/>
      <c r="AA86" s="67" t="n"/>
      <c r="AB86" s="66" t="n"/>
      <c r="AC86" s="9" t="n"/>
      <c r="AD86" s="67" t="n"/>
      <c r="AE86" s="224" t="n"/>
      <c r="AF86" s="225" t="n"/>
      <c r="AG86" s="226" t="n"/>
      <c r="AH86" s="224" t="n"/>
      <c r="AI86" s="225" t="n"/>
      <c r="AJ86" s="226" t="n"/>
      <c r="AK86" s="224" t="n"/>
      <c r="AL86" s="226" t="n"/>
    </row>
    <row r="87">
      <c r="B87" s="240" t="inlineStr">
        <is>
          <t>1F</t>
        </is>
      </c>
      <c r="C87" s="153" t="inlineStr">
        <is>
          <t>bartender_tracked</t>
        </is>
      </c>
      <c r="D87" s="153">
        <f>_xlfn.CONCAT(B87,": ",C87)</f>
        <v/>
      </c>
      <c r="E87" s="232" t="n">
        <v>21</v>
      </c>
      <c r="F87" s="161" t="inlineStr">
        <is>
          <t>1920x1080</t>
        </is>
      </c>
      <c r="G87" s="153" t="n">
        <v>0</v>
      </c>
      <c r="H87" s="153" t="n">
        <v>1</v>
      </c>
      <c r="I87" s="161" t="n"/>
      <c r="J87" s="121" t="n"/>
      <c r="K87" s="77" t="n"/>
      <c r="S87" s="14" t="n"/>
      <c r="T87" s="73" t="n"/>
      <c r="Y87" s="65" t="n"/>
      <c r="Z87" s="36" t="n"/>
      <c r="AA87" s="69" t="n"/>
      <c r="AB87" s="68" t="n"/>
      <c r="AC87" s="36" t="n"/>
      <c r="AD87" s="69" t="n"/>
      <c r="AE87" s="229" t="n"/>
      <c r="AF87" s="230" t="n"/>
      <c r="AG87" s="231" t="n"/>
      <c r="AH87" s="229" t="n"/>
      <c r="AI87" s="230" t="n"/>
      <c r="AJ87" s="231" t="n"/>
      <c r="AK87" s="229" t="n"/>
      <c r="AL87" s="231" t="n"/>
    </row>
    <row r="88">
      <c r="F88" s="14" t="n"/>
      <c r="I88" s="14" t="n"/>
      <c r="J88" s="121" t="n"/>
      <c r="K88" s="77" t="n"/>
      <c r="S88" s="14" t="n"/>
      <c r="T88" s="73" t="n"/>
      <c r="Y88" s="65" t="n"/>
      <c r="AA88" s="14" t="n"/>
      <c r="AB88" s="65" t="n"/>
      <c r="AD88" s="14" t="n"/>
      <c r="AE88" s="221" t="n"/>
      <c r="AF88" s="222" t="n"/>
      <c r="AG88" s="223" t="n"/>
      <c r="AH88" s="221" t="n"/>
      <c r="AI88" s="222" t="n"/>
      <c r="AJ88" s="223" t="n"/>
      <c r="AK88" s="221" t="n"/>
      <c r="AL88" s="223" t="n"/>
    </row>
    <row r="89">
      <c r="F89" s="14" t="n"/>
      <c r="I89" s="14" t="n"/>
      <c r="J89" s="121" t="n"/>
      <c r="K89" s="77" t="n"/>
      <c r="S89" s="14" t="n"/>
      <c r="T89" s="73" t="n"/>
      <c r="Y89" s="65" t="n"/>
      <c r="AA89" s="14" t="n"/>
      <c r="AB89" s="65" t="n"/>
      <c r="AD89" s="14" t="n"/>
      <c r="AE89" s="221" t="n"/>
      <c r="AF89" s="222" t="n"/>
      <c r="AG89" s="223" t="n"/>
      <c r="AH89" s="221" t="n"/>
      <c r="AI89" s="222" t="n"/>
      <c r="AJ89" s="223" t="n"/>
      <c r="AK89" s="221" t="n"/>
      <c r="AL89" s="223" t="n"/>
    </row>
    <row r="90">
      <c r="F90" s="14" t="n"/>
      <c r="I90" s="14" t="n"/>
      <c r="J90" s="121" t="n"/>
      <c r="K90" s="77" t="n"/>
      <c r="S90" s="14" t="n"/>
      <c r="T90" s="73" t="n"/>
      <c r="Y90" s="65" t="n"/>
      <c r="AA90" s="14" t="n"/>
      <c r="AB90" s="65" t="n"/>
      <c r="AD90" s="14" t="n"/>
      <c r="AE90" s="221" t="n"/>
      <c r="AF90" s="222" t="n"/>
      <c r="AG90" s="223" t="n"/>
      <c r="AH90" s="221" t="n"/>
      <c r="AI90" s="222" t="n"/>
      <c r="AJ90" s="223" t="n"/>
      <c r="AK90" s="221" t="n"/>
      <c r="AL90" s="223" t="n"/>
    </row>
    <row r="91">
      <c r="F91" s="14" t="n"/>
      <c r="I91" s="14" t="n"/>
      <c r="J91" s="121" t="n"/>
      <c r="K91" s="77" t="n"/>
      <c r="S91" s="14" t="n"/>
      <c r="T91" s="73" t="n"/>
      <c r="Y91" s="65" t="n"/>
      <c r="AA91" s="14" t="n"/>
      <c r="AB91" s="65" t="n"/>
      <c r="AD91" s="14" t="n"/>
      <c r="AE91" s="221" t="n"/>
      <c r="AF91" s="222" t="n"/>
      <c r="AG91" s="223" t="n"/>
      <c r="AH91" s="221" t="n"/>
      <c r="AI91" s="222" t="n"/>
      <c r="AJ91" s="223" t="n"/>
      <c r="AK91" s="221" t="n"/>
      <c r="AL91" s="223" t="n"/>
    </row>
    <row r="92">
      <c r="B92" s="9" t="n"/>
      <c r="C92" s="9" t="n"/>
      <c r="D92" s="9" t="n"/>
      <c r="E92" s="9" t="n"/>
      <c r="F92" s="67" t="n"/>
      <c r="G92" s="9" t="n"/>
      <c r="H92" s="9" t="n"/>
      <c r="I92" s="67" t="n"/>
      <c r="J92" s="122" t="n"/>
      <c r="K92" s="79" t="n"/>
      <c r="L92" s="9" t="n"/>
      <c r="M92" s="9" t="n"/>
      <c r="N92" s="9" t="n"/>
      <c r="O92" s="9" t="n"/>
      <c r="P92" s="9" t="n"/>
      <c r="Q92" s="9" t="n"/>
      <c r="R92" s="9" t="n"/>
      <c r="S92" s="67" t="n"/>
      <c r="T92" s="74" t="n"/>
      <c r="U92" s="17" t="n"/>
      <c r="V92" s="17" t="n"/>
      <c r="W92" s="9" t="n"/>
      <c r="X92" s="9" t="n"/>
      <c r="Y92" s="66" t="n"/>
      <c r="Z92" s="9" t="n"/>
      <c r="AA92" s="67" t="n"/>
      <c r="AB92" s="66" t="n"/>
      <c r="AC92" s="9" t="n"/>
      <c r="AD92" s="67" t="n"/>
      <c r="AE92" s="224" t="n"/>
      <c r="AF92" s="225" t="n"/>
      <c r="AG92" s="226" t="n"/>
      <c r="AH92" s="224" t="n"/>
      <c r="AI92" s="225" t="n"/>
      <c r="AJ92" s="226" t="n"/>
      <c r="AK92" s="224" t="n"/>
      <c r="AL92" s="226" t="n"/>
    </row>
    <row r="93">
      <c r="B93" s="240" t="inlineStr">
        <is>
          <t>1F</t>
        </is>
      </c>
      <c r="C93" s="153" t="inlineStr">
        <is>
          <t>cinema_tracked</t>
        </is>
      </c>
      <c r="D93" s="153">
        <f>_xlfn.CONCAT(B93,": ",C93)</f>
        <v/>
      </c>
      <c r="E93" s="232" t="n">
        <v>21</v>
      </c>
      <c r="F93" s="161" t="inlineStr">
        <is>
          <t>1920x1080</t>
        </is>
      </c>
      <c r="G93" s="153" t="n">
        <v>0</v>
      </c>
      <c r="H93" s="153" t="n">
        <v>1</v>
      </c>
      <c r="I93" s="161" t="n"/>
      <c r="J93" s="121" t="n"/>
      <c r="K93" s="77" t="n"/>
      <c r="S93" s="14" t="n"/>
      <c r="T93" s="73" t="n"/>
      <c r="Y93" s="65" t="n"/>
      <c r="Z93" s="36" t="n"/>
      <c r="AA93" s="69" t="n"/>
      <c r="AB93" s="68" t="n"/>
      <c r="AC93" s="36" t="n"/>
      <c r="AD93" s="69" t="n"/>
      <c r="AE93" s="229" t="n"/>
      <c r="AF93" s="230" t="n"/>
      <c r="AG93" s="231" t="n"/>
      <c r="AH93" s="229" t="n"/>
      <c r="AI93" s="230" t="n"/>
      <c r="AJ93" s="231" t="n"/>
      <c r="AK93" s="229" t="n"/>
      <c r="AL93" s="231" t="n"/>
    </row>
    <row r="94">
      <c r="F94" s="14" t="n"/>
      <c r="I94" s="14" t="n"/>
      <c r="J94" s="121" t="n"/>
      <c r="K94" s="77" t="n"/>
      <c r="S94" s="14" t="n"/>
      <c r="T94" s="73" t="n"/>
      <c r="Y94" s="65" t="n"/>
      <c r="AA94" s="14" t="n"/>
      <c r="AB94" s="65" t="n"/>
      <c r="AD94" s="14" t="n"/>
      <c r="AE94" s="221" t="n"/>
      <c r="AF94" s="222" t="n"/>
      <c r="AG94" s="223" t="n"/>
      <c r="AH94" s="221" t="n"/>
      <c r="AI94" s="222" t="n"/>
      <c r="AJ94" s="223" t="n"/>
      <c r="AK94" s="221" t="n"/>
      <c r="AL94" s="223" t="n"/>
    </row>
    <row r="95">
      <c r="F95" s="14" t="n"/>
      <c r="I95" s="14" t="n"/>
      <c r="J95" s="121" t="n"/>
      <c r="K95" s="77" t="n">
        <v>21511478</v>
      </c>
      <c r="L95" t="n">
        <v>1695015</v>
      </c>
      <c r="M95" t="n">
        <v>1920803</v>
      </c>
      <c r="N95" t="n">
        <v>1509040</v>
      </c>
      <c r="O95" t="n">
        <v>1488280</v>
      </c>
      <c r="P95" t="n">
        <v>1933810</v>
      </c>
      <c r="Q95" t="n">
        <v>3138940</v>
      </c>
      <c r="R95" t="n">
        <v>2195636</v>
      </c>
      <c r="S95" s="14" t="n">
        <v>770366</v>
      </c>
      <c r="T95" s="73" t="n">
        <v>38.38852108786453</v>
      </c>
      <c r="U95" t="n">
        <v>42.80881798432285</v>
      </c>
      <c r="V95" t="n">
        <v>0</v>
      </c>
      <c r="W95" t="n">
        <v>0</v>
      </c>
      <c r="X95" t="n">
        <v>0</v>
      </c>
      <c r="Y95" s="65" t="n">
        <v>37.611741865549</v>
      </c>
      <c r="Z95" t="n">
        <v>42.063634637618</v>
      </c>
      <c r="AA95" s="14" t="n">
        <v>0</v>
      </c>
      <c r="AB95" s="65" t="n">
        <v>39.258298436349</v>
      </c>
      <c r="AC95" t="n">
        <v>43.752794321087</v>
      </c>
      <c r="AD95" s="14" t="n">
        <v>0</v>
      </c>
      <c r="AE95" s="221" t="n">
        <v>147.136</v>
      </c>
      <c r="AF95" s="222" t="n">
        <v>84.155</v>
      </c>
      <c r="AG95" s="223" t="n">
        <v>49.598</v>
      </c>
      <c r="AH95" s="221" t="n">
        <v>40.01</v>
      </c>
      <c r="AI95" s="222" t="n">
        <v>2.573</v>
      </c>
      <c r="AJ95" s="223" t="n">
        <v>37.206</v>
      </c>
      <c r="AK95" s="221" t="n">
        <v>1525720</v>
      </c>
      <c r="AL95" s="223" t="n">
        <v>924908</v>
      </c>
    </row>
    <row r="96">
      <c r="F96" s="14" t="n"/>
      <c r="I96" s="14" t="n"/>
      <c r="J96" s="121" t="n"/>
      <c r="K96" s="77" t="n"/>
      <c r="S96" s="14" t="n"/>
      <c r="T96" s="73" t="n"/>
      <c r="Y96" s="65" t="n"/>
      <c r="AA96" s="14" t="n"/>
      <c r="AB96" s="65" t="n"/>
      <c r="AD96" s="14" t="n"/>
      <c r="AE96" s="221" t="n"/>
      <c r="AF96" s="222" t="n"/>
      <c r="AG96" s="223" t="n"/>
      <c r="AH96" s="221" t="n"/>
      <c r="AI96" s="222" t="n"/>
      <c r="AJ96" s="223" t="n"/>
      <c r="AK96" s="221" t="n"/>
      <c r="AL96" s="223" t="n"/>
    </row>
    <row r="97">
      <c r="F97" s="14" t="n"/>
      <c r="I97" s="14" t="n"/>
      <c r="J97" s="121" t="n"/>
      <c r="K97" s="77" t="n"/>
      <c r="S97" s="14" t="n"/>
      <c r="T97" s="73" t="n"/>
      <c r="Y97" s="65" t="n"/>
      <c r="AA97" s="14" t="n"/>
      <c r="AB97" s="65" t="n"/>
      <c r="AD97" s="14" t="n"/>
      <c r="AE97" s="221" t="n"/>
      <c r="AF97" s="222" t="n"/>
      <c r="AG97" s="223" t="n"/>
      <c r="AH97" s="221" t="n"/>
      <c r="AI97" s="222" t="n"/>
      <c r="AJ97" s="223" t="n"/>
      <c r="AK97" s="221" t="n"/>
      <c r="AL97" s="223" t="n"/>
    </row>
    <row r="98">
      <c r="B98" s="9" t="n"/>
      <c r="C98" s="9" t="n"/>
      <c r="D98" s="9" t="n"/>
      <c r="E98" s="9" t="n"/>
      <c r="F98" s="67" t="n"/>
      <c r="G98" s="9" t="n"/>
      <c r="H98" s="9" t="n"/>
      <c r="I98" s="67" t="n"/>
      <c r="J98" s="122" t="n"/>
      <c r="K98" s="79" t="n"/>
      <c r="L98" s="9" t="n"/>
      <c r="M98" s="9" t="n"/>
      <c r="N98" s="9" t="n"/>
      <c r="O98" s="9" t="n"/>
      <c r="P98" s="9" t="n"/>
      <c r="Q98" s="9" t="n"/>
      <c r="R98" s="9" t="n"/>
      <c r="S98" s="67" t="n"/>
      <c r="T98" s="74" t="n"/>
      <c r="U98" s="17" t="n"/>
      <c r="V98" s="17" t="n"/>
      <c r="W98" s="9" t="n"/>
      <c r="X98" s="9" t="n"/>
      <c r="Y98" s="66" t="n"/>
      <c r="Z98" s="9" t="n"/>
      <c r="AA98" s="67" t="n"/>
      <c r="AB98" s="66" t="n"/>
      <c r="AC98" s="9" t="n"/>
      <c r="AD98" s="67" t="n"/>
      <c r="AE98" s="224" t="n"/>
      <c r="AF98" s="225" t="n"/>
      <c r="AG98" s="226" t="n"/>
      <c r="AH98" s="224" t="n"/>
      <c r="AI98" s="225" t="n"/>
      <c r="AJ98" s="226" t="n"/>
      <c r="AK98" s="224" t="n"/>
      <c r="AL98" s="226" t="n"/>
    </row>
    <row r="99">
      <c r="B99" s="241" t="inlineStr">
        <is>
          <t>1F</t>
        </is>
      </c>
      <c r="C99" s="154" t="inlineStr">
        <is>
          <t>breakfast_tracked</t>
        </is>
      </c>
      <c r="D99" s="154">
        <f>_xlfn.CONCAT(B99,": ",C99)</f>
        <v/>
      </c>
      <c r="E99" s="242" t="n">
        <v>15</v>
      </c>
      <c r="F99" s="188" t="inlineStr">
        <is>
          <t>1920x1080</t>
        </is>
      </c>
      <c r="G99" s="154" t="n">
        <v>0</v>
      </c>
      <c r="H99" s="154" t="n">
        <v>1</v>
      </c>
      <c r="I99" s="188" t="n"/>
      <c r="J99" s="121" t="n"/>
      <c r="K99" s="77" t="n"/>
      <c r="S99" s="14" t="n"/>
      <c r="T99" s="73" t="n"/>
      <c r="Y99" s="65" t="n"/>
      <c r="Z99" s="36" t="n"/>
      <c r="AA99" s="69" t="n"/>
      <c r="AB99" s="68" t="n"/>
      <c r="AC99" s="36" t="n"/>
      <c r="AD99" s="69" t="n"/>
      <c r="AE99" s="229" t="n"/>
      <c r="AF99" s="230" t="n"/>
      <c r="AG99" s="231" t="n"/>
      <c r="AH99" s="229" t="n"/>
      <c r="AI99" s="230" t="n"/>
      <c r="AJ99" s="231" t="n"/>
      <c r="AK99" s="229" t="n"/>
      <c r="AL99" s="231" t="n"/>
    </row>
    <row r="100">
      <c r="F100" s="14" t="n"/>
      <c r="I100" s="14" t="n"/>
      <c r="J100" s="121" t="n"/>
      <c r="K100" s="77" t="n"/>
      <c r="S100" s="14" t="n"/>
      <c r="T100" s="73" t="n"/>
      <c r="Y100" s="65" t="n"/>
      <c r="AA100" s="14" t="n"/>
      <c r="AB100" s="65" t="n"/>
      <c r="AD100" s="14" t="n"/>
      <c r="AE100" s="221" t="n"/>
      <c r="AF100" s="222" t="n"/>
      <c r="AG100" s="223" t="n"/>
      <c r="AH100" s="221" t="n"/>
      <c r="AI100" s="222" t="n"/>
      <c r="AJ100" s="223" t="n"/>
      <c r="AK100" s="221" t="n"/>
      <c r="AL100" s="223" t="n"/>
    </row>
    <row r="101">
      <c r="F101" s="14" t="n"/>
      <c r="I101" s="14" t="n"/>
      <c r="J101" s="121" t="n"/>
      <c r="K101" s="77" t="n"/>
      <c r="S101" s="14" t="n"/>
      <c r="T101" s="73" t="n"/>
      <c r="Y101" s="65" t="n"/>
      <c r="AA101" s="14" t="n"/>
      <c r="AB101" s="65" t="n"/>
      <c r="AD101" s="14" t="n"/>
      <c r="AE101" s="221" t="n"/>
      <c r="AF101" s="222" t="n"/>
      <c r="AG101" s="223" t="n"/>
      <c r="AH101" s="221" t="n"/>
      <c r="AI101" s="222" t="n"/>
      <c r="AJ101" s="223" t="n"/>
      <c r="AK101" s="221" t="n"/>
      <c r="AL101" s="223" t="n"/>
    </row>
    <row r="102">
      <c r="F102" s="14" t="n"/>
      <c r="I102" s="14" t="n"/>
      <c r="J102" s="121" t="n"/>
      <c r="K102" s="77" t="n"/>
      <c r="S102" s="14" t="n"/>
      <c r="T102" s="73" t="n"/>
      <c r="Y102" s="65" t="n"/>
      <c r="AA102" s="14" t="n"/>
      <c r="AB102" s="65" t="n"/>
      <c r="AD102" s="14" t="n"/>
      <c r="AE102" s="221" t="n"/>
      <c r="AF102" s="222" t="n"/>
      <c r="AG102" s="223" t="n"/>
      <c r="AH102" s="221" t="n"/>
      <c r="AI102" s="222" t="n"/>
      <c r="AJ102" s="223" t="n"/>
      <c r="AK102" s="221" t="n"/>
      <c r="AL102" s="223" t="n"/>
    </row>
    <row r="103">
      <c r="F103" s="14" t="n"/>
      <c r="I103" s="14" t="n"/>
      <c r="J103" s="121" t="n"/>
      <c r="K103" s="77" t="n"/>
      <c r="S103" s="14" t="n"/>
      <c r="T103" s="73" t="n"/>
      <c r="Y103" s="65" t="n"/>
      <c r="AA103" s="14" t="n"/>
      <c r="AB103" s="65" t="n"/>
      <c r="AD103" s="14" t="n"/>
      <c r="AE103" s="221" t="n"/>
      <c r="AF103" s="222" t="n"/>
      <c r="AG103" s="223" t="n"/>
      <c r="AH103" s="221" t="n"/>
      <c r="AI103" s="222" t="n"/>
      <c r="AJ103" s="223" t="n"/>
      <c r="AK103" s="221" t="n"/>
      <c r="AL103" s="223" t="n"/>
    </row>
    <row r="104" ht="16.2" customHeight="1" thickBot="1">
      <c r="A104" s="10" t="n"/>
      <c r="B104" s="10" t="n"/>
      <c r="C104" s="10" t="n"/>
      <c r="D104" s="10" t="n"/>
      <c r="E104" s="10" t="n"/>
      <c r="F104" s="71" t="n"/>
      <c r="G104" s="10" t="n"/>
      <c r="H104" s="10" t="n"/>
      <c r="I104" s="71" t="n"/>
      <c r="J104" s="124" t="n"/>
      <c r="K104" s="81" t="n"/>
      <c r="L104" s="10" t="n"/>
      <c r="M104" s="10" t="n"/>
      <c r="N104" s="10" t="n"/>
      <c r="O104" s="10" t="n"/>
      <c r="P104" s="10" t="n"/>
      <c r="Q104" s="10" t="n"/>
      <c r="R104" s="10" t="n"/>
      <c r="S104" s="71" t="n"/>
      <c r="T104" s="76" t="n"/>
      <c r="U104" s="18" t="n"/>
      <c r="V104" s="18" t="n"/>
      <c r="W104" s="10" t="n"/>
      <c r="X104" s="10" t="n"/>
      <c r="Y104" s="70" t="n"/>
      <c r="Z104" s="10" t="n"/>
      <c r="AA104" s="71" t="n"/>
      <c r="AB104" s="70" t="n"/>
      <c r="AC104" s="10" t="n"/>
      <c r="AD104" s="71" t="n"/>
      <c r="AE104" s="235" t="n"/>
      <c r="AF104" s="236" t="n"/>
      <c r="AG104" s="237" t="n"/>
      <c r="AH104" s="235" t="n"/>
      <c r="AI104" s="236" t="n"/>
      <c r="AJ104" s="237" t="n"/>
      <c r="AK104" s="235" t="n"/>
      <c r="AL104" s="237" t="n"/>
    </row>
    <row r="105" ht="15" customHeight="1">
      <c r="A105" s="243" t="inlineStr">
        <is>
          <t>Object centric</t>
        </is>
      </c>
      <c r="B105" s="244" t="inlineStr">
        <is>
          <t>1F</t>
        </is>
      </c>
      <c r="C105" s="151" t="inlineStr">
        <is>
          <t>manwithfruit_tracked</t>
        </is>
      </c>
      <c r="D105" s="151">
        <f>_xlfn.CONCAT(B105,": ",C105)</f>
        <v/>
      </c>
      <c r="E105" s="216" t="n">
        <v>24</v>
      </c>
      <c r="F105" s="187" t="inlineStr">
        <is>
          <t>3840x2160</t>
        </is>
      </c>
      <c r="G105" s="151" t="n">
        <v>81</v>
      </c>
      <c r="H105" s="151" t="n">
        <v>1</v>
      </c>
      <c r="I105" s="187" t="n"/>
      <c r="J105" s="119" t="n"/>
      <c r="K105" s="77" t="n"/>
      <c r="S105" s="14" t="n"/>
      <c r="T105" s="73" t="n"/>
      <c r="Y105" s="65" t="n"/>
      <c r="Z105" s="38" t="n"/>
      <c r="AA105" s="15" t="n"/>
      <c r="AB105" s="64" t="n"/>
      <c r="AC105" s="38" t="n"/>
      <c r="AD105" s="15" t="n"/>
      <c r="AE105" s="218" t="n"/>
      <c r="AF105" s="219" t="n"/>
      <c r="AG105" s="220" t="n"/>
      <c r="AH105" s="218" t="n"/>
      <c r="AI105" s="219" t="n"/>
      <c r="AJ105" s="220" t="n"/>
      <c r="AK105" s="218" t="n"/>
      <c r="AL105" s="220" t="n"/>
    </row>
    <row r="106">
      <c r="F106" s="14" t="n"/>
      <c r="I106" s="14" t="n"/>
      <c r="J106" s="119" t="n"/>
      <c r="K106" s="77" t="n"/>
      <c r="S106" s="14" t="n"/>
      <c r="T106" s="73" t="n"/>
      <c r="Y106" s="65" t="n"/>
      <c r="AA106" s="14" t="n"/>
      <c r="AB106" s="65" t="n"/>
      <c r="AD106" s="14" t="n"/>
      <c r="AE106" s="221" t="n"/>
      <c r="AF106" s="222" t="n"/>
      <c r="AG106" s="223" t="n"/>
      <c r="AH106" s="221" t="n"/>
      <c r="AI106" s="222" t="n"/>
      <c r="AJ106" s="223" t="n"/>
      <c r="AK106" s="221" t="n"/>
      <c r="AL106" s="223" t="n"/>
    </row>
    <row r="107">
      <c r="F107" s="14" t="n"/>
      <c r="I107" s="14" t="n"/>
      <c r="J107" s="119" t="n"/>
      <c r="K107" s="77" t="n"/>
      <c r="S107" s="14" t="n"/>
      <c r="T107" s="73" t="n"/>
      <c r="Y107" s="65" t="n"/>
      <c r="AA107" s="14" t="n"/>
      <c r="AB107" s="65" t="n"/>
      <c r="AD107" s="14" t="n"/>
      <c r="AE107" s="221" t="n"/>
      <c r="AF107" s="222" t="n"/>
      <c r="AG107" s="223" t="n"/>
      <c r="AH107" s="221" t="n"/>
      <c r="AI107" s="222" t="n"/>
      <c r="AJ107" s="223" t="n"/>
      <c r="AK107" s="221" t="n"/>
      <c r="AL107" s="223" t="n"/>
    </row>
    <row r="108">
      <c r="F108" s="14" t="n"/>
      <c r="I108" s="14" t="n"/>
      <c r="J108" s="119" t="n"/>
      <c r="K108" s="77" t="n"/>
      <c r="S108" s="14" t="n"/>
      <c r="T108" s="73" t="n"/>
      <c r="Y108" s="65" t="n"/>
      <c r="AA108" s="14" t="n"/>
      <c r="AB108" s="65" t="n"/>
      <c r="AD108" s="14" t="n"/>
      <c r="AE108" s="221" t="n"/>
      <c r="AF108" s="222" t="n"/>
      <c r="AG108" s="223" t="n"/>
      <c r="AH108" s="221" t="n"/>
      <c r="AI108" s="222" t="n"/>
      <c r="AJ108" s="223" t="n"/>
      <c r="AK108" s="221" t="n"/>
      <c r="AL108" s="223" t="n"/>
    </row>
    <row r="109">
      <c r="F109" s="14" t="n"/>
      <c r="I109" s="14" t="n"/>
      <c r="J109" s="119" t="n"/>
      <c r="K109" s="77" t="n"/>
      <c r="S109" s="14" t="n"/>
      <c r="T109" s="73" t="n"/>
      <c r="Y109" s="65" t="n"/>
      <c r="AA109" s="14" t="n"/>
      <c r="AB109" s="65" t="n"/>
      <c r="AD109" s="14" t="n"/>
      <c r="AE109" s="221" t="n"/>
      <c r="AF109" s="222" t="n"/>
      <c r="AG109" s="223" t="n"/>
      <c r="AH109" s="221" t="n"/>
      <c r="AI109" s="222" t="n"/>
      <c r="AJ109" s="223" t="n"/>
      <c r="AK109" s="221" t="n"/>
      <c r="AL109" s="223" t="n"/>
    </row>
    <row r="110">
      <c r="B110" s="9" t="n"/>
      <c r="C110" s="9" t="n"/>
      <c r="D110" s="9" t="n"/>
      <c r="E110" s="9" t="n"/>
      <c r="F110" s="67" t="n"/>
      <c r="G110" s="9" t="n"/>
      <c r="H110" s="9" t="n"/>
      <c r="I110" s="67" t="n"/>
      <c r="J110" s="120" t="n"/>
      <c r="K110" s="79" t="n"/>
      <c r="L110" s="9" t="n"/>
      <c r="M110" s="9" t="n"/>
      <c r="N110" s="9" t="n"/>
      <c r="O110" s="9" t="n"/>
      <c r="P110" s="9" t="n"/>
      <c r="Q110" s="9" t="n"/>
      <c r="R110" s="9" t="n"/>
      <c r="S110" s="67" t="n"/>
      <c r="T110" s="74" t="n"/>
      <c r="U110" s="17" t="n"/>
      <c r="V110" s="17" t="n"/>
      <c r="W110" s="9" t="n"/>
      <c r="X110" s="9" t="n"/>
      <c r="Y110" s="66" t="n"/>
      <c r="Z110" s="9" t="n"/>
      <c r="AA110" s="67" t="n"/>
      <c r="AB110" s="66" t="n"/>
      <c r="AC110" s="9" t="n"/>
      <c r="AD110" s="67" t="n"/>
      <c r="AE110" s="224" t="n"/>
      <c r="AF110" s="225" t="n"/>
      <c r="AG110" s="226" t="n"/>
      <c r="AH110" s="224" t="n"/>
      <c r="AI110" s="225" t="n"/>
      <c r="AJ110" s="226" t="n"/>
      <c r="AK110" s="224" t="n"/>
      <c r="AL110" s="226" t="n"/>
    </row>
    <row r="111">
      <c r="B111" s="245" t="inlineStr">
        <is>
          <t>1F</t>
        </is>
      </c>
      <c r="C111" s="151" t="inlineStr">
        <is>
          <t>lego_ferrari</t>
        </is>
      </c>
      <c r="D111" s="151">
        <f>_xlfn.CONCAT(B111,": ",C111)</f>
        <v/>
      </c>
      <c r="E111" s="228" t="n">
        <v>128</v>
      </c>
      <c r="F111" s="187" t="inlineStr">
        <is>
          <t>4594x5514</t>
        </is>
      </c>
      <c r="G111" s="151" t="n">
        <v>0</v>
      </c>
      <c r="H111" s="151" t="n">
        <v>1</v>
      </c>
      <c r="I111" s="187" t="n"/>
      <c r="J111" s="119" t="n"/>
      <c r="K111" s="77" t="n"/>
      <c r="S111" s="14" t="n"/>
      <c r="T111" s="73" t="n"/>
      <c r="Y111" s="65" t="n"/>
      <c r="Z111" s="36" t="n"/>
      <c r="AA111" s="69" t="n"/>
      <c r="AB111" s="68" t="n"/>
      <c r="AC111" s="36" t="n"/>
      <c r="AD111" s="69" t="n"/>
      <c r="AE111" s="229" t="n"/>
      <c r="AF111" s="230" t="n"/>
      <c r="AG111" s="231" t="n"/>
      <c r="AH111" s="229" t="n"/>
      <c r="AI111" s="230" t="n"/>
      <c r="AJ111" s="231" t="n"/>
      <c r="AK111" s="229" t="n"/>
      <c r="AL111" s="231" t="n"/>
    </row>
    <row r="112">
      <c r="F112" s="14" t="n"/>
      <c r="I112" s="14" t="n"/>
      <c r="J112" s="119" t="n"/>
      <c r="K112" s="77" t="n"/>
      <c r="S112" s="14" t="n"/>
      <c r="T112" s="73" t="n"/>
      <c r="Y112" s="65" t="n"/>
      <c r="AA112" s="14" t="n"/>
      <c r="AB112" s="65" t="n"/>
      <c r="AD112" s="14" t="n"/>
      <c r="AE112" s="221" t="n"/>
      <c r="AF112" s="222" t="n"/>
      <c r="AG112" s="223" t="n"/>
      <c r="AH112" s="221" t="n"/>
      <c r="AI112" s="222" t="n"/>
      <c r="AJ112" s="223" t="n"/>
      <c r="AK112" s="221" t="n"/>
      <c r="AL112" s="223" t="n"/>
    </row>
    <row r="113">
      <c r="F113" s="14" t="n"/>
      <c r="I113" s="14" t="n"/>
      <c r="J113" s="119" t="n"/>
      <c r="K113" s="77" t="n"/>
      <c r="S113" s="14" t="n"/>
      <c r="T113" s="73" t="n"/>
      <c r="Y113" s="65" t="n"/>
      <c r="AA113" s="14" t="n"/>
      <c r="AB113" s="65" t="n"/>
      <c r="AD113" s="14" t="n"/>
      <c r="AE113" s="221" t="n"/>
      <c r="AF113" s="222" t="n"/>
      <c r="AG113" s="223" t="n"/>
      <c r="AH113" s="221" t="n"/>
      <c r="AI113" s="222" t="n"/>
      <c r="AJ113" s="223" t="n"/>
      <c r="AK113" s="221" t="n"/>
      <c r="AL113" s="223" t="n"/>
    </row>
    <row r="114">
      <c r="F114" s="14" t="n"/>
      <c r="I114" s="14" t="n"/>
      <c r="J114" s="119" t="n"/>
      <c r="K114" s="77" t="n"/>
      <c r="S114" s="14" t="n"/>
      <c r="T114" s="73" t="n"/>
      <c r="Y114" s="65" t="n"/>
      <c r="AA114" s="14" t="n"/>
      <c r="AB114" s="65" t="n"/>
      <c r="AD114" s="14" t="n"/>
      <c r="AE114" s="221" t="n"/>
      <c r="AF114" s="222" t="n"/>
      <c r="AG114" s="223" t="n"/>
      <c r="AH114" s="221" t="n"/>
      <c r="AI114" s="222" t="n"/>
      <c r="AJ114" s="223" t="n"/>
      <c r="AK114" s="221" t="n"/>
      <c r="AL114" s="223" t="n"/>
    </row>
    <row r="115">
      <c r="F115" s="14" t="n"/>
      <c r="I115" s="14" t="n"/>
      <c r="J115" s="119" t="n"/>
      <c r="K115" s="77" t="n"/>
      <c r="S115" s="14" t="n"/>
      <c r="T115" s="73" t="n"/>
      <c r="Y115" s="65" t="n"/>
      <c r="AA115" s="14" t="n"/>
      <c r="AB115" s="65" t="n"/>
      <c r="AD115" s="14" t="n"/>
      <c r="AE115" s="221" t="n"/>
      <c r="AF115" s="222" t="n"/>
      <c r="AG115" s="223" t="n"/>
      <c r="AH115" s="221" t="n"/>
      <c r="AI115" s="222" t="n"/>
      <c r="AJ115" s="223" t="n"/>
      <c r="AK115" s="221" t="n"/>
      <c r="AL115" s="223" t="n"/>
    </row>
    <row r="116">
      <c r="B116" s="9" t="n"/>
      <c r="C116" s="9" t="n"/>
      <c r="D116" s="9" t="n"/>
      <c r="E116" s="9" t="n"/>
      <c r="F116" s="67" t="n"/>
      <c r="G116" s="9" t="n"/>
      <c r="H116" s="9" t="n"/>
      <c r="I116" s="67" t="n"/>
      <c r="J116" s="120" t="n"/>
      <c r="K116" s="79" t="n"/>
      <c r="L116" s="9" t="n"/>
      <c r="M116" s="9" t="n"/>
      <c r="N116" s="9" t="n"/>
      <c r="O116" s="9" t="n"/>
      <c r="P116" s="9" t="n"/>
      <c r="Q116" s="9" t="n"/>
      <c r="R116" s="9" t="n"/>
      <c r="S116" s="67" t="n"/>
      <c r="T116" s="74" t="n"/>
      <c r="U116" s="17" t="n"/>
      <c r="V116" s="17" t="n"/>
      <c r="W116" s="9" t="n"/>
      <c r="X116" s="9" t="n"/>
      <c r="Y116" s="66" t="n"/>
      <c r="Z116" s="9" t="n"/>
      <c r="AA116" s="67" t="n"/>
      <c r="AB116" s="66" t="n"/>
      <c r="AC116" s="9" t="n"/>
      <c r="AD116" s="67" t="n"/>
      <c r="AE116" s="224" t="n"/>
      <c r="AF116" s="225" t="n"/>
      <c r="AG116" s="226" t="n"/>
      <c r="AH116" s="224" t="n"/>
      <c r="AI116" s="225" t="n"/>
      <c r="AJ116" s="226" t="n"/>
      <c r="AK116" s="224" t="n"/>
      <c r="AL116" s="226" t="n"/>
    </row>
    <row r="117">
      <c r="B117" s="245" t="inlineStr">
        <is>
          <t>1F</t>
        </is>
      </c>
      <c r="C117" s="151" t="inlineStr">
        <is>
          <t>lego_bugatti</t>
        </is>
      </c>
      <c r="D117" s="151">
        <f>_xlfn.CONCAT(B117,": ",C117)</f>
        <v/>
      </c>
      <c r="E117" s="228" t="n">
        <v>132</v>
      </c>
      <c r="F117" s="187" t="inlineStr">
        <is>
          <t>3852x2868</t>
        </is>
      </c>
      <c r="G117" s="151" t="n">
        <v>0</v>
      </c>
      <c r="H117" s="151" t="n">
        <v>1</v>
      </c>
      <c r="I117" s="187" t="n"/>
      <c r="J117" s="119" t="n"/>
      <c r="K117" s="77" t="n"/>
      <c r="S117" s="14" t="n"/>
      <c r="T117" s="73" t="n"/>
      <c r="Y117" s="65" t="n"/>
      <c r="Z117" s="36" t="n"/>
      <c r="AA117" s="69" t="n"/>
      <c r="AB117" s="68" t="n"/>
      <c r="AC117" s="36" t="n"/>
      <c r="AD117" s="69" t="n"/>
      <c r="AE117" s="229" t="n"/>
      <c r="AF117" s="230" t="n"/>
      <c r="AG117" s="231" t="n"/>
      <c r="AH117" s="229" t="n"/>
      <c r="AI117" s="230" t="n"/>
      <c r="AJ117" s="231" t="n"/>
      <c r="AK117" s="229" t="n"/>
      <c r="AL117" s="231" t="n"/>
    </row>
    <row r="118">
      <c r="F118" s="14" t="n"/>
      <c r="I118" s="14" t="n"/>
      <c r="J118" s="119" t="n"/>
      <c r="K118" s="77" t="n"/>
      <c r="S118" s="14" t="n"/>
      <c r="T118" s="73" t="n"/>
      <c r="Y118" s="65" t="n"/>
      <c r="AA118" s="14" t="n"/>
      <c r="AB118" s="65" t="n"/>
      <c r="AD118" s="14" t="n"/>
      <c r="AE118" s="221" t="n"/>
      <c r="AF118" s="222" t="n"/>
      <c r="AG118" s="223" t="n"/>
      <c r="AH118" s="221" t="n"/>
      <c r="AI118" s="222" t="n"/>
      <c r="AJ118" s="223" t="n"/>
      <c r="AK118" s="221" t="n"/>
      <c r="AL118" s="223" t="n"/>
    </row>
    <row r="119">
      <c r="F119" s="14" t="n"/>
      <c r="I119" s="14" t="n"/>
      <c r="J119" s="119" t="n"/>
      <c r="K119" s="77" t="n"/>
      <c r="S119" s="14" t="n"/>
      <c r="T119" s="73" t="n"/>
      <c r="Y119" s="65" t="n"/>
      <c r="AA119" s="14" t="n"/>
      <c r="AB119" s="65" t="n"/>
      <c r="AD119" s="14" t="n"/>
      <c r="AE119" s="221" t="n"/>
      <c r="AF119" s="222" t="n"/>
      <c r="AG119" s="223" t="n"/>
      <c r="AH119" s="221" t="n"/>
      <c r="AI119" s="222" t="n"/>
      <c r="AJ119" s="223" t="n"/>
      <c r="AK119" s="221" t="n"/>
      <c r="AL119" s="223" t="n"/>
    </row>
    <row r="120">
      <c r="F120" s="14" t="n"/>
      <c r="I120" s="14" t="n"/>
      <c r="J120" s="119" t="n"/>
      <c r="K120" s="77" t="n"/>
      <c r="S120" s="14" t="n"/>
      <c r="T120" s="73" t="n"/>
      <c r="Y120" s="65" t="n"/>
      <c r="AA120" s="14" t="n"/>
      <c r="AB120" s="65" t="n"/>
      <c r="AD120" s="14" t="n"/>
      <c r="AE120" s="221" t="n"/>
      <c r="AF120" s="222" t="n"/>
      <c r="AG120" s="223" t="n"/>
      <c r="AH120" s="221" t="n"/>
      <c r="AI120" s="222" t="n"/>
      <c r="AJ120" s="223" t="n"/>
      <c r="AK120" s="221" t="n"/>
      <c r="AL120" s="223" t="n"/>
    </row>
    <row r="121">
      <c r="F121" s="14" t="n"/>
      <c r="I121" s="14" t="n"/>
      <c r="J121" s="119" t="n"/>
      <c r="K121" s="77" t="n"/>
      <c r="S121" s="14" t="n"/>
      <c r="T121" s="73" t="n"/>
      <c r="Y121" s="65" t="n"/>
      <c r="AA121" s="14" t="n"/>
      <c r="AB121" s="65" t="n"/>
      <c r="AD121" s="14" t="n"/>
      <c r="AE121" s="221" t="n"/>
      <c r="AF121" s="222" t="n"/>
      <c r="AG121" s="223" t="n"/>
      <c r="AH121" s="221" t="n"/>
      <c r="AI121" s="222" t="n"/>
      <c r="AJ121" s="223" t="n"/>
      <c r="AK121" s="221" t="n"/>
      <c r="AL121" s="223" t="n"/>
    </row>
    <row r="122">
      <c r="B122" s="9" t="n"/>
      <c r="C122" s="9" t="n"/>
      <c r="D122" s="9" t="n"/>
      <c r="E122" s="9" t="n"/>
      <c r="F122" s="67" t="n"/>
      <c r="G122" s="9" t="n"/>
      <c r="H122" s="9" t="n"/>
      <c r="I122" s="67" t="n"/>
      <c r="J122" s="120" t="n"/>
      <c r="K122" s="79" t="n"/>
      <c r="L122" s="9" t="n"/>
      <c r="M122" s="9" t="n"/>
      <c r="N122" s="9" t="n"/>
      <c r="O122" s="9" t="n"/>
      <c r="P122" s="9" t="n"/>
      <c r="Q122" s="9" t="n"/>
      <c r="R122" s="9" t="n"/>
      <c r="S122" s="67" t="n"/>
      <c r="T122" s="74" t="n"/>
      <c r="U122" s="17" t="n"/>
      <c r="V122" s="17" t="n"/>
      <c r="W122" s="9" t="n"/>
      <c r="X122" s="9" t="n"/>
      <c r="Y122" s="66" t="n"/>
      <c r="Z122" s="9" t="n"/>
      <c r="AA122" s="67" t="n"/>
      <c r="AB122" s="66" t="n"/>
      <c r="AC122" s="9" t="n"/>
      <c r="AD122" s="67" t="n"/>
      <c r="AE122" s="224" t="n"/>
      <c r="AF122" s="225" t="n"/>
      <c r="AG122" s="226" t="n"/>
      <c r="AH122" s="224" t="n"/>
      <c r="AI122" s="225" t="n"/>
      <c r="AJ122" s="226" t="n"/>
      <c r="AK122" s="224" t="n"/>
      <c r="AL122" s="226" t="n"/>
    </row>
    <row r="123">
      <c r="B123" s="245" t="inlineStr">
        <is>
          <t>1F</t>
        </is>
      </c>
      <c r="C123" s="151" t="inlineStr">
        <is>
          <t>cricket_player</t>
        </is>
      </c>
      <c r="D123" s="151">
        <f>_xlfn.CONCAT(B123,": ",C123)</f>
        <v/>
      </c>
      <c r="E123" s="228" t="n">
        <v>60</v>
      </c>
      <c r="F123" s="187" t="inlineStr">
        <is>
          <t>4520x2540</t>
        </is>
      </c>
      <c r="G123" s="151" t="n">
        <v>0</v>
      </c>
      <c r="H123" s="151" t="n">
        <v>1</v>
      </c>
      <c r="I123" s="187" t="n"/>
      <c r="J123" s="119" t="n"/>
      <c r="K123" s="77" t="n"/>
      <c r="S123" s="14" t="n"/>
      <c r="T123" s="73" t="n"/>
      <c r="Y123" s="65" t="n"/>
      <c r="Z123" s="36" t="n"/>
      <c r="AA123" s="69" t="n"/>
      <c r="AB123" s="68" t="n"/>
      <c r="AC123" s="36" t="n"/>
      <c r="AD123" s="69" t="n"/>
      <c r="AE123" s="229" t="n"/>
      <c r="AF123" s="230" t="n"/>
      <c r="AG123" s="231" t="n"/>
      <c r="AH123" s="229" t="n"/>
      <c r="AI123" s="230" t="n"/>
      <c r="AJ123" s="231" t="n"/>
      <c r="AK123" s="229" t="n"/>
      <c r="AL123" s="231" t="n"/>
    </row>
    <row r="124">
      <c r="F124" s="14" t="n"/>
      <c r="I124" s="14" t="n"/>
      <c r="J124" s="119" t="n"/>
      <c r="K124" s="77" t="n"/>
      <c r="S124" s="14" t="n"/>
      <c r="T124" s="73" t="n"/>
      <c r="Y124" s="65" t="n"/>
      <c r="AA124" s="14" t="n"/>
      <c r="AB124" s="65" t="n"/>
      <c r="AD124" s="14" t="n"/>
      <c r="AE124" s="221" t="n"/>
      <c r="AF124" s="222" t="n"/>
      <c r="AG124" s="223" t="n"/>
      <c r="AH124" s="221" t="n"/>
      <c r="AI124" s="222" t="n"/>
      <c r="AJ124" s="223" t="n"/>
      <c r="AK124" s="221" t="n"/>
      <c r="AL124" s="223" t="n"/>
    </row>
    <row r="125">
      <c r="F125" s="14" t="n"/>
      <c r="I125" s="14" t="n"/>
      <c r="J125" s="119" t="n"/>
      <c r="K125" s="77" t="n"/>
      <c r="S125" s="14" t="n"/>
      <c r="T125" s="73" t="n"/>
      <c r="Y125" s="65" t="n"/>
      <c r="AA125" s="14" t="n"/>
      <c r="AB125" s="65" t="n"/>
      <c r="AD125" s="14" t="n"/>
      <c r="AE125" s="221" t="n"/>
      <c r="AF125" s="222" t="n"/>
      <c r="AG125" s="223" t="n"/>
      <c r="AH125" s="221" t="n"/>
      <c r="AI125" s="222" t="n"/>
      <c r="AJ125" s="223" t="n"/>
      <c r="AK125" s="221" t="n"/>
      <c r="AL125" s="223" t="n"/>
    </row>
    <row r="126">
      <c r="F126" s="14" t="n"/>
      <c r="I126" s="14" t="n"/>
      <c r="J126" s="119" t="n"/>
      <c r="K126" s="77" t="n"/>
      <c r="S126" s="14" t="n"/>
      <c r="T126" s="73" t="n"/>
      <c r="Y126" s="65" t="n"/>
      <c r="AA126" s="14" t="n"/>
      <c r="AB126" s="65" t="n"/>
      <c r="AD126" s="14" t="n"/>
      <c r="AE126" s="221" t="n"/>
      <c r="AF126" s="222" t="n"/>
      <c r="AG126" s="223" t="n"/>
      <c r="AH126" s="221" t="n"/>
      <c r="AI126" s="222" t="n"/>
      <c r="AJ126" s="223" t="n"/>
      <c r="AK126" s="221" t="n"/>
      <c r="AL126" s="223" t="n"/>
    </row>
    <row r="127">
      <c r="F127" s="14" t="n"/>
      <c r="I127" s="14" t="n"/>
      <c r="J127" s="119" t="n"/>
      <c r="K127" s="77" t="n"/>
      <c r="S127" s="14" t="n"/>
      <c r="T127" s="73" t="n"/>
      <c r="Y127" s="65" t="n"/>
      <c r="AA127" s="14" t="n"/>
      <c r="AB127" s="65" t="n"/>
      <c r="AD127" s="14" t="n"/>
      <c r="AE127" s="221" t="n"/>
      <c r="AF127" s="222" t="n"/>
      <c r="AG127" s="223" t="n"/>
      <c r="AH127" s="221" t="n"/>
      <c r="AI127" s="222" t="n"/>
      <c r="AJ127" s="223" t="n"/>
      <c r="AK127" s="221" t="n"/>
      <c r="AL127" s="223" t="n"/>
    </row>
    <row r="128">
      <c r="B128" s="9" t="n"/>
      <c r="C128" s="9" t="n"/>
      <c r="D128" s="9" t="n"/>
      <c r="E128" s="9" t="n"/>
      <c r="F128" s="67" t="n"/>
      <c r="G128" s="9" t="n"/>
      <c r="H128" s="9" t="n"/>
      <c r="I128" s="67" t="n"/>
      <c r="J128" s="120" t="n"/>
      <c r="K128" s="79" t="n"/>
      <c r="L128" s="9" t="n"/>
      <c r="M128" s="9" t="n"/>
      <c r="N128" s="9" t="n"/>
      <c r="O128" s="9" t="n"/>
      <c r="P128" s="9" t="n"/>
      <c r="Q128" s="9" t="n"/>
      <c r="R128" s="9" t="n"/>
      <c r="S128" s="67" t="n"/>
      <c r="T128" s="74" t="n"/>
      <c r="U128" s="17" t="n"/>
      <c r="V128" s="17" t="n"/>
      <c r="W128" s="9" t="n"/>
      <c r="X128" s="9" t="n"/>
      <c r="Y128" s="66" t="n"/>
      <c r="Z128" s="9" t="n"/>
      <c r="AA128" s="67" t="n"/>
      <c r="AB128" s="66" t="n"/>
      <c r="AC128" s="9" t="n"/>
      <c r="AD128" s="67" t="n"/>
      <c r="AE128" s="224" t="n"/>
      <c r="AF128" s="225" t="n"/>
      <c r="AG128" s="226" t="n"/>
      <c r="AH128" s="224" t="n"/>
      <c r="AI128" s="225" t="n"/>
      <c r="AJ128" s="226" t="n"/>
      <c r="AK128" s="224" t="n"/>
      <c r="AL128" s="226" t="n"/>
    </row>
    <row r="129">
      <c r="B129" s="245" t="inlineStr">
        <is>
          <t>1F</t>
        </is>
      </c>
      <c r="C129" s="151" t="inlineStr">
        <is>
          <t>plant</t>
        </is>
      </c>
      <c r="D129" s="151">
        <f>_xlfn.CONCAT(B129,": ",C129)</f>
        <v/>
      </c>
      <c r="E129" s="228" t="n">
        <v>66</v>
      </c>
      <c r="F129" s="187" t="inlineStr">
        <is>
          <t>2954x3968</t>
        </is>
      </c>
      <c r="G129" s="151" t="n">
        <v>0</v>
      </c>
      <c r="H129" s="151" t="n">
        <v>1</v>
      </c>
      <c r="I129" s="187" t="n"/>
      <c r="J129" s="119" t="n"/>
      <c r="K129" s="77" t="n"/>
      <c r="S129" s="14" t="n"/>
      <c r="T129" s="73" t="n"/>
      <c r="Y129" s="65" t="n"/>
      <c r="Z129" s="36" t="n"/>
      <c r="AA129" s="69" t="n"/>
      <c r="AB129" s="68" t="n"/>
      <c r="AC129" s="36" t="n"/>
      <c r="AD129" s="69" t="n"/>
      <c r="AE129" s="229" t="n"/>
      <c r="AF129" s="230" t="n"/>
      <c r="AG129" s="231" t="n"/>
      <c r="AH129" s="229" t="n"/>
      <c r="AI129" s="230" t="n"/>
      <c r="AJ129" s="231" t="n"/>
      <c r="AK129" s="229" t="n"/>
      <c r="AL129" s="231" t="n"/>
    </row>
    <row r="130">
      <c r="F130" s="14" t="n"/>
      <c r="I130" s="14" t="n"/>
      <c r="J130" s="119" t="n"/>
      <c r="K130" s="77" t="n"/>
      <c r="S130" s="14" t="n"/>
      <c r="T130" s="73" t="n"/>
      <c r="Y130" s="65" t="n"/>
      <c r="AA130" s="14" t="n"/>
      <c r="AB130" s="65" t="n"/>
      <c r="AD130" s="14" t="n"/>
      <c r="AE130" s="221" t="n"/>
      <c r="AF130" s="222" t="n"/>
      <c r="AG130" s="223" t="n"/>
      <c r="AH130" s="221" t="n"/>
      <c r="AI130" s="222" t="n"/>
      <c r="AJ130" s="223" t="n"/>
      <c r="AK130" s="221" t="n"/>
      <c r="AL130" s="223" t="n"/>
    </row>
    <row r="131">
      <c r="F131" s="14" t="n"/>
      <c r="I131" s="14" t="n"/>
      <c r="J131" s="119" t="n"/>
      <c r="K131" s="77" t="n"/>
      <c r="S131" s="14" t="n"/>
      <c r="T131" s="73" t="n"/>
      <c r="Y131" s="65" t="n"/>
      <c r="AA131" s="14" t="n"/>
      <c r="AB131" s="65" t="n"/>
      <c r="AD131" s="14" t="n"/>
      <c r="AE131" s="221" t="n"/>
      <c r="AF131" s="222" t="n"/>
      <c r="AG131" s="223" t="n"/>
      <c r="AH131" s="221" t="n"/>
      <c r="AI131" s="222" t="n"/>
      <c r="AJ131" s="223" t="n"/>
      <c r="AK131" s="221" t="n"/>
      <c r="AL131" s="223" t="n"/>
    </row>
    <row r="132">
      <c r="F132" s="14" t="n"/>
      <c r="I132" s="14" t="n"/>
      <c r="J132" s="119" t="n"/>
      <c r="K132" s="77" t="n"/>
      <c r="S132" s="14" t="n"/>
      <c r="T132" s="73" t="n"/>
      <c r="Y132" s="65" t="n"/>
      <c r="AA132" s="14" t="n"/>
      <c r="AB132" s="65" t="n"/>
      <c r="AD132" s="14" t="n"/>
      <c r="AE132" s="221" t="n"/>
      <c r="AF132" s="222" t="n"/>
      <c r="AG132" s="223" t="n"/>
      <c r="AH132" s="221" t="n"/>
      <c r="AI132" s="222" t="n"/>
      <c r="AJ132" s="223" t="n"/>
      <c r="AK132" s="221" t="n"/>
      <c r="AL132" s="223" t="n"/>
    </row>
    <row r="133">
      <c r="F133" s="14" t="n"/>
      <c r="I133" s="14" t="n"/>
      <c r="J133" s="119" t="n"/>
      <c r="K133" s="77" t="n"/>
      <c r="S133" s="14" t="n"/>
      <c r="T133" s="73" t="n"/>
      <c r="Y133" s="65" t="n"/>
      <c r="AA133" s="14" t="n"/>
      <c r="AB133" s="65" t="n"/>
      <c r="AD133" s="14" t="n"/>
      <c r="AE133" s="221" t="n"/>
      <c r="AF133" s="222" t="n"/>
      <c r="AG133" s="223" t="n"/>
      <c r="AH133" s="221" t="n"/>
      <c r="AI133" s="222" t="n"/>
      <c r="AJ133" s="223" t="n"/>
      <c r="AK133" s="221" t="n"/>
      <c r="AL133" s="223" t="n"/>
    </row>
    <row r="134">
      <c r="B134" s="9" t="n"/>
      <c r="C134" s="9" t="n"/>
      <c r="D134" s="9" t="n"/>
      <c r="E134" s="9" t="n"/>
      <c r="F134" s="67" t="n"/>
      <c r="G134" s="9" t="n"/>
      <c r="H134" s="9" t="n"/>
      <c r="I134" s="67" t="n"/>
      <c r="J134" s="120" t="n"/>
      <c r="K134" s="79" t="n"/>
      <c r="L134" s="9" t="n"/>
      <c r="M134" s="9" t="n"/>
      <c r="N134" s="9" t="n"/>
      <c r="O134" s="9" t="n"/>
      <c r="P134" s="9" t="n"/>
      <c r="Q134" s="9" t="n"/>
      <c r="R134" s="9" t="n"/>
      <c r="S134" s="67" t="n"/>
      <c r="T134" s="74" t="n"/>
      <c r="U134" s="17" t="n"/>
      <c r="V134" s="17" t="n"/>
      <c r="W134" s="9" t="n"/>
      <c r="X134" s="9" t="n"/>
      <c r="Y134" s="66" t="n"/>
      <c r="Z134" s="9" t="n"/>
      <c r="AA134" s="67" t="n"/>
      <c r="AB134" s="66" t="n"/>
      <c r="AC134" s="9" t="n"/>
      <c r="AD134" s="67" t="n"/>
      <c r="AE134" s="224" t="n"/>
      <c r="AF134" s="225" t="n"/>
      <c r="AG134" s="226" t="n"/>
      <c r="AH134" s="224" t="n"/>
      <c r="AI134" s="225" t="n"/>
      <c r="AJ134" s="226" t="n"/>
      <c r="AK134" s="224" t="n"/>
      <c r="AL134" s="226" t="n"/>
    </row>
    <row r="135">
      <c r="B135" s="245" t="inlineStr">
        <is>
          <t>1F</t>
        </is>
      </c>
      <c r="C135" s="151" t="inlineStr">
        <is>
          <t>solo_tango_female</t>
        </is>
      </c>
      <c r="D135" s="151">
        <f>_xlfn.CONCAT(B135,": ",C135)</f>
        <v/>
      </c>
      <c r="E135" s="228" t="n">
        <v>44</v>
      </c>
      <c r="F135" s="187" t="inlineStr">
        <is>
          <t>4534x2542</t>
        </is>
      </c>
      <c r="G135" s="151" t="n">
        <v>0</v>
      </c>
      <c r="H135" s="151" t="n">
        <v>1</v>
      </c>
      <c r="I135" s="187" t="n"/>
      <c r="J135" s="119" t="n"/>
      <c r="K135" s="77" t="n"/>
      <c r="S135" s="14" t="n"/>
      <c r="T135" s="73" t="n"/>
      <c r="Y135" s="65" t="n"/>
      <c r="Z135" s="36" t="n"/>
      <c r="AA135" s="69" t="n"/>
      <c r="AB135" s="68" t="n"/>
      <c r="AC135" s="36" t="n"/>
      <c r="AD135" s="69" t="n"/>
      <c r="AE135" s="229" t="n"/>
      <c r="AF135" s="230" t="n"/>
      <c r="AG135" s="231" t="n"/>
      <c r="AH135" s="229" t="n"/>
      <c r="AI135" s="230" t="n"/>
      <c r="AJ135" s="231" t="n"/>
      <c r="AK135" s="229" t="n"/>
      <c r="AL135" s="231" t="n"/>
    </row>
    <row r="136">
      <c r="F136" s="14" t="n"/>
      <c r="I136" s="14" t="n"/>
      <c r="J136" s="119" t="n"/>
      <c r="K136" s="77" t="n"/>
      <c r="S136" s="14" t="n"/>
      <c r="T136" s="73" t="n"/>
      <c r="Y136" s="65" t="n"/>
      <c r="AA136" s="14" t="n"/>
      <c r="AB136" s="65" t="n"/>
      <c r="AD136" s="14" t="n"/>
      <c r="AE136" s="221" t="n"/>
      <c r="AF136" s="222" t="n"/>
      <c r="AG136" s="223" t="n"/>
      <c r="AH136" s="221" t="n"/>
      <c r="AI136" s="222" t="n"/>
      <c r="AJ136" s="223" t="n"/>
      <c r="AK136" s="221" t="n"/>
      <c r="AL136" s="223" t="n"/>
    </row>
    <row r="137">
      <c r="F137" s="14" t="n"/>
      <c r="I137" s="14" t="n"/>
      <c r="J137" s="119" t="n"/>
      <c r="K137" s="77" t="n"/>
      <c r="S137" s="14" t="n"/>
      <c r="T137" s="73" t="n"/>
      <c r="Y137" s="65" t="n"/>
      <c r="AA137" s="14" t="n"/>
      <c r="AB137" s="65" t="n"/>
      <c r="AD137" s="14" t="n"/>
      <c r="AE137" s="221" t="n"/>
      <c r="AF137" s="222" t="n"/>
      <c r="AG137" s="223" t="n"/>
      <c r="AH137" s="221" t="n"/>
      <c r="AI137" s="222" t="n"/>
      <c r="AJ137" s="223" t="n"/>
      <c r="AK137" s="221" t="n"/>
      <c r="AL137" s="223" t="n"/>
    </row>
    <row r="138">
      <c r="F138" s="14" t="n"/>
      <c r="I138" s="14" t="n"/>
      <c r="J138" s="119" t="n"/>
      <c r="K138" s="77" t="n"/>
      <c r="S138" s="14" t="n"/>
      <c r="T138" s="73" t="n"/>
      <c r="Y138" s="65" t="n"/>
      <c r="AA138" s="14" t="n"/>
      <c r="AB138" s="65" t="n"/>
      <c r="AD138" s="14" t="n"/>
      <c r="AE138" s="221" t="n"/>
      <c r="AF138" s="222" t="n"/>
      <c r="AG138" s="223" t="n"/>
      <c r="AH138" s="221" t="n"/>
      <c r="AI138" s="222" t="n"/>
      <c r="AJ138" s="223" t="n"/>
      <c r="AK138" s="221" t="n"/>
      <c r="AL138" s="223" t="n"/>
    </row>
    <row r="139">
      <c r="F139" s="14" t="n"/>
      <c r="I139" s="14" t="n"/>
      <c r="J139" s="119" t="n"/>
      <c r="K139" s="77" t="n"/>
      <c r="S139" s="14" t="n"/>
      <c r="T139" s="73" t="n"/>
      <c r="Y139" s="65" t="n"/>
      <c r="AA139" s="14" t="n"/>
      <c r="AB139" s="65" t="n"/>
      <c r="AD139" s="14" t="n"/>
      <c r="AE139" s="221" t="n"/>
      <c r="AF139" s="222" t="n"/>
      <c r="AG139" s="223" t="n"/>
      <c r="AH139" s="221" t="n"/>
      <c r="AI139" s="222" t="n"/>
      <c r="AJ139" s="223" t="n"/>
      <c r="AK139" s="221" t="n"/>
      <c r="AL139" s="223" t="n"/>
    </row>
    <row r="140">
      <c r="B140" s="9" t="n"/>
      <c r="C140" s="9" t="n"/>
      <c r="D140" s="9" t="n"/>
      <c r="E140" s="9" t="n"/>
      <c r="F140" s="67" t="n"/>
      <c r="G140" s="9" t="n"/>
      <c r="H140" s="9" t="n"/>
      <c r="I140" s="67" t="n"/>
      <c r="J140" s="120" t="n"/>
      <c r="K140" s="79" t="n"/>
      <c r="L140" s="9" t="n"/>
      <c r="M140" s="9" t="n"/>
      <c r="N140" s="9" t="n"/>
      <c r="O140" s="9" t="n"/>
      <c r="P140" s="9" t="n"/>
      <c r="Q140" s="9" t="n"/>
      <c r="R140" s="9" t="n"/>
      <c r="S140" s="67" t="n"/>
      <c r="T140" s="74" t="n"/>
      <c r="U140" s="17" t="n"/>
      <c r="V140" s="17" t="n"/>
      <c r="W140" s="9" t="n"/>
      <c r="X140" s="9" t="n"/>
      <c r="Y140" s="66" t="n"/>
      <c r="Z140" s="9" t="n"/>
      <c r="AA140" s="67" t="n"/>
      <c r="AB140" s="66" t="n"/>
      <c r="AC140" s="9" t="n"/>
      <c r="AD140" s="67" t="n"/>
      <c r="AE140" s="224" t="n"/>
      <c r="AF140" s="225" t="n"/>
      <c r="AG140" s="226" t="n"/>
      <c r="AH140" s="224" t="n"/>
      <c r="AI140" s="225" t="n"/>
      <c r="AJ140" s="226" t="n"/>
      <c r="AK140" s="224" t="n"/>
      <c r="AL140" s="226" t="n"/>
    </row>
    <row r="141">
      <c r="B141" s="245" t="inlineStr">
        <is>
          <t>1F</t>
        </is>
      </c>
      <c r="C141" s="151" t="inlineStr">
        <is>
          <t>solo_tango_male</t>
        </is>
      </c>
      <c r="D141" s="151">
        <f>_xlfn.CONCAT(B141,": ",C141)</f>
        <v/>
      </c>
      <c r="E141" s="228" t="n">
        <v>44</v>
      </c>
      <c r="F141" s="187" t="inlineStr">
        <is>
          <t>4528x2544</t>
        </is>
      </c>
      <c r="G141" s="151" t="n">
        <v>0</v>
      </c>
      <c r="H141" s="151" t="n">
        <v>1</v>
      </c>
      <c r="I141" s="187" t="n"/>
      <c r="J141" s="119" t="n"/>
      <c r="K141" s="77" t="n"/>
      <c r="S141" s="14" t="n"/>
      <c r="T141" s="73" t="n"/>
      <c r="Y141" s="65" t="n"/>
      <c r="Z141" s="36" t="n"/>
      <c r="AA141" s="69" t="n"/>
      <c r="AB141" s="68" t="n"/>
      <c r="AC141" s="36" t="n"/>
      <c r="AD141" s="69" t="n"/>
      <c r="AE141" s="229" t="n"/>
      <c r="AF141" s="230" t="n"/>
      <c r="AG141" s="231" t="n"/>
      <c r="AH141" s="229" t="n"/>
      <c r="AI141" s="230" t="n"/>
      <c r="AJ141" s="231" t="n"/>
      <c r="AK141" s="229" t="n"/>
      <c r="AL141" s="231" t="n"/>
    </row>
    <row r="142">
      <c r="F142" s="14" t="n"/>
      <c r="I142" s="14" t="n"/>
      <c r="J142" s="119" t="n"/>
      <c r="K142" s="77" t="n"/>
      <c r="S142" s="14" t="n"/>
      <c r="T142" s="73" t="n"/>
      <c r="Y142" s="65" t="n"/>
      <c r="AA142" s="14" t="n"/>
      <c r="AB142" s="65" t="n"/>
      <c r="AD142" s="14" t="n"/>
      <c r="AE142" s="221" t="n"/>
      <c r="AF142" s="222" t="n"/>
      <c r="AG142" s="223" t="n"/>
      <c r="AH142" s="221" t="n"/>
      <c r="AI142" s="222" t="n"/>
      <c r="AJ142" s="223" t="n"/>
      <c r="AK142" s="221" t="n"/>
      <c r="AL142" s="223" t="n"/>
    </row>
    <row r="143">
      <c r="F143" s="14" t="n"/>
      <c r="I143" s="14" t="n"/>
      <c r="J143" s="119" t="n"/>
      <c r="K143" s="77" t="n"/>
      <c r="S143" s="14" t="n"/>
      <c r="T143" s="73" t="n"/>
      <c r="Y143" s="65" t="n"/>
      <c r="AA143" s="14" t="n"/>
      <c r="AB143" s="65" t="n"/>
      <c r="AD143" s="14" t="n"/>
      <c r="AE143" s="221" t="n"/>
      <c r="AF143" s="222" t="n"/>
      <c r="AG143" s="223" t="n"/>
      <c r="AH143" s="221" t="n"/>
      <c r="AI143" s="222" t="n"/>
      <c r="AJ143" s="223" t="n"/>
      <c r="AK143" s="221" t="n"/>
      <c r="AL143" s="223" t="n"/>
    </row>
    <row r="144">
      <c r="F144" s="14" t="n"/>
      <c r="I144" s="14" t="n"/>
      <c r="J144" s="119" t="n"/>
      <c r="K144" s="77" t="n"/>
      <c r="S144" s="14" t="n"/>
      <c r="T144" s="73" t="n"/>
      <c r="Y144" s="65" t="n"/>
      <c r="AA144" s="14" t="n"/>
      <c r="AB144" s="65" t="n"/>
      <c r="AD144" s="14" t="n"/>
      <c r="AE144" s="221" t="n"/>
      <c r="AF144" s="222" t="n"/>
      <c r="AG144" s="223" t="n"/>
      <c r="AH144" s="221" t="n"/>
      <c r="AI144" s="222" t="n"/>
      <c r="AJ144" s="223" t="n"/>
      <c r="AK144" s="221" t="n"/>
      <c r="AL144" s="223" t="n"/>
    </row>
    <row r="145">
      <c r="F145" s="14" t="n"/>
      <c r="I145" s="14" t="n"/>
      <c r="J145" s="119" t="n"/>
      <c r="K145" s="77" t="n"/>
      <c r="S145" s="14" t="n"/>
      <c r="T145" s="73" t="n"/>
      <c r="Y145" s="65" t="n"/>
      <c r="AA145" s="14" t="n"/>
      <c r="AB145" s="65" t="n"/>
      <c r="AD145" s="14" t="n"/>
      <c r="AE145" s="221" t="n"/>
      <c r="AF145" s="222" t="n"/>
      <c r="AG145" s="223" t="n"/>
      <c r="AH145" s="221" t="n"/>
      <c r="AI145" s="222" t="n"/>
      <c r="AJ145" s="223" t="n"/>
      <c r="AK145" s="221" t="n"/>
      <c r="AL145" s="223" t="n"/>
    </row>
    <row r="146">
      <c r="B146" s="9" t="n"/>
      <c r="C146" s="9" t="n"/>
      <c r="D146" s="9" t="n"/>
      <c r="E146" s="9" t="n"/>
      <c r="F146" s="67" t="n"/>
      <c r="G146" s="9" t="n"/>
      <c r="H146" s="9" t="n"/>
      <c r="I146" s="67" t="n"/>
      <c r="J146" s="120" t="n"/>
      <c r="K146" s="79" t="n"/>
      <c r="L146" s="9" t="n"/>
      <c r="M146" s="9" t="n"/>
      <c r="N146" s="9" t="n"/>
      <c r="O146" s="9" t="n"/>
      <c r="P146" s="9" t="n"/>
      <c r="Q146" s="9" t="n"/>
      <c r="R146" s="9" t="n"/>
      <c r="S146" s="67" t="n"/>
      <c r="T146" s="74" t="n"/>
      <c r="U146" s="17" t="n"/>
      <c r="V146" s="17" t="n"/>
      <c r="W146" s="9" t="n"/>
      <c r="X146" s="9" t="n"/>
      <c r="Y146" s="66" t="n"/>
      <c r="Z146" s="9" t="n"/>
      <c r="AA146" s="67" t="n"/>
      <c r="AB146" s="66" t="n"/>
      <c r="AC146" s="9" t="n"/>
      <c r="AD146" s="67" t="n"/>
      <c r="AE146" s="224" t="n"/>
      <c r="AF146" s="225" t="n"/>
      <c r="AG146" s="226" t="n"/>
      <c r="AH146" s="224" t="n"/>
      <c r="AI146" s="225" t="n"/>
      <c r="AJ146" s="226" t="n"/>
      <c r="AK146" s="224" t="n"/>
      <c r="AL146" s="226" t="n"/>
    </row>
    <row r="147">
      <c r="B147" s="245" t="inlineStr">
        <is>
          <t>1F</t>
        </is>
      </c>
      <c r="C147" s="151" t="inlineStr">
        <is>
          <t>tango_duo</t>
        </is>
      </c>
      <c r="D147" s="151">
        <f>_xlfn.CONCAT(B147,": ",C147)</f>
        <v/>
      </c>
      <c r="E147" s="228" t="n">
        <v>44</v>
      </c>
      <c r="F147" s="187" t="inlineStr">
        <is>
          <t>4522x2538</t>
        </is>
      </c>
      <c r="G147" s="151" t="n">
        <v>0</v>
      </c>
      <c r="H147" s="151" t="n">
        <v>1</v>
      </c>
      <c r="I147" s="187" t="n"/>
      <c r="J147" s="119" t="n"/>
      <c r="K147" s="77" t="n"/>
      <c r="S147" s="14" t="n"/>
      <c r="T147" s="73" t="n"/>
      <c r="Y147" s="65" t="n"/>
      <c r="Z147" s="36" t="n"/>
      <c r="AA147" s="69" t="n"/>
      <c r="AB147" s="68" t="n"/>
      <c r="AC147" s="36" t="n"/>
      <c r="AD147" s="69" t="n"/>
      <c r="AE147" s="229" t="n"/>
      <c r="AF147" s="230" t="n"/>
      <c r="AG147" s="231" t="n"/>
      <c r="AH147" s="229" t="n"/>
      <c r="AI147" s="230" t="n"/>
      <c r="AJ147" s="231" t="n"/>
      <c r="AK147" s="229" t="n"/>
      <c r="AL147" s="231" t="n"/>
    </row>
    <row r="148">
      <c r="F148" s="14" t="n"/>
      <c r="I148" s="14" t="n"/>
      <c r="J148" s="119" t="n"/>
      <c r="K148" s="77" t="n"/>
      <c r="S148" s="14" t="n"/>
      <c r="T148" s="73" t="n"/>
      <c r="Y148" s="65" t="n"/>
      <c r="AA148" s="14" t="n"/>
      <c r="AB148" s="65" t="n"/>
      <c r="AD148" s="14" t="n"/>
      <c r="AE148" s="221" t="n"/>
      <c r="AF148" s="222" t="n"/>
      <c r="AG148" s="223" t="n"/>
      <c r="AH148" s="221" t="n"/>
      <c r="AI148" s="222" t="n"/>
      <c r="AJ148" s="223" t="n"/>
      <c r="AK148" s="221" t="n"/>
      <c r="AL148" s="223" t="n"/>
    </row>
    <row r="149">
      <c r="F149" s="14" t="n"/>
      <c r="I149" s="14" t="n"/>
      <c r="J149" s="119" t="n"/>
      <c r="K149" s="77" t="n"/>
      <c r="S149" s="14" t="n"/>
      <c r="T149" s="73" t="n"/>
      <c r="Y149" s="65" t="n"/>
      <c r="AA149" s="14" t="n"/>
      <c r="AB149" s="65" t="n"/>
      <c r="AD149" s="14" t="n"/>
      <c r="AE149" s="221" t="n"/>
      <c r="AF149" s="222" t="n"/>
      <c r="AG149" s="223" t="n"/>
      <c r="AH149" s="221" t="n"/>
      <c r="AI149" s="222" t="n"/>
      <c r="AJ149" s="223" t="n"/>
      <c r="AK149" s="221" t="n"/>
      <c r="AL149" s="223" t="n"/>
    </row>
    <row r="150">
      <c r="F150" s="14" t="n"/>
      <c r="I150" s="14" t="n"/>
      <c r="J150" s="119" t="n"/>
      <c r="K150" s="77" t="n"/>
      <c r="S150" s="14" t="n"/>
      <c r="T150" s="73" t="n"/>
      <c r="Y150" s="65" t="n"/>
      <c r="AA150" s="14" t="n"/>
      <c r="AB150" s="65" t="n"/>
      <c r="AD150" s="14" t="n"/>
      <c r="AE150" s="221" t="n"/>
      <c r="AF150" s="222" t="n"/>
      <c r="AG150" s="223" t="n"/>
      <c r="AH150" s="221" t="n"/>
      <c r="AI150" s="222" t="n"/>
      <c r="AJ150" s="223" t="n"/>
      <c r="AK150" s="221" t="n"/>
      <c r="AL150" s="223" t="n"/>
    </row>
    <row r="151">
      <c r="F151" s="14" t="n"/>
      <c r="I151" s="14" t="n"/>
      <c r="J151" s="119" t="n"/>
      <c r="K151" s="77" t="n"/>
      <c r="S151" s="14" t="n"/>
      <c r="T151" s="73" t="n"/>
      <c r="Y151" s="65" t="n"/>
      <c r="AA151" s="14" t="n"/>
      <c r="AB151" s="65" t="n"/>
      <c r="AD151" s="14" t="n"/>
      <c r="AE151" s="221" t="n"/>
      <c r="AF151" s="222" t="n"/>
      <c r="AG151" s="223" t="n"/>
      <c r="AH151" s="221" t="n"/>
      <c r="AI151" s="222" t="n"/>
      <c r="AJ151" s="223" t="n"/>
      <c r="AK151" s="221" t="n"/>
      <c r="AL151" s="223" t="n"/>
    </row>
    <row r="152">
      <c r="B152" s="9" t="n"/>
      <c r="C152" s="9" t="n"/>
      <c r="D152" s="9" t="n"/>
      <c r="E152" s="9" t="n"/>
      <c r="F152" s="67" t="n"/>
      <c r="G152" s="9" t="n"/>
      <c r="H152" s="9" t="n"/>
      <c r="I152" s="67" t="n"/>
      <c r="J152" s="120" t="n"/>
      <c r="K152" s="79" t="n"/>
      <c r="L152" s="9" t="n"/>
      <c r="M152" s="9" t="n"/>
      <c r="N152" s="9" t="n"/>
      <c r="O152" s="9" t="n"/>
      <c r="P152" s="9" t="n"/>
      <c r="Q152" s="9" t="n"/>
      <c r="R152" s="9" t="n"/>
      <c r="S152" s="67" t="n"/>
      <c r="T152" s="74" t="n"/>
      <c r="U152" s="17" t="n"/>
      <c r="V152" s="17" t="n"/>
      <c r="W152" s="9" t="n"/>
      <c r="X152" s="9" t="n"/>
      <c r="Y152" s="66" t="n"/>
      <c r="Z152" s="9" t="n"/>
      <c r="AA152" s="67" t="n"/>
      <c r="AB152" s="66" t="n"/>
      <c r="AC152" s="9" t="n"/>
      <c r="AD152" s="67" t="n"/>
      <c r="AE152" s="224" t="n"/>
      <c r="AF152" s="225" t="n"/>
      <c r="AG152" s="226" t="n"/>
      <c r="AH152" s="224" t="n"/>
      <c r="AI152" s="225" t="n"/>
      <c r="AJ152" s="226" t="n"/>
      <c r="AK152" s="224" t="n"/>
      <c r="AL152" s="226" t="n"/>
    </row>
    <row r="153">
      <c r="B153" s="245" t="inlineStr">
        <is>
          <t>1F</t>
        </is>
      </c>
      <c r="C153" s="228" t="inlineStr">
        <is>
          <t>tennis_player</t>
        </is>
      </c>
      <c r="D153" s="228">
        <f>_xlfn.CONCAT(B153,": ",C153)</f>
        <v/>
      </c>
      <c r="E153" s="228" t="n">
        <v>60</v>
      </c>
      <c r="F153" s="246" t="inlineStr">
        <is>
          <t>4518x2540</t>
        </is>
      </c>
      <c r="G153" s="228" t="n">
        <v>0</v>
      </c>
      <c r="H153" s="228" t="n">
        <v>1</v>
      </c>
      <c r="I153" s="246" t="n"/>
      <c r="J153" s="134" t="n"/>
      <c r="K153" s="80" t="n"/>
      <c r="L153" s="36" t="n"/>
      <c r="M153" s="36" t="n"/>
      <c r="N153" s="36" t="n"/>
      <c r="O153" s="36" t="n"/>
      <c r="P153" s="36" t="n"/>
      <c r="Q153" s="36" t="n"/>
      <c r="R153" s="36" t="n"/>
      <c r="S153" s="69" t="n"/>
      <c r="T153" s="75" t="n"/>
      <c r="U153" s="37" t="n"/>
      <c r="V153" s="37" t="n"/>
      <c r="W153" s="36" t="n"/>
      <c r="X153" s="36" t="n"/>
      <c r="Y153" s="68" t="n"/>
      <c r="Z153" s="36" t="n"/>
      <c r="AA153" s="69" t="n"/>
      <c r="AB153" s="68" t="n"/>
      <c r="AC153" s="36" t="n"/>
      <c r="AD153" s="69" t="n"/>
      <c r="AE153" s="229" t="n"/>
      <c r="AF153" s="230" t="n"/>
      <c r="AG153" s="231" t="n"/>
      <c r="AH153" s="229" t="n"/>
      <c r="AI153" s="230" t="n"/>
      <c r="AJ153" s="231" t="n"/>
      <c r="AK153" s="229" t="n"/>
      <c r="AL153" s="231" t="n"/>
    </row>
    <row r="154">
      <c r="F154" s="14" t="n"/>
      <c r="I154" s="14" t="n"/>
      <c r="J154" s="135" t="n"/>
      <c r="K154" s="77" t="n"/>
      <c r="S154" s="14" t="n"/>
      <c r="T154" s="73" t="n"/>
      <c r="Y154" s="65" t="n"/>
      <c r="AA154" s="14" t="n"/>
      <c r="AB154" s="65" t="n"/>
      <c r="AD154" s="14" t="n"/>
      <c r="AE154" s="221" t="n"/>
      <c r="AF154" s="222" t="n"/>
      <c r="AG154" s="223" t="n"/>
      <c r="AH154" s="221" t="n"/>
      <c r="AI154" s="222" t="n"/>
      <c r="AJ154" s="223" t="n"/>
      <c r="AK154" s="221" t="n"/>
      <c r="AL154" s="223" t="n"/>
    </row>
    <row r="155">
      <c r="F155" s="14" t="n"/>
      <c r="I155" s="14" t="n"/>
      <c r="J155" s="135" t="n"/>
      <c r="K155" s="77" t="n"/>
      <c r="S155" s="14" t="n"/>
      <c r="T155" s="73" t="n"/>
      <c r="Y155" s="65" t="n"/>
      <c r="AA155" s="14" t="n"/>
      <c r="AB155" s="65" t="n"/>
      <c r="AD155" s="14" t="n"/>
      <c r="AE155" s="221" t="n"/>
      <c r="AF155" s="222" t="n"/>
      <c r="AG155" s="223" t="n"/>
      <c r="AH155" s="221" t="n"/>
      <c r="AI155" s="222" t="n"/>
      <c r="AJ155" s="223" t="n"/>
      <c r="AK155" s="221" t="n"/>
      <c r="AL155" s="223" t="n"/>
    </row>
    <row r="156">
      <c r="F156" s="14" t="n"/>
      <c r="I156" s="14" t="n"/>
      <c r="J156" s="135" t="n"/>
      <c r="K156" s="77" t="n"/>
      <c r="S156" s="14" t="n"/>
      <c r="T156" s="73" t="n"/>
      <c r="Y156" s="65" t="n"/>
      <c r="AA156" s="14" t="n"/>
      <c r="AB156" s="65" t="n"/>
      <c r="AD156" s="14" t="n"/>
      <c r="AE156" s="221" t="n"/>
      <c r="AF156" s="222" t="n"/>
      <c r="AG156" s="223" t="n"/>
      <c r="AH156" s="221" t="n"/>
      <c r="AI156" s="222" t="n"/>
      <c r="AJ156" s="223" t="n"/>
      <c r="AK156" s="221" t="n"/>
      <c r="AL156" s="223" t="n"/>
    </row>
    <row r="157">
      <c r="F157" s="14" t="n"/>
      <c r="I157" s="14" t="n"/>
      <c r="J157" s="135" t="n"/>
      <c r="K157" s="77" t="n"/>
      <c r="S157" s="14" t="n"/>
      <c r="T157" s="73" t="n"/>
      <c r="Y157" s="65" t="n"/>
      <c r="AA157" s="14" t="n"/>
      <c r="AB157" s="65" t="n"/>
      <c r="AD157" s="14" t="n"/>
      <c r="AE157" s="221" t="n"/>
      <c r="AF157" s="222" t="n"/>
      <c r="AG157" s="223" t="n"/>
      <c r="AH157" s="221" t="n"/>
      <c r="AI157" s="222" t="n"/>
      <c r="AJ157" s="223" t="n"/>
      <c r="AK157" s="221" t="n"/>
      <c r="AL157" s="223" t="n"/>
    </row>
    <row r="158">
      <c r="B158" s="9" t="n"/>
      <c r="C158" s="9" t="n"/>
      <c r="D158" s="9" t="n"/>
      <c r="E158" s="9" t="n"/>
      <c r="F158" s="67" t="n"/>
      <c r="G158" s="9" t="n"/>
      <c r="H158" s="9" t="n"/>
      <c r="I158" s="67" t="n"/>
      <c r="J158" s="136" t="n"/>
      <c r="K158" s="79" t="n"/>
      <c r="L158" s="9" t="n"/>
      <c r="M158" s="9" t="n"/>
      <c r="N158" s="9" t="n"/>
      <c r="O158" s="9" t="n"/>
      <c r="P158" s="9" t="n"/>
      <c r="Q158" s="9" t="n"/>
      <c r="R158" s="9" t="n"/>
      <c r="S158" s="67" t="n"/>
      <c r="T158" s="74" t="n"/>
      <c r="U158" s="17" t="n"/>
      <c r="V158" s="17" t="n"/>
      <c r="W158" s="9" t="n"/>
      <c r="X158" s="9" t="n"/>
      <c r="Y158" s="66" t="n"/>
      <c r="Z158" s="9" t="n"/>
      <c r="AA158" s="67" t="n"/>
      <c r="AB158" s="66" t="n"/>
      <c r="AC158" s="9" t="n"/>
      <c r="AD158" s="67" t="n"/>
      <c r="AE158" s="224" t="n"/>
      <c r="AF158" s="225" t="n"/>
      <c r="AG158" s="226" t="n"/>
      <c r="AH158" s="224" t="n"/>
      <c r="AI158" s="225" t="n"/>
      <c r="AJ158" s="226" t="n"/>
      <c r="AK158" s="224" t="n"/>
      <c r="AL158" s="226" t="n"/>
    </row>
    <row r="159">
      <c r="B159" s="245" t="inlineStr">
        <is>
          <t>1F</t>
        </is>
      </c>
      <c r="C159" s="228" t="inlineStr">
        <is>
          <t>library</t>
        </is>
      </c>
      <c r="D159" s="228">
        <f>_xlfn.CONCAT(B159,": ",C159)</f>
        <v/>
      </c>
      <c r="E159" s="228" t="n">
        <v>173292</v>
      </c>
      <c r="F159" s="246" t="inlineStr">
        <is>
          <t>3793x2131</t>
        </is>
      </c>
      <c r="G159" s="228" t="n">
        <v>0</v>
      </c>
      <c r="H159" s="228" t="n">
        <v>1</v>
      </c>
      <c r="I159" s="246" t="n"/>
      <c r="J159" s="134" t="n"/>
      <c r="K159" s="80" t="n"/>
      <c r="L159" s="36" t="n"/>
      <c r="M159" s="36" t="n"/>
      <c r="N159" s="36" t="n"/>
      <c r="O159" s="36" t="n"/>
      <c r="P159" s="36" t="n"/>
      <c r="Q159" s="36" t="n"/>
      <c r="R159" s="36" t="n"/>
      <c r="S159" s="69" t="n"/>
      <c r="T159" s="75" t="n"/>
      <c r="U159" s="37" t="n"/>
      <c r="V159" s="37" t="n"/>
      <c r="W159" s="36" t="n"/>
      <c r="X159" s="36" t="n"/>
      <c r="Y159" s="68" t="n"/>
      <c r="Z159" s="36" t="n"/>
      <c r="AA159" s="69" t="n"/>
      <c r="AB159" s="68" t="n"/>
      <c r="AC159" s="36" t="n"/>
      <c r="AD159" s="69" t="n"/>
      <c r="AE159" s="229" t="n"/>
      <c r="AF159" s="230" t="n"/>
      <c r="AG159" s="231" t="n"/>
      <c r="AH159" s="229" t="n"/>
      <c r="AI159" s="230" t="n"/>
      <c r="AJ159" s="231" t="n"/>
      <c r="AK159" s="229" t="n"/>
      <c r="AL159" s="231" t="n"/>
    </row>
    <row r="160">
      <c r="F160" s="14" t="n"/>
      <c r="I160" s="14" t="n"/>
      <c r="J160" s="135" t="n"/>
      <c r="K160" s="77" t="n"/>
      <c r="S160" s="14" t="n"/>
      <c r="T160" s="73" t="n"/>
      <c r="Y160" s="65" t="n"/>
      <c r="AA160" s="14" t="n"/>
      <c r="AB160" s="65" t="n"/>
      <c r="AD160" s="14" t="n"/>
      <c r="AE160" s="221" t="n"/>
      <c r="AF160" s="222" t="n"/>
      <c r="AG160" s="223" t="n"/>
      <c r="AH160" s="221" t="n"/>
      <c r="AI160" s="222" t="n"/>
      <c r="AJ160" s="223" t="n"/>
      <c r="AK160" s="221" t="n"/>
      <c r="AL160" s="223" t="n"/>
    </row>
    <row r="161">
      <c r="F161" s="14" t="n"/>
      <c r="I161" s="14" t="n"/>
      <c r="J161" s="135" t="n"/>
      <c r="K161" s="77" t="n"/>
      <c r="S161" s="14" t="n"/>
      <c r="T161" s="73" t="n"/>
      <c r="Y161" s="65" t="n"/>
      <c r="AA161" s="14" t="n"/>
      <c r="AB161" s="65" t="n"/>
      <c r="AD161" s="14" t="n"/>
      <c r="AE161" s="221" t="n"/>
      <c r="AF161" s="222" t="n"/>
      <c r="AG161" s="223" t="n"/>
      <c r="AH161" s="221" t="n"/>
      <c r="AI161" s="222" t="n"/>
      <c r="AJ161" s="223" t="n"/>
      <c r="AK161" s="221" t="n"/>
      <c r="AL161" s="223" t="n"/>
    </row>
    <row r="162">
      <c r="F162" s="14" t="n"/>
      <c r="I162" s="14" t="n"/>
      <c r="J162" s="135" t="n"/>
      <c r="K162" s="77" t="n"/>
      <c r="S162" s="14" t="n"/>
      <c r="T162" s="73" t="n"/>
      <c r="Y162" s="65" t="n"/>
      <c r="AA162" s="14" t="n"/>
      <c r="AB162" s="65" t="n"/>
      <c r="AD162" s="14" t="n"/>
      <c r="AE162" s="221" t="n"/>
      <c r="AF162" s="222" t="n"/>
      <c r="AG162" s="223" t="n"/>
      <c r="AH162" s="221" t="n"/>
      <c r="AI162" s="222" t="n"/>
      <c r="AJ162" s="223" t="n"/>
      <c r="AK162" s="221" t="n"/>
      <c r="AL162" s="223" t="n"/>
    </row>
    <row r="163">
      <c r="F163" s="14" t="n"/>
      <c r="I163" s="14" t="n"/>
      <c r="J163" s="135" t="n"/>
      <c r="K163" s="77" t="n"/>
      <c r="S163" s="14" t="n"/>
      <c r="T163" s="73" t="n"/>
      <c r="Y163" s="65" t="n"/>
      <c r="AA163" s="14" t="n"/>
      <c r="AB163" s="65" t="n"/>
      <c r="AD163" s="14" t="n"/>
      <c r="AE163" s="221" t="n"/>
      <c r="AF163" s="222" t="n"/>
      <c r="AG163" s="223" t="n"/>
      <c r="AH163" s="221" t="n"/>
      <c r="AI163" s="222" t="n"/>
      <c r="AJ163" s="223" t="n"/>
      <c r="AK163" s="221" t="n"/>
      <c r="AL163" s="223" t="n"/>
    </row>
    <row r="164">
      <c r="B164" s="9" t="n"/>
      <c r="C164" s="9" t="n"/>
      <c r="D164" s="9" t="n"/>
      <c r="E164" s="9" t="n"/>
      <c r="F164" s="67" t="n"/>
      <c r="G164" s="9" t="n"/>
      <c r="H164" s="9" t="n"/>
      <c r="I164" s="67" t="n"/>
      <c r="J164" s="136" t="n"/>
      <c r="K164" s="79" t="n"/>
      <c r="L164" s="9" t="n"/>
      <c r="M164" s="9" t="n"/>
      <c r="N164" s="9" t="n"/>
      <c r="O164" s="9" t="n"/>
      <c r="P164" s="9" t="n"/>
      <c r="Q164" s="9" t="n"/>
      <c r="R164" s="9" t="n"/>
      <c r="S164" s="67" t="n"/>
      <c r="T164" s="74" t="n"/>
      <c r="U164" s="17" t="n"/>
      <c r="V164" s="17" t="n"/>
      <c r="W164" s="9" t="n"/>
      <c r="X164" s="9" t="n"/>
      <c r="Y164" s="66" t="n"/>
      <c r="Z164" s="9" t="n"/>
      <c r="AA164" s="67" t="n"/>
      <c r="AB164" s="66" t="n"/>
      <c r="AC164" s="9" t="n"/>
      <c r="AD164" s="67" t="n"/>
      <c r="AE164" s="224" t="n"/>
      <c r="AF164" s="225" t="n"/>
      <c r="AG164" s="226" t="n"/>
      <c r="AH164" s="224" t="n"/>
      <c r="AI164" s="225" t="n"/>
      <c r="AJ164" s="226" t="n"/>
      <c r="AK164" s="224" t="n"/>
      <c r="AL164" s="226" t="n"/>
    </row>
    <row r="165">
      <c r="B165" s="245" t="inlineStr">
        <is>
          <t>1F</t>
        </is>
      </c>
      <c r="C165" s="228" t="inlineStr">
        <is>
          <t>flowerdance</t>
        </is>
      </c>
      <c r="D165" s="228">
        <f>_xlfn.CONCAT(B165,": ",C165)</f>
        <v/>
      </c>
      <c r="E165" s="228" t="n">
        <v>64</v>
      </c>
      <c r="F165" s="246" t="inlineStr">
        <is>
          <t>2456x2054</t>
        </is>
      </c>
      <c r="G165" s="228" t="n">
        <v>0</v>
      </c>
      <c r="H165" s="228" t="n">
        <v>1</v>
      </c>
      <c r="I165" s="246" t="n"/>
      <c r="J165" s="134" t="n"/>
      <c r="K165" s="80" t="n"/>
      <c r="L165" s="36" t="n"/>
      <c r="M165" s="36" t="n"/>
      <c r="N165" s="36" t="n"/>
      <c r="O165" s="36" t="n"/>
      <c r="P165" s="36" t="n"/>
      <c r="Q165" s="36" t="n"/>
      <c r="R165" s="36" t="n"/>
      <c r="S165" s="69" t="n"/>
      <c r="T165" s="75" t="n"/>
      <c r="U165" s="37" t="n"/>
      <c r="V165" s="37" t="n"/>
      <c r="W165" s="36" t="n"/>
      <c r="X165" s="36" t="n"/>
      <c r="Y165" s="68" t="n"/>
      <c r="Z165" s="36" t="n"/>
      <c r="AA165" s="69" t="n"/>
      <c r="AB165" s="68" t="n"/>
      <c r="AC165" s="36" t="n"/>
      <c r="AD165" s="69" t="n"/>
      <c r="AE165" s="229" t="n"/>
      <c r="AF165" s="230" t="n"/>
      <c r="AG165" s="231" t="n"/>
      <c r="AH165" s="229" t="n"/>
      <c r="AI165" s="230" t="n"/>
      <c r="AJ165" s="231" t="n"/>
      <c r="AK165" s="229" t="n"/>
      <c r="AL165" s="231" t="n"/>
    </row>
    <row r="166">
      <c r="F166" s="14" t="n"/>
      <c r="I166" s="14" t="n"/>
      <c r="J166" s="135" t="n"/>
      <c r="K166" s="77" t="n"/>
      <c r="S166" s="14" t="n"/>
      <c r="T166" s="73" t="n"/>
      <c r="Y166" s="65" t="n"/>
      <c r="AA166" s="14" t="n"/>
      <c r="AB166" s="65" t="n"/>
      <c r="AD166" s="14" t="n"/>
      <c r="AE166" s="221" t="n"/>
      <c r="AF166" s="222" t="n"/>
      <c r="AG166" s="223" t="n"/>
      <c r="AH166" s="221" t="n"/>
      <c r="AI166" s="222" t="n"/>
      <c r="AJ166" s="223" t="n"/>
      <c r="AK166" s="221" t="n"/>
      <c r="AL166" s="223" t="n"/>
    </row>
    <row r="167">
      <c r="F167" s="14" t="n"/>
      <c r="I167" s="14" t="n"/>
      <c r="J167" s="135" t="n"/>
      <c r="K167" s="77" t="n"/>
      <c r="S167" s="14" t="n"/>
      <c r="T167" s="73" t="n"/>
      <c r="Y167" s="65" t="n"/>
      <c r="AA167" s="14" t="n"/>
      <c r="AB167" s="65" t="n"/>
      <c r="AD167" s="14" t="n"/>
      <c r="AE167" s="221" t="n"/>
      <c r="AF167" s="222" t="n"/>
      <c r="AG167" s="223" t="n"/>
      <c r="AH167" s="221" t="n"/>
      <c r="AI167" s="222" t="n"/>
      <c r="AJ167" s="223" t="n"/>
      <c r="AK167" s="221" t="n"/>
      <c r="AL167" s="223" t="n"/>
    </row>
    <row r="168">
      <c r="F168" s="14" t="n"/>
      <c r="I168" s="14" t="n"/>
      <c r="J168" s="135" t="n"/>
      <c r="K168" s="77" t="n"/>
      <c r="S168" s="14" t="n"/>
      <c r="T168" s="73" t="n"/>
      <c r="Y168" s="65" t="n"/>
      <c r="AA168" s="14" t="n"/>
      <c r="AB168" s="65" t="n"/>
      <c r="AD168" s="14" t="n"/>
      <c r="AE168" s="221" t="n"/>
      <c r="AF168" s="222" t="n"/>
      <c r="AG168" s="223" t="n"/>
      <c r="AH168" s="221" t="n"/>
      <c r="AI168" s="222" t="n"/>
      <c r="AJ168" s="223" t="n"/>
      <c r="AK168" s="221" t="n"/>
      <c r="AL168" s="223" t="n"/>
    </row>
    <row r="169">
      <c r="F169" s="14" t="n"/>
      <c r="I169" s="14" t="n"/>
      <c r="J169" s="135" t="n"/>
      <c r="K169" s="77" t="n"/>
      <c r="S169" s="14" t="n"/>
      <c r="T169" s="73" t="n"/>
      <c r="Y169" s="65" t="n"/>
      <c r="AA169" s="14" t="n"/>
      <c r="AB169" s="65" t="n"/>
      <c r="AD169" s="14" t="n"/>
      <c r="AE169" s="221" t="n"/>
      <c r="AF169" s="222" t="n"/>
      <c r="AG169" s="223" t="n"/>
      <c r="AH169" s="221" t="n"/>
      <c r="AI169" s="222" t="n"/>
      <c r="AJ169" s="223" t="n"/>
      <c r="AK169" s="221" t="n"/>
      <c r="AL169" s="223" t="n"/>
    </row>
    <row r="170">
      <c r="B170" s="9" t="n"/>
      <c r="C170" s="9" t="n"/>
      <c r="D170" s="9" t="n"/>
      <c r="E170" s="9" t="n"/>
      <c r="F170" s="67" t="n"/>
      <c r="G170" s="9" t="n"/>
      <c r="H170" s="9" t="n"/>
      <c r="I170" s="67" t="n"/>
      <c r="J170" s="136" t="n"/>
      <c r="K170" s="79" t="n"/>
      <c r="L170" s="9" t="n"/>
      <c r="M170" s="9" t="n"/>
      <c r="N170" s="9" t="n"/>
      <c r="O170" s="9" t="n"/>
      <c r="P170" s="9" t="n"/>
      <c r="Q170" s="9" t="n"/>
      <c r="R170" s="9" t="n"/>
      <c r="S170" s="67" t="n"/>
      <c r="T170" s="74" t="n"/>
      <c r="U170" s="17" t="n"/>
      <c r="V170" s="17" t="n"/>
      <c r="W170" s="9" t="n"/>
      <c r="X170" s="9" t="n"/>
      <c r="Y170" s="66" t="n"/>
      <c r="Z170" s="9" t="n"/>
      <c r="AA170" s="67" t="n"/>
      <c r="AB170" s="66" t="n"/>
      <c r="AC170" s="9" t="n"/>
      <c r="AD170" s="67" t="n"/>
      <c r="AE170" s="224" t="n"/>
      <c r="AF170" s="225" t="n"/>
      <c r="AG170" s="226" t="n"/>
      <c r="AH170" s="224" t="n"/>
      <c r="AI170" s="225" t="n"/>
      <c r="AJ170" s="226" t="n"/>
      <c r="AK170" s="224" t="n"/>
      <c r="AL170" s="226" t="n"/>
    </row>
    <row r="171">
      <c r="B171" s="181" t="inlineStr">
        <is>
          <t>1F</t>
        </is>
      </c>
      <c r="C171" s="155" t="inlineStr">
        <is>
          <t>gymnast</t>
        </is>
      </c>
      <c r="D171" s="155">
        <f>_xlfn.CONCAT(B171,": ",C171)</f>
        <v/>
      </c>
      <c r="E171" s="155" t="n">
        <v>64</v>
      </c>
      <c r="F171" s="190" t="inlineStr">
        <is>
          <t>2456x2054</t>
        </is>
      </c>
      <c r="G171" s="155" t="n">
        <v>200</v>
      </c>
      <c r="H171" s="155" t="n">
        <v>1</v>
      </c>
      <c r="I171" s="190" t="n"/>
      <c r="J171" s="119" t="n"/>
      <c r="K171" s="77" t="n"/>
      <c r="S171" s="14" t="n"/>
      <c r="T171" s="73" t="n"/>
      <c r="Y171" s="65" t="n"/>
      <c r="AA171" s="14" t="n"/>
      <c r="AB171" s="65" t="n"/>
      <c r="AD171" s="14" t="n"/>
      <c r="AE171" s="221" t="n"/>
      <c r="AF171" s="222" t="n"/>
      <c r="AG171" s="223" t="n"/>
      <c r="AH171" s="221" t="n"/>
      <c r="AI171" s="222" t="n"/>
      <c r="AJ171" s="223" t="n"/>
      <c r="AK171" s="221" t="n"/>
      <c r="AL171" s="223" t="n"/>
    </row>
    <row r="172">
      <c r="F172" s="14" t="n"/>
      <c r="I172" s="14" t="n"/>
      <c r="J172" s="119" t="n"/>
      <c r="K172" s="77" t="n"/>
      <c r="S172" s="14" t="n"/>
      <c r="T172" s="73" t="n"/>
      <c r="Y172" s="65" t="n"/>
      <c r="AA172" s="14" t="n"/>
      <c r="AB172" s="65" t="n"/>
      <c r="AD172" s="14" t="n"/>
      <c r="AE172" s="221" t="n"/>
      <c r="AF172" s="222" t="n"/>
      <c r="AG172" s="223" t="n"/>
      <c r="AH172" s="221" t="n"/>
      <c r="AI172" s="222" t="n"/>
      <c r="AJ172" s="223" t="n"/>
      <c r="AK172" s="221" t="n"/>
      <c r="AL172" s="223" t="n"/>
    </row>
    <row r="173">
      <c r="F173" s="14" t="n"/>
      <c r="I173" s="14" t="n"/>
      <c r="J173" s="119" t="n"/>
      <c r="K173" s="77" t="n"/>
      <c r="S173" s="14" t="n"/>
      <c r="T173" s="73" t="n"/>
      <c r="Y173" s="65" t="n"/>
      <c r="AA173" s="14" t="n"/>
      <c r="AB173" s="65" t="n"/>
      <c r="AD173" s="14" t="n"/>
      <c r="AE173" s="221" t="n"/>
      <c r="AF173" s="222" t="n"/>
      <c r="AG173" s="223" t="n"/>
      <c r="AH173" s="221" t="n"/>
      <c r="AI173" s="222" t="n"/>
      <c r="AJ173" s="223" t="n"/>
      <c r="AK173" s="221" t="n"/>
      <c r="AL173" s="223" t="n"/>
    </row>
    <row r="174">
      <c r="F174" s="14" t="n"/>
      <c r="I174" s="14" t="n"/>
      <c r="J174" s="119" t="n"/>
      <c r="K174" s="77" t="n"/>
      <c r="S174" s="14" t="n"/>
      <c r="T174" s="73" t="n"/>
      <c r="Y174" s="65" t="n"/>
      <c r="AA174" s="14" t="n"/>
      <c r="AB174" s="65" t="n"/>
      <c r="AD174" s="14" t="n"/>
      <c r="AE174" s="221" t="n"/>
      <c r="AF174" s="222" t="n"/>
      <c r="AG174" s="223" t="n"/>
      <c r="AH174" s="221" t="n"/>
      <c r="AI174" s="222" t="n"/>
      <c r="AJ174" s="223" t="n"/>
      <c r="AK174" s="221" t="n"/>
      <c r="AL174" s="223" t="n"/>
    </row>
    <row r="175">
      <c r="F175" s="14" t="n"/>
      <c r="I175" s="14" t="n"/>
      <c r="J175" s="119" t="n"/>
      <c r="K175" s="77" t="n"/>
      <c r="S175" s="14" t="n"/>
      <c r="T175" s="73" t="n"/>
      <c r="Y175" s="65" t="n"/>
      <c r="AA175" s="14" t="n"/>
      <c r="AB175" s="65" t="n"/>
      <c r="AD175" s="14" t="n"/>
      <c r="AE175" s="221" t="n"/>
      <c r="AF175" s="222" t="n"/>
      <c r="AG175" s="223" t="n"/>
      <c r="AH175" s="221" t="n"/>
      <c r="AI175" s="222" t="n"/>
      <c r="AJ175" s="223" t="n"/>
      <c r="AK175" s="221" t="n"/>
      <c r="AL175" s="223" t="n"/>
    </row>
    <row r="176" ht="16.2" customHeight="1" thickBot="1">
      <c r="A176" s="10" t="n"/>
      <c r="B176" s="10" t="n"/>
      <c r="C176" s="10" t="n"/>
      <c r="D176" s="10" t="n"/>
      <c r="E176" s="10" t="n"/>
      <c r="F176" s="71" t="n"/>
      <c r="G176" s="10" t="n"/>
      <c r="H176" s="10" t="n"/>
      <c r="I176" s="71" t="n"/>
      <c r="J176" s="123" t="n"/>
      <c r="K176" s="81" t="n"/>
      <c r="L176" s="10" t="n"/>
      <c r="M176" s="10" t="n"/>
      <c r="N176" s="10" t="n"/>
      <c r="O176" s="10" t="n"/>
      <c r="P176" s="10" t="n"/>
      <c r="Q176" s="10" t="n"/>
      <c r="R176" s="10" t="n"/>
      <c r="S176" s="71" t="n"/>
      <c r="T176" s="76" t="n"/>
      <c r="U176" s="18" t="n"/>
      <c r="V176" s="18" t="n"/>
      <c r="W176" s="10" t="n"/>
      <c r="X176" s="10" t="n"/>
      <c r="Y176" s="70" t="n"/>
      <c r="Z176" s="10" t="n"/>
      <c r="AA176" s="71" t="n"/>
      <c r="AB176" s="70" t="n"/>
      <c r="AC176" s="10" t="n"/>
      <c r="AD176" s="71" t="n"/>
      <c r="AE176" s="235" t="n"/>
      <c r="AF176" s="236" t="n"/>
      <c r="AG176" s="237" t="n"/>
      <c r="AH176" s="235" t="n"/>
      <c r="AI176" s="236" t="n"/>
      <c r="AJ176" s="237" t="n"/>
      <c r="AK176" s="235" t="n"/>
      <c r="AL176" s="237" t="n"/>
    </row>
  </sheetData>
  <mergeCells count="245">
    <mergeCell ref="F57:F62"/>
    <mergeCell ref="C69:C74"/>
    <mergeCell ref="AH1:AJ1"/>
    <mergeCell ref="G99:G104"/>
    <mergeCell ref="E21:E26"/>
    <mergeCell ref="G165:G170"/>
    <mergeCell ref="H171:H176"/>
    <mergeCell ref="G21:G26"/>
    <mergeCell ref="E39:E44"/>
    <mergeCell ref="I15:I20"/>
    <mergeCell ref="F63:F68"/>
    <mergeCell ref="D99:D104"/>
    <mergeCell ref="H63:H68"/>
    <mergeCell ref="F99:F104"/>
    <mergeCell ref="H93:H98"/>
    <mergeCell ref="B27:B32"/>
    <mergeCell ref="B93:B98"/>
    <mergeCell ref="F171:F176"/>
    <mergeCell ref="D27:D32"/>
    <mergeCell ref="E117:E122"/>
    <mergeCell ref="I159:I164"/>
    <mergeCell ref="B3:B8"/>
    <mergeCell ref="E1:F1"/>
    <mergeCell ref="H39:H44"/>
    <mergeCell ref="E51:E56"/>
    <mergeCell ref="B117:B122"/>
    <mergeCell ref="E87:E92"/>
    <mergeCell ref="G87:G92"/>
    <mergeCell ref="F33:F38"/>
    <mergeCell ref="I87:I92"/>
    <mergeCell ref="G1:I1"/>
    <mergeCell ref="D141:D146"/>
    <mergeCell ref="D75:D80"/>
    <mergeCell ref="A105:A176"/>
    <mergeCell ref="D135:D140"/>
    <mergeCell ref="F75:F80"/>
    <mergeCell ref="H69:H74"/>
    <mergeCell ref="I171:I176"/>
    <mergeCell ref="F135:F140"/>
    <mergeCell ref="A57:A104"/>
    <mergeCell ref="C105:C110"/>
    <mergeCell ref="F141:F146"/>
    <mergeCell ref="D3:D8"/>
    <mergeCell ref="B69:B74"/>
    <mergeCell ref="G33:G38"/>
    <mergeCell ref="C129:C134"/>
    <mergeCell ref="I33:I38"/>
    <mergeCell ref="I51:I56"/>
    <mergeCell ref="C27:C32"/>
    <mergeCell ref="E27:E32"/>
    <mergeCell ref="D15:D20"/>
    <mergeCell ref="D117:D122"/>
    <mergeCell ref="F111:F116"/>
    <mergeCell ref="I99:I104"/>
    <mergeCell ref="AB1:AD1"/>
    <mergeCell ref="G9:G14"/>
    <mergeCell ref="C111:C116"/>
    <mergeCell ref="G75:G80"/>
    <mergeCell ref="B159:B164"/>
    <mergeCell ref="I9:I14"/>
    <mergeCell ref="E93:E98"/>
    <mergeCell ref="D159:D164"/>
    <mergeCell ref="B153:B158"/>
    <mergeCell ref="C3:C8"/>
    <mergeCell ref="D153:D158"/>
    <mergeCell ref="E3:E8"/>
    <mergeCell ref="F147:F152"/>
    <mergeCell ref="K1:S1"/>
    <mergeCell ref="H147:H152"/>
    <mergeCell ref="B81:B86"/>
    <mergeCell ref="E135:E140"/>
    <mergeCell ref="D81:D86"/>
    <mergeCell ref="G117:G122"/>
    <mergeCell ref="E123:E128"/>
    <mergeCell ref="C45:C50"/>
    <mergeCell ref="B105:B110"/>
    <mergeCell ref="G39:G44"/>
    <mergeCell ref="D105:D110"/>
    <mergeCell ref="G141:G146"/>
    <mergeCell ref="I75:I80"/>
    <mergeCell ref="I135:I140"/>
    <mergeCell ref="E69:E74"/>
    <mergeCell ref="F129:F134"/>
    <mergeCell ref="H129:H134"/>
    <mergeCell ref="H123:H128"/>
    <mergeCell ref="B57:B62"/>
    <mergeCell ref="D57:D62"/>
    <mergeCell ref="D171:D176"/>
    <mergeCell ref="C21:C26"/>
    <mergeCell ref="AK1:AL1"/>
    <mergeCell ref="E15:E20"/>
    <mergeCell ref="F165:F170"/>
    <mergeCell ref="C51:C56"/>
    <mergeCell ref="G15:G20"/>
    <mergeCell ref="C153:C158"/>
    <mergeCell ref="B99:B104"/>
    <mergeCell ref="I111:I116"/>
    <mergeCell ref="H57:H62"/>
    <mergeCell ref="B171:B176"/>
    <mergeCell ref="H75:H80"/>
    <mergeCell ref="D165:D170"/>
    <mergeCell ref="D9:D14"/>
    <mergeCell ref="H111:H116"/>
    <mergeCell ref="B45:B50"/>
    <mergeCell ref="F9:F14"/>
    <mergeCell ref="D39:D44"/>
    <mergeCell ref="H3:H8"/>
    <mergeCell ref="G153:G158"/>
    <mergeCell ref="F39:F44"/>
    <mergeCell ref="I153:I158"/>
    <mergeCell ref="C87:C92"/>
    <mergeCell ref="G63:G68"/>
    <mergeCell ref="G129:G134"/>
    <mergeCell ref="E81:E86"/>
    <mergeCell ref="I63:I68"/>
    <mergeCell ref="G81:G86"/>
    <mergeCell ref="I81:I86"/>
    <mergeCell ref="C57:C62"/>
    <mergeCell ref="E57:E62"/>
    <mergeCell ref="B141:B146"/>
    <mergeCell ref="B75:B80"/>
    <mergeCell ref="B135:B140"/>
    <mergeCell ref="G105:G110"/>
    <mergeCell ref="I105:I110"/>
    <mergeCell ref="H165:H170"/>
    <mergeCell ref="C33:C38"/>
    <mergeCell ref="F87:F92"/>
    <mergeCell ref="E33:E38"/>
    <mergeCell ref="I27:I32"/>
    <mergeCell ref="E165:E170"/>
    <mergeCell ref="F15:F20"/>
    <mergeCell ref="C141:C146"/>
    <mergeCell ref="I45:I50"/>
    <mergeCell ref="E141:E146"/>
    <mergeCell ref="G57:G62"/>
    <mergeCell ref="F21:F26"/>
    <mergeCell ref="H21:H26"/>
    <mergeCell ref="B111:B116"/>
    <mergeCell ref="A3:A50"/>
    <mergeCell ref="F51:F56"/>
    <mergeCell ref="H51:H56"/>
    <mergeCell ref="I141:I146"/>
    <mergeCell ref="E99:E104"/>
    <mergeCell ref="G93:G98"/>
    <mergeCell ref="C9:C14"/>
    <mergeCell ref="I93:I98"/>
    <mergeCell ref="C75:C80"/>
    <mergeCell ref="E9:E14"/>
    <mergeCell ref="G171:G176"/>
    <mergeCell ref="G69:G74"/>
    <mergeCell ref="B147:B152"/>
    <mergeCell ref="I165:I170"/>
    <mergeCell ref="D147:D152"/>
    <mergeCell ref="C99:C104"/>
    <mergeCell ref="I21:I26"/>
    <mergeCell ref="I39:I44"/>
    <mergeCell ref="F105:F110"/>
    <mergeCell ref="T1:X1"/>
    <mergeCell ref="H99:H104"/>
    <mergeCell ref="B33:B38"/>
    <mergeCell ref="D33:D38"/>
    <mergeCell ref="D93:D98"/>
    <mergeCell ref="F27:F32"/>
    <mergeCell ref="C39:C44"/>
    <mergeCell ref="H27:H32"/>
    <mergeCell ref="C159:C164"/>
    <mergeCell ref="B9:B14"/>
    <mergeCell ref="F93:F98"/>
    <mergeCell ref="I117:I122"/>
    <mergeCell ref="E75:E80"/>
    <mergeCell ref="G135:G140"/>
    <mergeCell ref="E45:E50"/>
    <mergeCell ref="C81:C86"/>
    <mergeCell ref="F117:F122"/>
    <mergeCell ref="B129:B134"/>
    <mergeCell ref="H33:H38"/>
    <mergeCell ref="D129:D134"/>
    <mergeCell ref="E159:E164"/>
    <mergeCell ref="B123:B128"/>
    <mergeCell ref="D123:D128"/>
    <mergeCell ref="G159:G164"/>
    <mergeCell ref="F123:F128"/>
    <mergeCell ref="B51:B56"/>
    <mergeCell ref="H141:H146"/>
    <mergeCell ref="H135:H140"/>
    <mergeCell ref="Y1:AA1"/>
    <mergeCell ref="D69:D74"/>
    <mergeCell ref="C15:C20"/>
    <mergeCell ref="F69:F74"/>
    <mergeCell ref="A51:A56"/>
    <mergeCell ref="E129:E134"/>
    <mergeCell ref="E111:E116"/>
    <mergeCell ref="C147:C152"/>
    <mergeCell ref="G111:G116"/>
    <mergeCell ref="H117:H122"/>
    <mergeCell ref="E147:E152"/>
    <mergeCell ref="G27:G32"/>
    <mergeCell ref="D45:D50"/>
    <mergeCell ref="H9:H14"/>
    <mergeCell ref="D111:D116"/>
    <mergeCell ref="F45:F50"/>
    <mergeCell ref="B165:B170"/>
    <mergeCell ref="C171:C176"/>
    <mergeCell ref="B21:B26"/>
    <mergeCell ref="AE1:AG1"/>
    <mergeCell ref="E171:E176"/>
    <mergeCell ref="D21:D26"/>
    <mergeCell ref="B39:B44"/>
    <mergeCell ref="F3:F8"/>
    <mergeCell ref="G147:G152"/>
    <mergeCell ref="I129:I134"/>
    <mergeCell ref="C63:C68"/>
    <mergeCell ref="I147:I152"/>
    <mergeCell ref="E153:E158"/>
    <mergeCell ref="E63:E68"/>
    <mergeCell ref="C93:C98"/>
    <mergeCell ref="I57:I62"/>
    <mergeCell ref="C117:C122"/>
    <mergeCell ref="C123:C128"/>
    <mergeCell ref="F159:F164"/>
    <mergeCell ref="E105:E110"/>
    <mergeCell ref="H159:H164"/>
    <mergeCell ref="G3:G8"/>
    <mergeCell ref="F153:F158"/>
    <mergeCell ref="H153:H158"/>
    <mergeCell ref="I3:I8"/>
    <mergeCell ref="B87:B92"/>
    <mergeCell ref="H45:H50"/>
    <mergeCell ref="D87:D92"/>
    <mergeCell ref="F81:F86"/>
    <mergeCell ref="H81:H86"/>
    <mergeCell ref="B15:B20"/>
    <mergeCell ref="G123:G128"/>
    <mergeCell ref="C165:C170"/>
    <mergeCell ref="I123:I128"/>
    <mergeCell ref="G45:G50"/>
    <mergeCell ref="C135:C140"/>
    <mergeCell ref="G51:G56"/>
    <mergeCell ref="H105:H110"/>
    <mergeCell ref="H87:H92"/>
    <mergeCell ref="I69:I74"/>
    <mergeCell ref="D51:D56"/>
    <mergeCell ref="H15:H20"/>
    <mergeCell ref="B63:B68"/>
    <mergeCell ref="D63:D68"/>
  </mergeCells>
  <conditionalFormatting sqref="K3:K176 T3:V176 AE3:AE176 AH3:AH176">
    <cfRule type="expression" priority="76" dxfId="75">
      <formula>ISEVEN(ROW())</formula>
    </cfRule>
    <cfRule type="expression" priority="75" dxfId="74">
      <formula>ISODD(ROW())</formula>
    </cfRule>
  </conditionalFormatting>
  <conditionalFormatting sqref="L3:S126 AF3:AG126 AI3:AL126">
    <cfRule type="expression" priority="73" dxfId="1">
      <formula>ISODD(ROW())</formula>
    </cfRule>
    <cfRule type="expression" priority="74" dxfId="0">
      <formula>ISEVEN(ROW())</formula>
    </cfRule>
  </conditionalFormatting>
  <conditionalFormatting sqref="M127:S128 AF127:AG128 AI127:AL128">
    <cfRule type="expression" priority="71" dxfId="1">
      <formula>ISODD(ROW())</formula>
    </cfRule>
    <cfRule type="expression" priority="72" dxfId="0">
      <formula>ISEVEN(ROW())</formula>
    </cfRule>
  </conditionalFormatting>
  <conditionalFormatting sqref="M139:S140 AF139:AG140 AI139:AL140">
    <cfRule type="expression" priority="69" dxfId="1">
      <formula>ISODD(ROW())</formula>
    </cfRule>
    <cfRule type="expression" priority="70" dxfId="0">
      <formula>ISEVEN(ROW())</formula>
    </cfRule>
  </conditionalFormatting>
  <conditionalFormatting sqref="M151:S152 AF151:AG152 AI151:AL152">
    <cfRule type="expression" priority="67" dxfId="1">
      <formula>ISODD(ROW())</formula>
    </cfRule>
    <cfRule type="expression" priority="68" dxfId="0">
      <formula>ISEVEN(ROW())</formula>
    </cfRule>
  </conditionalFormatting>
  <conditionalFormatting sqref="L127:L128">
    <cfRule type="expression" priority="65" dxfId="1">
      <formula>ISODD(ROW())</formula>
    </cfRule>
    <cfRule type="expression" priority="66" dxfId="0">
      <formula>ISEVEN(ROW())</formula>
    </cfRule>
  </conditionalFormatting>
  <conditionalFormatting sqref="L139:L140">
    <cfRule type="expression" priority="63" dxfId="1">
      <formula>ISODD(ROW())</formula>
    </cfRule>
    <cfRule type="expression" priority="64" dxfId="0">
      <formula>ISEVEN(ROW())</formula>
    </cfRule>
  </conditionalFormatting>
  <conditionalFormatting sqref="L151:L152">
    <cfRule type="expression" priority="61" dxfId="1">
      <formula>ISODD(ROW())</formula>
    </cfRule>
    <cfRule type="expression" priority="62" dxfId="0">
      <formula>ISEVEN(ROW())</formula>
    </cfRule>
  </conditionalFormatting>
  <conditionalFormatting sqref="M129:S138 AF129:AG138 AI129:AL138">
    <cfRule type="expression" priority="59" dxfId="1">
      <formula>ISODD(ROW())</formula>
    </cfRule>
    <cfRule type="expression" priority="60" dxfId="0">
      <formula>ISEVEN(ROW())</formula>
    </cfRule>
  </conditionalFormatting>
  <conditionalFormatting sqref="L129:L138">
    <cfRule type="expression" priority="57" dxfId="1">
      <formula>ISODD(ROW())</formula>
    </cfRule>
    <cfRule type="expression" priority="58" dxfId="0">
      <formula>ISEVEN(ROW())</formula>
    </cfRule>
  </conditionalFormatting>
  <conditionalFormatting sqref="M141:S150 AF141:AG150 AI141:AL150">
    <cfRule type="expression" priority="55" dxfId="1">
      <formula>ISODD(ROW())</formula>
    </cfRule>
    <cfRule type="expression" priority="56" dxfId="0">
      <formula>ISEVEN(ROW())</formula>
    </cfRule>
  </conditionalFormatting>
  <conditionalFormatting sqref="L141:L150">
    <cfRule type="expression" priority="53" dxfId="1">
      <formula>ISODD(ROW())</formula>
    </cfRule>
    <cfRule type="expression" priority="54" dxfId="0">
      <formula>ISEVEN(ROW())</formula>
    </cfRule>
  </conditionalFormatting>
  <conditionalFormatting sqref="M171:S176 AF171:AG176 AI171:AL176">
    <cfRule type="expression" priority="51" dxfId="1">
      <formula>ISODD(ROW())</formula>
    </cfRule>
    <cfRule type="expression" priority="52" dxfId="0">
      <formula>ISEVEN(ROW())</formula>
    </cfRule>
  </conditionalFormatting>
  <conditionalFormatting sqref="L153:L176">
    <cfRule type="expression" priority="49" dxfId="1">
      <formula>ISODD(ROW())</formula>
    </cfRule>
    <cfRule type="expression" priority="50" dxfId="0">
      <formula>ISEVEN(ROW())</formula>
    </cfRule>
  </conditionalFormatting>
  <conditionalFormatting sqref="Y3:AD8">
    <cfRule type="expression" priority="47" dxfId="1">
      <formula>ISODD(ROW())</formula>
    </cfRule>
    <cfRule type="expression" priority="48" dxfId="0">
      <formula>ISEVEN(ROW())</formula>
    </cfRule>
  </conditionalFormatting>
  <conditionalFormatting sqref="Y9:AD14">
    <cfRule type="expression" priority="45" dxfId="1">
      <formula>ISODD(ROW())</formula>
    </cfRule>
    <cfRule type="expression" priority="46" dxfId="0">
      <formula>ISEVEN(ROW())</formula>
    </cfRule>
  </conditionalFormatting>
  <conditionalFormatting sqref="Y15:AD20">
    <cfRule type="expression" priority="43" dxfId="1">
      <formula>ISODD(ROW())</formula>
    </cfRule>
    <cfRule type="expression" priority="44" dxfId="0">
      <formula>ISEVEN(ROW())</formula>
    </cfRule>
  </conditionalFormatting>
  <conditionalFormatting sqref="Y21:AD26">
    <cfRule type="expression" priority="41" dxfId="1">
      <formula>ISODD(ROW())</formula>
    </cfRule>
    <cfRule type="expression" priority="42" dxfId="0">
      <formula>ISEVEN(ROW())</formula>
    </cfRule>
  </conditionalFormatting>
  <conditionalFormatting sqref="Y27:AD32">
    <cfRule type="expression" priority="39" dxfId="1">
      <formula>ISODD(ROW())</formula>
    </cfRule>
    <cfRule type="expression" priority="40" dxfId="0">
      <formula>ISEVEN(ROW())</formula>
    </cfRule>
  </conditionalFormatting>
  <conditionalFormatting sqref="Y33:AD38">
    <cfRule type="expression" priority="37" dxfId="1">
      <formula>ISODD(ROW())</formula>
    </cfRule>
    <cfRule type="expression" priority="38" dxfId="0">
      <formula>ISEVEN(ROW())</formula>
    </cfRule>
  </conditionalFormatting>
  <conditionalFormatting sqref="Y39:AD44">
    <cfRule type="expression" priority="35" dxfId="1">
      <formula>ISODD(ROW())</formula>
    </cfRule>
    <cfRule type="expression" priority="36" dxfId="0">
      <formula>ISEVEN(ROW())</formula>
    </cfRule>
  </conditionalFormatting>
  <conditionalFormatting sqref="Y45:AD50">
    <cfRule type="expression" priority="33" dxfId="1">
      <formula>ISODD(ROW())</formula>
    </cfRule>
    <cfRule type="expression" priority="34" dxfId="0">
      <formula>ISEVEN(ROW())</formula>
    </cfRule>
  </conditionalFormatting>
  <conditionalFormatting sqref="Y57:AD62">
    <cfRule type="expression" priority="31" dxfId="1">
      <formula>ISODD(ROW())</formula>
    </cfRule>
    <cfRule type="expression" priority="32" dxfId="0">
      <formula>ISEVEN(ROW())</formula>
    </cfRule>
  </conditionalFormatting>
  <conditionalFormatting sqref="Y63:AD68">
    <cfRule type="expression" priority="29" dxfId="1">
      <formula>ISODD(ROW())</formula>
    </cfRule>
    <cfRule type="expression" priority="30" dxfId="0">
      <formula>ISEVEN(ROW())</formula>
    </cfRule>
  </conditionalFormatting>
  <conditionalFormatting sqref="Y69:AD104">
    <cfRule type="expression" priority="27" dxfId="1">
      <formula>ISODD(ROW())</formula>
    </cfRule>
    <cfRule type="expression" priority="28" dxfId="0">
      <formula>ISEVEN(ROW())</formula>
    </cfRule>
  </conditionalFormatting>
  <conditionalFormatting sqref="Y111:AD116">
    <cfRule type="expression" priority="25" dxfId="1">
      <formula>ISODD(ROW())</formula>
    </cfRule>
    <cfRule type="expression" priority="26" dxfId="0">
      <formula>ISEVEN(ROW())</formula>
    </cfRule>
  </conditionalFormatting>
  <conditionalFormatting sqref="Y117:AD122">
    <cfRule type="expression" priority="23" dxfId="1">
      <formula>ISODD(ROW())</formula>
    </cfRule>
    <cfRule type="expression" priority="24" dxfId="0">
      <formula>ISEVEN(ROW())</formula>
    </cfRule>
  </conditionalFormatting>
  <conditionalFormatting sqref="Y123:AD128">
    <cfRule type="expression" priority="21" dxfId="1">
      <formula>ISODD(ROW())</formula>
    </cfRule>
    <cfRule type="expression" priority="22" dxfId="0">
      <formula>ISEVEN(ROW())</formula>
    </cfRule>
  </conditionalFormatting>
  <conditionalFormatting sqref="Y129:AD134">
    <cfRule type="expression" priority="19" dxfId="1">
      <formula>ISODD(ROW())</formula>
    </cfRule>
    <cfRule type="expression" priority="20" dxfId="0">
      <formula>ISEVEN(ROW())</formula>
    </cfRule>
  </conditionalFormatting>
  <conditionalFormatting sqref="Y135:AD140">
    <cfRule type="expression" priority="17" dxfId="1">
      <formula>ISODD(ROW())</formula>
    </cfRule>
    <cfRule type="expression" priority="18" dxfId="0">
      <formula>ISEVEN(ROW())</formula>
    </cfRule>
  </conditionalFormatting>
  <conditionalFormatting sqref="Y141:AD146">
    <cfRule type="expression" priority="15" dxfId="1">
      <formula>ISODD(ROW())</formula>
    </cfRule>
    <cfRule type="expression" priority="16" dxfId="0">
      <formula>ISEVEN(ROW())</formula>
    </cfRule>
  </conditionalFormatting>
  <conditionalFormatting sqref="Y147:AD152">
    <cfRule type="expression" priority="13" dxfId="1">
      <formula>ISODD(ROW())</formula>
    </cfRule>
    <cfRule type="expression" priority="14" dxfId="0">
      <formula>ISEVEN(ROW())</formula>
    </cfRule>
  </conditionalFormatting>
  <conditionalFormatting sqref="Y171:AD176">
    <cfRule type="expression" priority="11" dxfId="1">
      <formula>ISODD(ROW())</formula>
    </cfRule>
    <cfRule type="expression" priority="12" dxfId="0">
      <formula>ISEVEN(ROW())</formula>
    </cfRule>
  </conditionalFormatting>
  <conditionalFormatting sqref="Y105:AD110">
    <cfRule type="expression" priority="9" dxfId="1">
      <formula>ISODD(ROW())</formula>
    </cfRule>
    <cfRule type="expression" priority="10" dxfId="0">
      <formula>ISEVEN(ROW())</formula>
    </cfRule>
  </conditionalFormatting>
  <conditionalFormatting sqref="Y51:AD56">
    <cfRule type="expression" priority="7" dxfId="1">
      <formula>ISODD(ROW())</formula>
    </cfRule>
    <cfRule type="expression" priority="8" dxfId="0">
      <formula>ISEVEN(ROW())</formula>
    </cfRule>
  </conditionalFormatting>
  <conditionalFormatting sqref="W3:X176">
    <cfRule type="expression" priority="5" dxfId="1">
      <formula>ISODD(ROW())</formula>
    </cfRule>
    <cfRule type="expression" priority="6" dxfId="0">
      <formula>ISEVEN(ROW())</formula>
    </cfRule>
  </conditionalFormatting>
  <conditionalFormatting sqref="M153:S170 AF153:AG170 AI153:AL170">
    <cfRule type="expression" priority="3" dxfId="1">
      <formula>ISODD(ROW())</formula>
    </cfRule>
    <cfRule type="expression" priority="4" dxfId="0">
      <formula>ISEVEN(ROW())</formula>
    </cfRule>
  </conditionalFormatting>
  <conditionalFormatting sqref="Y153:AD170">
    <cfRule type="expression" priority="1" dxfId="1">
      <formula>ISODD(ROW())</formula>
    </cfRule>
    <cfRule type="expression" priority="2" dxfId="0">
      <formula>ISEVEN(ROW())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2026-01-15T11:55:46Z</dcterms:modified>
  <cp:lastModifiedBy>Wei Zhang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0x010100FD8A5A417CB33747BB52BECDF96CC03A</vt:lpwstr>
  </property>
  <property name="MediaServiceImageTags" fmtid="{D5CDD505-2E9C-101B-9397-08002B2CF9AE}" pid="10">
    <vt:lpwstr/>
  </property>
</Properties>
</file>