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4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ctc\"/>
    </mc:Choice>
  </mc:AlternateContent>
  <xr:revisionPtr revIDLastSave="0" documentId="13_ncr:1_{42762C10-F6D6-4B10-A074-0A411E0CCF69}" xr6:coauthVersionLast="47" xr6:coauthVersionMax="47" xr10:uidLastSave="{00000000-0000-0000-0000-000000000000}"/>
  <bookViews>
    <workbookView xWindow="1200" yWindow="1260" windowWidth="18396" windowHeight="15336" tabRatio="902" activeTab="5" xr2:uid="{00000000-000D-0000-FFFF-FFFF00000000}"/>
  </bookViews>
  <sheets>
    <sheet name="Summary (auto)" sheetId="1" r:id="rId1"/>
    <sheet name="RGB-PSNR" sheetId="61" r:id="rId2"/>
    <sheet name="YUV-PSNR" sheetId="78" r:id="rId3"/>
    <sheet name="YUV-SSIM" sheetId="79" r:id="rId4"/>
    <sheet name="YUV-IVSSIM" sheetId="80" r:id="rId5"/>
    <sheet name="M_NC2" sheetId="66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4" i="66" l="1"/>
  <c r="W25" i="66"/>
  <c r="W26" i="66"/>
  <c r="W27" i="66"/>
  <c r="W23" i="66"/>
  <c r="E23" i="66"/>
  <c r="W9" i="66"/>
  <c r="W8" i="66"/>
  <c r="W7" i="66"/>
  <c r="W6" i="66"/>
  <c r="W5" i="66"/>
  <c r="E27" i="66"/>
  <c r="E9" i="66" s="1"/>
  <c r="E26" i="66"/>
  <c r="E8" i="66" s="1"/>
  <c r="E25" i="66"/>
  <c r="E7" i="66" s="1"/>
  <c r="E24" i="66"/>
  <c r="E6" i="66" s="1"/>
  <c r="E5" i="66"/>
  <c r="AJ9" i="66"/>
  <c r="AI9" i="66"/>
  <c r="AH9" i="66"/>
  <c r="AJ8" i="66"/>
  <c r="AI8" i="66"/>
  <c r="AH8" i="66"/>
  <c r="AJ7" i="66"/>
  <c r="AI7" i="66"/>
  <c r="AH7" i="66"/>
  <c r="AJ6" i="66"/>
  <c r="AI6" i="66"/>
  <c r="AH6" i="66"/>
  <c r="AJ5" i="66"/>
  <c r="AI5" i="66"/>
  <c r="AH5" i="66"/>
  <c r="AH10" i="66" l="1"/>
  <c r="AJ10" i="66"/>
  <c r="AI10" i="66"/>
  <c r="R5" i="66"/>
  <c r="Q9" i="66"/>
  <c r="P9" i="66"/>
  <c r="Q8" i="66"/>
  <c r="P8" i="66"/>
  <c r="Q7" i="66"/>
  <c r="P7" i="66"/>
  <c r="Q6" i="66"/>
  <c r="P6" i="66"/>
  <c r="Q5" i="66"/>
  <c r="Q10" i="66" s="1"/>
  <c r="P5" i="66"/>
  <c r="P10" i="66" s="1"/>
  <c r="C13" i="66"/>
  <c r="M101" i="80"/>
  <c r="L101" i="80"/>
  <c r="B99" i="80"/>
  <c r="B98" i="80"/>
  <c r="B97" i="80"/>
  <c r="B96" i="80"/>
  <c r="B95" i="80"/>
  <c r="F92" i="80"/>
  <c r="L92" i="80" s="1"/>
  <c r="M90" i="80"/>
  <c r="L90" i="80"/>
  <c r="B86" i="80"/>
  <c r="B85" i="80"/>
  <c r="B84" i="80"/>
  <c r="F81" i="80"/>
  <c r="L81" i="80" s="1"/>
  <c r="M79" i="80"/>
  <c r="L79" i="80"/>
  <c r="B74" i="80"/>
  <c r="F73" i="80"/>
  <c r="F74" i="80" s="1"/>
  <c r="F75" i="80" s="1"/>
  <c r="F76" i="80" s="1"/>
  <c r="F77" i="80" s="1"/>
  <c r="B73" i="80"/>
  <c r="F70" i="80"/>
  <c r="L70" i="80" s="1"/>
  <c r="M68" i="80"/>
  <c r="L68" i="80"/>
  <c r="B63" i="80"/>
  <c r="B64" i="80" s="1"/>
  <c r="F62" i="80"/>
  <c r="F63" i="80" s="1"/>
  <c r="F64" i="80" s="1"/>
  <c r="F65" i="80" s="1"/>
  <c r="F66" i="80" s="1"/>
  <c r="B62" i="80"/>
  <c r="F59" i="80"/>
  <c r="L59" i="80" s="1"/>
  <c r="M61" i="80" s="1"/>
  <c r="M57" i="80"/>
  <c r="L57" i="80"/>
  <c r="B53" i="80"/>
  <c r="B54" i="80" s="1"/>
  <c r="B52" i="80"/>
  <c r="B51" i="80"/>
  <c r="L48" i="80"/>
  <c r="L50" i="80" s="1"/>
  <c r="F48" i="80"/>
  <c r="F51" i="80" s="1"/>
  <c r="F52" i="80" s="1"/>
  <c r="F53" i="80" s="1"/>
  <c r="F54" i="80" s="1"/>
  <c r="F55" i="80" s="1"/>
  <c r="M46" i="80"/>
  <c r="L46" i="80"/>
  <c r="F40" i="80"/>
  <c r="F41" i="80" s="1"/>
  <c r="F42" i="80" s="1"/>
  <c r="F43" i="80" s="1"/>
  <c r="F44" i="80" s="1"/>
  <c r="B40" i="80"/>
  <c r="B41" i="80" s="1"/>
  <c r="F37" i="80"/>
  <c r="L37" i="80" s="1"/>
  <c r="M39" i="80" s="1"/>
  <c r="M35" i="80"/>
  <c r="L35" i="80"/>
  <c r="B30" i="80"/>
  <c r="B31" i="80" s="1"/>
  <c r="F29" i="80"/>
  <c r="F30" i="80" s="1"/>
  <c r="F31" i="80" s="1"/>
  <c r="F32" i="80" s="1"/>
  <c r="F33" i="80" s="1"/>
  <c r="B29" i="80"/>
  <c r="F26" i="80"/>
  <c r="L26" i="80" s="1"/>
  <c r="M28" i="80" s="1"/>
  <c r="M24" i="80"/>
  <c r="L24" i="80"/>
  <c r="B18" i="80"/>
  <c r="F15" i="80"/>
  <c r="F18" i="80" s="1"/>
  <c r="F19" i="80" s="1"/>
  <c r="F20" i="80" s="1"/>
  <c r="F21" i="80" s="1"/>
  <c r="F22" i="80" s="1"/>
  <c r="M13" i="80"/>
  <c r="L13" i="80"/>
  <c r="B8" i="80"/>
  <c r="F7" i="80"/>
  <c r="F8" i="80" s="1"/>
  <c r="F9" i="80" s="1"/>
  <c r="F10" i="80" s="1"/>
  <c r="F11" i="80" s="1"/>
  <c r="B7" i="80"/>
  <c r="F4" i="80"/>
  <c r="L4" i="80" s="1"/>
  <c r="F2" i="80"/>
  <c r="M94" i="80" s="1"/>
  <c r="B2" i="80"/>
  <c r="L94" i="80" s="1"/>
  <c r="M101" i="79"/>
  <c r="L101" i="79"/>
  <c r="B96" i="79"/>
  <c r="F95" i="79"/>
  <c r="F96" i="79" s="1"/>
  <c r="F97" i="79" s="1"/>
  <c r="F98" i="79" s="1"/>
  <c r="F99" i="79" s="1"/>
  <c r="B95" i="79"/>
  <c r="F92" i="79"/>
  <c r="L92" i="79" s="1"/>
  <c r="M90" i="79"/>
  <c r="L90" i="79"/>
  <c r="B86" i="79"/>
  <c r="B85" i="79"/>
  <c r="B84" i="79"/>
  <c r="F81" i="79"/>
  <c r="M79" i="79"/>
  <c r="L79" i="79"/>
  <c r="F77" i="79"/>
  <c r="F73" i="79"/>
  <c r="F74" i="79" s="1"/>
  <c r="F75" i="79" s="1"/>
  <c r="F76" i="79" s="1"/>
  <c r="B73" i="79"/>
  <c r="F70" i="79"/>
  <c r="L70" i="79" s="1"/>
  <c r="M72" i="79" s="1"/>
  <c r="M68" i="79"/>
  <c r="L68" i="79"/>
  <c r="F63" i="79"/>
  <c r="F64" i="79" s="1"/>
  <c r="F65" i="79" s="1"/>
  <c r="F66" i="79" s="1"/>
  <c r="F62" i="79"/>
  <c r="B62" i="79"/>
  <c r="B63" i="79" s="1"/>
  <c r="M61" i="79"/>
  <c r="F59" i="79"/>
  <c r="L59" i="79" s="1"/>
  <c r="L61" i="79" s="1"/>
  <c r="M57" i="79"/>
  <c r="L57" i="79"/>
  <c r="B51" i="79"/>
  <c r="F48" i="79"/>
  <c r="L48" i="79" s="1"/>
  <c r="M46" i="79"/>
  <c r="L46" i="79"/>
  <c r="B40" i="79"/>
  <c r="F37" i="79"/>
  <c r="F40" i="79" s="1"/>
  <c r="F41" i="79" s="1"/>
  <c r="F42" i="79" s="1"/>
  <c r="F43" i="79" s="1"/>
  <c r="F44" i="79" s="1"/>
  <c r="M35" i="79"/>
  <c r="L35" i="79"/>
  <c r="F30" i="79"/>
  <c r="F31" i="79" s="1"/>
  <c r="F32" i="79" s="1"/>
  <c r="F33" i="79" s="1"/>
  <c r="F29" i="79"/>
  <c r="B29" i="79"/>
  <c r="B30" i="79" s="1"/>
  <c r="M28" i="79"/>
  <c r="L28" i="79"/>
  <c r="L26" i="79"/>
  <c r="F26" i="79"/>
  <c r="M24" i="79"/>
  <c r="L24" i="79"/>
  <c r="B20" i="79"/>
  <c r="B21" i="79" s="1"/>
  <c r="B19" i="79"/>
  <c r="B18" i="79"/>
  <c r="L15" i="79"/>
  <c r="F15" i="79"/>
  <c r="F18" i="79" s="1"/>
  <c r="F19" i="79" s="1"/>
  <c r="F20" i="79" s="1"/>
  <c r="F21" i="79" s="1"/>
  <c r="F22" i="79" s="1"/>
  <c r="M13" i="79"/>
  <c r="L13" i="79"/>
  <c r="F7" i="79"/>
  <c r="F8" i="79" s="1"/>
  <c r="F9" i="79" s="1"/>
  <c r="F10" i="79" s="1"/>
  <c r="F11" i="79" s="1"/>
  <c r="B7" i="79"/>
  <c r="F4" i="79"/>
  <c r="L4" i="79" s="1"/>
  <c r="M6" i="79" s="1"/>
  <c r="F2" i="79"/>
  <c r="M94" i="79" s="1"/>
  <c r="B2" i="79"/>
  <c r="L94" i="79" s="1"/>
  <c r="M101" i="78"/>
  <c r="L101" i="78"/>
  <c r="F98" i="78"/>
  <c r="F99" i="78" s="1"/>
  <c r="F96" i="78"/>
  <c r="F97" i="78" s="1"/>
  <c r="B96" i="78"/>
  <c r="F95" i="78"/>
  <c r="B95" i="78"/>
  <c r="F92" i="78"/>
  <c r="L92" i="78" s="1"/>
  <c r="M90" i="78"/>
  <c r="L90" i="78"/>
  <c r="B86" i="78"/>
  <c r="B85" i="78"/>
  <c r="B84" i="78"/>
  <c r="F81" i="78"/>
  <c r="M79" i="78"/>
  <c r="L79" i="78"/>
  <c r="B73" i="78"/>
  <c r="F70" i="78"/>
  <c r="F73" i="78" s="1"/>
  <c r="F74" i="78" s="1"/>
  <c r="F75" i="78" s="1"/>
  <c r="F76" i="78" s="1"/>
  <c r="F77" i="78" s="1"/>
  <c r="M68" i="78"/>
  <c r="L68" i="78"/>
  <c r="F65" i="78"/>
  <c r="F66" i="78" s="1"/>
  <c r="F62" i="78"/>
  <c r="F63" i="78" s="1"/>
  <c r="F64" i="78" s="1"/>
  <c r="B62" i="78"/>
  <c r="B63" i="78" s="1"/>
  <c r="F59" i="78"/>
  <c r="L59" i="78" s="1"/>
  <c r="M61" i="78" s="1"/>
  <c r="M57" i="78"/>
  <c r="L57" i="78"/>
  <c r="B52" i="78"/>
  <c r="B51" i="78"/>
  <c r="F48" i="78"/>
  <c r="F51" i="78" s="1"/>
  <c r="F52" i="78" s="1"/>
  <c r="F53" i="78" s="1"/>
  <c r="F54" i="78" s="1"/>
  <c r="F55" i="78" s="1"/>
  <c r="M46" i="78"/>
  <c r="L46" i="78"/>
  <c r="F42" i="78"/>
  <c r="F43" i="78" s="1"/>
  <c r="F44" i="78" s="1"/>
  <c r="B40" i="78"/>
  <c r="L37" i="78"/>
  <c r="M39" i="78" s="1"/>
  <c r="F37" i="78"/>
  <c r="F40" i="78" s="1"/>
  <c r="F41" i="78" s="1"/>
  <c r="M35" i="78"/>
  <c r="L35" i="78"/>
  <c r="F32" i="78"/>
  <c r="F33" i="78" s="1"/>
  <c r="F29" i="78"/>
  <c r="F30" i="78" s="1"/>
  <c r="F31" i="78" s="1"/>
  <c r="B29" i="78"/>
  <c r="B30" i="78" s="1"/>
  <c r="F26" i="78"/>
  <c r="L26" i="78" s="1"/>
  <c r="M28" i="78" s="1"/>
  <c r="M24" i="78"/>
  <c r="L24" i="78"/>
  <c r="B19" i="78"/>
  <c r="B20" i="78" s="1"/>
  <c r="B18" i="78"/>
  <c r="F15" i="78"/>
  <c r="F18" i="78" s="1"/>
  <c r="F19" i="78" s="1"/>
  <c r="F20" i="78" s="1"/>
  <c r="F21" i="78" s="1"/>
  <c r="F22" i="78" s="1"/>
  <c r="M13" i="78"/>
  <c r="L13" i="78"/>
  <c r="F7" i="78"/>
  <c r="F8" i="78" s="1"/>
  <c r="F9" i="78" s="1"/>
  <c r="F10" i="78" s="1"/>
  <c r="F11" i="78" s="1"/>
  <c r="B7" i="78"/>
  <c r="L4" i="78"/>
  <c r="M6" i="78" s="1"/>
  <c r="F4" i="78"/>
  <c r="F2" i="78"/>
  <c r="B2" i="78"/>
  <c r="F95" i="61"/>
  <c r="F96" i="61" s="1"/>
  <c r="F97" i="61" s="1"/>
  <c r="F98" i="61" s="1"/>
  <c r="F99" i="61" s="1"/>
  <c r="B95" i="61"/>
  <c r="F84" i="61"/>
  <c r="F85" i="61" s="1"/>
  <c r="F86" i="61" s="1"/>
  <c r="F87" i="61" s="1"/>
  <c r="F88" i="61" s="1"/>
  <c r="B84" i="61"/>
  <c r="B85" i="61" s="1"/>
  <c r="B73" i="61"/>
  <c r="B62" i="61"/>
  <c r="B7" i="61"/>
  <c r="B8" i="61" s="1"/>
  <c r="B9" i="61" s="1"/>
  <c r="B10" i="61" s="1"/>
  <c r="B11" i="61" s="1"/>
  <c r="B18" i="61"/>
  <c r="B19" i="61" s="1"/>
  <c r="B20" i="61" s="1"/>
  <c r="B29" i="61"/>
  <c r="B30" i="61" s="1"/>
  <c r="B40" i="61"/>
  <c r="B41" i="61" s="1"/>
  <c r="F2" i="61"/>
  <c r="B2" i="61"/>
  <c r="AB9" i="66"/>
  <c r="AA9" i="66"/>
  <c r="Z9" i="66"/>
  <c r="Y9" i="66"/>
  <c r="X9" i="66"/>
  <c r="AB8" i="66"/>
  <c r="AA8" i="66"/>
  <c r="Z8" i="66"/>
  <c r="Y8" i="66"/>
  <c r="X8" i="66"/>
  <c r="AB7" i="66"/>
  <c r="AA7" i="66"/>
  <c r="Z7" i="66"/>
  <c r="Y7" i="66"/>
  <c r="X7" i="66"/>
  <c r="AB6" i="66"/>
  <c r="AA6" i="66"/>
  <c r="Z6" i="66"/>
  <c r="Y6" i="66"/>
  <c r="X6" i="66"/>
  <c r="AB5" i="66"/>
  <c r="AA5" i="66"/>
  <c r="Z5" i="66"/>
  <c r="Y5" i="66"/>
  <c r="X5" i="66"/>
  <c r="J9" i="66"/>
  <c r="I9" i="66"/>
  <c r="H9" i="66"/>
  <c r="G9" i="66"/>
  <c r="F9" i="66"/>
  <c r="J8" i="66"/>
  <c r="I8" i="66"/>
  <c r="H8" i="66"/>
  <c r="G8" i="66"/>
  <c r="F8" i="66"/>
  <c r="J7" i="66"/>
  <c r="I7" i="66"/>
  <c r="H7" i="66"/>
  <c r="G7" i="66"/>
  <c r="F7" i="66"/>
  <c r="J6" i="66"/>
  <c r="I6" i="66"/>
  <c r="H6" i="66"/>
  <c r="G6" i="66"/>
  <c r="F6" i="66"/>
  <c r="J5" i="66"/>
  <c r="I5" i="66"/>
  <c r="H5" i="66"/>
  <c r="G5" i="66"/>
  <c r="F5" i="66"/>
  <c r="AB650" i="66"/>
  <c r="AA650" i="66"/>
  <c r="Z650" i="66"/>
  <c r="Y650" i="66"/>
  <c r="X650" i="66"/>
  <c r="AB649" i="66"/>
  <c r="AA649" i="66"/>
  <c r="Z649" i="66"/>
  <c r="Y649" i="66"/>
  <c r="X649" i="66"/>
  <c r="AB648" i="66"/>
  <c r="AA648" i="66"/>
  <c r="Z648" i="66"/>
  <c r="Y648" i="66"/>
  <c r="X648" i="66"/>
  <c r="AB647" i="66"/>
  <c r="AA647" i="66"/>
  <c r="Z647" i="66"/>
  <c r="Y647" i="66"/>
  <c r="X647" i="66"/>
  <c r="AB646" i="66"/>
  <c r="AA646" i="66"/>
  <c r="Z646" i="66"/>
  <c r="Y646" i="66"/>
  <c r="X646" i="66"/>
  <c r="AB645" i="66"/>
  <c r="AA645" i="66"/>
  <c r="Z645" i="66"/>
  <c r="Y645" i="66"/>
  <c r="X645" i="66"/>
  <c r="AB644" i="66"/>
  <c r="AA644" i="66"/>
  <c r="Z644" i="66"/>
  <c r="Y644" i="66"/>
  <c r="X644" i="66"/>
  <c r="AB643" i="66"/>
  <c r="AA643" i="66"/>
  <c r="Z643" i="66"/>
  <c r="Y643" i="66"/>
  <c r="X643" i="66"/>
  <c r="AB642" i="66"/>
  <c r="AA642" i="66"/>
  <c r="Z642" i="66"/>
  <c r="Y642" i="66"/>
  <c r="X642" i="66"/>
  <c r="AB641" i="66"/>
  <c r="AA641" i="66"/>
  <c r="Z641" i="66"/>
  <c r="Y641" i="66"/>
  <c r="X641" i="66"/>
  <c r="J650" i="66"/>
  <c r="I650" i="66"/>
  <c r="H650" i="66"/>
  <c r="G650" i="66"/>
  <c r="F650" i="66"/>
  <c r="J649" i="66"/>
  <c r="I649" i="66"/>
  <c r="H649" i="66"/>
  <c r="G649" i="66"/>
  <c r="F649" i="66"/>
  <c r="J648" i="66"/>
  <c r="I648" i="66"/>
  <c r="H648" i="66"/>
  <c r="G648" i="66"/>
  <c r="F648" i="66"/>
  <c r="J647" i="66"/>
  <c r="I647" i="66"/>
  <c r="H647" i="66"/>
  <c r="G647" i="66"/>
  <c r="F647" i="66"/>
  <c r="J646" i="66"/>
  <c r="I646" i="66"/>
  <c r="H646" i="66"/>
  <c r="G646" i="66"/>
  <c r="F646" i="66"/>
  <c r="J645" i="66"/>
  <c r="I645" i="66"/>
  <c r="H645" i="66"/>
  <c r="G645" i="66"/>
  <c r="F645" i="66"/>
  <c r="J644" i="66"/>
  <c r="I644" i="66"/>
  <c r="H644" i="66"/>
  <c r="G644" i="66"/>
  <c r="F644" i="66"/>
  <c r="J643" i="66"/>
  <c r="I643" i="66"/>
  <c r="H643" i="66"/>
  <c r="G643" i="66"/>
  <c r="F643" i="66"/>
  <c r="J642" i="66"/>
  <c r="I642" i="66"/>
  <c r="H642" i="66"/>
  <c r="G642" i="66"/>
  <c r="F642" i="66"/>
  <c r="J641" i="66"/>
  <c r="I641" i="66"/>
  <c r="H641" i="66"/>
  <c r="G641" i="66"/>
  <c r="F641" i="66"/>
  <c r="AQ637" i="66"/>
  <c r="AP637" i="66"/>
  <c r="AO637" i="66"/>
  <c r="AN637" i="66"/>
  <c r="AM637" i="66"/>
  <c r="AQ636" i="66"/>
  <c r="AP636" i="66"/>
  <c r="AO636" i="66"/>
  <c r="AN636" i="66"/>
  <c r="AM636" i="66"/>
  <c r="AQ635" i="66"/>
  <c r="AP635" i="66"/>
  <c r="AO635" i="66"/>
  <c r="AN635" i="66"/>
  <c r="AM635" i="66"/>
  <c r="AQ634" i="66"/>
  <c r="AP634" i="66"/>
  <c r="AO634" i="66"/>
  <c r="AN634" i="66"/>
  <c r="AM634" i="66"/>
  <c r="AQ633" i="66"/>
  <c r="AP633" i="66"/>
  <c r="AO633" i="66"/>
  <c r="AN633" i="66"/>
  <c r="AM633" i="66"/>
  <c r="AQ632" i="66"/>
  <c r="AP632" i="66"/>
  <c r="AO632" i="66"/>
  <c r="AN632" i="66"/>
  <c r="AM632" i="66"/>
  <c r="AQ631" i="66"/>
  <c r="AP631" i="66"/>
  <c r="AO631" i="66"/>
  <c r="AN631" i="66"/>
  <c r="AM631" i="66"/>
  <c r="AQ630" i="66"/>
  <c r="AP630" i="66"/>
  <c r="AO630" i="66"/>
  <c r="AN630" i="66"/>
  <c r="AM630" i="66"/>
  <c r="AQ629" i="66"/>
  <c r="AP629" i="66"/>
  <c r="AO629" i="66"/>
  <c r="AN629" i="66"/>
  <c r="AM629" i="66"/>
  <c r="AQ628" i="66"/>
  <c r="AP628" i="66"/>
  <c r="AO628" i="66"/>
  <c r="AN628" i="66"/>
  <c r="AM628" i="66"/>
  <c r="AQ627" i="66"/>
  <c r="AP627" i="66"/>
  <c r="AO627" i="66"/>
  <c r="AN627" i="66"/>
  <c r="AM627" i="66"/>
  <c r="AQ626" i="66"/>
  <c r="AP626" i="66"/>
  <c r="AO626" i="66"/>
  <c r="AN626" i="66"/>
  <c r="AM626" i="66"/>
  <c r="AQ625" i="66"/>
  <c r="AP625" i="66"/>
  <c r="AO625" i="66"/>
  <c r="AN625" i="66"/>
  <c r="AM625" i="66"/>
  <c r="AQ624" i="66"/>
  <c r="AP624" i="66"/>
  <c r="AO624" i="66"/>
  <c r="AN624" i="66"/>
  <c r="AM624" i="66"/>
  <c r="AQ623" i="66"/>
  <c r="AP623" i="66"/>
  <c r="AO623" i="66"/>
  <c r="AN623" i="66"/>
  <c r="AM623" i="66"/>
  <c r="AQ622" i="66"/>
  <c r="AP622" i="66"/>
  <c r="AO622" i="66"/>
  <c r="AN622" i="66"/>
  <c r="AM622" i="66"/>
  <c r="AQ621" i="66"/>
  <c r="AP621" i="66"/>
  <c r="AO621" i="66"/>
  <c r="AN621" i="66"/>
  <c r="AM621" i="66"/>
  <c r="AQ620" i="66"/>
  <c r="AP620" i="66"/>
  <c r="AO620" i="66"/>
  <c r="AN620" i="66"/>
  <c r="AM620" i="66"/>
  <c r="AQ619" i="66"/>
  <c r="AP619" i="66"/>
  <c r="AO619" i="66"/>
  <c r="AN619" i="66"/>
  <c r="AM619" i="66"/>
  <c r="AQ618" i="66"/>
  <c r="AP618" i="66"/>
  <c r="AO618" i="66"/>
  <c r="AN618" i="66"/>
  <c r="AM618" i="66"/>
  <c r="AQ617" i="66"/>
  <c r="AP617" i="66"/>
  <c r="AO617" i="66"/>
  <c r="AN617" i="66"/>
  <c r="AM617" i="66"/>
  <c r="AQ616" i="66"/>
  <c r="AP616" i="66"/>
  <c r="AO616" i="66"/>
  <c r="AN616" i="66"/>
  <c r="AM616" i="66"/>
  <c r="AQ615" i="66"/>
  <c r="AP615" i="66"/>
  <c r="AO615" i="66"/>
  <c r="AN615" i="66"/>
  <c r="AM615" i="66"/>
  <c r="AQ614" i="66"/>
  <c r="AP614" i="66"/>
  <c r="AO614" i="66"/>
  <c r="AN614" i="66"/>
  <c r="AM614" i="66"/>
  <c r="AQ613" i="66"/>
  <c r="AP613" i="66"/>
  <c r="AO613" i="66"/>
  <c r="AN613" i="66"/>
  <c r="AM613" i="66"/>
  <c r="AQ612" i="66"/>
  <c r="AP612" i="66"/>
  <c r="AO612" i="66"/>
  <c r="AN612" i="66"/>
  <c r="AM612" i="66"/>
  <c r="AQ611" i="66"/>
  <c r="AP611" i="66"/>
  <c r="AO611" i="66"/>
  <c r="AN611" i="66"/>
  <c r="AM611" i="66"/>
  <c r="AQ610" i="66"/>
  <c r="AP610" i="66"/>
  <c r="AO610" i="66"/>
  <c r="AN610" i="66"/>
  <c r="AM610" i="66"/>
  <c r="AQ609" i="66"/>
  <c r="AP609" i="66"/>
  <c r="AO609" i="66"/>
  <c r="AN609" i="66"/>
  <c r="AM609" i="66"/>
  <c r="AQ608" i="66"/>
  <c r="AP608" i="66"/>
  <c r="AO608" i="66"/>
  <c r="AN608" i="66"/>
  <c r="AM608" i="66"/>
  <c r="AQ607" i="66"/>
  <c r="AP607" i="66"/>
  <c r="AO607" i="66"/>
  <c r="AN607" i="66"/>
  <c r="AM607" i="66"/>
  <c r="AQ606" i="66"/>
  <c r="AP606" i="66"/>
  <c r="AO606" i="66"/>
  <c r="AN606" i="66"/>
  <c r="AM606" i="66"/>
  <c r="AQ605" i="66"/>
  <c r="AP605" i="66"/>
  <c r="AO605" i="66"/>
  <c r="AN605" i="66"/>
  <c r="AM605" i="66"/>
  <c r="AQ604" i="66"/>
  <c r="AP604" i="66"/>
  <c r="AO604" i="66"/>
  <c r="AN604" i="66"/>
  <c r="AM604" i="66"/>
  <c r="AQ603" i="66"/>
  <c r="AP603" i="66"/>
  <c r="AO603" i="66"/>
  <c r="AN603" i="66"/>
  <c r="AM603" i="66"/>
  <c r="AQ602" i="66"/>
  <c r="AP602" i="66"/>
  <c r="AO602" i="66"/>
  <c r="AN602" i="66"/>
  <c r="AM602" i="66"/>
  <c r="AQ601" i="66"/>
  <c r="AP601" i="66"/>
  <c r="AO601" i="66"/>
  <c r="AN601" i="66"/>
  <c r="AM601" i="66"/>
  <c r="AQ600" i="66"/>
  <c r="AP600" i="66"/>
  <c r="AO600" i="66"/>
  <c r="AN600" i="66"/>
  <c r="AM600" i="66"/>
  <c r="AQ599" i="66"/>
  <c r="AP599" i="66"/>
  <c r="AO599" i="66"/>
  <c r="AN599" i="66"/>
  <c r="AM599" i="66"/>
  <c r="AQ598" i="66"/>
  <c r="AP598" i="66"/>
  <c r="AO598" i="66"/>
  <c r="AN598" i="66"/>
  <c r="AM598" i="66"/>
  <c r="AQ597" i="66"/>
  <c r="AP597" i="66"/>
  <c r="AO597" i="66"/>
  <c r="AN597" i="66"/>
  <c r="AM597" i="66"/>
  <c r="AQ596" i="66"/>
  <c r="AP596" i="66"/>
  <c r="AO596" i="66"/>
  <c r="AN596" i="66"/>
  <c r="AM596" i="66"/>
  <c r="AQ595" i="66"/>
  <c r="AP595" i="66"/>
  <c r="AO595" i="66"/>
  <c r="AN595" i="66"/>
  <c r="AM595" i="66"/>
  <c r="AQ594" i="66"/>
  <c r="AP594" i="66"/>
  <c r="AO594" i="66"/>
  <c r="AN594" i="66"/>
  <c r="AM594" i="66"/>
  <c r="AQ593" i="66"/>
  <c r="AP593" i="66"/>
  <c r="AO593" i="66"/>
  <c r="AN593" i="66"/>
  <c r="AM593" i="66"/>
  <c r="AQ592" i="66"/>
  <c r="AP592" i="66"/>
  <c r="AO592" i="66"/>
  <c r="AN592" i="66"/>
  <c r="AM592" i="66"/>
  <c r="AQ591" i="66"/>
  <c r="AP591" i="66"/>
  <c r="AO591" i="66"/>
  <c r="AN591" i="66"/>
  <c r="AM591" i="66"/>
  <c r="AQ590" i="66"/>
  <c r="AP590" i="66"/>
  <c r="AO590" i="66"/>
  <c r="AN590" i="66"/>
  <c r="AM590" i="66"/>
  <c r="AQ589" i="66"/>
  <c r="AP589" i="66"/>
  <c r="AO589" i="66"/>
  <c r="AN589" i="66"/>
  <c r="AM589" i="66"/>
  <c r="AQ588" i="66"/>
  <c r="AP588" i="66"/>
  <c r="AO588" i="66"/>
  <c r="AN588" i="66"/>
  <c r="AM588" i="66"/>
  <c r="AQ587" i="66"/>
  <c r="AP587" i="66"/>
  <c r="AO587" i="66"/>
  <c r="AN587" i="66"/>
  <c r="AM587" i="66"/>
  <c r="AQ586" i="66"/>
  <c r="AP586" i="66"/>
  <c r="AO586" i="66"/>
  <c r="AN586" i="66"/>
  <c r="AM586" i="66"/>
  <c r="AQ585" i="66"/>
  <c r="AP585" i="66"/>
  <c r="AO585" i="66"/>
  <c r="AN585" i="66"/>
  <c r="AM585" i="66"/>
  <c r="AQ584" i="66"/>
  <c r="AP584" i="66"/>
  <c r="AO584" i="66"/>
  <c r="AN584" i="66"/>
  <c r="AM584" i="66"/>
  <c r="AQ583" i="66"/>
  <c r="AP583" i="66"/>
  <c r="AO583" i="66"/>
  <c r="AN583" i="66"/>
  <c r="AM583" i="66"/>
  <c r="AQ582" i="66"/>
  <c r="AP582" i="66"/>
  <c r="AO582" i="66"/>
  <c r="AN582" i="66"/>
  <c r="AM582" i="66"/>
  <c r="AQ581" i="66"/>
  <c r="AP581" i="66"/>
  <c r="AO581" i="66"/>
  <c r="AN581" i="66"/>
  <c r="AM581" i="66"/>
  <c r="AQ580" i="66"/>
  <c r="AP580" i="66"/>
  <c r="AO580" i="66"/>
  <c r="AN580" i="66"/>
  <c r="AM580" i="66"/>
  <c r="AQ579" i="66"/>
  <c r="AP579" i="66"/>
  <c r="AO579" i="66"/>
  <c r="AN579" i="66"/>
  <c r="AM579" i="66"/>
  <c r="AQ578" i="66"/>
  <c r="AP578" i="66"/>
  <c r="AO578" i="66"/>
  <c r="AN578" i="66"/>
  <c r="AM578" i="66"/>
  <c r="AQ577" i="66"/>
  <c r="AP577" i="66"/>
  <c r="AO577" i="66"/>
  <c r="AN577" i="66"/>
  <c r="AM577" i="66"/>
  <c r="AQ576" i="66"/>
  <c r="AP576" i="66"/>
  <c r="AO576" i="66"/>
  <c r="AN576" i="66"/>
  <c r="AM576" i="66"/>
  <c r="AQ575" i="66"/>
  <c r="AP575" i="66"/>
  <c r="AO575" i="66"/>
  <c r="AN575" i="66"/>
  <c r="AM575" i="66"/>
  <c r="AQ574" i="66"/>
  <c r="AP574" i="66"/>
  <c r="AO574" i="66"/>
  <c r="AN574" i="66"/>
  <c r="AM574" i="66"/>
  <c r="AQ573" i="66"/>
  <c r="AP573" i="66"/>
  <c r="AO573" i="66"/>
  <c r="AN573" i="66"/>
  <c r="AM573" i="66"/>
  <c r="AQ572" i="66"/>
  <c r="AP572" i="66"/>
  <c r="AO572" i="66"/>
  <c r="AN572" i="66"/>
  <c r="AM572" i="66"/>
  <c r="AQ571" i="66"/>
  <c r="AP571" i="66"/>
  <c r="AO571" i="66"/>
  <c r="AN571" i="66"/>
  <c r="AM571" i="66"/>
  <c r="AQ570" i="66"/>
  <c r="AP570" i="66"/>
  <c r="AO570" i="66"/>
  <c r="AN570" i="66"/>
  <c r="AM570" i="66"/>
  <c r="AQ569" i="66"/>
  <c r="AP569" i="66"/>
  <c r="AO569" i="66"/>
  <c r="AN569" i="66"/>
  <c r="AM569" i="66"/>
  <c r="AQ568" i="66"/>
  <c r="AP568" i="66"/>
  <c r="AO568" i="66"/>
  <c r="AN568" i="66"/>
  <c r="AM568" i="66"/>
  <c r="AQ567" i="66"/>
  <c r="AP567" i="66"/>
  <c r="AO567" i="66"/>
  <c r="AN567" i="66"/>
  <c r="AM567" i="66"/>
  <c r="AQ566" i="66"/>
  <c r="AP566" i="66"/>
  <c r="AO566" i="66"/>
  <c r="AN566" i="66"/>
  <c r="AM566" i="66"/>
  <c r="AQ565" i="66"/>
  <c r="AP565" i="66"/>
  <c r="AO565" i="66"/>
  <c r="AN565" i="66"/>
  <c r="AM565" i="66"/>
  <c r="AQ564" i="66"/>
  <c r="AP564" i="66"/>
  <c r="AO564" i="66"/>
  <c r="AN564" i="66"/>
  <c r="AM564" i="66"/>
  <c r="AQ563" i="66"/>
  <c r="AP563" i="66"/>
  <c r="AO563" i="66"/>
  <c r="AN563" i="66"/>
  <c r="AM563" i="66"/>
  <c r="AQ562" i="66"/>
  <c r="AP562" i="66"/>
  <c r="AO562" i="66"/>
  <c r="AN562" i="66"/>
  <c r="AM562" i="66"/>
  <c r="AQ561" i="66"/>
  <c r="AP561" i="66"/>
  <c r="AO561" i="66"/>
  <c r="AN561" i="66"/>
  <c r="AM561" i="66"/>
  <c r="AQ560" i="66"/>
  <c r="AP560" i="66"/>
  <c r="AO560" i="66"/>
  <c r="AN560" i="66"/>
  <c r="AM560" i="66"/>
  <c r="AQ559" i="66"/>
  <c r="AP559" i="66"/>
  <c r="AO559" i="66"/>
  <c r="AN559" i="66"/>
  <c r="AM559" i="66"/>
  <c r="AQ558" i="66"/>
  <c r="AP558" i="66"/>
  <c r="AO558" i="66"/>
  <c r="AN558" i="66"/>
  <c r="AM558" i="66"/>
  <c r="AQ557" i="66"/>
  <c r="AP557" i="66"/>
  <c r="AO557" i="66"/>
  <c r="AN557" i="66"/>
  <c r="AM557" i="66"/>
  <c r="AQ556" i="66"/>
  <c r="AP556" i="66"/>
  <c r="AO556" i="66"/>
  <c r="AN556" i="66"/>
  <c r="AM556" i="66"/>
  <c r="AQ555" i="66"/>
  <c r="AP555" i="66"/>
  <c r="AO555" i="66"/>
  <c r="AN555" i="66"/>
  <c r="AM555" i="66"/>
  <c r="AQ554" i="66"/>
  <c r="AP554" i="66"/>
  <c r="AO554" i="66"/>
  <c r="AN554" i="66"/>
  <c r="AM554" i="66"/>
  <c r="AQ553" i="66"/>
  <c r="AP553" i="66"/>
  <c r="AO553" i="66"/>
  <c r="AN553" i="66"/>
  <c r="AM553" i="66"/>
  <c r="AQ552" i="66"/>
  <c r="AP552" i="66"/>
  <c r="AO552" i="66"/>
  <c r="AN552" i="66"/>
  <c r="AM552" i="66"/>
  <c r="AQ551" i="66"/>
  <c r="AP551" i="66"/>
  <c r="AO551" i="66"/>
  <c r="AN551" i="66"/>
  <c r="AM551" i="66"/>
  <c r="AQ550" i="66"/>
  <c r="AP550" i="66"/>
  <c r="AO550" i="66"/>
  <c r="AN550" i="66"/>
  <c r="AM550" i="66"/>
  <c r="AQ549" i="66"/>
  <c r="AP549" i="66"/>
  <c r="AO549" i="66"/>
  <c r="AN549" i="66"/>
  <c r="AM549" i="66"/>
  <c r="AQ548" i="66"/>
  <c r="AP548" i="66"/>
  <c r="AO548" i="66"/>
  <c r="AN548" i="66"/>
  <c r="AM548" i="66"/>
  <c r="AQ547" i="66"/>
  <c r="AP547" i="66"/>
  <c r="AO547" i="66"/>
  <c r="AN547" i="66"/>
  <c r="AM547" i="66"/>
  <c r="AQ546" i="66"/>
  <c r="AP546" i="66"/>
  <c r="AO546" i="66"/>
  <c r="AN546" i="66"/>
  <c r="AM546" i="66"/>
  <c r="AQ545" i="66"/>
  <c r="AP545" i="66"/>
  <c r="AO545" i="66"/>
  <c r="AN545" i="66"/>
  <c r="AM545" i="66"/>
  <c r="AQ544" i="66"/>
  <c r="AP544" i="66"/>
  <c r="AO544" i="66"/>
  <c r="AN544" i="66"/>
  <c r="AM544" i="66"/>
  <c r="AQ543" i="66"/>
  <c r="AP543" i="66"/>
  <c r="AO543" i="66"/>
  <c r="AN543" i="66"/>
  <c r="AM543" i="66"/>
  <c r="AQ542" i="66"/>
  <c r="AP542" i="66"/>
  <c r="AO542" i="66"/>
  <c r="AN542" i="66"/>
  <c r="AM542" i="66"/>
  <c r="AQ541" i="66"/>
  <c r="AP541" i="66"/>
  <c r="AO541" i="66"/>
  <c r="AN541" i="66"/>
  <c r="AM541" i="66"/>
  <c r="AQ540" i="66"/>
  <c r="AP540" i="66"/>
  <c r="AO540" i="66"/>
  <c r="AN540" i="66"/>
  <c r="AM540" i="66"/>
  <c r="AQ539" i="66"/>
  <c r="AP539" i="66"/>
  <c r="AO539" i="66"/>
  <c r="AN539" i="66"/>
  <c r="AM539" i="66"/>
  <c r="AQ538" i="66"/>
  <c r="AP538" i="66"/>
  <c r="AO538" i="66"/>
  <c r="AN538" i="66"/>
  <c r="AM538" i="66"/>
  <c r="AQ537" i="66"/>
  <c r="AP537" i="66"/>
  <c r="AO537" i="66"/>
  <c r="AN537" i="66"/>
  <c r="AM537" i="66"/>
  <c r="AQ536" i="66"/>
  <c r="AP536" i="66"/>
  <c r="AO536" i="66"/>
  <c r="AN536" i="66"/>
  <c r="AM536" i="66"/>
  <c r="AQ535" i="66"/>
  <c r="AP535" i="66"/>
  <c r="AO535" i="66"/>
  <c r="AN535" i="66"/>
  <c r="AM535" i="66"/>
  <c r="AQ534" i="66"/>
  <c r="AP534" i="66"/>
  <c r="AO534" i="66"/>
  <c r="AN534" i="66"/>
  <c r="AM534" i="66"/>
  <c r="AQ533" i="66"/>
  <c r="AP533" i="66"/>
  <c r="AO533" i="66"/>
  <c r="AN533" i="66"/>
  <c r="AM533" i="66"/>
  <c r="AQ532" i="66"/>
  <c r="AP532" i="66"/>
  <c r="AO532" i="66"/>
  <c r="AN532" i="66"/>
  <c r="AM532" i="66"/>
  <c r="AQ531" i="66"/>
  <c r="AP531" i="66"/>
  <c r="AO531" i="66"/>
  <c r="AN531" i="66"/>
  <c r="AM531" i="66"/>
  <c r="AQ530" i="66"/>
  <c r="AP530" i="66"/>
  <c r="AO530" i="66"/>
  <c r="AN530" i="66"/>
  <c r="AM530" i="66"/>
  <c r="AQ529" i="66"/>
  <c r="AP529" i="66"/>
  <c r="AO529" i="66"/>
  <c r="AN529" i="66"/>
  <c r="AM529" i="66"/>
  <c r="AQ528" i="66"/>
  <c r="AP528" i="66"/>
  <c r="AO528" i="66"/>
  <c r="AN528" i="66"/>
  <c r="AM528" i="66"/>
  <c r="AQ527" i="66"/>
  <c r="AP527" i="66"/>
  <c r="AO527" i="66"/>
  <c r="AN527" i="66"/>
  <c r="AM527" i="66"/>
  <c r="AQ526" i="66"/>
  <c r="AP526" i="66"/>
  <c r="AO526" i="66"/>
  <c r="AN526" i="66"/>
  <c r="AM526" i="66"/>
  <c r="AQ525" i="66"/>
  <c r="AP525" i="66"/>
  <c r="AO525" i="66"/>
  <c r="AN525" i="66"/>
  <c r="AM525" i="66"/>
  <c r="AQ524" i="66"/>
  <c r="AP524" i="66"/>
  <c r="AO524" i="66"/>
  <c r="AN524" i="66"/>
  <c r="AM524" i="66"/>
  <c r="AQ523" i="66"/>
  <c r="AP523" i="66"/>
  <c r="AO523" i="66"/>
  <c r="AN523" i="66"/>
  <c r="AM523" i="66"/>
  <c r="AQ522" i="66"/>
  <c r="AP522" i="66"/>
  <c r="AO522" i="66"/>
  <c r="AN522" i="66"/>
  <c r="AM522" i="66"/>
  <c r="AQ521" i="66"/>
  <c r="AP521" i="66"/>
  <c r="AO521" i="66"/>
  <c r="AN521" i="66"/>
  <c r="AM521" i="66"/>
  <c r="AQ520" i="66"/>
  <c r="AP520" i="66"/>
  <c r="AO520" i="66"/>
  <c r="AN520" i="66"/>
  <c r="AM520" i="66"/>
  <c r="AQ519" i="66"/>
  <c r="AP519" i="66"/>
  <c r="AO519" i="66"/>
  <c r="AN519" i="66"/>
  <c r="AM519" i="66"/>
  <c r="AQ518" i="66"/>
  <c r="AP518" i="66"/>
  <c r="AO518" i="66"/>
  <c r="AN518" i="66"/>
  <c r="AM518" i="66"/>
  <c r="AQ517" i="66"/>
  <c r="AP517" i="66"/>
  <c r="AO517" i="66"/>
  <c r="AN517" i="66"/>
  <c r="AM517" i="66"/>
  <c r="AQ516" i="66"/>
  <c r="AP516" i="66"/>
  <c r="AO516" i="66"/>
  <c r="AN516" i="66"/>
  <c r="AM516" i="66"/>
  <c r="AQ515" i="66"/>
  <c r="AP515" i="66"/>
  <c r="AO515" i="66"/>
  <c r="AN515" i="66"/>
  <c r="AM515" i="66"/>
  <c r="AQ514" i="66"/>
  <c r="AP514" i="66"/>
  <c r="AO514" i="66"/>
  <c r="AN514" i="66"/>
  <c r="AM514" i="66"/>
  <c r="AQ513" i="66"/>
  <c r="AP513" i="66"/>
  <c r="AO513" i="66"/>
  <c r="AN513" i="66"/>
  <c r="AM513" i="66"/>
  <c r="AQ512" i="66"/>
  <c r="AP512" i="66"/>
  <c r="AO512" i="66"/>
  <c r="AN512" i="66"/>
  <c r="AM512" i="66"/>
  <c r="AQ511" i="66"/>
  <c r="AP511" i="66"/>
  <c r="AO511" i="66"/>
  <c r="AN511" i="66"/>
  <c r="AM511" i="66"/>
  <c r="AQ510" i="66"/>
  <c r="AP510" i="66"/>
  <c r="AO510" i="66"/>
  <c r="AN510" i="66"/>
  <c r="AM510" i="66"/>
  <c r="AQ509" i="66"/>
  <c r="AP509" i="66"/>
  <c r="AO509" i="66"/>
  <c r="AN509" i="66"/>
  <c r="AM509" i="66"/>
  <c r="AQ508" i="66"/>
  <c r="AP508" i="66"/>
  <c r="AO508" i="66"/>
  <c r="AN508" i="66"/>
  <c r="AM508" i="66"/>
  <c r="AQ507" i="66"/>
  <c r="AP507" i="66"/>
  <c r="AO507" i="66"/>
  <c r="AN507" i="66"/>
  <c r="AM507" i="66"/>
  <c r="AQ506" i="66"/>
  <c r="AP506" i="66"/>
  <c r="AO506" i="66"/>
  <c r="AN506" i="66"/>
  <c r="AM506" i="66"/>
  <c r="AQ505" i="66"/>
  <c r="AP505" i="66"/>
  <c r="AO505" i="66"/>
  <c r="AN505" i="66"/>
  <c r="AM505" i="66"/>
  <c r="AQ504" i="66"/>
  <c r="AP504" i="66"/>
  <c r="AO504" i="66"/>
  <c r="AN504" i="66"/>
  <c r="AM504" i="66"/>
  <c r="AQ503" i="66"/>
  <c r="AP503" i="66"/>
  <c r="AO503" i="66"/>
  <c r="AN503" i="66"/>
  <c r="AM503" i="66"/>
  <c r="AQ502" i="66"/>
  <c r="AP502" i="66"/>
  <c r="AO502" i="66"/>
  <c r="AN502" i="66"/>
  <c r="AM502" i="66"/>
  <c r="AQ501" i="66"/>
  <c r="AP501" i="66"/>
  <c r="AO501" i="66"/>
  <c r="AN501" i="66"/>
  <c r="AM501" i="66"/>
  <c r="AQ500" i="66"/>
  <c r="AP500" i="66"/>
  <c r="AO500" i="66"/>
  <c r="AN500" i="66"/>
  <c r="AM500" i="66"/>
  <c r="AQ499" i="66"/>
  <c r="AP499" i="66"/>
  <c r="AO499" i="66"/>
  <c r="AN499" i="66"/>
  <c r="AM499" i="66"/>
  <c r="AQ498" i="66"/>
  <c r="AP498" i="66"/>
  <c r="AO498" i="66"/>
  <c r="AN498" i="66"/>
  <c r="AM498" i="66"/>
  <c r="AQ497" i="66"/>
  <c r="AP497" i="66"/>
  <c r="AO497" i="66"/>
  <c r="AN497" i="66"/>
  <c r="AM497" i="66"/>
  <c r="AQ496" i="66"/>
  <c r="AP496" i="66"/>
  <c r="AO496" i="66"/>
  <c r="AN496" i="66"/>
  <c r="AM496" i="66"/>
  <c r="AQ495" i="66"/>
  <c r="AP495" i="66"/>
  <c r="AO495" i="66"/>
  <c r="AN495" i="66"/>
  <c r="AM495" i="66"/>
  <c r="AQ494" i="66"/>
  <c r="AP494" i="66"/>
  <c r="AO494" i="66"/>
  <c r="AN494" i="66"/>
  <c r="AM494" i="66"/>
  <c r="AQ493" i="66"/>
  <c r="AP493" i="66"/>
  <c r="AO493" i="66"/>
  <c r="AN493" i="66"/>
  <c r="AM493" i="66"/>
  <c r="AQ492" i="66"/>
  <c r="AP492" i="66"/>
  <c r="AO492" i="66"/>
  <c r="AN492" i="66"/>
  <c r="AM492" i="66"/>
  <c r="AQ491" i="66"/>
  <c r="AP491" i="66"/>
  <c r="AO491" i="66"/>
  <c r="AN491" i="66"/>
  <c r="AM491" i="66"/>
  <c r="AQ490" i="66"/>
  <c r="AP490" i="66"/>
  <c r="AO490" i="66"/>
  <c r="AN490" i="66"/>
  <c r="AM490" i="66"/>
  <c r="AQ489" i="66"/>
  <c r="AP489" i="66"/>
  <c r="AO489" i="66"/>
  <c r="AN489" i="66"/>
  <c r="AM489" i="66"/>
  <c r="AQ488" i="66"/>
  <c r="AP488" i="66"/>
  <c r="AO488" i="66"/>
  <c r="AN488" i="66"/>
  <c r="AM488" i="66"/>
  <c r="AQ487" i="66"/>
  <c r="AP487" i="66"/>
  <c r="AO487" i="66"/>
  <c r="AN487" i="66"/>
  <c r="AM487" i="66"/>
  <c r="AQ486" i="66"/>
  <c r="AP486" i="66"/>
  <c r="AO486" i="66"/>
  <c r="AN486" i="66"/>
  <c r="AM486" i="66"/>
  <c r="AQ485" i="66"/>
  <c r="AP485" i="66"/>
  <c r="AO485" i="66"/>
  <c r="AN485" i="66"/>
  <c r="AM485" i="66"/>
  <c r="AQ484" i="66"/>
  <c r="AP484" i="66"/>
  <c r="AO484" i="66"/>
  <c r="AN484" i="66"/>
  <c r="AM484" i="66"/>
  <c r="AQ483" i="66"/>
  <c r="AP483" i="66"/>
  <c r="AO483" i="66"/>
  <c r="AN483" i="66"/>
  <c r="AM483" i="66"/>
  <c r="AQ482" i="66"/>
  <c r="AP482" i="66"/>
  <c r="AO482" i="66"/>
  <c r="AN482" i="66"/>
  <c r="AM482" i="66"/>
  <c r="AQ481" i="66"/>
  <c r="AP481" i="66"/>
  <c r="AO481" i="66"/>
  <c r="AN481" i="66"/>
  <c r="AM481" i="66"/>
  <c r="AQ480" i="66"/>
  <c r="AP480" i="66"/>
  <c r="AO480" i="66"/>
  <c r="AN480" i="66"/>
  <c r="AM480" i="66"/>
  <c r="AQ479" i="66"/>
  <c r="AP479" i="66"/>
  <c r="AO479" i="66"/>
  <c r="AN479" i="66"/>
  <c r="AM479" i="66"/>
  <c r="AQ478" i="66"/>
  <c r="AP478" i="66"/>
  <c r="AO478" i="66"/>
  <c r="AN478" i="66"/>
  <c r="AM478" i="66"/>
  <c r="AQ477" i="66"/>
  <c r="AP477" i="66"/>
  <c r="AO477" i="66"/>
  <c r="AN477" i="66"/>
  <c r="AM477" i="66"/>
  <c r="AQ476" i="66"/>
  <c r="AP476" i="66"/>
  <c r="AO476" i="66"/>
  <c r="AN476" i="66"/>
  <c r="AM476" i="66"/>
  <c r="AQ475" i="66"/>
  <c r="AP475" i="66"/>
  <c r="AO475" i="66"/>
  <c r="AN475" i="66"/>
  <c r="AM475" i="66"/>
  <c r="AQ474" i="66"/>
  <c r="AP474" i="66"/>
  <c r="AO474" i="66"/>
  <c r="AN474" i="66"/>
  <c r="AM474" i="66"/>
  <c r="AQ473" i="66"/>
  <c r="AP473" i="66"/>
  <c r="AO473" i="66"/>
  <c r="AN473" i="66"/>
  <c r="AM473" i="66"/>
  <c r="AQ472" i="66"/>
  <c r="AP472" i="66"/>
  <c r="AO472" i="66"/>
  <c r="AN472" i="66"/>
  <c r="AM472" i="66"/>
  <c r="AQ471" i="66"/>
  <c r="AP471" i="66"/>
  <c r="AO471" i="66"/>
  <c r="AN471" i="66"/>
  <c r="AM471" i="66"/>
  <c r="AQ470" i="66"/>
  <c r="AP470" i="66"/>
  <c r="AO470" i="66"/>
  <c r="AN470" i="66"/>
  <c r="AM470" i="66"/>
  <c r="AQ469" i="66"/>
  <c r="AP469" i="66"/>
  <c r="AO469" i="66"/>
  <c r="AN469" i="66"/>
  <c r="AM469" i="66"/>
  <c r="AQ468" i="66"/>
  <c r="AP468" i="66"/>
  <c r="AO468" i="66"/>
  <c r="AN468" i="66"/>
  <c r="AM468" i="66"/>
  <c r="AQ467" i="66"/>
  <c r="AP467" i="66"/>
  <c r="AO467" i="66"/>
  <c r="AN467" i="66"/>
  <c r="AM467" i="66"/>
  <c r="AQ466" i="66"/>
  <c r="AP466" i="66"/>
  <c r="AO466" i="66"/>
  <c r="AN466" i="66"/>
  <c r="AM466" i="66"/>
  <c r="AQ465" i="66"/>
  <c r="AP465" i="66"/>
  <c r="AO465" i="66"/>
  <c r="AN465" i="66"/>
  <c r="AM465" i="66"/>
  <c r="AQ464" i="66"/>
  <c r="AP464" i="66"/>
  <c r="AO464" i="66"/>
  <c r="AN464" i="66"/>
  <c r="AM464" i="66"/>
  <c r="AQ463" i="66"/>
  <c r="AP463" i="66"/>
  <c r="AO463" i="66"/>
  <c r="AN463" i="66"/>
  <c r="AM463" i="66"/>
  <c r="AQ462" i="66"/>
  <c r="AP462" i="66"/>
  <c r="AO462" i="66"/>
  <c r="AN462" i="66"/>
  <c r="AM462" i="66"/>
  <c r="AQ461" i="66"/>
  <c r="AP461" i="66"/>
  <c r="AO461" i="66"/>
  <c r="AN461" i="66"/>
  <c r="AM461" i="66"/>
  <c r="AQ460" i="66"/>
  <c r="AP460" i="66"/>
  <c r="AO460" i="66"/>
  <c r="AN460" i="66"/>
  <c r="AM460" i="66"/>
  <c r="AQ459" i="66"/>
  <c r="AP459" i="66"/>
  <c r="AO459" i="66"/>
  <c r="AN459" i="66"/>
  <c r="AM459" i="66"/>
  <c r="AQ458" i="66"/>
  <c r="AP458" i="66"/>
  <c r="AO458" i="66"/>
  <c r="AN458" i="66"/>
  <c r="AM458" i="66"/>
  <c r="AQ457" i="66"/>
  <c r="AP457" i="66"/>
  <c r="AO457" i="66"/>
  <c r="AN457" i="66"/>
  <c r="AM457" i="66"/>
  <c r="AQ456" i="66"/>
  <c r="AP456" i="66"/>
  <c r="AO456" i="66"/>
  <c r="AN456" i="66"/>
  <c r="AM456" i="66"/>
  <c r="AQ455" i="66"/>
  <c r="AP455" i="66"/>
  <c r="AO455" i="66"/>
  <c r="AN455" i="66"/>
  <c r="AM455" i="66"/>
  <c r="AQ454" i="66"/>
  <c r="AP454" i="66"/>
  <c r="AO454" i="66"/>
  <c r="AN454" i="66"/>
  <c r="AM454" i="66"/>
  <c r="AQ453" i="66"/>
  <c r="AP453" i="66"/>
  <c r="AO453" i="66"/>
  <c r="AN453" i="66"/>
  <c r="AM453" i="66"/>
  <c r="AQ452" i="66"/>
  <c r="AP452" i="66"/>
  <c r="AO452" i="66"/>
  <c r="AN452" i="66"/>
  <c r="AM452" i="66"/>
  <c r="AQ451" i="66"/>
  <c r="AP451" i="66"/>
  <c r="AO451" i="66"/>
  <c r="AN451" i="66"/>
  <c r="AM451" i="66"/>
  <c r="AQ450" i="66"/>
  <c r="AP450" i="66"/>
  <c r="AO450" i="66"/>
  <c r="AN450" i="66"/>
  <c r="AM450" i="66"/>
  <c r="AQ449" i="66"/>
  <c r="AP449" i="66"/>
  <c r="AO449" i="66"/>
  <c r="AN449" i="66"/>
  <c r="AM449" i="66"/>
  <c r="AQ448" i="66"/>
  <c r="AP448" i="66"/>
  <c r="AO448" i="66"/>
  <c r="AN448" i="66"/>
  <c r="AM448" i="66"/>
  <c r="AQ447" i="66"/>
  <c r="AP447" i="66"/>
  <c r="AO447" i="66"/>
  <c r="AN447" i="66"/>
  <c r="AM447" i="66"/>
  <c r="AQ446" i="66"/>
  <c r="AP446" i="66"/>
  <c r="AO446" i="66"/>
  <c r="AN446" i="66"/>
  <c r="AM446" i="66"/>
  <c r="AQ445" i="66"/>
  <c r="AP445" i="66"/>
  <c r="AO445" i="66"/>
  <c r="AN445" i="66"/>
  <c r="AM445" i="66"/>
  <c r="AQ444" i="66"/>
  <c r="AP444" i="66"/>
  <c r="AO444" i="66"/>
  <c r="AN444" i="66"/>
  <c r="AM444" i="66"/>
  <c r="AQ443" i="66"/>
  <c r="AP443" i="66"/>
  <c r="AO443" i="66"/>
  <c r="AN443" i="66"/>
  <c r="AM443" i="66"/>
  <c r="AQ442" i="66"/>
  <c r="AP442" i="66"/>
  <c r="AO442" i="66"/>
  <c r="AN442" i="66"/>
  <c r="AM442" i="66"/>
  <c r="AQ441" i="66"/>
  <c r="AP441" i="66"/>
  <c r="AO441" i="66"/>
  <c r="AN441" i="66"/>
  <c r="AM441" i="66"/>
  <c r="AQ440" i="66"/>
  <c r="AP440" i="66"/>
  <c r="AO440" i="66"/>
  <c r="AN440" i="66"/>
  <c r="AM440" i="66"/>
  <c r="AQ439" i="66"/>
  <c r="AP439" i="66"/>
  <c r="AO439" i="66"/>
  <c r="AN439" i="66"/>
  <c r="AM439" i="66"/>
  <c r="AQ438" i="66"/>
  <c r="AP438" i="66"/>
  <c r="AO438" i="66"/>
  <c r="AN438" i="66"/>
  <c r="AM438" i="66"/>
  <c r="AQ437" i="66"/>
  <c r="AP437" i="66"/>
  <c r="AO437" i="66"/>
  <c r="AN437" i="66"/>
  <c r="AM437" i="66"/>
  <c r="AQ436" i="66"/>
  <c r="AP436" i="66"/>
  <c r="AO436" i="66"/>
  <c r="AN436" i="66"/>
  <c r="AM436" i="66"/>
  <c r="AQ435" i="66"/>
  <c r="AP435" i="66"/>
  <c r="AO435" i="66"/>
  <c r="AN435" i="66"/>
  <c r="AM435" i="66"/>
  <c r="AQ434" i="66"/>
  <c r="AP434" i="66"/>
  <c r="AO434" i="66"/>
  <c r="AN434" i="66"/>
  <c r="AM434" i="66"/>
  <c r="AQ433" i="66"/>
  <c r="AP433" i="66"/>
  <c r="AO433" i="66"/>
  <c r="AN433" i="66"/>
  <c r="AM433" i="66"/>
  <c r="AQ432" i="66"/>
  <c r="AP432" i="66"/>
  <c r="AO432" i="66"/>
  <c r="AN432" i="66"/>
  <c r="AM432" i="66"/>
  <c r="AQ431" i="66"/>
  <c r="AP431" i="66"/>
  <c r="AO431" i="66"/>
  <c r="AN431" i="66"/>
  <c r="AM431" i="66"/>
  <c r="AQ430" i="66"/>
  <c r="AP430" i="66"/>
  <c r="AO430" i="66"/>
  <c r="AN430" i="66"/>
  <c r="AM430" i="66"/>
  <c r="AQ429" i="66"/>
  <c r="AP429" i="66"/>
  <c r="AO429" i="66"/>
  <c r="AN429" i="66"/>
  <c r="AM429" i="66"/>
  <c r="AQ428" i="66"/>
  <c r="AP428" i="66"/>
  <c r="AO428" i="66"/>
  <c r="AN428" i="66"/>
  <c r="AM428" i="66"/>
  <c r="AQ427" i="66"/>
  <c r="AP427" i="66"/>
  <c r="AO427" i="66"/>
  <c r="AN427" i="66"/>
  <c r="AM427" i="66"/>
  <c r="AQ426" i="66"/>
  <c r="AP426" i="66"/>
  <c r="AO426" i="66"/>
  <c r="AN426" i="66"/>
  <c r="AM426" i="66"/>
  <c r="AQ425" i="66"/>
  <c r="AP425" i="66"/>
  <c r="AO425" i="66"/>
  <c r="AN425" i="66"/>
  <c r="AM425" i="66"/>
  <c r="AQ424" i="66"/>
  <c r="AP424" i="66"/>
  <c r="AO424" i="66"/>
  <c r="AN424" i="66"/>
  <c r="AM424" i="66"/>
  <c r="AQ423" i="66"/>
  <c r="AP423" i="66"/>
  <c r="AO423" i="66"/>
  <c r="AN423" i="66"/>
  <c r="AM423" i="66"/>
  <c r="AQ422" i="66"/>
  <c r="AP422" i="66"/>
  <c r="AO422" i="66"/>
  <c r="AN422" i="66"/>
  <c r="AM422" i="66"/>
  <c r="AQ421" i="66"/>
  <c r="AP421" i="66"/>
  <c r="AO421" i="66"/>
  <c r="AN421" i="66"/>
  <c r="AM421" i="66"/>
  <c r="AQ420" i="66"/>
  <c r="AP420" i="66"/>
  <c r="AO420" i="66"/>
  <c r="AN420" i="66"/>
  <c r="AM420" i="66"/>
  <c r="AQ419" i="66"/>
  <c r="AP419" i="66"/>
  <c r="AO419" i="66"/>
  <c r="AN419" i="66"/>
  <c r="AM419" i="66"/>
  <c r="AQ418" i="66"/>
  <c r="AP418" i="66"/>
  <c r="AO418" i="66"/>
  <c r="AN418" i="66"/>
  <c r="AM418" i="66"/>
  <c r="AQ417" i="66"/>
  <c r="AP417" i="66"/>
  <c r="AO417" i="66"/>
  <c r="AN417" i="66"/>
  <c r="AM417" i="66"/>
  <c r="AQ416" i="66"/>
  <c r="AP416" i="66"/>
  <c r="AO416" i="66"/>
  <c r="AN416" i="66"/>
  <c r="AM416" i="66"/>
  <c r="AQ415" i="66"/>
  <c r="AP415" i="66"/>
  <c r="AO415" i="66"/>
  <c r="AN415" i="66"/>
  <c r="AM415" i="66"/>
  <c r="AQ414" i="66"/>
  <c r="AP414" i="66"/>
  <c r="AO414" i="66"/>
  <c r="AN414" i="66"/>
  <c r="AM414" i="66"/>
  <c r="AQ413" i="66"/>
  <c r="AP413" i="66"/>
  <c r="AO413" i="66"/>
  <c r="AN413" i="66"/>
  <c r="AM413" i="66"/>
  <c r="AQ412" i="66"/>
  <c r="AP412" i="66"/>
  <c r="AO412" i="66"/>
  <c r="AN412" i="66"/>
  <c r="AM412" i="66"/>
  <c r="AQ411" i="66"/>
  <c r="AP411" i="66"/>
  <c r="AO411" i="66"/>
  <c r="AN411" i="66"/>
  <c r="AM411" i="66"/>
  <c r="AQ410" i="66"/>
  <c r="AP410" i="66"/>
  <c r="AO410" i="66"/>
  <c r="AN410" i="66"/>
  <c r="AM410" i="66"/>
  <c r="AQ409" i="66"/>
  <c r="AP409" i="66"/>
  <c r="AO409" i="66"/>
  <c r="AN409" i="66"/>
  <c r="AM409" i="66"/>
  <c r="AQ408" i="66"/>
  <c r="AP408" i="66"/>
  <c r="AO408" i="66"/>
  <c r="AN408" i="66"/>
  <c r="AM408" i="66"/>
  <c r="AQ407" i="66"/>
  <c r="AP407" i="66"/>
  <c r="AO407" i="66"/>
  <c r="AN407" i="66"/>
  <c r="AM407" i="66"/>
  <c r="AQ406" i="66"/>
  <c r="AP406" i="66"/>
  <c r="AO406" i="66"/>
  <c r="AN406" i="66"/>
  <c r="AM406" i="66"/>
  <c r="AQ405" i="66"/>
  <c r="AP405" i="66"/>
  <c r="AO405" i="66"/>
  <c r="AN405" i="66"/>
  <c r="AM405" i="66"/>
  <c r="AQ404" i="66"/>
  <c r="AP404" i="66"/>
  <c r="AO404" i="66"/>
  <c r="AN404" i="66"/>
  <c r="AM404" i="66"/>
  <c r="AQ403" i="66"/>
  <c r="AP403" i="66"/>
  <c r="AO403" i="66"/>
  <c r="AN403" i="66"/>
  <c r="AM403" i="66"/>
  <c r="AQ402" i="66"/>
  <c r="AP402" i="66"/>
  <c r="AO402" i="66"/>
  <c r="AN402" i="66"/>
  <c r="AM402" i="66"/>
  <c r="AQ401" i="66"/>
  <c r="AP401" i="66"/>
  <c r="AO401" i="66"/>
  <c r="AN401" i="66"/>
  <c r="AM401" i="66"/>
  <c r="AQ400" i="66"/>
  <c r="AP400" i="66"/>
  <c r="AO400" i="66"/>
  <c r="AN400" i="66"/>
  <c r="AM400" i="66"/>
  <c r="AQ399" i="66"/>
  <c r="AP399" i="66"/>
  <c r="AO399" i="66"/>
  <c r="AN399" i="66"/>
  <c r="AM399" i="66"/>
  <c r="AQ398" i="66"/>
  <c r="AP398" i="66"/>
  <c r="AO398" i="66"/>
  <c r="AN398" i="66"/>
  <c r="AM398" i="66"/>
  <c r="AQ397" i="66"/>
  <c r="AP397" i="66"/>
  <c r="AO397" i="66"/>
  <c r="AN397" i="66"/>
  <c r="AM397" i="66"/>
  <c r="AQ396" i="66"/>
  <c r="AP396" i="66"/>
  <c r="AO396" i="66"/>
  <c r="AN396" i="66"/>
  <c r="AM396" i="66"/>
  <c r="AQ395" i="66"/>
  <c r="AP395" i="66"/>
  <c r="AO395" i="66"/>
  <c r="AN395" i="66"/>
  <c r="AM395" i="66"/>
  <c r="AQ394" i="66"/>
  <c r="AP394" i="66"/>
  <c r="AO394" i="66"/>
  <c r="AN394" i="66"/>
  <c r="AM394" i="66"/>
  <c r="AQ393" i="66"/>
  <c r="AP393" i="66"/>
  <c r="AO393" i="66"/>
  <c r="AN393" i="66"/>
  <c r="AM393" i="66"/>
  <c r="AQ392" i="66"/>
  <c r="AP392" i="66"/>
  <c r="AO392" i="66"/>
  <c r="AN392" i="66"/>
  <c r="AM392" i="66"/>
  <c r="AQ391" i="66"/>
  <c r="AP391" i="66"/>
  <c r="AO391" i="66"/>
  <c r="AN391" i="66"/>
  <c r="AM391" i="66"/>
  <c r="AQ390" i="66"/>
  <c r="AP390" i="66"/>
  <c r="AO390" i="66"/>
  <c r="AN390" i="66"/>
  <c r="AM390" i="66"/>
  <c r="AQ389" i="66"/>
  <c r="AP389" i="66"/>
  <c r="AO389" i="66"/>
  <c r="AN389" i="66"/>
  <c r="AM389" i="66"/>
  <c r="AQ388" i="66"/>
  <c r="AP388" i="66"/>
  <c r="AO388" i="66"/>
  <c r="AN388" i="66"/>
  <c r="AM388" i="66"/>
  <c r="AQ387" i="66"/>
  <c r="AP387" i="66"/>
  <c r="AO387" i="66"/>
  <c r="AN387" i="66"/>
  <c r="AM387" i="66"/>
  <c r="AQ386" i="66"/>
  <c r="AP386" i="66"/>
  <c r="AO386" i="66"/>
  <c r="AN386" i="66"/>
  <c r="AM386" i="66"/>
  <c r="AQ385" i="66"/>
  <c r="AP385" i="66"/>
  <c r="AO385" i="66"/>
  <c r="AN385" i="66"/>
  <c r="AM385" i="66"/>
  <c r="AQ384" i="66"/>
  <c r="AP384" i="66"/>
  <c r="AO384" i="66"/>
  <c r="AN384" i="66"/>
  <c r="AM384" i="66"/>
  <c r="AQ383" i="66"/>
  <c r="AP383" i="66"/>
  <c r="AO383" i="66"/>
  <c r="AN383" i="66"/>
  <c r="AM383" i="66"/>
  <c r="AQ382" i="66"/>
  <c r="AP382" i="66"/>
  <c r="AO382" i="66"/>
  <c r="AN382" i="66"/>
  <c r="AM382" i="66"/>
  <c r="AQ381" i="66"/>
  <c r="AP381" i="66"/>
  <c r="AO381" i="66"/>
  <c r="AN381" i="66"/>
  <c r="AM381" i="66"/>
  <c r="AQ380" i="66"/>
  <c r="AP380" i="66"/>
  <c r="AO380" i="66"/>
  <c r="AN380" i="66"/>
  <c r="AM380" i="66"/>
  <c r="AQ379" i="66"/>
  <c r="AP379" i="66"/>
  <c r="AO379" i="66"/>
  <c r="AN379" i="66"/>
  <c r="AM379" i="66"/>
  <c r="AQ378" i="66"/>
  <c r="AP378" i="66"/>
  <c r="AO378" i="66"/>
  <c r="AN378" i="66"/>
  <c r="AM378" i="66"/>
  <c r="AQ377" i="66"/>
  <c r="AP377" i="66"/>
  <c r="AO377" i="66"/>
  <c r="AN377" i="66"/>
  <c r="AM377" i="66"/>
  <c r="AQ376" i="66"/>
  <c r="AP376" i="66"/>
  <c r="AO376" i="66"/>
  <c r="AN376" i="66"/>
  <c r="AM376" i="66"/>
  <c r="AQ375" i="66"/>
  <c r="AP375" i="66"/>
  <c r="AO375" i="66"/>
  <c r="AN375" i="66"/>
  <c r="AM375" i="66"/>
  <c r="AQ374" i="66"/>
  <c r="AP374" i="66"/>
  <c r="AO374" i="66"/>
  <c r="AN374" i="66"/>
  <c r="AM374" i="66"/>
  <c r="AQ373" i="66"/>
  <c r="AP373" i="66"/>
  <c r="AO373" i="66"/>
  <c r="AN373" i="66"/>
  <c r="AM373" i="66"/>
  <c r="AQ372" i="66"/>
  <c r="AP372" i="66"/>
  <c r="AO372" i="66"/>
  <c r="AN372" i="66"/>
  <c r="AM372" i="66"/>
  <c r="AQ371" i="66"/>
  <c r="AP371" i="66"/>
  <c r="AO371" i="66"/>
  <c r="AN371" i="66"/>
  <c r="AM371" i="66"/>
  <c r="AQ370" i="66"/>
  <c r="AP370" i="66"/>
  <c r="AO370" i="66"/>
  <c r="AN370" i="66"/>
  <c r="AM370" i="66"/>
  <c r="AQ369" i="66"/>
  <c r="AP369" i="66"/>
  <c r="AO369" i="66"/>
  <c r="AN369" i="66"/>
  <c r="AM369" i="66"/>
  <c r="AQ368" i="66"/>
  <c r="AP368" i="66"/>
  <c r="AO368" i="66"/>
  <c r="AN368" i="66"/>
  <c r="AM368" i="66"/>
  <c r="AQ367" i="66"/>
  <c r="AP367" i="66"/>
  <c r="AO367" i="66"/>
  <c r="AN367" i="66"/>
  <c r="AM367" i="66"/>
  <c r="AQ366" i="66"/>
  <c r="AP366" i="66"/>
  <c r="AO366" i="66"/>
  <c r="AN366" i="66"/>
  <c r="AM366" i="66"/>
  <c r="AQ365" i="66"/>
  <c r="AP365" i="66"/>
  <c r="AO365" i="66"/>
  <c r="AN365" i="66"/>
  <c r="AM365" i="66"/>
  <c r="AQ364" i="66"/>
  <c r="AP364" i="66"/>
  <c r="AO364" i="66"/>
  <c r="AN364" i="66"/>
  <c r="AM364" i="66"/>
  <c r="AQ363" i="66"/>
  <c r="AP363" i="66"/>
  <c r="AO363" i="66"/>
  <c r="AN363" i="66"/>
  <c r="AM363" i="66"/>
  <c r="AQ362" i="66"/>
  <c r="AP362" i="66"/>
  <c r="AO362" i="66"/>
  <c r="AN362" i="66"/>
  <c r="AM362" i="66"/>
  <c r="AQ361" i="66"/>
  <c r="AP361" i="66"/>
  <c r="AO361" i="66"/>
  <c r="AN361" i="66"/>
  <c r="AM361" i="66"/>
  <c r="AQ360" i="66"/>
  <c r="AP360" i="66"/>
  <c r="AO360" i="66"/>
  <c r="AN360" i="66"/>
  <c r="AM360" i="66"/>
  <c r="AQ359" i="66"/>
  <c r="AP359" i="66"/>
  <c r="AO359" i="66"/>
  <c r="AN359" i="66"/>
  <c r="AM359" i="66"/>
  <c r="AQ358" i="66"/>
  <c r="AP358" i="66"/>
  <c r="AO358" i="66"/>
  <c r="AN358" i="66"/>
  <c r="AM358" i="66"/>
  <c r="AQ357" i="66"/>
  <c r="AP357" i="66"/>
  <c r="AO357" i="66"/>
  <c r="AN357" i="66"/>
  <c r="AM357" i="66"/>
  <c r="AQ356" i="66"/>
  <c r="AP356" i="66"/>
  <c r="AO356" i="66"/>
  <c r="AN356" i="66"/>
  <c r="AM356" i="66"/>
  <c r="AQ355" i="66"/>
  <c r="AP355" i="66"/>
  <c r="AO355" i="66"/>
  <c r="AN355" i="66"/>
  <c r="AM355" i="66"/>
  <c r="AQ354" i="66"/>
  <c r="AP354" i="66"/>
  <c r="AO354" i="66"/>
  <c r="AN354" i="66"/>
  <c r="AM354" i="66"/>
  <c r="AQ353" i="66"/>
  <c r="AP353" i="66"/>
  <c r="AO353" i="66"/>
  <c r="AN353" i="66"/>
  <c r="AM353" i="66"/>
  <c r="AQ352" i="66"/>
  <c r="AP352" i="66"/>
  <c r="AO352" i="66"/>
  <c r="AN352" i="66"/>
  <c r="AM352" i="66"/>
  <c r="AQ351" i="66"/>
  <c r="AP351" i="66"/>
  <c r="AO351" i="66"/>
  <c r="AN351" i="66"/>
  <c r="AM351" i="66"/>
  <c r="AQ350" i="66"/>
  <c r="AP350" i="66"/>
  <c r="AO350" i="66"/>
  <c r="AN350" i="66"/>
  <c r="AM350" i="66"/>
  <c r="AQ349" i="66"/>
  <c r="AP349" i="66"/>
  <c r="AO349" i="66"/>
  <c r="AN349" i="66"/>
  <c r="AM349" i="66"/>
  <c r="AQ348" i="66"/>
  <c r="AP348" i="66"/>
  <c r="AO348" i="66"/>
  <c r="AN348" i="66"/>
  <c r="AM348" i="66"/>
  <c r="AQ347" i="66"/>
  <c r="AP347" i="66"/>
  <c r="AO347" i="66"/>
  <c r="AN347" i="66"/>
  <c r="AM347" i="66"/>
  <c r="AQ346" i="66"/>
  <c r="AP346" i="66"/>
  <c r="AO346" i="66"/>
  <c r="AN346" i="66"/>
  <c r="AM346" i="66"/>
  <c r="AQ345" i="66"/>
  <c r="AP345" i="66"/>
  <c r="AO345" i="66"/>
  <c r="AN345" i="66"/>
  <c r="AM345" i="66"/>
  <c r="AQ344" i="66"/>
  <c r="AP344" i="66"/>
  <c r="AO344" i="66"/>
  <c r="AN344" i="66"/>
  <c r="AM344" i="66"/>
  <c r="AQ343" i="66"/>
  <c r="AP343" i="66"/>
  <c r="AO343" i="66"/>
  <c r="AN343" i="66"/>
  <c r="AM343" i="66"/>
  <c r="AQ342" i="66"/>
  <c r="AP342" i="66"/>
  <c r="AO342" i="66"/>
  <c r="AN342" i="66"/>
  <c r="AM342" i="66"/>
  <c r="AQ341" i="66"/>
  <c r="AP341" i="66"/>
  <c r="AO341" i="66"/>
  <c r="AN341" i="66"/>
  <c r="AM341" i="66"/>
  <c r="AQ340" i="66"/>
  <c r="AP340" i="66"/>
  <c r="AO340" i="66"/>
  <c r="AN340" i="66"/>
  <c r="AM340" i="66"/>
  <c r="AQ339" i="66"/>
  <c r="AP339" i="66"/>
  <c r="AO339" i="66"/>
  <c r="AN339" i="66"/>
  <c r="AM339" i="66"/>
  <c r="AQ338" i="66"/>
  <c r="AP338" i="66"/>
  <c r="AO338" i="66"/>
  <c r="AN338" i="66"/>
  <c r="AM338" i="66"/>
  <c r="AQ337" i="66"/>
  <c r="AP337" i="66"/>
  <c r="AO337" i="66"/>
  <c r="AN337" i="66"/>
  <c r="AM337" i="66"/>
  <c r="AQ336" i="66"/>
  <c r="AP336" i="66"/>
  <c r="AO336" i="66"/>
  <c r="AN336" i="66"/>
  <c r="AM336" i="66"/>
  <c r="AQ335" i="66"/>
  <c r="AP335" i="66"/>
  <c r="AO335" i="66"/>
  <c r="AN335" i="66"/>
  <c r="AM335" i="66"/>
  <c r="AQ334" i="66"/>
  <c r="AP334" i="66"/>
  <c r="AO334" i="66"/>
  <c r="AN334" i="66"/>
  <c r="AM334" i="66"/>
  <c r="AQ333" i="66"/>
  <c r="AP333" i="66"/>
  <c r="AO333" i="66"/>
  <c r="AN333" i="66"/>
  <c r="AM333" i="66"/>
  <c r="AQ332" i="66"/>
  <c r="AP332" i="66"/>
  <c r="AO332" i="66"/>
  <c r="AN332" i="66"/>
  <c r="AM332" i="66"/>
  <c r="AQ331" i="66"/>
  <c r="AP331" i="66"/>
  <c r="AO331" i="66"/>
  <c r="AN331" i="66"/>
  <c r="AM331" i="66"/>
  <c r="AQ330" i="66"/>
  <c r="AP330" i="66"/>
  <c r="AO330" i="66"/>
  <c r="AN330" i="66"/>
  <c r="AM330" i="66"/>
  <c r="AQ329" i="66"/>
  <c r="AP329" i="66"/>
  <c r="AO329" i="66"/>
  <c r="AN329" i="66"/>
  <c r="AM329" i="66"/>
  <c r="AQ328" i="66"/>
  <c r="AP328" i="66"/>
  <c r="AO328" i="66"/>
  <c r="AN328" i="66"/>
  <c r="AM328" i="66"/>
  <c r="AQ327" i="66"/>
  <c r="AP327" i="66"/>
  <c r="AO327" i="66"/>
  <c r="AN327" i="66"/>
  <c r="AM327" i="66"/>
  <c r="AQ326" i="66"/>
  <c r="AP326" i="66"/>
  <c r="AO326" i="66"/>
  <c r="AN326" i="66"/>
  <c r="AM326" i="66"/>
  <c r="AQ325" i="66"/>
  <c r="AP325" i="66"/>
  <c r="AO325" i="66"/>
  <c r="AN325" i="66"/>
  <c r="AM325" i="66"/>
  <c r="AQ324" i="66"/>
  <c r="AP324" i="66"/>
  <c r="AO324" i="66"/>
  <c r="AN324" i="66"/>
  <c r="AM324" i="66"/>
  <c r="AQ323" i="66"/>
  <c r="AP323" i="66"/>
  <c r="AO323" i="66"/>
  <c r="AN323" i="66"/>
  <c r="AM323" i="66"/>
  <c r="AQ322" i="66"/>
  <c r="AP322" i="66"/>
  <c r="AO322" i="66"/>
  <c r="AN322" i="66"/>
  <c r="AM322" i="66"/>
  <c r="AQ321" i="66"/>
  <c r="AP321" i="66"/>
  <c r="AO321" i="66"/>
  <c r="AN321" i="66"/>
  <c r="AM321" i="66"/>
  <c r="AQ320" i="66"/>
  <c r="AP320" i="66"/>
  <c r="AO320" i="66"/>
  <c r="AN320" i="66"/>
  <c r="AM320" i="66"/>
  <c r="AQ319" i="66"/>
  <c r="AP319" i="66"/>
  <c r="AO319" i="66"/>
  <c r="AN319" i="66"/>
  <c r="AM319" i="66"/>
  <c r="AQ318" i="66"/>
  <c r="AP318" i="66"/>
  <c r="AO318" i="66"/>
  <c r="AN318" i="66"/>
  <c r="AM318" i="66"/>
  <c r="AQ317" i="66"/>
  <c r="AP317" i="66"/>
  <c r="AO317" i="66"/>
  <c r="AN317" i="66"/>
  <c r="AM317" i="66"/>
  <c r="AQ316" i="66"/>
  <c r="AP316" i="66"/>
  <c r="AO316" i="66"/>
  <c r="AN316" i="66"/>
  <c r="AM316" i="66"/>
  <c r="AQ315" i="66"/>
  <c r="AP315" i="66"/>
  <c r="AO315" i="66"/>
  <c r="AN315" i="66"/>
  <c r="AM315" i="66"/>
  <c r="AQ314" i="66"/>
  <c r="AP314" i="66"/>
  <c r="AO314" i="66"/>
  <c r="AN314" i="66"/>
  <c r="AM314" i="66"/>
  <c r="AQ313" i="66"/>
  <c r="AP313" i="66"/>
  <c r="AO313" i="66"/>
  <c r="AN313" i="66"/>
  <c r="AM313" i="66"/>
  <c r="AQ312" i="66"/>
  <c r="AP312" i="66"/>
  <c r="AO312" i="66"/>
  <c r="AN312" i="66"/>
  <c r="AM312" i="66"/>
  <c r="AQ311" i="66"/>
  <c r="AP311" i="66"/>
  <c r="AO311" i="66"/>
  <c r="AN311" i="66"/>
  <c r="AM311" i="66"/>
  <c r="AQ310" i="66"/>
  <c r="AP310" i="66"/>
  <c r="AO310" i="66"/>
  <c r="AN310" i="66"/>
  <c r="AM310" i="66"/>
  <c r="AQ309" i="66"/>
  <c r="AP309" i="66"/>
  <c r="AO309" i="66"/>
  <c r="AN309" i="66"/>
  <c r="AM309" i="66"/>
  <c r="AQ308" i="66"/>
  <c r="AP308" i="66"/>
  <c r="AO308" i="66"/>
  <c r="AN308" i="66"/>
  <c r="AM308" i="66"/>
  <c r="AQ307" i="66"/>
  <c r="AP307" i="66"/>
  <c r="AO307" i="66"/>
  <c r="AN307" i="66"/>
  <c r="AM307" i="66"/>
  <c r="AQ306" i="66"/>
  <c r="AP306" i="66"/>
  <c r="AO306" i="66"/>
  <c r="AN306" i="66"/>
  <c r="AM306" i="66"/>
  <c r="AQ305" i="66"/>
  <c r="AP305" i="66"/>
  <c r="AO305" i="66"/>
  <c r="AN305" i="66"/>
  <c r="AM305" i="66"/>
  <c r="AQ304" i="66"/>
  <c r="AP304" i="66"/>
  <c r="AO304" i="66"/>
  <c r="AN304" i="66"/>
  <c r="AM304" i="66"/>
  <c r="AQ303" i="66"/>
  <c r="AP303" i="66"/>
  <c r="AO303" i="66"/>
  <c r="AN303" i="66"/>
  <c r="AM303" i="66"/>
  <c r="AQ302" i="66"/>
  <c r="AP302" i="66"/>
  <c r="AO302" i="66"/>
  <c r="AN302" i="66"/>
  <c r="AM302" i="66"/>
  <c r="AQ301" i="66"/>
  <c r="AP301" i="66"/>
  <c r="AO301" i="66"/>
  <c r="AN301" i="66"/>
  <c r="AM301" i="66"/>
  <c r="AQ300" i="66"/>
  <c r="AP300" i="66"/>
  <c r="AO300" i="66"/>
  <c r="AN300" i="66"/>
  <c r="AM300" i="66"/>
  <c r="AQ299" i="66"/>
  <c r="AP299" i="66"/>
  <c r="AO299" i="66"/>
  <c r="AN299" i="66"/>
  <c r="AM299" i="66"/>
  <c r="AQ298" i="66"/>
  <c r="AP298" i="66"/>
  <c r="AO298" i="66"/>
  <c r="AN298" i="66"/>
  <c r="AM298" i="66"/>
  <c r="AQ297" i="66"/>
  <c r="AP297" i="66"/>
  <c r="AO297" i="66"/>
  <c r="AN297" i="66"/>
  <c r="AM297" i="66"/>
  <c r="AQ296" i="66"/>
  <c r="AP296" i="66"/>
  <c r="AO296" i="66"/>
  <c r="AN296" i="66"/>
  <c r="AM296" i="66"/>
  <c r="AQ295" i="66"/>
  <c r="AP295" i="66"/>
  <c r="AO295" i="66"/>
  <c r="AN295" i="66"/>
  <c r="AM295" i="66"/>
  <c r="AQ294" i="66"/>
  <c r="AP294" i="66"/>
  <c r="AO294" i="66"/>
  <c r="AN294" i="66"/>
  <c r="AM294" i="66"/>
  <c r="AQ293" i="66"/>
  <c r="AP293" i="66"/>
  <c r="AO293" i="66"/>
  <c r="AN293" i="66"/>
  <c r="AM293" i="66"/>
  <c r="AQ292" i="66"/>
  <c r="AP292" i="66"/>
  <c r="AO292" i="66"/>
  <c r="AN292" i="66"/>
  <c r="AM292" i="66"/>
  <c r="AQ291" i="66"/>
  <c r="AP291" i="66"/>
  <c r="AO291" i="66"/>
  <c r="AN291" i="66"/>
  <c r="AM291" i="66"/>
  <c r="AQ290" i="66"/>
  <c r="AP290" i="66"/>
  <c r="AO290" i="66"/>
  <c r="AN290" i="66"/>
  <c r="AM290" i="66"/>
  <c r="AQ289" i="66"/>
  <c r="AP289" i="66"/>
  <c r="AO289" i="66"/>
  <c r="AN289" i="66"/>
  <c r="AM289" i="66"/>
  <c r="AQ288" i="66"/>
  <c r="AP288" i="66"/>
  <c r="AO288" i="66"/>
  <c r="AN288" i="66"/>
  <c r="AM288" i="66"/>
  <c r="AQ287" i="66"/>
  <c r="AP287" i="66"/>
  <c r="AO287" i="66"/>
  <c r="AN287" i="66"/>
  <c r="AM287" i="66"/>
  <c r="AQ286" i="66"/>
  <c r="AP286" i="66"/>
  <c r="AO286" i="66"/>
  <c r="AN286" i="66"/>
  <c r="AM286" i="66"/>
  <c r="AQ285" i="66"/>
  <c r="AP285" i="66"/>
  <c r="AO285" i="66"/>
  <c r="AN285" i="66"/>
  <c r="AM285" i="66"/>
  <c r="AQ284" i="66"/>
  <c r="AP284" i="66"/>
  <c r="AO284" i="66"/>
  <c r="AN284" i="66"/>
  <c r="AM284" i="66"/>
  <c r="AQ283" i="66"/>
  <c r="AP283" i="66"/>
  <c r="AO283" i="66"/>
  <c r="AN283" i="66"/>
  <c r="AM283" i="66"/>
  <c r="AQ282" i="66"/>
  <c r="AP282" i="66"/>
  <c r="AO282" i="66"/>
  <c r="AN282" i="66"/>
  <c r="AM282" i="66"/>
  <c r="AQ281" i="66"/>
  <c r="AP281" i="66"/>
  <c r="AO281" i="66"/>
  <c r="AN281" i="66"/>
  <c r="AM281" i="66"/>
  <c r="AQ280" i="66"/>
  <c r="AP280" i="66"/>
  <c r="AO280" i="66"/>
  <c r="AN280" i="66"/>
  <c r="AM280" i="66"/>
  <c r="AQ279" i="66"/>
  <c r="AP279" i="66"/>
  <c r="AO279" i="66"/>
  <c r="AN279" i="66"/>
  <c r="AM279" i="66"/>
  <c r="AQ278" i="66"/>
  <c r="AP278" i="66"/>
  <c r="AO278" i="66"/>
  <c r="AN278" i="66"/>
  <c r="AM278" i="66"/>
  <c r="AQ277" i="66"/>
  <c r="AP277" i="66"/>
  <c r="AO277" i="66"/>
  <c r="AN277" i="66"/>
  <c r="AM277" i="66"/>
  <c r="AQ276" i="66"/>
  <c r="AP276" i="66"/>
  <c r="AO276" i="66"/>
  <c r="AN276" i="66"/>
  <c r="AM276" i="66"/>
  <c r="AQ275" i="66"/>
  <c r="AP275" i="66"/>
  <c r="AO275" i="66"/>
  <c r="AN275" i="66"/>
  <c r="AM275" i="66"/>
  <c r="AQ274" i="66"/>
  <c r="AP274" i="66"/>
  <c r="AO274" i="66"/>
  <c r="AN274" i="66"/>
  <c r="AM274" i="66"/>
  <c r="AQ273" i="66"/>
  <c r="AP273" i="66"/>
  <c r="AO273" i="66"/>
  <c r="AN273" i="66"/>
  <c r="AM273" i="66"/>
  <c r="AQ272" i="66"/>
  <c r="AP272" i="66"/>
  <c r="AO272" i="66"/>
  <c r="AN272" i="66"/>
  <c r="AM272" i="66"/>
  <c r="AQ271" i="66"/>
  <c r="AP271" i="66"/>
  <c r="AO271" i="66"/>
  <c r="AN271" i="66"/>
  <c r="AM271" i="66"/>
  <c r="AQ270" i="66"/>
  <c r="AP270" i="66"/>
  <c r="AO270" i="66"/>
  <c r="AN270" i="66"/>
  <c r="AM270" i="66"/>
  <c r="AQ269" i="66"/>
  <c r="AP269" i="66"/>
  <c r="AO269" i="66"/>
  <c r="AN269" i="66"/>
  <c r="AM269" i="66"/>
  <c r="AQ268" i="66"/>
  <c r="AP268" i="66"/>
  <c r="AO268" i="66"/>
  <c r="AN268" i="66"/>
  <c r="AM268" i="66"/>
  <c r="AQ267" i="66"/>
  <c r="AP267" i="66"/>
  <c r="AO267" i="66"/>
  <c r="AN267" i="66"/>
  <c r="AM267" i="66"/>
  <c r="AQ266" i="66"/>
  <c r="AP266" i="66"/>
  <c r="AO266" i="66"/>
  <c r="AN266" i="66"/>
  <c r="AM266" i="66"/>
  <c r="AQ265" i="66"/>
  <c r="AP265" i="66"/>
  <c r="AO265" i="66"/>
  <c r="AN265" i="66"/>
  <c r="AM265" i="66"/>
  <c r="AQ264" i="66"/>
  <c r="AP264" i="66"/>
  <c r="AO264" i="66"/>
  <c r="AN264" i="66"/>
  <c r="AM264" i="66"/>
  <c r="AQ263" i="66"/>
  <c r="AP263" i="66"/>
  <c r="AO263" i="66"/>
  <c r="AN263" i="66"/>
  <c r="AM263" i="66"/>
  <c r="AQ262" i="66"/>
  <c r="AP262" i="66"/>
  <c r="AO262" i="66"/>
  <c r="AN262" i="66"/>
  <c r="AM262" i="66"/>
  <c r="AQ261" i="66"/>
  <c r="AP261" i="66"/>
  <c r="AO261" i="66"/>
  <c r="AN261" i="66"/>
  <c r="AM261" i="66"/>
  <c r="AQ260" i="66"/>
  <c r="AP260" i="66"/>
  <c r="AO260" i="66"/>
  <c r="AN260" i="66"/>
  <c r="AM260" i="66"/>
  <c r="AQ259" i="66"/>
  <c r="AP259" i="66"/>
  <c r="AO259" i="66"/>
  <c r="AN259" i="66"/>
  <c r="AM259" i="66"/>
  <c r="AQ258" i="66"/>
  <c r="AP258" i="66"/>
  <c r="AO258" i="66"/>
  <c r="AN258" i="66"/>
  <c r="AM258" i="66"/>
  <c r="AQ257" i="66"/>
  <c r="AP257" i="66"/>
  <c r="AO257" i="66"/>
  <c r="AN257" i="66"/>
  <c r="AM257" i="66"/>
  <c r="AQ256" i="66"/>
  <c r="AP256" i="66"/>
  <c r="AO256" i="66"/>
  <c r="AN256" i="66"/>
  <c r="AM256" i="66"/>
  <c r="AQ255" i="66"/>
  <c r="AP255" i="66"/>
  <c r="AO255" i="66"/>
  <c r="AN255" i="66"/>
  <c r="AM255" i="66"/>
  <c r="AQ254" i="66"/>
  <c r="AP254" i="66"/>
  <c r="AO254" i="66"/>
  <c r="AN254" i="66"/>
  <c r="AM254" i="66"/>
  <c r="AQ253" i="66"/>
  <c r="AP253" i="66"/>
  <c r="AO253" i="66"/>
  <c r="AN253" i="66"/>
  <c r="AM253" i="66"/>
  <c r="AQ252" i="66"/>
  <c r="AP252" i="66"/>
  <c r="AO252" i="66"/>
  <c r="AN252" i="66"/>
  <c r="AM252" i="66"/>
  <c r="AQ251" i="66"/>
  <c r="AP251" i="66"/>
  <c r="AO251" i="66"/>
  <c r="AN251" i="66"/>
  <c r="AM251" i="66"/>
  <c r="AQ250" i="66"/>
  <c r="AP250" i="66"/>
  <c r="AO250" i="66"/>
  <c r="AN250" i="66"/>
  <c r="AM250" i="66"/>
  <c r="AQ249" i="66"/>
  <c r="AP249" i="66"/>
  <c r="AO249" i="66"/>
  <c r="AN249" i="66"/>
  <c r="AM249" i="66"/>
  <c r="AQ248" i="66"/>
  <c r="AP248" i="66"/>
  <c r="AO248" i="66"/>
  <c r="AN248" i="66"/>
  <c r="AM248" i="66"/>
  <c r="AQ247" i="66"/>
  <c r="AP247" i="66"/>
  <c r="AO247" i="66"/>
  <c r="AN247" i="66"/>
  <c r="AM247" i="66"/>
  <c r="AQ246" i="66"/>
  <c r="AP246" i="66"/>
  <c r="AO246" i="66"/>
  <c r="AN246" i="66"/>
  <c r="AM246" i="66"/>
  <c r="AQ245" i="66"/>
  <c r="AP245" i="66"/>
  <c r="AO245" i="66"/>
  <c r="AN245" i="66"/>
  <c r="AM245" i="66"/>
  <c r="AQ244" i="66"/>
  <c r="AP244" i="66"/>
  <c r="AO244" i="66"/>
  <c r="AN244" i="66"/>
  <c r="AM244" i="66"/>
  <c r="AQ243" i="66"/>
  <c r="AP243" i="66"/>
  <c r="AO243" i="66"/>
  <c r="AN243" i="66"/>
  <c r="AM243" i="66"/>
  <c r="AQ242" i="66"/>
  <c r="AP242" i="66"/>
  <c r="AO242" i="66"/>
  <c r="AN242" i="66"/>
  <c r="AM242" i="66"/>
  <c r="AQ241" i="66"/>
  <c r="AP241" i="66"/>
  <c r="AO241" i="66"/>
  <c r="AN241" i="66"/>
  <c r="AM241" i="66"/>
  <c r="AQ240" i="66"/>
  <c r="AP240" i="66"/>
  <c r="AO240" i="66"/>
  <c r="AN240" i="66"/>
  <c r="AM240" i="66"/>
  <c r="AQ239" i="66"/>
  <c r="AP239" i="66"/>
  <c r="AO239" i="66"/>
  <c r="AN239" i="66"/>
  <c r="AM239" i="66"/>
  <c r="AQ238" i="66"/>
  <c r="AP238" i="66"/>
  <c r="AO238" i="66"/>
  <c r="AN238" i="66"/>
  <c r="AM238" i="66"/>
  <c r="AQ237" i="66"/>
  <c r="AP237" i="66"/>
  <c r="AO237" i="66"/>
  <c r="AN237" i="66"/>
  <c r="AM237" i="66"/>
  <c r="AQ236" i="66"/>
  <c r="AP236" i="66"/>
  <c r="AO236" i="66"/>
  <c r="AN236" i="66"/>
  <c r="AM236" i="66"/>
  <c r="AQ235" i="66"/>
  <c r="AP235" i="66"/>
  <c r="AO235" i="66"/>
  <c r="AN235" i="66"/>
  <c r="AM235" i="66"/>
  <c r="AQ234" i="66"/>
  <c r="AP234" i="66"/>
  <c r="AO234" i="66"/>
  <c r="AN234" i="66"/>
  <c r="AM234" i="66"/>
  <c r="AQ233" i="66"/>
  <c r="AP233" i="66"/>
  <c r="AO233" i="66"/>
  <c r="AN233" i="66"/>
  <c r="AM233" i="66"/>
  <c r="AQ232" i="66"/>
  <c r="AP232" i="66"/>
  <c r="AO232" i="66"/>
  <c r="AN232" i="66"/>
  <c r="AM232" i="66"/>
  <c r="AQ231" i="66"/>
  <c r="AP231" i="66"/>
  <c r="AO231" i="66"/>
  <c r="AN231" i="66"/>
  <c r="AM231" i="66"/>
  <c r="AQ230" i="66"/>
  <c r="AP230" i="66"/>
  <c r="AO230" i="66"/>
  <c r="AN230" i="66"/>
  <c r="AM230" i="66"/>
  <c r="AQ229" i="66"/>
  <c r="AP229" i="66"/>
  <c r="AO229" i="66"/>
  <c r="AN229" i="66"/>
  <c r="AM229" i="66"/>
  <c r="AQ228" i="66"/>
  <c r="AP228" i="66"/>
  <c r="AO228" i="66"/>
  <c r="AN228" i="66"/>
  <c r="AM228" i="66"/>
  <c r="AQ227" i="66"/>
  <c r="AP227" i="66"/>
  <c r="AO227" i="66"/>
  <c r="AN227" i="66"/>
  <c r="AM227" i="66"/>
  <c r="AQ226" i="66"/>
  <c r="AP226" i="66"/>
  <c r="AO226" i="66"/>
  <c r="AN226" i="66"/>
  <c r="AM226" i="66"/>
  <c r="AQ225" i="66"/>
  <c r="AP225" i="66"/>
  <c r="AO225" i="66"/>
  <c r="AN225" i="66"/>
  <c r="AM225" i="66"/>
  <c r="AQ224" i="66"/>
  <c r="AP224" i="66"/>
  <c r="AO224" i="66"/>
  <c r="AN224" i="66"/>
  <c r="AM224" i="66"/>
  <c r="AQ223" i="66"/>
  <c r="AP223" i="66"/>
  <c r="AO223" i="66"/>
  <c r="AN223" i="66"/>
  <c r="AM223" i="66"/>
  <c r="AQ222" i="66"/>
  <c r="AP222" i="66"/>
  <c r="AO222" i="66"/>
  <c r="AN222" i="66"/>
  <c r="AM222" i="66"/>
  <c r="AQ221" i="66"/>
  <c r="AP221" i="66"/>
  <c r="AO221" i="66"/>
  <c r="AN221" i="66"/>
  <c r="AM221" i="66"/>
  <c r="AQ220" i="66"/>
  <c r="AP220" i="66"/>
  <c r="AO220" i="66"/>
  <c r="AN220" i="66"/>
  <c r="AM220" i="66"/>
  <c r="AQ219" i="66"/>
  <c r="AP219" i="66"/>
  <c r="AO219" i="66"/>
  <c r="AN219" i="66"/>
  <c r="AM219" i="66"/>
  <c r="AQ218" i="66"/>
  <c r="AP218" i="66"/>
  <c r="AO218" i="66"/>
  <c r="AN218" i="66"/>
  <c r="AM218" i="66"/>
  <c r="AQ217" i="66"/>
  <c r="AP217" i="66"/>
  <c r="AO217" i="66"/>
  <c r="AN217" i="66"/>
  <c r="AM217" i="66"/>
  <c r="AQ216" i="66"/>
  <c r="AP216" i="66"/>
  <c r="AO216" i="66"/>
  <c r="AN216" i="66"/>
  <c r="AM216" i="66"/>
  <c r="AQ215" i="66"/>
  <c r="AP215" i="66"/>
  <c r="AO215" i="66"/>
  <c r="AN215" i="66"/>
  <c r="AM215" i="66"/>
  <c r="AQ214" i="66"/>
  <c r="AP214" i="66"/>
  <c r="AO214" i="66"/>
  <c r="AN214" i="66"/>
  <c r="AM214" i="66"/>
  <c r="AQ213" i="66"/>
  <c r="AP213" i="66"/>
  <c r="AO213" i="66"/>
  <c r="AN213" i="66"/>
  <c r="AM213" i="66"/>
  <c r="AQ212" i="66"/>
  <c r="AP212" i="66"/>
  <c r="AO212" i="66"/>
  <c r="AN212" i="66"/>
  <c r="AM212" i="66"/>
  <c r="AQ211" i="66"/>
  <c r="AP211" i="66"/>
  <c r="AO211" i="66"/>
  <c r="AN211" i="66"/>
  <c r="AM211" i="66"/>
  <c r="AQ210" i="66"/>
  <c r="AP210" i="66"/>
  <c r="AO210" i="66"/>
  <c r="AN210" i="66"/>
  <c r="AM210" i="66"/>
  <c r="AQ209" i="66"/>
  <c r="AP209" i="66"/>
  <c r="AO209" i="66"/>
  <c r="AN209" i="66"/>
  <c r="AM209" i="66"/>
  <c r="AQ208" i="66"/>
  <c r="AP208" i="66"/>
  <c r="AO208" i="66"/>
  <c r="AN208" i="66"/>
  <c r="AM208" i="66"/>
  <c r="AQ207" i="66"/>
  <c r="AP207" i="66"/>
  <c r="AO207" i="66"/>
  <c r="AN207" i="66"/>
  <c r="AM207" i="66"/>
  <c r="AQ206" i="66"/>
  <c r="AP206" i="66"/>
  <c r="AO206" i="66"/>
  <c r="AN206" i="66"/>
  <c r="AM206" i="66"/>
  <c r="AQ205" i="66"/>
  <c r="AP205" i="66"/>
  <c r="AO205" i="66"/>
  <c r="AN205" i="66"/>
  <c r="AM205" i="66"/>
  <c r="AQ204" i="66"/>
  <c r="AP204" i="66"/>
  <c r="AO204" i="66"/>
  <c r="AN204" i="66"/>
  <c r="AM204" i="66"/>
  <c r="AQ203" i="66"/>
  <c r="AP203" i="66"/>
  <c r="AO203" i="66"/>
  <c r="AN203" i="66"/>
  <c r="AM203" i="66"/>
  <c r="AQ202" i="66"/>
  <c r="AP202" i="66"/>
  <c r="AO202" i="66"/>
  <c r="AN202" i="66"/>
  <c r="AM202" i="66"/>
  <c r="AQ201" i="66"/>
  <c r="AP201" i="66"/>
  <c r="AO201" i="66"/>
  <c r="AN201" i="66"/>
  <c r="AM201" i="66"/>
  <c r="AQ200" i="66"/>
  <c r="AP200" i="66"/>
  <c r="AO200" i="66"/>
  <c r="AN200" i="66"/>
  <c r="AM200" i="66"/>
  <c r="AQ199" i="66"/>
  <c r="AP199" i="66"/>
  <c r="AO199" i="66"/>
  <c r="AN199" i="66"/>
  <c r="AM199" i="66"/>
  <c r="AQ198" i="66"/>
  <c r="AP198" i="66"/>
  <c r="AO198" i="66"/>
  <c r="AN198" i="66"/>
  <c r="AM198" i="66"/>
  <c r="AQ197" i="66"/>
  <c r="AP197" i="66"/>
  <c r="AO197" i="66"/>
  <c r="AN197" i="66"/>
  <c r="AM197" i="66"/>
  <c r="AQ196" i="66"/>
  <c r="AP196" i="66"/>
  <c r="AO196" i="66"/>
  <c r="AN196" i="66"/>
  <c r="AM196" i="66"/>
  <c r="AQ195" i="66"/>
  <c r="AP195" i="66"/>
  <c r="AO195" i="66"/>
  <c r="AN195" i="66"/>
  <c r="AM195" i="66"/>
  <c r="AQ194" i="66"/>
  <c r="AP194" i="66"/>
  <c r="AO194" i="66"/>
  <c r="AN194" i="66"/>
  <c r="AM194" i="66"/>
  <c r="AQ193" i="66"/>
  <c r="AP193" i="66"/>
  <c r="AO193" i="66"/>
  <c r="AN193" i="66"/>
  <c r="AM193" i="66"/>
  <c r="AQ192" i="66"/>
  <c r="AP192" i="66"/>
  <c r="AO192" i="66"/>
  <c r="AN192" i="66"/>
  <c r="AM192" i="66"/>
  <c r="AQ191" i="66"/>
  <c r="AP191" i="66"/>
  <c r="AO191" i="66"/>
  <c r="AN191" i="66"/>
  <c r="AM191" i="66"/>
  <c r="AQ190" i="66"/>
  <c r="AP190" i="66"/>
  <c r="AO190" i="66"/>
  <c r="AN190" i="66"/>
  <c r="AM190" i="66"/>
  <c r="AQ189" i="66"/>
  <c r="AP189" i="66"/>
  <c r="AO189" i="66"/>
  <c r="AN189" i="66"/>
  <c r="AM189" i="66"/>
  <c r="AQ188" i="66"/>
  <c r="AP188" i="66"/>
  <c r="AO188" i="66"/>
  <c r="AN188" i="66"/>
  <c r="AM188" i="66"/>
  <c r="AQ187" i="66"/>
  <c r="AP187" i="66"/>
  <c r="AO187" i="66"/>
  <c r="AN187" i="66"/>
  <c r="AM187" i="66"/>
  <c r="AQ186" i="66"/>
  <c r="AP186" i="66"/>
  <c r="AO186" i="66"/>
  <c r="AN186" i="66"/>
  <c r="AM186" i="66"/>
  <c r="AQ185" i="66"/>
  <c r="AP185" i="66"/>
  <c r="AO185" i="66"/>
  <c r="AN185" i="66"/>
  <c r="AM185" i="66"/>
  <c r="AQ184" i="66"/>
  <c r="AP184" i="66"/>
  <c r="AO184" i="66"/>
  <c r="AN184" i="66"/>
  <c r="AM184" i="66"/>
  <c r="AQ183" i="66"/>
  <c r="AP183" i="66"/>
  <c r="AO183" i="66"/>
  <c r="AN183" i="66"/>
  <c r="AM183" i="66"/>
  <c r="AQ182" i="66"/>
  <c r="AP182" i="66"/>
  <c r="AO182" i="66"/>
  <c r="AN182" i="66"/>
  <c r="AM182" i="66"/>
  <c r="AQ181" i="66"/>
  <c r="AP181" i="66"/>
  <c r="AO181" i="66"/>
  <c r="AN181" i="66"/>
  <c r="AM181" i="66"/>
  <c r="AQ180" i="66"/>
  <c r="AP180" i="66"/>
  <c r="AO180" i="66"/>
  <c r="AN180" i="66"/>
  <c r="AM180" i="66"/>
  <c r="AQ179" i="66"/>
  <c r="AP179" i="66"/>
  <c r="AO179" i="66"/>
  <c r="AN179" i="66"/>
  <c r="AM179" i="66"/>
  <c r="AQ178" i="66"/>
  <c r="AP178" i="66"/>
  <c r="AO178" i="66"/>
  <c r="AN178" i="66"/>
  <c r="AM178" i="66"/>
  <c r="AQ177" i="66"/>
  <c r="AP177" i="66"/>
  <c r="AO177" i="66"/>
  <c r="AN177" i="66"/>
  <c r="AM177" i="66"/>
  <c r="AQ176" i="66"/>
  <c r="AP176" i="66"/>
  <c r="AO176" i="66"/>
  <c r="AN176" i="66"/>
  <c r="AM176" i="66"/>
  <c r="AQ175" i="66"/>
  <c r="AP175" i="66"/>
  <c r="AO175" i="66"/>
  <c r="AN175" i="66"/>
  <c r="AM175" i="66"/>
  <c r="AQ174" i="66"/>
  <c r="AP174" i="66"/>
  <c r="AO174" i="66"/>
  <c r="AN174" i="66"/>
  <c r="AM174" i="66"/>
  <c r="AQ173" i="66"/>
  <c r="AP173" i="66"/>
  <c r="AO173" i="66"/>
  <c r="AN173" i="66"/>
  <c r="AM173" i="66"/>
  <c r="AQ172" i="66"/>
  <c r="AP172" i="66"/>
  <c r="AO172" i="66"/>
  <c r="AN172" i="66"/>
  <c r="AM172" i="66"/>
  <c r="AQ171" i="66"/>
  <c r="AP171" i="66"/>
  <c r="AO171" i="66"/>
  <c r="AN171" i="66"/>
  <c r="AM171" i="66"/>
  <c r="AQ170" i="66"/>
  <c r="AP170" i="66"/>
  <c r="AO170" i="66"/>
  <c r="AN170" i="66"/>
  <c r="AM170" i="66"/>
  <c r="AQ169" i="66"/>
  <c r="AP169" i="66"/>
  <c r="AO169" i="66"/>
  <c r="AN169" i="66"/>
  <c r="AM169" i="66"/>
  <c r="AQ168" i="66"/>
  <c r="AP168" i="66"/>
  <c r="AO168" i="66"/>
  <c r="AN168" i="66"/>
  <c r="AM168" i="66"/>
  <c r="AQ167" i="66"/>
  <c r="AP167" i="66"/>
  <c r="AO167" i="66"/>
  <c r="AN167" i="66"/>
  <c r="AM167" i="66"/>
  <c r="AQ166" i="66"/>
  <c r="AP166" i="66"/>
  <c r="AO166" i="66"/>
  <c r="AN166" i="66"/>
  <c r="AM166" i="66"/>
  <c r="AQ165" i="66"/>
  <c r="AP165" i="66"/>
  <c r="AO165" i="66"/>
  <c r="AN165" i="66"/>
  <c r="AM165" i="66"/>
  <c r="AQ164" i="66"/>
  <c r="AP164" i="66"/>
  <c r="AO164" i="66"/>
  <c r="AN164" i="66"/>
  <c r="AM164" i="66"/>
  <c r="AQ163" i="66"/>
  <c r="AP163" i="66"/>
  <c r="AO163" i="66"/>
  <c r="AN163" i="66"/>
  <c r="AM163" i="66"/>
  <c r="AQ162" i="66"/>
  <c r="AP162" i="66"/>
  <c r="AO162" i="66"/>
  <c r="AN162" i="66"/>
  <c r="AM162" i="66"/>
  <c r="AQ161" i="66"/>
  <c r="AP161" i="66"/>
  <c r="AO161" i="66"/>
  <c r="AN161" i="66"/>
  <c r="AM161" i="66"/>
  <c r="AQ160" i="66"/>
  <c r="AP160" i="66"/>
  <c r="AO160" i="66"/>
  <c r="AN160" i="66"/>
  <c r="AM160" i="66"/>
  <c r="AQ159" i="66"/>
  <c r="AP159" i="66"/>
  <c r="AO159" i="66"/>
  <c r="AN159" i="66"/>
  <c r="AM159" i="66"/>
  <c r="AQ158" i="66"/>
  <c r="AP158" i="66"/>
  <c r="AO158" i="66"/>
  <c r="AN158" i="66"/>
  <c r="AM158" i="66"/>
  <c r="AQ157" i="66"/>
  <c r="AP157" i="66"/>
  <c r="AO157" i="66"/>
  <c r="AN157" i="66"/>
  <c r="AM157" i="66"/>
  <c r="AQ156" i="66"/>
  <c r="AP156" i="66"/>
  <c r="AO156" i="66"/>
  <c r="AN156" i="66"/>
  <c r="AM156" i="66"/>
  <c r="AQ155" i="66"/>
  <c r="AP155" i="66"/>
  <c r="AO155" i="66"/>
  <c r="AN155" i="66"/>
  <c r="AM155" i="66"/>
  <c r="AQ154" i="66"/>
  <c r="AP154" i="66"/>
  <c r="AO154" i="66"/>
  <c r="AN154" i="66"/>
  <c r="AM154" i="66"/>
  <c r="AQ153" i="66"/>
  <c r="AP153" i="66"/>
  <c r="AO153" i="66"/>
  <c r="AN153" i="66"/>
  <c r="AM153" i="66"/>
  <c r="AQ152" i="66"/>
  <c r="AP152" i="66"/>
  <c r="AO152" i="66"/>
  <c r="AN152" i="66"/>
  <c r="AM152" i="66"/>
  <c r="AQ151" i="66"/>
  <c r="AP151" i="66"/>
  <c r="AO151" i="66"/>
  <c r="AN151" i="66"/>
  <c r="AM151" i="66"/>
  <c r="AQ150" i="66"/>
  <c r="AP150" i="66"/>
  <c r="AO150" i="66"/>
  <c r="AN150" i="66"/>
  <c r="AM150" i="66"/>
  <c r="AQ149" i="66"/>
  <c r="AP149" i="66"/>
  <c r="AO149" i="66"/>
  <c r="AN149" i="66"/>
  <c r="AM149" i="66"/>
  <c r="AQ148" i="66"/>
  <c r="AP148" i="66"/>
  <c r="AO148" i="66"/>
  <c r="AN148" i="66"/>
  <c r="AM148" i="66"/>
  <c r="AQ147" i="66"/>
  <c r="AP147" i="66"/>
  <c r="AO147" i="66"/>
  <c r="AN147" i="66"/>
  <c r="AM147" i="66"/>
  <c r="AQ146" i="66"/>
  <c r="AP146" i="66"/>
  <c r="AO146" i="66"/>
  <c r="AN146" i="66"/>
  <c r="AM146" i="66"/>
  <c r="AQ145" i="66"/>
  <c r="AP145" i="66"/>
  <c r="AO145" i="66"/>
  <c r="AN145" i="66"/>
  <c r="AM145" i="66"/>
  <c r="AQ144" i="66"/>
  <c r="AP144" i="66"/>
  <c r="AO144" i="66"/>
  <c r="AN144" i="66"/>
  <c r="AM144" i="66"/>
  <c r="AQ143" i="66"/>
  <c r="AP143" i="66"/>
  <c r="AO143" i="66"/>
  <c r="AN143" i="66"/>
  <c r="AM143" i="66"/>
  <c r="AQ142" i="66"/>
  <c r="AP142" i="66"/>
  <c r="AO142" i="66"/>
  <c r="AN142" i="66"/>
  <c r="AM142" i="66"/>
  <c r="AQ141" i="66"/>
  <c r="AP141" i="66"/>
  <c r="AO141" i="66"/>
  <c r="AN141" i="66"/>
  <c r="AM141" i="66"/>
  <c r="AQ140" i="66"/>
  <c r="AP140" i="66"/>
  <c r="AO140" i="66"/>
  <c r="AN140" i="66"/>
  <c r="AM140" i="66"/>
  <c r="AQ139" i="66"/>
  <c r="AP139" i="66"/>
  <c r="AO139" i="66"/>
  <c r="AN139" i="66"/>
  <c r="AM139" i="66"/>
  <c r="AQ138" i="66"/>
  <c r="AP138" i="66"/>
  <c r="AO138" i="66"/>
  <c r="AN138" i="66"/>
  <c r="AM138" i="66"/>
  <c r="T2" i="66"/>
  <c r="AL2" i="66"/>
  <c r="U2" i="66"/>
  <c r="C2" i="66"/>
  <c r="AQ137" i="66"/>
  <c r="AP137" i="66"/>
  <c r="AO137" i="66"/>
  <c r="AN137" i="66"/>
  <c r="AM137" i="66"/>
  <c r="AQ136" i="66"/>
  <c r="AP136" i="66"/>
  <c r="AO136" i="66"/>
  <c r="AN136" i="66"/>
  <c r="AM136" i="66"/>
  <c r="AQ135" i="66"/>
  <c r="AP135" i="66"/>
  <c r="AO135" i="66"/>
  <c r="AN135" i="66"/>
  <c r="AM135" i="66"/>
  <c r="AQ134" i="66"/>
  <c r="AP134" i="66"/>
  <c r="AO134" i="66"/>
  <c r="AN134" i="66"/>
  <c r="AM134" i="66"/>
  <c r="AQ133" i="66"/>
  <c r="AP133" i="66"/>
  <c r="AO133" i="66"/>
  <c r="AN133" i="66"/>
  <c r="AM133" i="66"/>
  <c r="AQ132" i="66"/>
  <c r="AP132" i="66"/>
  <c r="AO132" i="66"/>
  <c r="AN132" i="66"/>
  <c r="AM132" i="66"/>
  <c r="AQ131" i="66"/>
  <c r="AP131" i="66"/>
  <c r="AO131" i="66"/>
  <c r="AN131" i="66"/>
  <c r="AM131" i="66"/>
  <c r="AQ130" i="66"/>
  <c r="AP130" i="66"/>
  <c r="AO130" i="66"/>
  <c r="AN130" i="66"/>
  <c r="AM130" i="66"/>
  <c r="AQ129" i="66"/>
  <c r="AP129" i="66"/>
  <c r="AO129" i="66"/>
  <c r="AN129" i="66"/>
  <c r="AM129" i="66"/>
  <c r="AQ128" i="66"/>
  <c r="AP128" i="66"/>
  <c r="AO128" i="66"/>
  <c r="AN128" i="66"/>
  <c r="AM128" i="66"/>
  <c r="AQ127" i="66"/>
  <c r="AP127" i="66"/>
  <c r="AO127" i="66"/>
  <c r="AN127" i="66"/>
  <c r="AM127" i="66"/>
  <c r="AQ126" i="66"/>
  <c r="AP126" i="66"/>
  <c r="AO126" i="66"/>
  <c r="AN126" i="66"/>
  <c r="AM126" i="66"/>
  <c r="AQ125" i="66"/>
  <c r="AP125" i="66"/>
  <c r="AO125" i="66"/>
  <c r="AN125" i="66"/>
  <c r="AM125" i="66"/>
  <c r="AQ124" i="66"/>
  <c r="AP124" i="66"/>
  <c r="AO124" i="66"/>
  <c r="AN124" i="66"/>
  <c r="AM124" i="66"/>
  <c r="AQ123" i="66"/>
  <c r="AP123" i="66"/>
  <c r="AO123" i="66"/>
  <c r="AN123" i="66"/>
  <c r="AM123" i="66"/>
  <c r="AQ122" i="66"/>
  <c r="AP122" i="66"/>
  <c r="AO122" i="66"/>
  <c r="AN122" i="66"/>
  <c r="AM122" i="66"/>
  <c r="AQ121" i="66"/>
  <c r="AP121" i="66"/>
  <c r="AO121" i="66"/>
  <c r="AN121" i="66"/>
  <c r="AM121" i="66"/>
  <c r="AQ120" i="66"/>
  <c r="AP120" i="66"/>
  <c r="AO120" i="66"/>
  <c r="AN120" i="66"/>
  <c r="AM120" i="66"/>
  <c r="AQ119" i="66"/>
  <c r="AP119" i="66"/>
  <c r="AO119" i="66"/>
  <c r="AN119" i="66"/>
  <c r="AM119" i="66"/>
  <c r="AQ118" i="66"/>
  <c r="AP118" i="66"/>
  <c r="AO118" i="66"/>
  <c r="AN118" i="66"/>
  <c r="AM118" i="66"/>
  <c r="AQ117" i="66"/>
  <c r="AP117" i="66"/>
  <c r="AO117" i="66"/>
  <c r="AN117" i="66"/>
  <c r="AM117" i="66"/>
  <c r="AQ116" i="66"/>
  <c r="AP116" i="66"/>
  <c r="AO116" i="66"/>
  <c r="AN116" i="66"/>
  <c r="AM116" i="66"/>
  <c r="AQ115" i="66"/>
  <c r="AP115" i="66"/>
  <c r="AO115" i="66"/>
  <c r="AN115" i="66"/>
  <c r="AM115" i="66"/>
  <c r="AQ114" i="66"/>
  <c r="AP114" i="66"/>
  <c r="AO114" i="66"/>
  <c r="AN114" i="66"/>
  <c r="AM114" i="66"/>
  <c r="AQ113" i="66"/>
  <c r="AP113" i="66"/>
  <c r="AO113" i="66"/>
  <c r="AN113" i="66"/>
  <c r="AM113" i="66"/>
  <c r="AQ112" i="66"/>
  <c r="AP112" i="66"/>
  <c r="AO112" i="66"/>
  <c r="AN112" i="66"/>
  <c r="AM112" i="66"/>
  <c r="AQ111" i="66"/>
  <c r="AP111" i="66"/>
  <c r="AO111" i="66"/>
  <c r="AN111" i="66"/>
  <c r="AM111" i="66"/>
  <c r="AQ110" i="66"/>
  <c r="AP110" i="66"/>
  <c r="AO110" i="66"/>
  <c r="AN110" i="66"/>
  <c r="AM110" i="66"/>
  <c r="AQ109" i="66"/>
  <c r="AP109" i="66"/>
  <c r="AO109" i="66"/>
  <c r="AN109" i="66"/>
  <c r="AM109" i="66"/>
  <c r="AQ108" i="66"/>
  <c r="AP108" i="66"/>
  <c r="AO108" i="66"/>
  <c r="AN108" i="66"/>
  <c r="AM108" i="66"/>
  <c r="AQ107" i="66"/>
  <c r="AP107" i="66"/>
  <c r="AO107" i="66"/>
  <c r="AN107" i="66"/>
  <c r="AM107" i="66"/>
  <c r="AQ106" i="66"/>
  <c r="AP106" i="66"/>
  <c r="AO106" i="66"/>
  <c r="AN106" i="66"/>
  <c r="AM106" i="66"/>
  <c r="AQ105" i="66"/>
  <c r="AP105" i="66"/>
  <c r="AO105" i="66"/>
  <c r="AN105" i="66"/>
  <c r="AM105" i="66"/>
  <c r="AQ104" i="66"/>
  <c r="AP104" i="66"/>
  <c r="AO104" i="66"/>
  <c r="AN104" i="66"/>
  <c r="AM104" i="66"/>
  <c r="AQ103" i="66"/>
  <c r="AP103" i="66"/>
  <c r="AO103" i="66"/>
  <c r="AN103" i="66"/>
  <c r="AM103" i="66"/>
  <c r="AQ102" i="66"/>
  <c r="AP102" i="66"/>
  <c r="AO102" i="66"/>
  <c r="AN102" i="66"/>
  <c r="AM102" i="66"/>
  <c r="AQ101" i="66"/>
  <c r="AP101" i="66"/>
  <c r="AO101" i="66"/>
  <c r="AN101" i="66"/>
  <c r="AM101" i="66"/>
  <c r="AQ100" i="66"/>
  <c r="AP100" i="66"/>
  <c r="AO100" i="66"/>
  <c r="AN100" i="66"/>
  <c r="AM100" i="66"/>
  <c r="AQ99" i="66"/>
  <c r="AP99" i="66"/>
  <c r="AO99" i="66"/>
  <c r="AN99" i="66"/>
  <c r="AM99" i="66"/>
  <c r="AQ98" i="66"/>
  <c r="AP98" i="66"/>
  <c r="AO98" i="66"/>
  <c r="AN98" i="66"/>
  <c r="AM98" i="66"/>
  <c r="AQ97" i="66"/>
  <c r="AP97" i="66"/>
  <c r="AO97" i="66"/>
  <c r="AN97" i="66"/>
  <c r="AM97" i="66"/>
  <c r="AQ96" i="66"/>
  <c r="AP96" i="66"/>
  <c r="AO96" i="66"/>
  <c r="AN96" i="66"/>
  <c r="AM96" i="66"/>
  <c r="AQ95" i="66"/>
  <c r="AP95" i="66"/>
  <c r="AO95" i="66"/>
  <c r="AN95" i="66"/>
  <c r="AM95" i="66"/>
  <c r="AQ94" i="66"/>
  <c r="AP94" i="66"/>
  <c r="AO94" i="66"/>
  <c r="AN94" i="66"/>
  <c r="AM94" i="66"/>
  <c r="AQ93" i="66"/>
  <c r="AP93" i="66"/>
  <c r="AO93" i="66"/>
  <c r="AN93" i="66"/>
  <c r="AM93" i="66"/>
  <c r="AQ92" i="66"/>
  <c r="AP92" i="66"/>
  <c r="AO92" i="66"/>
  <c r="AN92" i="66"/>
  <c r="AM92" i="66"/>
  <c r="AQ91" i="66"/>
  <c r="AP91" i="66"/>
  <c r="AO91" i="66"/>
  <c r="AN91" i="66"/>
  <c r="AM91" i="66"/>
  <c r="AQ90" i="66"/>
  <c r="AP90" i="66"/>
  <c r="AO90" i="66"/>
  <c r="AN90" i="66"/>
  <c r="AM90" i="66"/>
  <c r="AQ89" i="66"/>
  <c r="AP89" i="66"/>
  <c r="AO89" i="66"/>
  <c r="AN89" i="66"/>
  <c r="AM89" i="66"/>
  <c r="AQ88" i="66"/>
  <c r="AP88" i="66"/>
  <c r="AO88" i="66"/>
  <c r="AN88" i="66"/>
  <c r="AM88" i="66"/>
  <c r="AQ87" i="66"/>
  <c r="AP87" i="66"/>
  <c r="AO87" i="66"/>
  <c r="AN87" i="66"/>
  <c r="AM87" i="66"/>
  <c r="AQ86" i="66"/>
  <c r="AP86" i="66"/>
  <c r="AO86" i="66"/>
  <c r="AN86" i="66"/>
  <c r="AM86" i="66"/>
  <c r="AQ85" i="66"/>
  <c r="AP85" i="66"/>
  <c r="AO85" i="66"/>
  <c r="AN85" i="66"/>
  <c r="AM85" i="66"/>
  <c r="AQ84" i="66"/>
  <c r="AP84" i="66"/>
  <c r="AO84" i="66"/>
  <c r="AN84" i="66"/>
  <c r="AM84" i="66"/>
  <c r="AQ83" i="66"/>
  <c r="AP83" i="66"/>
  <c r="AO83" i="66"/>
  <c r="AN83" i="66"/>
  <c r="AM83" i="66"/>
  <c r="AQ82" i="66"/>
  <c r="AP82" i="66"/>
  <c r="AO82" i="66"/>
  <c r="AN82" i="66"/>
  <c r="AM82" i="66"/>
  <c r="AQ81" i="66"/>
  <c r="AP81" i="66"/>
  <c r="AO81" i="66"/>
  <c r="AN81" i="66"/>
  <c r="AM81" i="66"/>
  <c r="AQ80" i="66"/>
  <c r="AP80" i="66"/>
  <c r="AO80" i="66"/>
  <c r="AN80" i="66"/>
  <c r="AM80" i="66"/>
  <c r="AQ79" i="66"/>
  <c r="AP79" i="66"/>
  <c r="AO79" i="66"/>
  <c r="AN79" i="66"/>
  <c r="AM79" i="66"/>
  <c r="AQ78" i="66"/>
  <c r="AP78" i="66"/>
  <c r="AO78" i="66"/>
  <c r="AN78" i="66"/>
  <c r="AM78" i="66"/>
  <c r="AQ77" i="66"/>
  <c r="AP77" i="66"/>
  <c r="AO77" i="66"/>
  <c r="AN77" i="66"/>
  <c r="AM77" i="66"/>
  <c r="AQ76" i="66"/>
  <c r="AP76" i="66"/>
  <c r="AO76" i="66"/>
  <c r="AN76" i="66"/>
  <c r="AM76" i="66"/>
  <c r="AQ75" i="66"/>
  <c r="AP75" i="66"/>
  <c r="AO75" i="66"/>
  <c r="AN75" i="66"/>
  <c r="AM75" i="66"/>
  <c r="AQ74" i="66"/>
  <c r="AP74" i="66"/>
  <c r="AO74" i="66"/>
  <c r="AN74" i="66"/>
  <c r="AM74" i="66"/>
  <c r="AQ73" i="66"/>
  <c r="AP73" i="66"/>
  <c r="AO73" i="66"/>
  <c r="AN73" i="66"/>
  <c r="AM73" i="66"/>
  <c r="AQ72" i="66"/>
  <c r="AP72" i="66"/>
  <c r="AO72" i="66"/>
  <c r="AN72" i="66"/>
  <c r="AM72" i="66"/>
  <c r="AQ71" i="66"/>
  <c r="AP71" i="66"/>
  <c r="AO71" i="66"/>
  <c r="AN71" i="66"/>
  <c r="AM71" i="66"/>
  <c r="AQ70" i="66"/>
  <c r="AP70" i="66"/>
  <c r="AO70" i="66"/>
  <c r="AN70" i="66"/>
  <c r="AM70" i="66"/>
  <c r="AQ69" i="66"/>
  <c r="AP69" i="66"/>
  <c r="AO69" i="66"/>
  <c r="AN69" i="66"/>
  <c r="AM69" i="66"/>
  <c r="AQ68" i="66"/>
  <c r="AP68" i="66"/>
  <c r="AO68" i="66"/>
  <c r="AN68" i="66"/>
  <c r="AM68" i="66"/>
  <c r="AQ67" i="66"/>
  <c r="AP67" i="66"/>
  <c r="AO67" i="66"/>
  <c r="AN67" i="66"/>
  <c r="AM67" i="66"/>
  <c r="AQ66" i="66"/>
  <c r="AP66" i="66"/>
  <c r="AO66" i="66"/>
  <c r="AN66" i="66"/>
  <c r="AM66" i="66"/>
  <c r="AQ65" i="66"/>
  <c r="AP65" i="66"/>
  <c r="AO65" i="66"/>
  <c r="AN65" i="66"/>
  <c r="AM65" i="66"/>
  <c r="AQ64" i="66"/>
  <c r="AP64" i="66"/>
  <c r="AO64" i="66"/>
  <c r="AN64" i="66"/>
  <c r="AM64" i="66"/>
  <c r="AQ63" i="66"/>
  <c r="AP63" i="66"/>
  <c r="AO63" i="66"/>
  <c r="AN63" i="66"/>
  <c r="AM63" i="66"/>
  <c r="AQ62" i="66"/>
  <c r="AP62" i="66"/>
  <c r="AO62" i="66"/>
  <c r="AN62" i="66"/>
  <c r="AM62" i="66"/>
  <c r="AQ61" i="66"/>
  <c r="AP61" i="66"/>
  <c r="AO61" i="66"/>
  <c r="AN61" i="66"/>
  <c r="AM61" i="66"/>
  <c r="AQ60" i="66"/>
  <c r="AP60" i="66"/>
  <c r="AO60" i="66"/>
  <c r="AN60" i="66"/>
  <c r="AM60" i="66"/>
  <c r="AQ59" i="66"/>
  <c r="AP59" i="66"/>
  <c r="AO59" i="66"/>
  <c r="AN59" i="66"/>
  <c r="AM59" i="66"/>
  <c r="AQ58" i="66"/>
  <c r="AP58" i="66"/>
  <c r="AO58" i="66"/>
  <c r="AN58" i="66"/>
  <c r="AM58" i="66"/>
  <c r="AQ57" i="66"/>
  <c r="AP57" i="66"/>
  <c r="AO57" i="66"/>
  <c r="AN57" i="66"/>
  <c r="AM57" i="66"/>
  <c r="AQ56" i="66"/>
  <c r="AP56" i="66"/>
  <c r="AO56" i="66"/>
  <c r="AN56" i="66"/>
  <c r="AM56" i="66"/>
  <c r="AQ55" i="66"/>
  <c r="AP55" i="66"/>
  <c r="AO55" i="66"/>
  <c r="AN55" i="66"/>
  <c r="AM55" i="66"/>
  <c r="AQ54" i="66"/>
  <c r="AP54" i="66"/>
  <c r="AO54" i="66"/>
  <c r="AN54" i="66"/>
  <c r="AM54" i="66"/>
  <c r="AQ53" i="66"/>
  <c r="AP53" i="66"/>
  <c r="AO53" i="66"/>
  <c r="AN53" i="66"/>
  <c r="AM53" i="66"/>
  <c r="AQ52" i="66"/>
  <c r="AP52" i="66"/>
  <c r="AO52" i="66"/>
  <c r="AN52" i="66"/>
  <c r="AM52" i="66"/>
  <c r="AQ51" i="66"/>
  <c r="AP51" i="66"/>
  <c r="AO51" i="66"/>
  <c r="AN51" i="66"/>
  <c r="AM51" i="66"/>
  <c r="AQ50" i="66"/>
  <c r="AP50" i="66"/>
  <c r="AO50" i="66"/>
  <c r="AN50" i="66"/>
  <c r="AM50" i="66"/>
  <c r="AQ49" i="66"/>
  <c r="AP49" i="66"/>
  <c r="AO49" i="66"/>
  <c r="AN49" i="66"/>
  <c r="AM49" i="66"/>
  <c r="AQ48" i="66"/>
  <c r="AP48" i="66"/>
  <c r="AO48" i="66"/>
  <c r="AN48" i="66"/>
  <c r="AM48" i="66"/>
  <c r="AQ47" i="66"/>
  <c r="AP47" i="66"/>
  <c r="AO47" i="66"/>
  <c r="AN47" i="66"/>
  <c r="AM47" i="66"/>
  <c r="AQ46" i="66"/>
  <c r="AP46" i="66"/>
  <c r="AO46" i="66"/>
  <c r="AN46" i="66"/>
  <c r="AM46" i="66"/>
  <c r="AQ45" i="66"/>
  <c r="AP45" i="66"/>
  <c r="AO45" i="66"/>
  <c r="AN45" i="66"/>
  <c r="AM45" i="66"/>
  <c r="AQ44" i="66"/>
  <c r="AP44" i="66"/>
  <c r="AO44" i="66"/>
  <c r="AN44" i="66"/>
  <c r="AM44" i="66"/>
  <c r="AQ43" i="66"/>
  <c r="AP43" i="66"/>
  <c r="AO43" i="66"/>
  <c r="AN43" i="66"/>
  <c r="AM43" i="66"/>
  <c r="AQ42" i="66"/>
  <c r="AP42" i="66"/>
  <c r="AO42" i="66"/>
  <c r="AN42" i="66"/>
  <c r="AM42" i="66"/>
  <c r="AQ41" i="66"/>
  <c r="AP41" i="66"/>
  <c r="AO41" i="66"/>
  <c r="AN41" i="66"/>
  <c r="AM41" i="66"/>
  <c r="AQ40" i="66"/>
  <c r="AP40" i="66"/>
  <c r="AO40" i="66"/>
  <c r="AN40" i="66"/>
  <c r="AM40" i="66"/>
  <c r="AQ39" i="66"/>
  <c r="AP39" i="66"/>
  <c r="AO39" i="66"/>
  <c r="AN39" i="66"/>
  <c r="AM39" i="66"/>
  <c r="AQ38" i="66"/>
  <c r="AP38" i="66"/>
  <c r="AO38" i="66"/>
  <c r="AN38" i="66"/>
  <c r="AM38" i="66"/>
  <c r="AQ37" i="66"/>
  <c r="AQ36" i="66"/>
  <c r="AQ35" i="66"/>
  <c r="AQ34" i="66"/>
  <c r="AQ33" i="66"/>
  <c r="AP33" i="66"/>
  <c r="AO33" i="66"/>
  <c r="AN33" i="66"/>
  <c r="AM33" i="66"/>
  <c r="U13" i="66"/>
  <c r="C31" i="66"/>
  <c r="AN5" i="66" a="1"/>
  <c r="AM5" i="66" a="1"/>
  <c r="AP5" i="66"/>
  <c r="AQ5" i="66"/>
  <c r="AO5" i="66" a="1"/>
  <c r="L18" i="78"/>
  <c r="M8" i="61"/>
  <c r="M7" i="61"/>
  <c r="H7" i="80"/>
  <c r="L52" i="78"/>
  <c r="L29" i="78"/>
  <c r="H7" i="61"/>
  <c r="L51" i="80"/>
  <c r="M51" i="79"/>
  <c r="B15" i="1"/>
  <c r="H51" i="80"/>
  <c r="M41" i="61"/>
  <c r="H95" i="79"/>
  <c r="G9" i="1"/>
  <c r="D51" i="78"/>
  <c r="L95" i="78"/>
  <c r="M95" i="79"/>
  <c r="H21" i="1"/>
  <c r="B11" i="1"/>
  <c r="H8" i="80"/>
  <c r="M29" i="79"/>
  <c r="D73" i="80"/>
  <c r="M96" i="80"/>
  <c r="L19" i="79"/>
  <c r="M7" i="80"/>
  <c r="L29" i="61"/>
  <c r="L7" i="80"/>
  <c r="D29" i="61"/>
  <c r="L18" i="79"/>
  <c r="L40" i="61"/>
  <c r="M18" i="61"/>
  <c r="G21" i="1"/>
  <c r="H95" i="80"/>
  <c r="H74" i="80"/>
  <c r="H9" i="1"/>
  <c r="H19" i="79"/>
  <c r="L18" i="61"/>
  <c r="H85" i="78"/>
  <c r="B10" i="1"/>
  <c r="M40" i="61"/>
  <c r="H14" i="1"/>
  <c r="D19" i="79"/>
  <c r="M51" i="78"/>
  <c r="M30" i="61"/>
  <c r="M18" i="79"/>
  <c r="L8" i="61"/>
  <c r="L96" i="80"/>
  <c r="H96" i="80"/>
  <c r="D95" i="78"/>
  <c r="D85" i="78"/>
  <c r="M85" i="80"/>
  <c r="L51" i="78"/>
  <c r="M95" i="78"/>
  <c r="D7" i="61"/>
  <c r="B21" i="1"/>
  <c r="M98" i="80"/>
  <c r="L95" i="80"/>
  <c r="H15" i="1"/>
  <c r="H51" i="79"/>
  <c r="H40" i="61"/>
  <c r="M73" i="80"/>
  <c r="H11" i="1"/>
  <c r="M95" i="80"/>
  <c r="L9" i="61"/>
  <c r="M62" i="80"/>
  <c r="M99" i="80"/>
  <c r="M29" i="61"/>
  <c r="H96" i="78"/>
  <c r="L62" i="79"/>
  <c r="L95" i="79"/>
  <c r="L85" i="79"/>
  <c r="G22" i="1"/>
  <c r="D95" i="80"/>
  <c r="H52" i="80"/>
  <c r="H13" i="1"/>
  <c r="M8" i="80"/>
  <c r="L29" i="79"/>
  <c r="D96" i="80"/>
  <c r="H8" i="61"/>
  <c r="H10" i="1"/>
  <c r="H22" i="1"/>
  <c r="M85" i="78"/>
  <c r="M62" i="79"/>
  <c r="H95" i="78"/>
  <c r="L52" i="80"/>
  <c r="G13" i="1"/>
  <c r="H62" i="61"/>
  <c r="G12" i="1"/>
  <c r="H29" i="78"/>
  <c r="L7" i="61"/>
  <c r="H18" i="61"/>
  <c r="H21" i="79"/>
  <c r="G14" i="1"/>
  <c r="M97" i="80"/>
  <c r="B14" i="1"/>
  <c r="M86" i="80"/>
  <c r="D84" i="80"/>
  <c r="H73" i="80"/>
  <c r="H51" i="78"/>
  <c r="G10" i="1"/>
  <c r="M84" i="80"/>
  <c r="M52" i="80"/>
  <c r="D7" i="79"/>
  <c r="L41" i="61"/>
  <c r="G15" i="1"/>
  <c r="L19" i="78"/>
  <c r="M9" i="61"/>
  <c r="L95" i="61"/>
  <c r="B9" i="1"/>
  <c r="D18" i="61"/>
  <c r="H53" i="80"/>
  <c r="L84" i="79"/>
  <c r="D52" i="80"/>
  <c r="M51" i="80"/>
  <c r="H41" i="61"/>
  <c r="M18" i="78"/>
  <c r="D95" i="79"/>
  <c r="B13" i="1"/>
  <c r="L85" i="78"/>
  <c r="G11" i="1"/>
  <c r="L73" i="80"/>
  <c r="M74" i="80"/>
  <c r="B22" i="1"/>
  <c r="M84" i="78"/>
  <c r="H12" i="1"/>
  <c r="H84" i="80"/>
  <c r="D73" i="61"/>
  <c r="H29" i="61"/>
  <c r="L51" i="79"/>
  <c r="D7" i="80"/>
  <c r="L18" i="80"/>
  <c r="B12" i="1"/>
  <c r="M29" i="80"/>
  <c r="D8" i="61"/>
  <c r="M19" i="79"/>
  <c r="D73" i="78"/>
  <c r="H25" i="1" l="1"/>
  <c r="H16" i="1"/>
  <c r="N7" i="80"/>
  <c r="J52" i="80"/>
  <c r="N73" i="80"/>
  <c r="J95" i="80"/>
  <c r="N51" i="80"/>
  <c r="N95" i="80"/>
  <c r="J96" i="80"/>
  <c r="J7" i="80"/>
  <c r="N52" i="80"/>
  <c r="J73" i="80"/>
  <c r="N96" i="80"/>
  <c r="J84" i="80"/>
  <c r="B42" i="80"/>
  <c r="M83" i="80"/>
  <c r="L83" i="80"/>
  <c r="M6" i="80"/>
  <c r="L6" i="80"/>
  <c r="B32" i="80"/>
  <c r="M72" i="80"/>
  <c r="L72" i="80"/>
  <c r="B55" i="80"/>
  <c r="B65" i="80"/>
  <c r="F84" i="80"/>
  <c r="F85" i="80" s="1"/>
  <c r="F86" i="80" s="1"/>
  <c r="F87" i="80" s="1"/>
  <c r="F88" i="80" s="1"/>
  <c r="L28" i="80"/>
  <c r="L61" i="80"/>
  <c r="F95" i="80"/>
  <c r="F96" i="80" s="1"/>
  <c r="F97" i="80" s="1"/>
  <c r="F98" i="80" s="1"/>
  <c r="F99" i="80" s="1"/>
  <c r="B9" i="80"/>
  <c r="B19" i="80"/>
  <c r="B75" i="80"/>
  <c r="L39" i="80"/>
  <c r="L15" i="80"/>
  <c r="M17" i="80" s="1"/>
  <c r="L17" i="80"/>
  <c r="M50" i="80"/>
  <c r="B87" i="80"/>
  <c r="N18" i="79"/>
  <c r="N29" i="79"/>
  <c r="J19" i="79"/>
  <c r="J95" i="79"/>
  <c r="N19" i="79"/>
  <c r="N62" i="79"/>
  <c r="N51" i="79"/>
  <c r="N95" i="79"/>
  <c r="B31" i="79"/>
  <c r="L37" i="79"/>
  <c r="B97" i="79"/>
  <c r="F84" i="79"/>
  <c r="F85" i="79" s="1"/>
  <c r="F86" i="79" s="1"/>
  <c r="F87" i="79" s="1"/>
  <c r="F88" i="79" s="1"/>
  <c r="L81" i="79"/>
  <c r="M83" i="79" s="1"/>
  <c r="B41" i="79"/>
  <c r="B22" i="79"/>
  <c r="L6" i="79"/>
  <c r="L72" i="79"/>
  <c r="B8" i="79"/>
  <c r="B74" i="79"/>
  <c r="B87" i="79"/>
  <c r="B64" i="79"/>
  <c r="B52" i="79"/>
  <c r="L50" i="79"/>
  <c r="M50" i="79"/>
  <c r="F51" i="79"/>
  <c r="F52" i="79" s="1"/>
  <c r="F53" i="79" s="1"/>
  <c r="F54" i="79" s="1"/>
  <c r="F55" i="79" s="1"/>
  <c r="L17" i="79"/>
  <c r="M17" i="79"/>
  <c r="J95" i="78"/>
  <c r="J51" i="78"/>
  <c r="N85" i="78"/>
  <c r="N95" i="78"/>
  <c r="N51" i="78"/>
  <c r="N18" i="78"/>
  <c r="J85" i="78"/>
  <c r="L72" i="78"/>
  <c r="B8" i="78"/>
  <c r="L61" i="78"/>
  <c r="B21" i="78"/>
  <c r="L28" i="78"/>
  <c r="L70" i="78"/>
  <c r="M72" i="78" s="1"/>
  <c r="B31" i="78"/>
  <c r="F84" i="78"/>
  <c r="F85" i="78" s="1"/>
  <c r="F86" i="78" s="1"/>
  <c r="F87" i="78" s="1"/>
  <c r="F88" i="78" s="1"/>
  <c r="L81" i="78"/>
  <c r="L83" i="78" s="1"/>
  <c r="L94" i="78"/>
  <c r="B64" i="78"/>
  <c r="M94" i="78"/>
  <c r="M50" i="78"/>
  <c r="M83" i="78"/>
  <c r="L39" i="78"/>
  <c r="B97" i="78"/>
  <c r="B53" i="78"/>
  <c r="B41" i="78"/>
  <c r="B87" i="78"/>
  <c r="B74" i="78"/>
  <c r="L6" i="78"/>
  <c r="L15" i="78"/>
  <c r="L17" i="78" s="1"/>
  <c r="L48" i="78"/>
  <c r="L50" i="78" s="1"/>
  <c r="B96" i="61"/>
  <c r="B86" i="61"/>
  <c r="B74" i="61"/>
  <c r="B63" i="61"/>
  <c r="N7" i="61"/>
  <c r="N9" i="61"/>
  <c r="J8" i="61"/>
  <c r="N8" i="61"/>
  <c r="J7" i="61"/>
  <c r="J18" i="61"/>
  <c r="N18" i="61"/>
  <c r="B21" i="61"/>
  <c r="J29" i="61"/>
  <c r="N29" i="61"/>
  <c r="B31" i="61"/>
  <c r="N40" i="61"/>
  <c r="N41" i="61"/>
  <c r="B42" i="61"/>
  <c r="AB651" i="66"/>
  <c r="AM5" i="66"/>
  <c r="AN5" i="66"/>
  <c r="AO5" i="66"/>
  <c r="AA655" i="66"/>
  <c r="Y654" i="66"/>
  <c r="AA651" i="66"/>
  <c r="X654" i="66"/>
  <c r="Z653" i="66"/>
  <c r="AA653" i="66"/>
  <c r="AB653" i="66"/>
  <c r="Y651" i="66"/>
  <c r="X652" i="66"/>
  <c r="X651" i="66"/>
  <c r="Z655" i="66"/>
  <c r="X655" i="66"/>
  <c r="Y655" i="66"/>
  <c r="Z651" i="66"/>
  <c r="AB655" i="66"/>
  <c r="Z654" i="66"/>
  <c r="AA654" i="66"/>
  <c r="Y652" i="66"/>
  <c r="Z652" i="66"/>
  <c r="AA652" i="66"/>
  <c r="AB654" i="66"/>
  <c r="AB652" i="66"/>
  <c r="X653" i="66"/>
  <c r="Y653" i="66"/>
  <c r="P95" i="80"/>
  <c r="H30" i="79"/>
  <c r="H20" i="61"/>
  <c r="H42" i="61"/>
  <c r="F22" i="1"/>
  <c r="H18" i="79"/>
  <c r="H20" i="79"/>
  <c r="M10" i="61"/>
  <c r="L64" i="80"/>
  <c r="M40" i="79"/>
  <c r="L74" i="80"/>
  <c r="L31" i="80"/>
  <c r="D63" i="80"/>
  <c r="M84" i="61"/>
  <c r="H62" i="80"/>
  <c r="D85" i="61"/>
  <c r="E11" i="1"/>
  <c r="H29" i="79"/>
  <c r="D40" i="80"/>
  <c r="D85" i="80"/>
  <c r="D41" i="61"/>
  <c r="H85" i="79"/>
  <c r="D40" i="61"/>
  <c r="L29" i="80"/>
  <c r="M11" i="61"/>
  <c r="L7" i="79"/>
  <c r="H63" i="79"/>
  <c r="D40" i="78"/>
  <c r="H40" i="79"/>
  <c r="D31" i="80"/>
  <c r="D20" i="61"/>
  <c r="M96" i="79"/>
  <c r="L73" i="61"/>
  <c r="L7" i="78"/>
  <c r="H54" i="80"/>
  <c r="L86" i="79"/>
  <c r="L40" i="80"/>
  <c r="L63" i="79"/>
  <c r="M63" i="79"/>
  <c r="D18" i="78"/>
  <c r="D64" i="80"/>
  <c r="L62" i="61"/>
  <c r="L62" i="78"/>
  <c r="D13" i="1"/>
  <c r="F10" i="1"/>
  <c r="D29" i="80"/>
  <c r="D10" i="61"/>
  <c r="M40" i="78"/>
  <c r="M64" i="80"/>
  <c r="D53" i="80"/>
  <c r="E10" i="1"/>
  <c r="D9" i="61"/>
  <c r="H84" i="78"/>
  <c r="D63" i="79"/>
  <c r="M30" i="78"/>
  <c r="D86" i="79"/>
  <c r="D97" i="80"/>
  <c r="F15" i="1"/>
  <c r="M62" i="78"/>
  <c r="L97" i="80"/>
  <c r="D30" i="80"/>
  <c r="L85" i="61"/>
  <c r="L41" i="80"/>
  <c r="E22" i="1"/>
  <c r="H62" i="78"/>
  <c r="H73" i="79"/>
  <c r="D96" i="78"/>
  <c r="F21" i="1"/>
  <c r="D30" i="61"/>
  <c r="L62" i="80"/>
  <c r="H73" i="78"/>
  <c r="H85" i="61"/>
  <c r="D20" i="78"/>
  <c r="M85" i="79"/>
  <c r="M19" i="78"/>
  <c r="D84" i="61"/>
  <c r="H99" i="80"/>
  <c r="D84" i="78"/>
  <c r="D54" i="80"/>
  <c r="M20" i="78"/>
  <c r="D21" i="79"/>
  <c r="L30" i="61"/>
  <c r="M7" i="79"/>
  <c r="H97" i="80"/>
  <c r="D8" i="80"/>
  <c r="L40" i="79"/>
  <c r="H86" i="79"/>
  <c r="H19" i="61"/>
  <c r="M30" i="80"/>
  <c r="D95" i="61"/>
  <c r="L30" i="78"/>
  <c r="L86" i="78"/>
  <c r="H30" i="78"/>
  <c r="H86" i="78"/>
  <c r="D9" i="1"/>
  <c r="L84" i="78"/>
  <c r="L20" i="61"/>
  <c r="D74" i="80"/>
  <c r="H84" i="79"/>
  <c r="M73" i="79"/>
  <c r="M20" i="61"/>
  <c r="D51" i="79"/>
  <c r="H98" i="80"/>
  <c r="D63" i="78"/>
  <c r="M73" i="61"/>
  <c r="M30" i="79"/>
  <c r="H29" i="80"/>
  <c r="H73" i="61"/>
  <c r="M7" i="78"/>
  <c r="D99" i="80"/>
  <c r="D7" i="78"/>
  <c r="D73" i="79"/>
  <c r="H7" i="79"/>
  <c r="H11" i="61"/>
  <c r="L96" i="79"/>
  <c r="E9" i="1"/>
  <c r="H18" i="80"/>
  <c r="F12" i="1"/>
  <c r="L42" i="61"/>
  <c r="D18" i="79"/>
  <c r="E15" i="1"/>
  <c r="H85" i="80"/>
  <c r="L98" i="80"/>
  <c r="L73" i="79"/>
  <c r="L30" i="79"/>
  <c r="E13" i="1"/>
  <c r="F9" i="1"/>
  <c r="D62" i="61"/>
  <c r="M53" i="80"/>
  <c r="M96" i="78"/>
  <c r="L20" i="78"/>
  <c r="E12" i="1"/>
  <c r="E21" i="1"/>
  <c r="D18" i="80"/>
  <c r="L20" i="79"/>
  <c r="D22" i="1"/>
  <c r="H63" i="80"/>
  <c r="L84" i="61"/>
  <c r="D12" i="1"/>
  <c r="F11" i="1"/>
  <c r="L10" i="61"/>
  <c r="H86" i="80"/>
  <c r="L54" i="80"/>
  <c r="L30" i="80"/>
  <c r="H96" i="79"/>
  <c r="D85" i="79"/>
  <c r="E14" i="1"/>
  <c r="F13" i="1"/>
  <c r="L85" i="80"/>
  <c r="D30" i="79"/>
  <c r="D10" i="1"/>
  <c r="D29" i="78"/>
  <c r="L21" i="79"/>
  <c r="H62" i="79"/>
  <c r="D62" i="79"/>
  <c r="M31" i="80"/>
  <c r="M42" i="61"/>
  <c r="D40" i="79"/>
  <c r="H20" i="78"/>
  <c r="H31" i="80"/>
  <c r="D11" i="1"/>
  <c r="D21" i="1"/>
  <c r="L19" i="61"/>
  <c r="L63" i="80"/>
  <c r="M18" i="80"/>
  <c r="L8" i="80"/>
  <c r="M54" i="80"/>
  <c r="M21" i="79"/>
  <c r="M19" i="61"/>
  <c r="M85" i="61"/>
  <c r="D84" i="79"/>
  <c r="D41" i="80"/>
  <c r="M62" i="61"/>
  <c r="M41" i="80"/>
  <c r="D62" i="78"/>
  <c r="D15" i="1"/>
  <c r="D62" i="80"/>
  <c r="H10" i="61"/>
  <c r="M52" i="78"/>
  <c r="L86" i="80"/>
  <c r="D20" i="79"/>
  <c r="L96" i="78"/>
  <c r="H40" i="80"/>
  <c r="D86" i="80"/>
  <c r="L99" i="80"/>
  <c r="M63" i="78"/>
  <c r="D29" i="79"/>
  <c r="D30" i="78"/>
  <c r="H64" i="80"/>
  <c r="D11" i="61"/>
  <c r="H30" i="61"/>
  <c r="L84" i="80"/>
  <c r="H40" i="78"/>
  <c r="H63" i="78"/>
  <c r="H19" i="78"/>
  <c r="H30" i="80"/>
  <c r="L73" i="78"/>
  <c r="L40" i="78"/>
  <c r="M20" i="79"/>
  <c r="D14" i="1"/>
  <c r="H9" i="61"/>
  <c r="D98" i="80"/>
  <c r="M63" i="80"/>
  <c r="H41" i="80"/>
  <c r="M40" i="80"/>
  <c r="H84" i="61"/>
  <c r="D51" i="80"/>
  <c r="D19" i="61"/>
  <c r="M86" i="79"/>
  <c r="L11" i="61"/>
  <c r="D86" i="78"/>
  <c r="M73" i="78"/>
  <c r="M95" i="61"/>
  <c r="M84" i="79"/>
  <c r="H18" i="78"/>
  <c r="F14" i="1"/>
  <c r="H7" i="78"/>
  <c r="M29" i="78"/>
  <c r="D52" i="78"/>
  <c r="D96" i="79"/>
  <c r="H52" i="78"/>
  <c r="L53" i="80"/>
  <c r="D19" i="78"/>
  <c r="L63" i="78"/>
  <c r="M86" i="78"/>
  <c r="H95" i="61"/>
  <c r="J101" i="80" l="1"/>
  <c r="J100" i="80"/>
  <c r="N40" i="80"/>
  <c r="N8" i="80"/>
  <c r="N29" i="80"/>
  <c r="N98" i="80"/>
  <c r="N63" i="80"/>
  <c r="J62" i="80"/>
  <c r="J29" i="80"/>
  <c r="N74" i="80"/>
  <c r="J41" i="80"/>
  <c r="N64" i="80"/>
  <c r="J54" i="80"/>
  <c r="N86" i="80"/>
  <c r="N41" i="80"/>
  <c r="J63" i="80"/>
  <c r="N54" i="80"/>
  <c r="J74" i="80"/>
  <c r="N85" i="80"/>
  <c r="N30" i="80"/>
  <c r="J98" i="80"/>
  <c r="J85" i="80"/>
  <c r="N99" i="80"/>
  <c r="J53" i="80"/>
  <c r="N62" i="80"/>
  <c r="J64" i="80"/>
  <c r="N97" i="80"/>
  <c r="J30" i="80"/>
  <c r="N84" i="80"/>
  <c r="J8" i="80"/>
  <c r="N53" i="80"/>
  <c r="J99" i="80"/>
  <c r="J31" i="80"/>
  <c r="J51" i="80"/>
  <c r="J40" i="80"/>
  <c r="J18" i="80"/>
  <c r="N31" i="80"/>
  <c r="N18" i="80"/>
  <c r="J97" i="80"/>
  <c r="J86" i="80"/>
  <c r="B88" i="80"/>
  <c r="B66" i="80"/>
  <c r="B43" i="80"/>
  <c r="B76" i="80"/>
  <c r="B20" i="80"/>
  <c r="B10" i="80"/>
  <c r="B33" i="80"/>
  <c r="N85" i="79"/>
  <c r="J51" i="79"/>
  <c r="J85" i="79"/>
  <c r="J18" i="79"/>
  <c r="N63" i="79"/>
  <c r="J20" i="79"/>
  <c r="J63" i="79"/>
  <c r="N40" i="79"/>
  <c r="J40" i="79"/>
  <c r="J86" i="79"/>
  <c r="J84" i="79"/>
  <c r="J29" i="79"/>
  <c r="N96" i="79"/>
  <c r="N7" i="79"/>
  <c r="N84" i="79"/>
  <c r="J73" i="79"/>
  <c r="N73" i="79"/>
  <c r="J21" i="79"/>
  <c r="J30" i="79"/>
  <c r="N86" i="79"/>
  <c r="N20" i="79"/>
  <c r="N21" i="79"/>
  <c r="J96" i="79"/>
  <c r="J62" i="79"/>
  <c r="N30" i="79"/>
  <c r="J7" i="79"/>
  <c r="B9" i="79"/>
  <c r="B32" i="79"/>
  <c r="B65" i="79"/>
  <c r="L39" i="79"/>
  <c r="M39" i="79"/>
  <c r="B88" i="79"/>
  <c r="B42" i="79"/>
  <c r="B53" i="79"/>
  <c r="B75" i="79"/>
  <c r="L83" i="79"/>
  <c r="B98" i="79"/>
  <c r="J84" i="78"/>
  <c r="N19" i="78"/>
  <c r="J7" i="78"/>
  <c r="J29" i="78"/>
  <c r="N96" i="78"/>
  <c r="J19" i="78"/>
  <c r="N7" i="78"/>
  <c r="J30" i="78"/>
  <c r="J96" i="78"/>
  <c r="N62" i="78"/>
  <c r="J62" i="78"/>
  <c r="J52" i="78"/>
  <c r="J86" i="78"/>
  <c r="J63" i="78"/>
  <c r="N29" i="78"/>
  <c r="N30" i="78"/>
  <c r="N86" i="78"/>
  <c r="N63" i="78"/>
  <c r="J20" i="78"/>
  <c r="N73" i="78"/>
  <c r="N20" i="78"/>
  <c r="N40" i="78"/>
  <c r="J73" i="78"/>
  <c r="J40" i="78"/>
  <c r="N84" i="78"/>
  <c r="J18" i="78"/>
  <c r="N52" i="78"/>
  <c r="M17" i="78"/>
  <c r="B75" i="78"/>
  <c r="B54" i="78"/>
  <c r="B98" i="78"/>
  <c r="B32" i="78"/>
  <c r="B88" i="78"/>
  <c r="B65" i="78"/>
  <c r="B22" i="78"/>
  <c r="B9" i="78"/>
  <c r="B42" i="78"/>
  <c r="N95" i="61"/>
  <c r="J95" i="61"/>
  <c r="B97" i="61"/>
  <c r="N84" i="61"/>
  <c r="J84" i="61"/>
  <c r="J85" i="61"/>
  <c r="N85" i="61"/>
  <c r="B87" i="61"/>
  <c r="N73" i="61"/>
  <c r="J73" i="61"/>
  <c r="B75" i="61"/>
  <c r="N62" i="61"/>
  <c r="J62" i="61"/>
  <c r="B64" i="61"/>
  <c r="J10" i="61"/>
  <c r="N11" i="61"/>
  <c r="J12" i="61"/>
  <c r="N10" i="61"/>
  <c r="J9" i="61"/>
  <c r="J11" i="61"/>
  <c r="N19" i="61"/>
  <c r="J19" i="61"/>
  <c r="N20" i="61"/>
  <c r="J20" i="61"/>
  <c r="B22" i="61"/>
  <c r="J30" i="61"/>
  <c r="N30" i="61"/>
  <c r="B32" i="61"/>
  <c r="N42" i="61"/>
  <c r="J40" i="61"/>
  <c r="J41" i="61"/>
  <c r="B43" i="61"/>
  <c r="P10" i="61"/>
  <c r="P98" i="80"/>
  <c r="P7" i="61"/>
  <c r="P18" i="79"/>
  <c r="D31" i="79"/>
  <c r="H41" i="78"/>
  <c r="H21" i="78"/>
  <c r="L87" i="80"/>
  <c r="M41" i="79"/>
  <c r="H64" i="78"/>
  <c r="M75" i="80"/>
  <c r="L97" i="79"/>
  <c r="H19" i="80"/>
  <c r="L8" i="78"/>
  <c r="L64" i="79"/>
  <c r="D41" i="78"/>
  <c r="H52" i="79"/>
  <c r="D55" i="80"/>
  <c r="M31" i="61"/>
  <c r="D22" i="79"/>
  <c r="M74" i="79"/>
  <c r="D31" i="78"/>
  <c r="L97" i="78"/>
  <c r="L74" i="78"/>
  <c r="H87" i="79"/>
  <c r="H87" i="78"/>
  <c r="D8" i="79"/>
  <c r="L96" i="61"/>
  <c r="L41" i="79"/>
  <c r="L63" i="61"/>
  <c r="L86" i="61"/>
  <c r="L19" i="80"/>
  <c r="M43" i="61"/>
  <c r="L32" i="80"/>
  <c r="D86" i="61"/>
  <c r="L42" i="80"/>
  <c r="H74" i="79"/>
  <c r="D42" i="61"/>
  <c r="L43" i="61"/>
  <c r="D64" i="78"/>
  <c r="H74" i="61"/>
  <c r="L87" i="79"/>
  <c r="H87" i="80"/>
  <c r="L21" i="61"/>
  <c r="D32" i="80"/>
  <c r="L74" i="61"/>
  <c r="D97" i="78"/>
  <c r="M21" i="61"/>
  <c r="H97" i="79"/>
  <c r="M53" i="78"/>
  <c r="M55" i="80"/>
  <c r="D31" i="61"/>
  <c r="H22" i="79"/>
  <c r="M42" i="80"/>
  <c r="D9" i="80"/>
  <c r="M8" i="79"/>
  <c r="H43" i="61"/>
  <c r="M97" i="78"/>
  <c r="H21" i="61"/>
  <c r="H96" i="61"/>
  <c r="D63" i="61"/>
  <c r="L87" i="78"/>
  <c r="D21" i="78"/>
  <c r="D74" i="61"/>
  <c r="D74" i="78"/>
  <c r="H8" i="79"/>
  <c r="H63" i="61"/>
  <c r="H86" i="61"/>
  <c r="M96" i="61"/>
  <c r="H97" i="78"/>
  <c r="D87" i="78"/>
  <c r="D65" i="80"/>
  <c r="M74" i="78"/>
  <c r="M87" i="79"/>
  <c r="M22" i="79"/>
  <c r="D19" i="80"/>
  <c r="L31" i="78"/>
  <c r="H64" i="79"/>
  <c r="L53" i="78"/>
  <c r="H32" i="80"/>
  <c r="M74" i="61"/>
  <c r="M63" i="61"/>
  <c r="H31" i="79"/>
  <c r="H8" i="78"/>
  <c r="D8" i="78"/>
  <c r="M21" i="78"/>
  <c r="M86" i="61"/>
  <c r="H74" i="78"/>
  <c r="D75" i="80"/>
  <c r="D53" i="78"/>
  <c r="M31" i="79"/>
  <c r="L65" i="80"/>
  <c r="M64" i="79"/>
  <c r="L31" i="61"/>
  <c r="D21" i="61"/>
  <c r="L74" i="79"/>
  <c r="M32" i="80"/>
  <c r="L22" i="79"/>
  <c r="H53" i="78"/>
  <c r="M19" i="80"/>
  <c r="H55" i="80"/>
  <c r="L64" i="78"/>
  <c r="M52" i="79"/>
  <c r="L55" i="80"/>
  <c r="H65" i="80"/>
  <c r="H9" i="80"/>
  <c r="D87" i="80"/>
  <c r="D96" i="61"/>
  <c r="M8" i="78"/>
  <c r="M65" i="80"/>
  <c r="H75" i="80"/>
  <c r="D87" i="79"/>
  <c r="H31" i="78"/>
  <c r="L8" i="79"/>
  <c r="M97" i="79"/>
  <c r="L9" i="80"/>
  <c r="M41" i="78"/>
  <c r="D42" i="80"/>
  <c r="M87" i="78"/>
  <c r="D52" i="79"/>
  <c r="L21" i="78"/>
  <c r="L41" i="78"/>
  <c r="M87" i="80"/>
  <c r="M31" i="78"/>
  <c r="H31" i="61"/>
  <c r="M64" i="78"/>
  <c r="D97" i="79"/>
  <c r="D41" i="79"/>
  <c r="D64" i="79"/>
  <c r="H42" i="80"/>
  <c r="D74" i="79"/>
  <c r="H41" i="79"/>
  <c r="L52" i="79"/>
  <c r="M9" i="80"/>
  <c r="L75" i="80"/>
  <c r="L31" i="79"/>
  <c r="J24" i="79" l="1"/>
  <c r="J23" i="79"/>
  <c r="J55" i="80"/>
  <c r="J87" i="80"/>
  <c r="N55" i="80"/>
  <c r="J75" i="80"/>
  <c r="J65" i="80"/>
  <c r="J19" i="80"/>
  <c r="N19" i="80"/>
  <c r="N87" i="80"/>
  <c r="J56" i="80"/>
  <c r="J57" i="80"/>
  <c r="J9" i="80"/>
  <c r="J32" i="80"/>
  <c r="N65" i="80"/>
  <c r="N75" i="80"/>
  <c r="J42" i="80"/>
  <c r="N42" i="80"/>
  <c r="N32" i="80"/>
  <c r="N9" i="80"/>
  <c r="B21" i="80"/>
  <c r="B11" i="80"/>
  <c r="B77" i="80"/>
  <c r="B44" i="80"/>
  <c r="J97" i="79"/>
  <c r="J74" i="79"/>
  <c r="J64" i="79"/>
  <c r="J52" i="79"/>
  <c r="J22" i="79"/>
  <c r="N52" i="79"/>
  <c r="N22" i="79"/>
  <c r="J41" i="79"/>
  <c r="J31" i="79"/>
  <c r="J8" i="79"/>
  <c r="N74" i="79"/>
  <c r="N97" i="79"/>
  <c r="N64" i="79"/>
  <c r="J87" i="79"/>
  <c r="N41" i="79"/>
  <c r="N87" i="79"/>
  <c r="N8" i="79"/>
  <c r="N31" i="79"/>
  <c r="B54" i="79"/>
  <c r="B76" i="79"/>
  <c r="B43" i="79"/>
  <c r="B66" i="79"/>
  <c r="B99" i="79"/>
  <c r="B33" i="79"/>
  <c r="B10" i="79"/>
  <c r="J31" i="78"/>
  <c r="J8" i="78"/>
  <c r="J97" i="78"/>
  <c r="J21" i="78"/>
  <c r="J41" i="78"/>
  <c r="N21" i="78"/>
  <c r="J87" i="78"/>
  <c r="J64" i="78"/>
  <c r="J53" i="78"/>
  <c r="N53" i="78"/>
  <c r="N64" i="78"/>
  <c r="N97" i="78"/>
  <c r="N41" i="78"/>
  <c r="N8" i="78"/>
  <c r="N31" i="78"/>
  <c r="N74" i="78"/>
  <c r="N87" i="78"/>
  <c r="J74" i="78"/>
  <c r="B10" i="78"/>
  <c r="B99" i="78"/>
  <c r="B33" i="78"/>
  <c r="B55" i="78"/>
  <c r="B76" i="78"/>
  <c r="B43" i="78"/>
  <c r="B66" i="78"/>
  <c r="J96" i="61"/>
  <c r="N96" i="61"/>
  <c r="B98" i="61"/>
  <c r="N86" i="61"/>
  <c r="J86" i="61"/>
  <c r="B88" i="61"/>
  <c r="J74" i="61"/>
  <c r="N74" i="61"/>
  <c r="B76" i="61"/>
  <c r="J63" i="61"/>
  <c r="N63" i="61"/>
  <c r="B65" i="61"/>
  <c r="J21" i="61"/>
  <c r="N21" i="61"/>
  <c r="J31" i="61"/>
  <c r="N31" i="61"/>
  <c r="B33" i="61"/>
  <c r="N43" i="61"/>
  <c r="J42" i="61"/>
  <c r="B44" i="61"/>
  <c r="P18" i="78"/>
  <c r="P51" i="80"/>
  <c r="P84" i="79"/>
  <c r="P84" i="80"/>
  <c r="P54" i="80"/>
  <c r="P84" i="78"/>
  <c r="P21" i="79"/>
  <c r="P62" i="80"/>
  <c r="P18" i="61"/>
  <c r="P29" i="80"/>
  <c r="L98" i="79"/>
  <c r="D44" i="61"/>
  <c r="H32" i="78"/>
  <c r="D66" i="80"/>
  <c r="L44" i="61"/>
  <c r="D98" i="79"/>
  <c r="H75" i="61"/>
  <c r="H10" i="80"/>
  <c r="M32" i="78"/>
  <c r="M32" i="79"/>
  <c r="D88" i="78"/>
  <c r="M98" i="79"/>
  <c r="H75" i="78"/>
  <c r="M54" i="78"/>
  <c r="H32" i="61"/>
  <c r="M10" i="80"/>
  <c r="L75" i="78"/>
  <c r="D42" i="78"/>
  <c r="M88" i="78"/>
  <c r="H42" i="79"/>
  <c r="H33" i="80"/>
  <c r="D98" i="78"/>
  <c r="H32" i="79"/>
  <c r="L76" i="80"/>
  <c r="D87" i="61"/>
  <c r="D53" i="79"/>
  <c r="M65" i="78"/>
  <c r="D75" i="61"/>
  <c r="M88" i="80"/>
  <c r="H98" i="79"/>
  <c r="M97" i="61"/>
  <c r="M42" i="79"/>
  <c r="D43" i="80"/>
  <c r="D22" i="78"/>
  <c r="M76" i="80"/>
  <c r="D42" i="79"/>
  <c r="L9" i="79"/>
  <c r="H43" i="80"/>
  <c r="D32" i="79"/>
  <c r="H65" i="78"/>
  <c r="L43" i="80"/>
  <c r="L54" i="78"/>
  <c r="L64" i="61"/>
  <c r="L87" i="61"/>
  <c r="D32" i="78"/>
  <c r="M64" i="61"/>
  <c r="H64" i="61"/>
  <c r="D22" i="61"/>
  <c r="L42" i="79"/>
  <c r="M43" i="80"/>
  <c r="M32" i="61"/>
  <c r="L75" i="79"/>
  <c r="M53" i="79"/>
  <c r="D75" i="79"/>
  <c r="D64" i="61"/>
  <c r="H88" i="79"/>
  <c r="L65" i="79"/>
  <c r="H22" i="78"/>
  <c r="H98" i="78"/>
  <c r="M9" i="79"/>
  <c r="M87" i="61"/>
  <c r="H65" i="79"/>
  <c r="L22" i="61"/>
  <c r="L75" i="61"/>
  <c r="D9" i="79"/>
  <c r="L98" i="78"/>
  <c r="M22" i="61"/>
  <c r="M65" i="79"/>
  <c r="L32" i="61"/>
  <c r="D54" i="78"/>
  <c r="D43" i="61"/>
  <c r="M22" i="78"/>
  <c r="H53" i="79"/>
  <c r="D32" i="61"/>
  <c r="D97" i="61"/>
  <c r="H42" i="78"/>
  <c r="D9" i="78"/>
  <c r="M98" i="78"/>
  <c r="H66" i="80"/>
  <c r="L9" i="78"/>
  <c r="D88" i="79"/>
  <c r="L42" i="78"/>
  <c r="D20" i="80"/>
  <c r="M44" i="61"/>
  <c r="L88" i="78"/>
  <c r="D88" i="80"/>
  <c r="L66" i="80"/>
  <c r="H9" i="78"/>
  <c r="D76" i="80"/>
  <c r="H54" i="78"/>
  <c r="D75" i="78"/>
  <c r="H22" i="61"/>
  <c r="H87" i="61"/>
  <c r="H44" i="61"/>
  <c r="L33" i="80"/>
  <c r="M9" i="78"/>
  <c r="H88" i="80"/>
  <c r="M75" i="79"/>
  <c r="H75" i="79"/>
  <c r="L20" i="80"/>
  <c r="D33" i="80"/>
  <c r="M66" i="80"/>
  <c r="D10" i="80"/>
  <c r="M20" i="80"/>
  <c r="L65" i="78"/>
  <c r="D65" i="78"/>
  <c r="H20" i="80"/>
  <c r="L53" i="79"/>
  <c r="M88" i="79"/>
  <c r="L88" i="80"/>
  <c r="M75" i="61"/>
  <c r="M33" i="80"/>
  <c r="L97" i="61"/>
  <c r="H97" i="61"/>
  <c r="L10" i="80"/>
  <c r="H88" i="78"/>
  <c r="L32" i="79"/>
  <c r="H76" i="80"/>
  <c r="D65" i="79"/>
  <c r="L88" i="79"/>
  <c r="L32" i="78"/>
  <c r="L22" i="78"/>
  <c r="H9" i="79"/>
  <c r="M75" i="78"/>
  <c r="M42" i="78"/>
  <c r="J90" i="78" l="1"/>
  <c r="J89" i="78"/>
  <c r="J89" i="79"/>
  <c r="J90" i="79"/>
  <c r="J90" i="80"/>
  <c r="J89" i="80"/>
  <c r="J67" i="80"/>
  <c r="J68" i="80"/>
  <c r="J35" i="80"/>
  <c r="J34" i="80"/>
  <c r="J23" i="61"/>
  <c r="J24" i="78"/>
  <c r="J23" i="78"/>
  <c r="N10" i="80"/>
  <c r="J66" i="80"/>
  <c r="J33" i="80"/>
  <c r="N88" i="80"/>
  <c r="N33" i="80"/>
  <c r="J20" i="80"/>
  <c r="J76" i="80"/>
  <c r="N76" i="80"/>
  <c r="N43" i="80"/>
  <c r="N66" i="80"/>
  <c r="J43" i="80"/>
  <c r="J88" i="80"/>
  <c r="N20" i="80"/>
  <c r="J10" i="80"/>
  <c r="B22" i="80"/>
  <c r="N75" i="79"/>
  <c r="N32" i="79"/>
  <c r="J53" i="79"/>
  <c r="N98" i="79"/>
  <c r="N53" i="79"/>
  <c r="J65" i="79"/>
  <c r="J75" i="79"/>
  <c r="J98" i="79"/>
  <c r="N65" i="79"/>
  <c r="N9" i="79"/>
  <c r="N88" i="79"/>
  <c r="J9" i="79"/>
  <c r="J42" i="79"/>
  <c r="N42" i="79"/>
  <c r="J32" i="79"/>
  <c r="J88" i="79"/>
  <c r="B77" i="79"/>
  <c r="B55" i="79"/>
  <c r="B11" i="79"/>
  <c r="B44" i="79"/>
  <c r="N88" i="78"/>
  <c r="J88" i="78"/>
  <c r="J32" i="78"/>
  <c r="N65" i="78"/>
  <c r="N98" i="78"/>
  <c r="N75" i="78"/>
  <c r="J22" i="78"/>
  <c r="N32" i="78"/>
  <c r="J75" i="78"/>
  <c r="N22" i="78"/>
  <c r="J42" i="78"/>
  <c r="N9" i="78"/>
  <c r="N42" i="78"/>
  <c r="J9" i="78"/>
  <c r="J54" i="78"/>
  <c r="N54" i="78"/>
  <c r="J65" i="78"/>
  <c r="J98" i="78"/>
  <c r="B77" i="78"/>
  <c r="B11" i="78"/>
  <c r="B44" i="78"/>
  <c r="N97" i="61"/>
  <c r="J97" i="61"/>
  <c r="B99" i="61"/>
  <c r="J87" i="61"/>
  <c r="N87" i="61"/>
  <c r="N75" i="61"/>
  <c r="J75" i="61"/>
  <c r="B77" i="61"/>
  <c r="N64" i="61"/>
  <c r="J64" i="61"/>
  <c r="B66" i="61"/>
  <c r="J22" i="61"/>
  <c r="N22" i="61"/>
  <c r="J32" i="61"/>
  <c r="N32" i="61"/>
  <c r="N44" i="61"/>
  <c r="J43" i="61"/>
  <c r="J44" i="61"/>
  <c r="P87" i="79"/>
  <c r="P43" i="61"/>
  <c r="P65" i="80"/>
  <c r="P29" i="79"/>
  <c r="P21" i="61"/>
  <c r="P84" i="61"/>
  <c r="P40" i="61"/>
  <c r="P7" i="80"/>
  <c r="P95" i="79"/>
  <c r="P95" i="78"/>
  <c r="P62" i="78"/>
  <c r="P21" i="78"/>
  <c r="P32" i="80"/>
  <c r="P29" i="61"/>
  <c r="P73" i="80"/>
  <c r="P62" i="79"/>
  <c r="P87" i="78"/>
  <c r="P87" i="80"/>
  <c r="P29" i="78"/>
  <c r="L44" i="80"/>
  <c r="D10" i="79"/>
  <c r="M76" i="61"/>
  <c r="H54" i="79"/>
  <c r="H77" i="80"/>
  <c r="D21" i="80"/>
  <c r="M33" i="78"/>
  <c r="D44" i="80"/>
  <c r="H43" i="78"/>
  <c r="L76" i="78"/>
  <c r="D43" i="79"/>
  <c r="M76" i="78"/>
  <c r="D33" i="78"/>
  <c r="L21" i="80"/>
  <c r="D33" i="79"/>
  <c r="L66" i="79"/>
  <c r="L66" i="78"/>
  <c r="D77" i="80"/>
  <c r="H99" i="78"/>
  <c r="H10" i="78"/>
  <c r="D10" i="78"/>
  <c r="M88" i="61"/>
  <c r="M43" i="79"/>
  <c r="L65" i="61"/>
  <c r="H88" i="61"/>
  <c r="M76" i="79"/>
  <c r="D55" i="78"/>
  <c r="M11" i="80"/>
  <c r="L54" i="79"/>
  <c r="L77" i="80"/>
  <c r="M10" i="79"/>
  <c r="L76" i="61"/>
  <c r="H11" i="80"/>
  <c r="L10" i="79"/>
  <c r="M43" i="78"/>
  <c r="L43" i="78"/>
  <c r="H76" i="79"/>
  <c r="D54" i="79"/>
  <c r="L10" i="78"/>
  <c r="H44" i="80"/>
  <c r="L33" i="61"/>
  <c r="H43" i="79"/>
  <c r="L43" i="79"/>
  <c r="D88" i="61"/>
  <c r="L98" i="61"/>
  <c r="M33" i="61"/>
  <c r="M65" i="61"/>
  <c r="D66" i="79"/>
  <c r="L99" i="79"/>
  <c r="H33" i="61"/>
  <c r="L55" i="78"/>
  <c r="D99" i="78"/>
  <c r="H65" i="61"/>
  <c r="M10" i="78"/>
  <c r="M44" i="80"/>
  <c r="L33" i="78"/>
  <c r="H55" i="78"/>
  <c r="H76" i="78"/>
  <c r="H66" i="79"/>
  <c r="M77" i="80"/>
  <c r="H33" i="78"/>
  <c r="D66" i="78"/>
  <c r="L88" i="61"/>
  <c r="L99" i="78"/>
  <c r="D98" i="61"/>
  <c r="D43" i="78"/>
  <c r="D76" i="78"/>
  <c r="M99" i="79"/>
  <c r="M66" i="79"/>
  <c r="H21" i="80"/>
  <c r="M98" i="61"/>
  <c r="D11" i="80"/>
  <c r="D76" i="79"/>
  <c r="L76" i="79"/>
  <c r="L33" i="79"/>
  <c r="D33" i="61"/>
  <c r="H98" i="61"/>
  <c r="D65" i="61"/>
  <c r="M55" i="78"/>
  <c r="D76" i="61"/>
  <c r="M99" i="78"/>
  <c r="H99" i="79"/>
  <c r="M66" i="78"/>
  <c r="H76" i="61"/>
  <c r="H33" i="79"/>
  <c r="M21" i="80"/>
  <c r="D99" i="79"/>
  <c r="M33" i="79"/>
  <c r="H66" i="78"/>
  <c r="M54" i="79"/>
  <c r="H10" i="79"/>
  <c r="L11" i="80"/>
  <c r="J100" i="78" l="1"/>
  <c r="J101" i="78"/>
  <c r="J101" i="79"/>
  <c r="J100" i="79"/>
  <c r="J89" i="61"/>
  <c r="J79" i="80"/>
  <c r="J78" i="80"/>
  <c r="J68" i="78"/>
  <c r="J67" i="78"/>
  <c r="J67" i="79"/>
  <c r="J68" i="79"/>
  <c r="J45" i="80"/>
  <c r="J46" i="80"/>
  <c r="J34" i="61"/>
  <c r="J34" i="78"/>
  <c r="J35" i="78"/>
  <c r="J34" i="79"/>
  <c r="J35" i="79"/>
  <c r="J21" i="80"/>
  <c r="N21" i="80"/>
  <c r="J77" i="80"/>
  <c r="J44" i="80"/>
  <c r="N44" i="80"/>
  <c r="N11" i="80"/>
  <c r="N77" i="80"/>
  <c r="J11" i="80"/>
  <c r="J13" i="80"/>
  <c r="J12" i="80"/>
  <c r="J99" i="79"/>
  <c r="J43" i="79"/>
  <c r="N76" i="79"/>
  <c r="N43" i="79"/>
  <c r="J76" i="79"/>
  <c r="J10" i="79"/>
  <c r="J66" i="79"/>
  <c r="N10" i="79"/>
  <c r="J33" i="79"/>
  <c r="N33" i="79"/>
  <c r="N66" i="79"/>
  <c r="N99" i="79"/>
  <c r="J54" i="79"/>
  <c r="N54" i="79"/>
  <c r="N76" i="78"/>
  <c r="J10" i="78"/>
  <c r="J66" i="78"/>
  <c r="J43" i="78"/>
  <c r="J99" i="78"/>
  <c r="N66" i="78"/>
  <c r="J76" i="78"/>
  <c r="N10" i="78"/>
  <c r="N43" i="78"/>
  <c r="J33" i="78"/>
  <c r="N55" i="78"/>
  <c r="N33" i="78"/>
  <c r="N99" i="78"/>
  <c r="J57" i="78"/>
  <c r="J56" i="78"/>
  <c r="J55" i="78"/>
  <c r="N98" i="61"/>
  <c r="J98" i="61"/>
  <c r="J88" i="61"/>
  <c r="N88" i="61"/>
  <c r="J76" i="61"/>
  <c r="N76" i="61"/>
  <c r="J65" i="61"/>
  <c r="N65" i="61"/>
  <c r="J33" i="61"/>
  <c r="N33" i="61"/>
  <c r="P7" i="79"/>
  <c r="P65" i="79"/>
  <c r="P62" i="61"/>
  <c r="P40" i="80"/>
  <c r="P76" i="80"/>
  <c r="P18" i="80"/>
  <c r="P73" i="78"/>
  <c r="P32" i="79"/>
  <c r="P98" i="78"/>
  <c r="P32" i="78"/>
  <c r="P51" i="78"/>
  <c r="P32" i="61"/>
  <c r="P10" i="80"/>
  <c r="P7" i="78"/>
  <c r="P73" i="79"/>
  <c r="P98" i="79"/>
  <c r="P54" i="78"/>
  <c r="P87" i="61"/>
  <c r="P43" i="80"/>
  <c r="P95" i="61"/>
  <c r="P73" i="61"/>
  <c r="P65" i="78"/>
  <c r="D66" i="61"/>
  <c r="L11" i="79"/>
  <c r="M44" i="78"/>
  <c r="D11" i="79"/>
  <c r="H44" i="79"/>
  <c r="M77" i="79"/>
  <c r="H66" i="61"/>
  <c r="D77" i="79"/>
  <c r="M77" i="61"/>
  <c r="H77" i="79"/>
  <c r="M99" i="61"/>
  <c r="L44" i="78"/>
  <c r="L11" i="78"/>
  <c r="D44" i="79"/>
  <c r="M44" i="79"/>
  <c r="L77" i="61"/>
  <c r="H44" i="78"/>
  <c r="D77" i="78"/>
  <c r="L22" i="80"/>
  <c r="H11" i="79"/>
  <c r="L66" i="61"/>
  <c r="H99" i="61"/>
  <c r="H55" i="79"/>
  <c r="D11" i="78"/>
  <c r="H77" i="78"/>
  <c r="L44" i="79"/>
  <c r="L55" i="79"/>
  <c r="H22" i="80"/>
  <c r="L77" i="79"/>
  <c r="D77" i="61"/>
  <c r="M55" i="79"/>
  <c r="L77" i="78"/>
  <c r="D44" i="78"/>
  <c r="D22" i="80"/>
  <c r="M22" i="80"/>
  <c r="M77" i="78"/>
  <c r="L99" i="61"/>
  <c r="H11" i="78"/>
  <c r="M11" i="79"/>
  <c r="M66" i="61"/>
  <c r="H77" i="61"/>
  <c r="D55" i="79"/>
  <c r="D99" i="61"/>
  <c r="M11" i="78"/>
  <c r="J100" i="61" l="1"/>
  <c r="J78" i="61"/>
  <c r="J78" i="78"/>
  <c r="J79" i="78"/>
  <c r="J79" i="79"/>
  <c r="J78" i="79"/>
  <c r="J67" i="61"/>
  <c r="J46" i="78"/>
  <c r="J45" i="78"/>
  <c r="J45" i="79"/>
  <c r="J46" i="79"/>
  <c r="J24" i="80"/>
  <c r="J23" i="80"/>
  <c r="J22" i="80"/>
  <c r="N22" i="80"/>
  <c r="N11" i="79"/>
  <c r="J12" i="79"/>
  <c r="J13" i="79"/>
  <c r="J55" i="79"/>
  <c r="J77" i="79"/>
  <c r="J57" i="79"/>
  <c r="J56" i="79"/>
  <c r="J11" i="79"/>
  <c r="N55" i="79"/>
  <c r="N77" i="79"/>
  <c r="N44" i="79"/>
  <c r="J44" i="79"/>
  <c r="J44" i="78"/>
  <c r="J13" i="78"/>
  <c r="J12" i="78"/>
  <c r="N44" i="78"/>
  <c r="J11" i="78"/>
  <c r="N11" i="78"/>
  <c r="N77" i="78"/>
  <c r="J77" i="78"/>
  <c r="J99" i="61"/>
  <c r="N99" i="61"/>
  <c r="J77" i="61"/>
  <c r="N77" i="61"/>
  <c r="N66" i="61"/>
  <c r="J66" i="61"/>
  <c r="J652" i="66"/>
  <c r="P40" i="79"/>
  <c r="P21" i="80"/>
  <c r="P40" i="78"/>
  <c r="P51" i="79"/>
  <c r="P76" i="61"/>
  <c r="P76" i="78"/>
  <c r="P54" i="79"/>
  <c r="P10" i="78"/>
  <c r="P43" i="79"/>
  <c r="P10" i="79"/>
  <c r="P76" i="79"/>
  <c r="P43" i="78"/>
  <c r="P98" i="61"/>
  <c r="P65" i="61"/>
  <c r="J651" i="66" l="1"/>
  <c r="J653" i="66"/>
  <c r="H651" i="66"/>
  <c r="F651" i="66"/>
  <c r="F652" i="66"/>
  <c r="F655" i="66"/>
  <c r="F654" i="66"/>
  <c r="F653" i="66"/>
  <c r="H654" i="66"/>
  <c r="I651" i="66"/>
  <c r="H653" i="66"/>
  <c r="I652" i="66"/>
  <c r="G651" i="66"/>
  <c r="I653" i="66"/>
  <c r="G652" i="66"/>
  <c r="I654" i="66"/>
  <c r="J655" i="66"/>
  <c r="G653" i="66"/>
  <c r="I655" i="66"/>
  <c r="J654" i="66"/>
  <c r="H655" i="66"/>
  <c r="G654" i="66"/>
  <c r="H652" i="66"/>
  <c r="G655" i="66"/>
  <c r="R7" i="66" l="1"/>
  <c r="R6" i="66"/>
  <c r="R9" i="66"/>
  <c r="R8" i="66"/>
  <c r="R10" i="66" l="1"/>
  <c r="F92" i="61" l="1"/>
  <c r="F81" i="61"/>
  <c r="AT87" i="66"/>
  <c r="AS87" i="66"/>
  <c r="AR87" i="66"/>
  <c r="AT86" i="66"/>
  <c r="AS86" i="66"/>
  <c r="AR86" i="66"/>
  <c r="AT85" i="66"/>
  <c r="AS85" i="66"/>
  <c r="AR85" i="66"/>
  <c r="AT84" i="66"/>
  <c r="AS84" i="66"/>
  <c r="AR84" i="66"/>
  <c r="AT83" i="66"/>
  <c r="AS83" i="66"/>
  <c r="AR83" i="66"/>
  <c r="AT82" i="66"/>
  <c r="AS82" i="66"/>
  <c r="AR82" i="66"/>
  <c r="AT81" i="66"/>
  <c r="AS81" i="66"/>
  <c r="AR81" i="66"/>
  <c r="AT80" i="66"/>
  <c r="AS80" i="66"/>
  <c r="AR80" i="66"/>
  <c r="AT79" i="66"/>
  <c r="AS79" i="66"/>
  <c r="AR79" i="66"/>
  <c r="AT78" i="66"/>
  <c r="AS78" i="66"/>
  <c r="AR78" i="66"/>
  <c r="AT77" i="66"/>
  <c r="AS77" i="66"/>
  <c r="AR77" i="66"/>
  <c r="AT76" i="66"/>
  <c r="AS76" i="66"/>
  <c r="AR76" i="66"/>
  <c r="AT75" i="66"/>
  <c r="AS75" i="66"/>
  <c r="AR75" i="66"/>
  <c r="AT74" i="66"/>
  <c r="AS74" i="66"/>
  <c r="AR74" i="66"/>
  <c r="AT73" i="66"/>
  <c r="AS73" i="66"/>
  <c r="AR73" i="66"/>
  <c r="AT72" i="66"/>
  <c r="AS72" i="66"/>
  <c r="AR72" i="66"/>
  <c r="AT71" i="66"/>
  <c r="AS71" i="66"/>
  <c r="AR71" i="66"/>
  <c r="AT70" i="66"/>
  <c r="AS70" i="66"/>
  <c r="AR70" i="66"/>
  <c r="AT69" i="66"/>
  <c r="AS69" i="66"/>
  <c r="AR69" i="66"/>
  <c r="AT68" i="66"/>
  <c r="AS68" i="66"/>
  <c r="AR68" i="66"/>
  <c r="AT67" i="66"/>
  <c r="AS67" i="66"/>
  <c r="AR67" i="66"/>
  <c r="AT66" i="66"/>
  <c r="AS66" i="66"/>
  <c r="AR66" i="66"/>
  <c r="AT65" i="66"/>
  <c r="AS65" i="66"/>
  <c r="AR65" i="66"/>
  <c r="AT64" i="66"/>
  <c r="AS64" i="66"/>
  <c r="AR64" i="66"/>
  <c r="AT63" i="66"/>
  <c r="AS63" i="66"/>
  <c r="AR63" i="66"/>
  <c r="AT62" i="66"/>
  <c r="AS62" i="66"/>
  <c r="AR62" i="66"/>
  <c r="AT61" i="66"/>
  <c r="AS61" i="66"/>
  <c r="AR61" i="66"/>
  <c r="AT60" i="66"/>
  <c r="AS60" i="66"/>
  <c r="AR60" i="66"/>
  <c r="AT59" i="66"/>
  <c r="AS59" i="66"/>
  <c r="AR59" i="66"/>
  <c r="AT58" i="66"/>
  <c r="AS58" i="66"/>
  <c r="AR58" i="66"/>
  <c r="AT57" i="66"/>
  <c r="AS57" i="66"/>
  <c r="AR57" i="66"/>
  <c r="AT56" i="66"/>
  <c r="AS56" i="66"/>
  <c r="AR56" i="66"/>
  <c r="AT55" i="66"/>
  <c r="AS55" i="66"/>
  <c r="AR55" i="66"/>
  <c r="AT54" i="66"/>
  <c r="AS54" i="66"/>
  <c r="AR54" i="66"/>
  <c r="AT53" i="66"/>
  <c r="AS53" i="66"/>
  <c r="AR53" i="66"/>
  <c r="AT52" i="66"/>
  <c r="AS52" i="66"/>
  <c r="AR52" i="66"/>
  <c r="AT51" i="66"/>
  <c r="AS51" i="66"/>
  <c r="AR51" i="66"/>
  <c r="AT50" i="66"/>
  <c r="AS50" i="66"/>
  <c r="AR50" i="66"/>
  <c r="AT49" i="66"/>
  <c r="AS49" i="66"/>
  <c r="AR49" i="66"/>
  <c r="AT48" i="66"/>
  <c r="AS48" i="66"/>
  <c r="AR48" i="66"/>
  <c r="AT47" i="66"/>
  <c r="AS47" i="66"/>
  <c r="AT46" i="66"/>
  <c r="AS46" i="66"/>
  <c r="AT45" i="66"/>
  <c r="AS45" i="66"/>
  <c r="AT44" i="66"/>
  <c r="AS44" i="66"/>
  <c r="AT43" i="66"/>
  <c r="AS43" i="66"/>
  <c r="AT42" i="66"/>
  <c r="AS42" i="66"/>
  <c r="AT41" i="66"/>
  <c r="AS41" i="66"/>
  <c r="AT40" i="66"/>
  <c r="AS40" i="66"/>
  <c r="AT39" i="66"/>
  <c r="AS39" i="66"/>
  <c r="AT38" i="66"/>
  <c r="AS38" i="66"/>
  <c r="AT37" i="66"/>
  <c r="AS37" i="66"/>
  <c r="AP37" i="66"/>
  <c r="AO37" i="66"/>
  <c r="AN37" i="66"/>
  <c r="AM37" i="66"/>
  <c r="AT36" i="66"/>
  <c r="AS36" i="66"/>
  <c r="AP36" i="66"/>
  <c r="AO36" i="66"/>
  <c r="AN36" i="66"/>
  <c r="AM36" i="66"/>
  <c r="AT35" i="66"/>
  <c r="AS35" i="66"/>
  <c r="AP35" i="66"/>
  <c r="AO35" i="66"/>
  <c r="AN35" i="66"/>
  <c r="AM35" i="66"/>
  <c r="AT34" i="66"/>
  <c r="AS34" i="66"/>
  <c r="AP34" i="66"/>
  <c r="AO34" i="66"/>
  <c r="AN34" i="66"/>
  <c r="AM34" i="66"/>
  <c r="AT33" i="66"/>
  <c r="AS33" i="66"/>
  <c r="U31" i="66"/>
  <c r="L92" i="61" l="1"/>
  <c r="L81" i="61"/>
  <c r="M94" i="61" l="1"/>
  <c r="L94" i="61"/>
  <c r="M83" i="61"/>
  <c r="L83" i="61"/>
  <c r="J101" i="61" l="1"/>
  <c r="J90" i="61"/>
  <c r="L101" i="61" l="1"/>
  <c r="M101" i="61"/>
  <c r="L90" i="61"/>
  <c r="M90" i="61"/>
  <c r="F70" i="61" l="1"/>
  <c r="F59" i="61"/>
  <c r="M57" i="61"/>
  <c r="B51" i="61"/>
  <c r="F48" i="61"/>
  <c r="F51" i="61" s="1"/>
  <c r="F52" i="61" s="1"/>
  <c r="F53" i="61" s="1"/>
  <c r="F54" i="61" s="1"/>
  <c r="F55" i="61" s="1"/>
  <c r="F37" i="61"/>
  <c r="F26" i="61"/>
  <c r="F15" i="61"/>
  <c r="F18" i="61" s="1"/>
  <c r="F19" i="61" s="1"/>
  <c r="F20" i="61" s="1"/>
  <c r="F21" i="61" s="1"/>
  <c r="F22" i="61" s="1"/>
  <c r="F4" i="61"/>
  <c r="M51" i="61"/>
  <c r="H51" i="61"/>
  <c r="D51" i="61"/>
  <c r="L51" i="61"/>
  <c r="L70" i="61" l="1"/>
  <c r="F73" i="61"/>
  <c r="F74" i="61" s="1"/>
  <c r="F75" i="61" s="1"/>
  <c r="F76" i="61" s="1"/>
  <c r="F77" i="61" s="1"/>
  <c r="L59" i="61"/>
  <c r="M61" i="61" s="1"/>
  <c r="F62" i="61"/>
  <c r="F63" i="61" s="1"/>
  <c r="F64" i="61" s="1"/>
  <c r="F65" i="61" s="1"/>
  <c r="F66" i="61" s="1"/>
  <c r="L4" i="61"/>
  <c r="F7" i="61"/>
  <c r="F8" i="61" s="1"/>
  <c r="F9" i="61" s="1"/>
  <c r="F10" i="61" s="1"/>
  <c r="F11" i="61" s="1"/>
  <c r="L26" i="61"/>
  <c r="M28" i="61" s="1"/>
  <c r="F29" i="61"/>
  <c r="F30" i="61" s="1"/>
  <c r="F31" i="61" s="1"/>
  <c r="F32" i="61" s="1"/>
  <c r="F33" i="61" s="1"/>
  <c r="L37" i="61"/>
  <c r="L39" i="61" s="1"/>
  <c r="F40" i="61"/>
  <c r="F41" i="61" s="1"/>
  <c r="F42" i="61" s="1"/>
  <c r="F43" i="61" s="1"/>
  <c r="F44" i="61" s="1"/>
  <c r="J51" i="61"/>
  <c r="M6" i="61"/>
  <c r="L6" i="61"/>
  <c r="B52" i="61"/>
  <c r="N51" i="61"/>
  <c r="L57" i="61"/>
  <c r="L61" i="61"/>
  <c r="M72" i="61"/>
  <c r="L72" i="61"/>
  <c r="L15" i="61"/>
  <c r="L48" i="61"/>
  <c r="M52" i="61"/>
  <c r="D52" i="61"/>
  <c r="H52" i="61"/>
  <c r="L52" i="61"/>
  <c r="M39" i="61" l="1"/>
  <c r="L28" i="61"/>
  <c r="J52" i="61"/>
  <c r="B53" i="61"/>
  <c r="N52" i="61"/>
  <c r="M50" i="61"/>
  <c r="L50" i="61"/>
  <c r="M17" i="61"/>
  <c r="L17" i="61"/>
  <c r="D53" i="61"/>
  <c r="H53" i="61"/>
  <c r="L53" i="61"/>
  <c r="M53" i="61"/>
  <c r="N53" i="61" l="1"/>
  <c r="J53" i="61"/>
  <c r="B54" i="61"/>
  <c r="L54" i="61"/>
  <c r="M54" i="61"/>
  <c r="H54" i="61"/>
  <c r="D54" i="61"/>
  <c r="N54" i="61" l="1"/>
  <c r="J54" i="61"/>
  <c r="B55" i="61"/>
  <c r="M55" i="61"/>
  <c r="H55" i="61"/>
  <c r="L55" i="61"/>
  <c r="D55" i="61"/>
  <c r="N55" i="61" l="1"/>
  <c r="J55" i="61"/>
  <c r="J79" i="61"/>
  <c r="J68" i="61"/>
  <c r="M13" i="61"/>
  <c r="J35" i="61"/>
  <c r="J24" i="61"/>
  <c r="J46" i="61"/>
  <c r="J45" i="61"/>
  <c r="L13" i="61"/>
  <c r="P54" i="61"/>
  <c r="P51" i="61"/>
  <c r="M24" i="61" l="1"/>
  <c r="L24" i="61"/>
  <c r="L46" i="61"/>
  <c r="M46" i="61"/>
  <c r="M35" i="61"/>
  <c r="L35" i="61"/>
  <c r="M68" i="61"/>
  <c r="M79" i="61"/>
  <c r="L79" i="61"/>
  <c r="L68" i="61"/>
  <c r="J56" i="61" l="1"/>
  <c r="J57" i="61"/>
  <c r="G25" i="1" l="1"/>
  <c r="G16" i="1"/>
  <c r="J13" i="61"/>
  <c r="E25" i="1" l="1"/>
  <c r="F25" i="1"/>
  <c r="D25" i="1"/>
  <c r="F16" i="1"/>
  <c r="D16" i="1"/>
  <c r="E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<sst xmlns="http://schemas.openxmlformats.org/spreadsheetml/2006/main" count="2805" uniqueCount="218">
  <si>
    <t xml:space="preserve">  </t>
  </si>
  <si>
    <t xml:space="preserve">               </t>
  </si>
  <si>
    <t>Anchor</t>
  </si>
  <si>
    <t>anchor  (IDCC)</t>
  </si>
  <si>
    <t>Proposal</t>
  </si>
  <si>
    <t>proposal</t>
  </si>
  <si>
    <t>Multiview content - Proposal vs. Anchor</t>
  </si>
  <si>
    <t>Sequence</t>
  </si>
  <si>
    <t>BD-rate
RGB-PSNR</t>
    <phoneticPr fontId="25" type="noConversion"/>
  </si>
  <si>
    <t>BD-rate
YUV-PSNR</t>
    <phoneticPr fontId="25" type="noConversion"/>
  </si>
  <si>
    <t>BD-rate
YUV-SSIM</t>
    <phoneticPr fontId="25" type="noConversion"/>
  </si>
  <si>
    <t>BD-rate
YUV-IVSSIM</t>
    <phoneticPr fontId="25" type="noConversion"/>
  </si>
  <si>
    <t>BD-rate
LPIPS</t>
  </si>
  <si>
    <t>note(ft): to recall the sequence's name</t>
  </si>
  <si>
    <t>M_CG1</t>
    <phoneticPr fontId="25" type="noConversion"/>
  </si>
  <si>
    <t>Mirror</t>
  </si>
  <si>
    <t>M_CG2</t>
    <phoneticPr fontId="25" type="noConversion"/>
  </si>
  <si>
    <t>Garage</t>
  </si>
  <si>
    <t>M_NC1</t>
    <phoneticPr fontId="25" type="noConversion"/>
  </si>
  <si>
    <t>Bartender</t>
  </si>
  <si>
    <t>M_NC2</t>
    <phoneticPr fontId="25" type="noConversion"/>
  </si>
  <si>
    <t>Choreo</t>
  </si>
  <si>
    <t>M_NC3</t>
    <phoneticPr fontId="25" type="noConversion"/>
  </si>
  <si>
    <t>Cinema</t>
  </si>
  <si>
    <t>M_NC4</t>
    <phoneticPr fontId="25" type="noConversion"/>
  </si>
  <si>
    <t>M_NC5</t>
    <phoneticPr fontId="25" type="noConversion"/>
  </si>
  <si>
    <t>Average</t>
  </si>
  <si>
    <t>Monocular content - Proposal vs. Anchor</t>
  </si>
  <si>
    <t>BD-rate
SSIM</t>
    <phoneticPr fontId="25" type="noConversion"/>
  </si>
  <si>
    <t>BD-rate
LPIPS</t>
    <phoneticPr fontId="25" type="noConversion"/>
  </si>
  <si>
    <t>S_NC1</t>
    <phoneticPr fontId="25" type="noConversion"/>
  </si>
  <si>
    <t>S_NC2</t>
    <phoneticPr fontId="25" type="noConversion"/>
  </si>
  <si>
    <t>KITTI-360</t>
  </si>
  <si>
    <t xml:space="preserve"> </t>
  </si>
  <si>
    <t>Rate</t>
  </si>
  <si>
    <t>Distortion</t>
  </si>
  <si>
    <t>BD-rate</t>
  </si>
  <si>
    <t>F</t>
    <phoneticPr fontId="25" type="noConversion"/>
  </si>
  <si>
    <t>X</t>
  </si>
  <si>
    <t>Test</t>
  </si>
  <si>
    <t>Bitrate [Mbps]</t>
  </si>
  <si>
    <t>%</t>
  </si>
  <si>
    <t>RGB-PSNR</t>
    <phoneticPr fontId="25" type="noConversion"/>
  </si>
  <si>
    <t>Test point</t>
  </si>
  <si>
    <t>Total</t>
  </si>
  <si>
    <t>Delta</t>
  </si>
  <si>
    <t>r01</t>
  </si>
  <si>
    <t>r02</t>
  </si>
  <si>
    <t>r03</t>
  </si>
  <si>
    <t>BD-PSNR</t>
  </si>
  <si>
    <t>r04</t>
  </si>
  <si>
    <t>r05</t>
  </si>
  <si>
    <t>G</t>
  </si>
  <si>
    <t>Y</t>
  </si>
  <si>
    <t>YUV-PSNR</t>
  </si>
  <si>
    <t>H</t>
  </si>
  <si>
    <t>Z</t>
  </si>
  <si>
    <t>YUV-SSIM</t>
  </si>
  <si>
    <t>RP0</t>
    <phoneticPr fontId="25" type="noConversion"/>
  </si>
  <si>
    <t>I</t>
  </si>
  <si>
    <t>AA</t>
  </si>
  <si>
    <t>YUV-IVSSIM</t>
  </si>
  <si>
    <t xml:space="preserve">    </t>
  </si>
  <si>
    <t>End-to-end BD-rate</t>
  </si>
  <si>
    <t>Avg.</t>
  </si>
  <si>
    <t>Avg.</t>
    <phoneticPr fontId="25" type="noConversion"/>
  </si>
  <si>
    <t>Enc T [s]</t>
  </si>
  <si>
    <t>Dec T [s]</t>
  </si>
  <si>
    <t>Ren T [s]</t>
  </si>
  <si>
    <t xml:space="preserve"> = Calculated / unused</t>
  </si>
  <si>
    <t>kbps</t>
  </si>
  <si>
    <t>RGB-PSNR</t>
  </si>
  <si>
    <t>YUV-PSNR</t>
    <phoneticPr fontId="25" type="noConversion"/>
  </si>
  <si>
    <t>YUV-SSIM</t>
    <phoneticPr fontId="25" type="noConversion"/>
  </si>
  <si>
    <t>YUV-IVSSIM</t>
    <phoneticPr fontId="25" type="noConversion"/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</si>
  <si>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</si>
  <si>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</si>
  <si>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</si>
  <si>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</si>
  <si>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</si>
  <si>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</si>
  <si>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</si>
  <si>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</si>
  <si>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</si>
  <si>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</si>
  <si>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</si>
  <si>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</si>
  <si>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</si>
  <si>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</si>
  <si>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</si>
  <si>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Ren T [s]</t>
    <phoneticPr fontId="25" type="noConversion"/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</si>
  <si>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</si>
  <si>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</si>
  <si>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</si>
  <si>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</si>
  <si>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</si>
  <si>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</si>
  <si>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</si>
  <si>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</si>
  <si>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</si>
  <si>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</si>
  <si>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</si>
  <si>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</si>
  <si>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</si>
  <si>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</si>
  <si>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</si>
  <si>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</si>
  <si>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</si>
  <si>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</si>
  <si>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</si>
  <si>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</si>
  <si>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</si>
  <si>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</si>
  <si>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</si>
  <si>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</si>
  <si>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</si>
  <si>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</si>
  <si>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</si>
  <si>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</si>
  <si>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</si>
  <si>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</si>
  <si>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</si>
  <si>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</si>
  <si>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</si>
  <si>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</si>
  <si>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</si>
  <si>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</si>
  <si>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</si>
  <si>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</si>
  <si>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</si>
  <si>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</si>
  <si>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</si>
  <si>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</si>
  <si>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</si>
  <si>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</si>
  <si>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</si>
  <si>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</si>
  <si>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</si>
  <si>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</si>
  <si>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</si>
  <si>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</si>
  <si>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</si>
  <si>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</si>
  <si>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</si>
  <si>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</si>
  <si>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</si>
  <si>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</si>
  <si>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</si>
  <si>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</si>
  <si>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</si>
  <si>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</si>
  <si>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</si>
  <si>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</si>
  <si>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</si>
  <si>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</si>
  <si>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</si>
  <si>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</si>
  <si>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</si>
  <si>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</si>
  <si>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</si>
  <si>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</si>
  <si>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</si>
  <si>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</si>
  <si>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</si>
  <si>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</si>
  <si>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</si>
  <si>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</si>
  <si>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</si>
  <si>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</si>
  <si>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</si>
  <si>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</si>
  <si>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</si>
  <si>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</si>
  <si>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</si>
  <si>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</si>
  <si>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</si>
  <si>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</si>
  <si>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</si>
  <si>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</si>
  <si>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</si>
  <si>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</si>
  <si>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</si>
  <si>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</si>
  <si>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</si>
  <si>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</si>
  <si>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</si>
  <si>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</si>
  <si>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</si>
  <si>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</si>
  <si>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</si>
  <si>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</si>
  <si>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</si>
  <si>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</si>
  <si>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</si>
  <si>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</si>
  <si>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</si>
  <si>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</si>
  <si>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</si>
  <si>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</si>
  <si>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</si>
  <si>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</si>
  <si>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</si>
  <si>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</si>
  <si>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</si>
  <si>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</si>
  <si>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</si>
  <si>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</si>
  <si>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</si>
  <si>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</si>
  <si>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</si>
  <si>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</si>
  <si>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</si>
  <si>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</si>
  <si>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</si>
  <si>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</si>
  <si>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Breakfast</t>
  </si>
  <si>
    <t>Breakdance</t>
  </si>
  <si>
    <t>Cinema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</si>
</sst>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33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b/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sz val="11"/>
      <color theme="3" tint="0.79998168889431442"/>
      <name val="宋体"/>
      <family val="2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1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i/>
      <sz val="9"/>
      <color theme="0" tint="-0.34998626667073579"/>
      <name val="宋体"/>
      <family val="2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</borders>
  <cellStyleXfs count="13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3" fillId="0" borderId="0"/>
    <xf numFmtId="176" fontId="23" fillId="0" borderId="0"/>
    <xf numFmtId="9" fontId="2" fillId="0" borderId="0"/>
    <xf numFmtId="176" fontId="2" fillId="0" borderId="0"/>
    <xf numFmtId="0" fontId="30" fillId="0" borderId="0" applyNumberFormat="0" applyFill="0" applyBorder="0" applyAlignment="0" applyProtection="0"/>
  </cellStyleXfs>
  <cellXfs count="363">
    <xf numFmtId="0" fontId="0" fillId="0" borderId="0" xfId="0"/>
    <xf numFmtId="0" fontId="4" fillId="3" borderId="0" xfId="0" quotePrefix="1" applyFont="1" applyFill="1"/>
    <xf numFmtId="0" fontId="10" fillId="3" borderId="0" xfId="0" applyFont="1" applyFill="1"/>
    <xf numFmtId="2" fontId="14" fillId="3" borderId="0" xfId="2" quotePrefix="1" applyNumberFormat="1" applyFont="1" applyFill="1" applyAlignment="1">
      <alignment horizontal="right" vertical="center"/>
    </xf>
    <xf numFmtId="2" fontId="14" fillId="3" borderId="0" xfId="0" applyNumberFormat="1" applyFont="1" applyFill="1" applyAlignment="1">
      <alignment horizontal="right"/>
    </xf>
    <xf numFmtId="0" fontId="17" fillId="3" borderId="0" xfId="0" applyFont="1" applyFill="1" applyAlignment="1">
      <alignment horizontal="center"/>
    </xf>
    <xf numFmtId="0" fontId="19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1" fontId="14" fillId="3" borderId="0" xfId="0" applyNumberFormat="1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18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/>
    </xf>
    <xf numFmtId="0" fontId="3" fillId="3" borderId="0" xfId="0" applyFont="1" applyFill="1"/>
    <xf numFmtId="2" fontId="3" fillId="3" borderId="0" xfId="0" applyNumberFormat="1" applyFont="1" applyFill="1" applyAlignment="1">
      <alignment horizontal="right"/>
    </xf>
    <xf numFmtId="0" fontId="3" fillId="3" borderId="0" xfId="0" applyFont="1" applyFill="1" applyAlignment="1">
      <alignment horizontal="center"/>
    </xf>
    <xf numFmtId="0" fontId="11" fillId="3" borderId="0" xfId="0" applyFont="1" applyFill="1"/>
    <xf numFmtId="0" fontId="4" fillId="3" borderId="0" xfId="0" applyFont="1" applyFill="1"/>
    <xf numFmtId="178" fontId="13" fillId="3" borderId="15" xfId="0" applyNumberFormat="1" applyFont="1" applyFill="1" applyBorder="1" applyAlignment="1">
      <alignment horizontal="center" vertical="center"/>
    </xf>
    <xf numFmtId="178" fontId="13" fillId="3" borderId="17" xfId="0" applyNumberFormat="1" applyFont="1" applyFill="1" applyBorder="1" applyAlignment="1">
      <alignment horizontal="center" vertical="center"/>
    </xf>
    <xf numFmtId="178" fontId="13" fillId="3" borderId="0" xfId="0" applyNumberFormat="1" applyFont="1" applyFill="1" applyAlignment="1">
      <alignment horizontal="center" vertical="center"/>
    </xf>
    <xf numFmtId="178" fontId="22" fillId="3" borderId="8" xfId="0" applyNumberFormat="1" applyFont="1" applyFill="1" applyBorder="1" applyAlignment="1">
      <alignment horizontal="center" vertical="center"/>
    </xf>
    <xf numFmtId="178" fontId="22" fillId="3" borderId="0" xfId="0" applyNumberFormat="1" applyFont="1" applyFill="1" applyAlignment="1">
      <alignment horizontal="center" vertical="center"/>
    </xf>
    <xf numFmtId="179" fontId="13" fillId="3" borderId="0" xfId="0" applyNumberFormat="1" applyFont="1" applyFill="1" applyAlignment="1">
      <alignment horizontal="center" vertical="center"/>
    </xf>
    <xf numFmtId="179" fontId="13" fillId="3" borderId="0" xfId="0" applyNumberFormat="1" applyFont="1" applyFill="1" applyAlignment="1">
      <alignment horizontal="center"/>
    </xf>
    <xf numFmtId="177" fontId="0" fillId="0" borderId="0" xfId="0" applyNumberFormat="1"/>
    <xf numFmtId="179" fontId="20" fillId="0" borderId="5" xfId="0" applyNumberFormat="1" applyFont="1" applyBorder="1" applyAlignment="1">
      <alignment horizontal="center" vertical="center"/>
    </xf>
    <xf numFmtId="180" fontId="4" fillId="3" borderId="0" xfId="0" applyNumberFormat="1" applyFont="1" applyFill="1"/>
    <xf numFmtId="181" fontId="4" fillId="3" borderId="0" xfId="0" applyNumberFormat="1" applyFont="1" applyFill="1"/>
    <xf numFmtId="0" fontId="10" fillId="3" borderId="4" xfId="0" applyFont="1" applyFill="1" applyBorder="1" applyAlignment="1">
      <alignment horizontal="center" vertical="center"/>
    </xf>
    <xf numFmtId="179" fontId="20" fillId="0" borderId="6" xfId="0" applyNumberFormat="1" applyFont="1" applyBorder="1" applyAlignment="1">
      <alignment horizontal="center" vertical="center"/>
    </xf>
    <xf numFmtId="0" fontId="10" fillId="3" borderId="8" xfId="0" applyFont="1" applyFill="1" applyBorder="1" applyAlignment="1">
      <alignment vertical="center" wrapText="1"/>
    </xf>
    <xf numFmtId="0" fontId="18" fillId="3" borderId="8" xfId="0" applyFont="1" applyFill="1" applyBorder="1" applyAlignment="1">
      <alignment horizontal="center" vertical="center" wrapText="1"/>
    </xf>
    <xf numFmtId="0" fontId="18" fillId="3" borderId="9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0" fontId="27" fillId="3" borderId="0" xfId="0" quotePrefix="1" applyFont="1" applyFill="1"/>
    <xf numFmtId="0" fontId="27" fillId="3" borderId="0" xfId="0" applyFont="1" applyFill="1"/>
    <xf numFmtId="0" fontId="8" fillId="3" borderId="4" xfId="0" applyFont="1" applyFill="1" applyBorder="1" applyAlignment="1">
      <alignment horizontal="center" vertical="center"/>
    </xf>
    <xf numFmtId="2" fontId="4" fillId="3" borderId="8" xfId="0" applyNumberFormat="1" applyFont="1" applyFill="1" applyBorder="1" applyAlignment="1">
      <alignment horizontal="center" vertical="center"/>
    </xf>
    <xf numFmtId="181" fontId="4" fillId="3" borderId="8" xfId="0" applyNumberFormat="1" applyFont="1" applyFill="1" applyBorder="1" applyAlignment="1">
      <alignment horizontal="center" vertical="center"/>
    </xf>
    <xf numFmtId="1" fontId="4" fillId="3" borderId="9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81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81" fontId="4" fillId="3" borderId="13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181" fontId="4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79" fontId="6" fillId="3" borderId="7" xfId="0" applyNumberFormat="1" applyFont="1" applyFill="1" applyBorder="1" applyAlignment="1">
      <alignment horizontal="center" vertical="center"/>
    </xf>
    <xf numFmtId="179" fontId="6" fillId="3" borderId="1" xfId="0" applyNumberFormat="1" applyFont="1" applyFill="1" applyBorder="1" applyAlignment="1">
      <alignment horizontal="center" vertical="center"/>
    </xf>
    <xf numFmtId="179" fontId="6" fillId="3" borderId="2" xfId="0" applyNumberFormat="1" applyFont="1" applyFill="1" applyBorder="1" applyAlignment="1">
      <alignment horizontal="center" vertical="center"/>
    </xf>
    <xf numFmtId="179" fontId="6" fillId="3" borderId="0" xfId="0" applyNumberFormat="1" applyFont="1" applyFill="1" applyAlignment="1">
      <alignment horizontal="center" vertical="center"/>
    </xf>
    <xf numFmtId="179" fontId="6" fillId="5" borderId="11" xfId="0" applyNumberFormat="1" applyFont="1" applyFill="1" applyBorder="1" applyAlignment="1">
      <alignment horizontal="center"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7" fillId="3" borderId="20" xfId="0" applyFont="1" applyFill="1" applyBorder="1"/>
    <xf numFmtId="0" fontId="27" fillId="2" borderId="20" xfId="0" applyFont="1" applyFill="1" applyBorder="1"/>
    <xf numFmtId="0" fontId="27" fillId="5" borderId="20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181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81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81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26" fillId="5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26" fillId="5" borderId="0" xfId="0" applyNumberFormat="1" applyFont="1" applyFill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2" fontId="26" fillId="5" borderId="13" xfId="0" applyNumberFormat="1" applyFont="1" applyFill="1" applyBorder="1" applyAlignment="1">
      <alignment horizontal="center" vertical="center"/>
    </xf>
    <xf numFmtId="179" fontId="20" fillId="0" borderId="0" xfId="0" applyNumberFormat="1" applyFont="1" applyAlignment="1">
      <alignment vertical="center"/>
    </xf>
    <xf numFmtId="2" fontId="20" fillId="0" borderId="0" xfId="0" applyNumberFormat="1" applyFont="1"/>
    <xf numFmtId="179" fontId="20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vertical="center"/>
    </xf>
    <xf numFmtId="2" fontId="24" fillId="0" borderId="0" xfId="0" applyNumberFormat="1" applyFont="1"/>
    <xf numFmtId="0" fontId="12" fillId="0" borderId="0" xfId="0" applyFont="1"/>
    <xf numFmtId="0" fontId="19" fillId="0" borderId="0" xfId="0" applyFont="1" applyAlignment="1">
      <alignment horizontal="center"/>
    </xf>
    <xf numFmtId="9" fontId="0" fillId="0" borderId="0" xfId="8" applyFont="1" applyAlignment="1">
      <alignment horizontal="center"/>
    </xf>
    <xf numFmtId="0" fontId="16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0" fillId="0" borderId="10" xfId="0" applyNumberFormat="1" applyFont="1" applyBorder="1" applyAlignment="1">
      <alignment horizontal="center"/>
    </xf>
    <xf numFmtId="2" fontId="20" fillId="0" borderId="14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20" fillId="0" borderId="2" xfId="0" applyNumberFormat="1" applyFont="1" applyBorder="1" applyAlignment="1">
      <alignment horizontal="center"/>
    </xf>
    <xf numFmtId="2" fontId="24" fillId="0" borderId="6" xfId="0" applyNumberFormat="1" applyFont="1" applyBorder="1" applyAlignment="1">
      <alignment horizontal="center" vertical="center"/>
    </xf>
    <xf numFmtId="2" fontId="24" fillId="0" borderId="12" xfId="0" applyNumberFormat="1" applyFont="1" applyBorder="1" applyAlignment="1">
      <alignment horizontal="center"/>
    </xf>
    <xf numFmtId="2" fontId="24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2" fontId="18" fillId="3" borderId="0" xfId="0" applyNumberFormat="1" applyFont="1" applyFill="1" applyAlignment="1">
      <alignment horizontal="center" vertical="center" wrapText="1"/>
    </xf>
    <xf numFmtId="14" fontId="18" fillId="3" borderId="0" xfId="0" applyNumberFormat="1" applyFont="1" applyFill="1" applyAlignment="1">
      <alignment horizontal="center" vertical="center" wrapText="1"/>
    </xf>
    <xf numFmtId="2" fontId="13" fillId="3" borderId="0" xfId="9" applyNumberFormat="1" applyFont="1" applyFill="1" applyAlignment="1">
      <alignment horizontal="right" vertical="center"/>
    </xf>
    <xf numFmtId="2" fontId="14" fillId="3" borderId="0" xfId="9" applyNumberFormat="1" applyFont="1" applyFill="1" applyAlignment="1">
      <alignment horizontal="right" vertical="center"/>
    </xf>
    <xf numFmtId="179" fontId="14" fillId="3" borderId="0" xfId="0" applyNumberFormat="1" applyFont="1" applyFill="1" applyAlignment="1">
      <alignment horizontal="center" vertical="center"/>
    </xf>
    <xf numFmtId="9" fontId="10" fillId="0" borderId="0" xfId="8" applyFont="1" applyAlignment="1">
      <alignment horizontal="center" vertical="center"/>
    </xf>
    <xf numFmtId="2" fontId="14" fillId="3" borderId="0" xfId="0" applyNumberFormat="1" applyFont="1" applyFill="1" applyAlignment="1">
      <alignment horizontal="right" vertical="center"/>
    </xf>
    <xf numFmtId="0" fontId="10" fillId="3" borderId="0" xfId="0" applyFont="1" applyFill="1" applyAlignment="1">
      <alignment horizontal="center" vertical="center"/>
    </xf>
    <xf numFmtId="2" fontId="14" fillId="3" borderId="0" xfId="9" quotePrefix="1" applyNumberFormat="1" applyFont="1" applyFill="1" applyAlignment="1">
      <alignment horizontal="right" vertical="center"/>
    </xf>
    <xf numFmtId="178" fontId="22" fillId="3" borderId="9" xfId="0" applyNumberFormat="1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 wrapText="1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81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2" borderId="1" xfId="5" applyNumberFormat="1" applyFont="1" applyFill="1" applyBorder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180" fontId="4" fillId="3" borderId="1" xfId="0" applyNumberFormat="1" applyFont="1" applyFill="1" applyBorder="1"/>
    <xf numFmtId="2" fontId="4" fillId="3" borderId="1" xfId="0" applyNumberFormat="1" applyFont="1" applyFill="1" applyBorder="1"/>
    <xf numFmtId="181" fontId="4" fillId="3" borderId="1" xfId="0" applyNumberFormat="1" applyFont="1" applyFill="1" applyBorder="1"/>
    <xf numFmtId="1" fontId="4" fillId="3" borderId="1" xfId="0" applyNumberFormat="1" applyFont="1" applyFill="1" applyBorder="1"/>
    <xf numFmtId="1" fontId="4" fillId="3" borderId="2" xfId="0" applyNumberFormat="1" applyFont="1" applyFill="1" applyBorder="1"/>
    <xf numFmtId="1" fontId="4" fillId="3" borderId="10" xfId="0" applyNumberFormat="1" applyFont="1" applyFill="1" applyBorder="1"/>
    <xf numFmtId="0" fontId="4" fillId="5" borderId="1" xfId="0" applyFont="1" applyFill="1" applyBorder="1" applyAlignment="1">
      <alignment horizontal="center"/>
    </xf>
    <xf numFmtId="180" fontId="4" fillId="5" borderId="1" xfId="0" applyNumberFormat="1" applyFont="1" applyFill="1" applyBorder="1"/>
    <xf numFmtId="0" fontId="4" fillId="5" borderId="0" xfId="0" applyFont="1" applyFill="1" applyAlignment="1">
      <alignment horizontal="center"/>
    </xf>
    <xf numFmtId="180" fontId="4" fillId="5" borderId="0" xfId="0" applyNumberFormat="1" applyFont="1" applyFill="1"/>
    <xf numFmtId="0" fontId="4" fillId="5" borderId="13" xfId="0" applyFont="1" applyFill="1" applyBorder="1" applyAlignment="1">
      <alignment horizontal="center"/>
    </xf>
    <xf numFmtId="180" fontId="4" fillId="5" borderId="13" xfId="0" applyNumberFormat="1" applyFont="1" applyFill="1" applyBorder="1"/>
    <xf numFmtId="2" fontId="4" fillId="5" borderId="1" xfId="0" applyNumberFormat="1" applyFont="1" applyFill="1" applyBorder="1"/>
    <xf numFmtId="181" fontId="4" fillId="5" borderId="1" xfId="0" applyNumberFormat="1" applyFont="1" applyFill="1" applyBorder="1"/>
    <xf numFmtId="1" fontId="4" fillId="5" borderId="1" xfId="0" applyNumberFormat="1" applyFont="1" applyFill="1" applyBorder="1"/>
    <xf numFmtId="1" fontId="4" fillId="5" borderId="2" xfId="0" applyNumberFormat="1" applyFont="1" applyFill="1" applyBorder="1"/>
    <xf numFmtId="2" fontId="4" fillId="5" borderId="0" xfId="0" applyNumberFormat="1" applyFont="1" applyFill="1"/>
    <xf numFmtId="181" fontId="4" fillId="5" borderId="0" xfId="0" applyNumberFormat="1" applyFont="1" applyFill="1"/>
    <xf numFmtId="1" fontId="4" fillId="5" borderId="0" xfId="0" applyNumberFormat="1" applyFont="1" applyFill="1"/>
    <xf numFmtId="1" fontId="4" fillId="5" borderId="10" xfId="0" applyNumberFormat="1" applyFont="1" applyFill="1" applyBorder="1"/>
    <xf numFmtId="2" fontId="4" fillId="5" borderId="13" xfId="0" applyNumberFormat="1" applyFont="1" applyFill="1" applyBorder="1"/>
    <xf numFmtId="181" fontId="4" fillId="5" borderId="13" xfId="0" applyNumberFormat="1" applyFont="1" applyFill="1" applyBorder="1"/>
    <xf numFmtId="1" fontId="4" fillId="5" borderId="13" xfId="0" applyNumberFormat="1" applyFont="1" applyFill="1" applyBorder="1"/>
    <xf numFmtId="1" fontId="4" fillId="5" borderId="14" xfId="0" applyNumberFormat="1" applyFont="1" applyFill="1" applyBorder="1"/>
    <xf numFmtId="0" fontId="29" fillId="3" borderId="0" xfId="0" applyFont="1" applyFill="1" applyAlignment="1">
      <alignment horizontal="center" vertical="center"/>
    </xf>
    <xf numFmtId="182" fontId="28" fillId="5" borderId="1" xfId="0" applyNumberFormat="1" applyFont="1" applyFill="1" applyBorder="1" applyAlignment="1">
      <alignment horizontal="center" vertical="center"/>
    </xf>
    <xf numFmtId="182" fontId="28" fillId="5" borderId="0" xfId="0" applyNumberFormat="1" applyFont="1" applyFill="1" applyAlignment="1">
      <alignment horizontal="center" vertical="center"/>
    </xf>
    <xf numFmtId="182" fontId="28" fillId="5" borderId="13" xfId="0" applyNumberFormat="1" applyFont="1" applyFill="1" applyBorder="1" applyAlignment="1">
      <alignment horizontal="center" vertical="center"/>
    </xf>
    <xf numFmtId="183" fontId="4" fillId="3" borderId="13" xfId="0" applyNumberFormat="1" applyFont="1" applyFill="1" applyBorder="1" applyAlignment="1">
      <alignment horizontal="center" vertical="center"/>
    </xf>
    <xf numFmtId="183" fontId="4" fillId="3" borderId="1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1" xfId="0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3" fontId="4" fillId="2" borderId="1" xfId="0" applyNumberFormat="1" applyFont="1" applyFill="1" applyBorder="1" applyAlignment="1">
      <alignment horizontal="center" vertical="center"/>
    </xf>
    <xf numFmtId="3" fontId="4" fillId="3" borderId="0" xfId="0" applyNumberFormat="1" applyFont="1" applyFill="1" applyAlignment="1">
      <alignment horizontal="center" vertical="center"/>
    </xf>
    <xf numFmtId="3" fontId="4" fillId="3" borderId="13" xfId="0" applyNumberFormat="1" applyFont="1" applyFill="1" applyBorder="1" applyAlignment="1">
      <alignment horizontal="center" vertical="center"/>
    </xf>
    <xf numFmtId="3" fontId="4" fillId="2" borderId="2" xfId="0" applyNumberFormat="1" applyFont="1" applyFill="1" applyBorder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2" borderId="14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3" fontId="4" fillId="3" borderId="9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2" fontId="4" fillId="3" borderId="13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18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3" fontId="4" fillId="2" borderId="0" xfId="0" applyNumberFormat="1" applyFont="1" applyFill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2" borderId="13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14" fontId="1" fillId="3" borderId="0" xfId="0" quotePrefix="1" applyNumberFormat="1" applyFont="1" applyFill="1" applyAlignment="1">
      <alignment horizontal="left"/>
    </xf>
    <xf numFmtId="0" fontId="5" fillId="3" borderId="12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3" fontId="4" fillId="3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3" fontId="4" fillId="3" borderId="13" xfId="0" applyNumberFormat="1" applyFont="1" applyFill="1" applyBorder="1" applyAlignment="1">
      <alignment horizontal="right" vertical="center" wrapText="1"/>
    </xf>
    <xf numFmtId="3" fontId="4" fillId="3" borderId="14" xfId="0" applyNumberFormat="1" applyFont="1" applyFill="1" applyBorder="1" applyAlignment="1">
      <alignment horizontal="center" vertical="center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79" fontId="6" fillId="5" borderId="0" xfId="0" applyNumberFormat="1" applyFont="1" applyFill="1" applyAlignment="1">
      <alignment horizontal="center"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0" fontId="1" fillId="3" borderId="0" xfId="0" applyFont="1" applyFill="1"/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2" borderId="13" xfId="0" applyNumberFormat="1" applyFont="1" applyFill="1" applyBorder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/>
    </xf>
    <xf numFmtId="178" fontId="30" fillId="3" borderId="0" xfId="12" applyNumberFormat="1" applyFill="1" applyAlignment="1">
      <alignment horizontal="left" vertical="center"/>
    </xf>
    <xf numFmtId="0" fontId="30" fillId="3" borderId="0" xfId="12" applyFill="1" applyAlignment="1">
      <alignment vertical="center"/>
    </xf>
    <xf numFmtId="0" fontId="31" fillId="3" borderId="0" xfId="0" applyFont="1" applyFill="1" applyAlignment="1">
      <alignment horizontal="left" vertical="center" wrapText="1"/>
    </xf>
    <xf numFmtId="0" fontId="1" fillId="3" borderId="0" xfId="0" quotePrefix="1" applyFont="1" applyFill="1"/>
    <xf numFmtId="0" fontId="1" fillId="3" borderId="0" xfId="0" quotePrefix="1" applyFont="1" applyFill="1" applyAlignment="1">
      <alignment horizontal="center"/>
    </xf>
    <xf numFmtId="2" fontId="1" fillId="3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center"/>
    </xf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1" fillId="3" borderId="16" xfId="0" applyFont="1" applyFill="1" applyBorder="1" applyAlignment="1">
      <alignment horizontal="left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10" fillId="3" borderId="4" xfId="0" applyFont="1" applyFill="1" applyBorder="1" applyAlignment="1">
      <alignment horizontal="center" vertical="center"/>
    </xf>
    <xf numFmtId="0" fontId="0" fillId="0" borderId="8" xfId="0" applyBorder="1"/>
    <xf numFmtId="0" fontId="10" fillId="3" borderId="0" xfId="0" applyFont="1" applyFill="1" applyAlignment="1">
      <alignment horizontal="center" vertical="center"/>
    </xf>
    <xf numFmtId="0" fontId="0" fillId="0" borderId="0" xfId="0"/>
    <xf numFmtId="0" fontId="12" fillId="3" borderId="0" xfId="0" applyFont="1" applyFill="1" applyAlignment="1">
      <alignment horizontal="center" vertical="center"/>
    </xf>
    <xf numFmtId="0" fontId="1" fillId="3" borderId="0" xfId="0" applyFont="1" applyFill="1"/>
    <xf numFmtId="0" fontId="12" fillId="3" borderId="13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/>
    </xf>
    <xf numFmtId="0" fontId="2" fillId="3" borderId="0" xfId="0" applyFont="1" applyFill="1"/>
    <xf numFmtId="0" fontId="0" fillId="3" borderId="0" xfId="0" applyFill="1"/>
    <xf numFmtId="0" fontId="12" fillId="3" borderId="0" xfId="0" applyFont="1" applyFill="1" applyAlignment="1">
      <alignment horizontal="center"/>
    </xf>
    <xf numFmtId="0" fontId="21" fillId="3" borderId="0" xfId="0" applyFont="1" applyFill="1" applyAlignment="1">
      <alignment horizontal="left" vertical="top"/>
    </xf>
    <xf numFmtId="2" fontId="1" fillId="3" borderId="0" xfId="0" applyNumberFormat="1" applyFont="1" applyFill="1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7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7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3" borderId="4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 wrapText="1"/>
    </xf>
    <xf numFmtId="1" fontId="4" fillId="3" borderId="14" xfId="0" applyNumberFormat="1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3" xfId="0" quotePrefix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</cellXfs>
  <cellStyles count="13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解释性文本" xfId="12" builtinId="53"/>
    <cellStyle name="千位分隔" xfId="9" builtinId="3"/>
    <cellStyle name="백분율 2" xfId="10" xr:uid="{00000000-0005-0000-0000-000036000000}"/>
    <cellStyle name="쉼표 2" xfId="11" xr:uid="{00000000-0005-0000-0000-000037000000}"/>
    <cellStyle name="표준 2" xfId="5" xr:uid="{00000000-0005-0000-0000-000005000000}"/>
  </cellStyles>
  <dxfs count="14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Anchor M_CG1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07-4FED-B5E9-C4FDAA2268B7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Proposal M_CG1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D07-4FED-B5E9-C4FDAA2268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'RGB-PSNR'!$L$12:$L$13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07-4FED-B5E9-C4FDAA2268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'RGB-PSNR'!$M$12:$M$13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D07-4FED-B5E9-C4FDAA22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Anchor M_NC1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78-4FF8-B9FD-D158E3A29EC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Proposal M_NC1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78-4FF8-B9FD-D158E3A29E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78-4FF8-B9FD-D158E3A29E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78-4FF8-B9FD-D158E3A2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Anchor M_NC2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Proposal M_NC2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Anchor M_NC3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Proposal M_NC3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Anchor M_NC4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Proposal M_NC4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Anchor M_NC5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BC-4084-8CA4-5B7D5F247596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Proposal M_NC5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7BC-4084-8CA4-5B7D5F2475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BC-4084-8CA4-5B7D5F2475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'RGB-PSNR'!$M$78:$M$79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7BC-4084-8CA4-5B7D5F24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Anchor S_NC1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74-41DD-B0D3-90A0A75B99A6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Proposal S_NC1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374-41DD-B0D3-90A0A75B99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74-41DD-B0D3-90A0A75B99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374-41DD-B0D3-90A0A75B9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Anchor S_NC2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D-4143-8B32-DAAAB280271F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Proposal S_NC2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6CD-4143-8B32-DAAAB28027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CD-4143-8B32-DAAAB28027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6CD-4143-8B32-DAAAB2802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Anchor M_CG1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9E-4CB6-8EDD-36F910688575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Proposal M_CG1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A9E-4CB6-8EDD-36F91068857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'YUV-PSNR'!$L$12:$L$13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9E-4CB6-8EDD-36F91068857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'YUV-PSNR'!$M$12:$M$13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A9E-4CB6-8EDD-36F910688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Anchor M_NC1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0-486F-A1DC-DCCAFBBA9A3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Proposal M_NC1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0-486F-A1DC-DCCAFBBA9A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10-486F-A1DC-DCCAFBBA9A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10-486F-A1DC-DCCAFBBA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Anchor M_NC2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Proposal M_NC2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Anchor M_NC3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89-44E7-9E1F-5A93EFB3959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Proposal M_NC3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89-44E7-9E1F-5A93EFB395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189-44E7-9E1F-5A93EFB395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89-44E7-9E1F-5A93EFB39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Anchor M_NC4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Proposal M_NC4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Anchor M_NC5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F-4741-8A5A-1E74CE232298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Proposal M_NC5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0DF-4741-8A5A-1E74CE2322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F-4741-8A5A-1E74CE2322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0DF-4741-8A5A-1E74CE232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Anchor S_NC1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C-49D5-AD87-EE17370E10D5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Proposal S_NC1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1AC-49D5-AD87-EE17370E10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AC-49D5-AD87-EE17370E10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1AC-49D5-AD87-EE17370E1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Anchor S_NC2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Proposal S_NC2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Anchor M_CG1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59-45E2-B856-F2C79702C5E5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Proposal M_CG1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C59-45E2-B856-F2C79702C5E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'YUV-SSIM'!$L$12:$L$13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59-45E2-B856-F2C79702C5E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'YUV-SSIM'!$M$12:$M$13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C59-45E2-B856-F2C79702C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Anchor M_NC1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Proposal M_NC1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Anchor M_NC2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Proposal M_NC2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Anchor M_NC3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Proposal M_NC3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Anchor M_NC4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Proposal M_NC4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Anchor M_NC5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Proposal M_NC5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Anchor S_NC1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39-4C02-9D1C-3ED99529ECCF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Proposal S_NC1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639-4C02-9D1C-3ED99529ECC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9-4C02-9D1C-3ED99529ECC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639-4C02-9D1C-3ED99529E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Anchor S_NC2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45-46A8-982F-60D09340904C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Proposal S_NC2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845-46A8-982F-60D09340904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45-46A8-982F-60D09340904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45-46A8-982F-60D09340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Anchor M_CG1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96-4422-8BF4-A323A8698A7F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Proposal M_CG1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796-4422-8BF4-A323A8698A7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'YUV-IVSSIM'!$L$12:$L$13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96-4422-8BF4-A323A8698A7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'YUV-IVSSIM'!$J$12:$J$13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'YUV-IVSSIM'!$M$12:$M$13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796-4422-8BF4-A323A869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27-43DE-B224-F6DF8A24DE70}"/>
            </c:ext>
          </c:extLst>
        </c:ser>
        <c:ser>
          <c:idx val="1"/>
          <c:order val="1"/>
          <c:tx>
            <c:strRef>
              <c:f>'YUV-IVSSIM'!$L$17</c:f>
              <c:strCache>
                <c:ptCount val="1"/>
                <c:pt idx="0">
                  <c:v>Anchor M_CG2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27-43DE-B224-F6DF8A24DE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27-43DE-B224-F6DF8A24DE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27-43DE-B224-F6DF8A24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Anchor M_NC1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9-4F1D-B8D7-A5088D705FC7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Proposal M_NC1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9-4F1D-B8D7-A5088D705F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9-4F1D-B8D7-A5088D705F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9-4F1D-B8D7-A5088D70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Anchor M_NC2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C-4EE3-9A48-E3A9A629409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Proposal M_NC2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C-4EE3-9A48-E3A9A62940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FC-4EE3-9A48-E3A9A62940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FC-4EE3-9A48-E3A9A629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Anchor M_NC3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8-47D9-9A13-C08AB6567DD0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Proposal M_NC3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B8-47D9-9A13-C08AB6567D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6B8-47D9-9A13-C08AB6567D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B8-47D9-9A13-C08AB656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Anchor M_NC4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AF-4D83-B905-F2090C1E48A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Proposal M_NC4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AAF-4D83-B905-F2090C1E48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AF-4D83-B905-F2090C1E48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AAF-4D83-B905-F2090C1E4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Anchor M_NC5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22-4AE2-8A05-E67EAFBB960E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Proposal M_NC5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22-4AE2-8A05-E67EAFBB960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22-4AE2-8A05-E67EAFBB960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22-4AE2-8A05-E67EAFBB9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Anchor S_NC1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4-4EFE-B987-E2CDB5F522E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Proposal S_NC1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04-4EFE-B987-E2CDB5F522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04-4EFE-B987-E2CDB5F522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E04-4EFE-B987-E2CDB5F52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'YUV-IVSSIM'!$L$94</c:f>
              <c:strCache>
                <c:ptCount val="1"/>
                <c:pt idx="0">
                  <c:v>Anchor S_NC2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A3-4FD7-A8EE-E44692F0CCCF}"/>
            </c:ext>
          </c:extLst>
        </c:ser>
        <c:ser>
          <c:idx val="1"/>
          <c:order val="1"/>
          <c:tx>
            <c:strRef>
              <c:f>'YUV-IVSSIM'!$M$94</c:f>
              <c:strCache>
                <c:ptCount val="1"/>
                <c:pt idx="0">
                  <c:v>Proposal S_NC2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A3-4FD7-A8EE-E44692F0CCC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A3-4FD7-A8EE-E44692F0CCC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A3-4FD7-A8EE-E44692F0C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394607</xdr:colOff>
      <xdr:row>3</xdr:row>
      <xdr:rowOff>13607</xdr:rowOff>
    </xdr:from>
    <xdr:to>
      <xdr:col>17</xdr:col>
      <xdr:colOff>7266213</xdr:colOff>
      <xdr:row>12</xdr:row>
      <xdr:rowOff>204106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8917E2-739D-420E-B492-FD379B49E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CD863356-FFE6-4B7C-B501-5025B65E0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E859FA9F-6993-4EBD-A0D9-A248DBE83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E913127E-0FFD-4742-9A6E-496CD736A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E84FF54F-7757-4BDB-8330-52B7CFB80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394607</xdr:colOff>
      <xdr:row>3</xdr:row>
      <xdr:rowOff>13607</xdr:rowOff>
    </xdr:from>
    <xdr:to>
      <xdr:col>17</xdr:col>
      <xdr:colOff>7266213</xdr:colOff>
      <xdr:row>12</xdr:row>
      <xdr:rowOff>204106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DFF36E-BF3E-4E0A-9DBB-982702A57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EA6A232-589B-403B-887E-E8E1D94F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11D5DD6-A1AD-466C-8D8A-DEF654D55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CCE6D9F6-128A-4AA1-B668-894D1D761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291F7D4-DE60-47D2-AAC5-C75E8A514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394607</xdr:colOff>
      <xdr:row>3</xdr:row>
      <xdr:rowOff>13607</xdr:rowOff>
    </xdr:from>
    <xdr:to>
      <xdr:col>17</xdr:col>
      <xdr:colOff>7266213</xdr:colOff>
      <xdr:row>12</xdr:row>
      <xdr:rowOff>204106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DC5803-FC93-493F-8EC6-049228CA64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89B6B91-23F3-4D39-96F2-07B4EC1D0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C1790922-43BF-4983-AEE7-DE5C76094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394607</xdr:colOff>
      <xdr:row>3</xdr:row>
      <xdr:rowOff>13607</xdr:rowOff>
    </xdr:from>
    <xdr:to>
      <xdr:col>17</xdr:col>
      <xdr:colOff>7266213</xdr:colOff>
      <xdr:row>12</xdr:row>
      <xdr:rowOff>204106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D39DCB-1816-46C5-8DF7-520E9B960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6F15790-42CE-4DD9-9662-23B73CDF0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8BD8D3-5B4E-4561-B3A0-16526A045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10E8302A-0EA1-4643-A3D1-9A4AC5FAF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3FD01AA-AA44-49D0-85E7-06AA00A4B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A4C397A-4279-421F-BEF0-D02E8BB8B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2993076-2132-4134-93E2-A7AE5B635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96531DE-91CD-4ADC-BA8A-A1503A0E0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DD7345-47A3-4386-A6C1-907281767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547"/>
  <sheetViews>
    <sheetView zoomScaleNormal="100" workbookViewId="0">
      <selection activeCell="J16" sqref="J16"/>
    </sheetView>
  </sheetViews>
  <sheetFormatPr defaultColWidth="8.69921875" defaultRowHeight="14.4" x14ac:dyDescent="0.25"/>
  <cols>
    <col min="1" max="1" width="1.69921875" style="20" bestFit="1" customWidth="1"/>
    <col min="2" max="2" width="13.69921875" style="20" bestFit="1" customWidth="1"/>
    <col min="3" max="3" width="10.5" style="20" customWidth="1"/>
    <col min="4" max="5" width="9.69921875" style="20" bestFit="1" customWidth="1"/>
    <col min="6" max="6" width="8.19921875" style="20" customWidth="1"/>
    <col min="7" max="7" width="9.69921875" style="20" customWidth="1"/>
    <col min="8" max="9" width="7.19921875" style="20" customWidth="1"/>
    <col min="10" max="10" width="18" style="20" customWidth="1"/>
    <col min="11" max="13" width="7.19921875" style="20" customWidth="1"/>
    <col min="14" max="14" width="7.19921875" style="20" bestFit="1" customWidth="1"/>
    <col min="15" max="15" width="1.69921875" style="22" bestFit="1" customWidth="1"/>
    <col min="16" max="17" width="6.5" style="20" customWidth="1"/>
    <col min="18" max="18" width="7.69921875" style="20" bestFit="1" customWidth="1"/>
    <col min="19" max="19" width="1.69921875" style="22" bestFit="1" customWidth="1"/>
    <col min="20" max="21" width="6.5" style="20" customWidth="1"/>
    <col min="22" max="22" width="7.69921875" style="20" bestFit="1" customWidth="1"/>
    <col min="23" max="23" width="1.69921875" style="20" customWidth="1"/>
    <col min="24" max="24" width="6.5" style="20" bestFit="1" customWidth="1"/>
    <col min="25" max="25" width="5.19921875" style="21" bestFit="1" customWidth="1"/>
    <col min="26" max="26" width="4.69921875" style="20" bestFit="1" customWidth="1"/>
    <col min="27" max="36" width="8.69921875" style="20" customWidth="1"/>
    <col min="37" max="16384" width="8.69921875" style="20"/>
  </cols>
  <sheetData>
    <row r="1" spans="1:26" x14ac:dyDescent="0.25">
      <c r="A1" s="279" t="s">
        <v>0</v>
      </c>
      <c r="B1" s="269"/>
      <c r="C1" s="269"/>
      <c r="D1" s="279" t="s">
        <v>1</v>
      </c>
      <c r="E1" s="279" t="s">
        <v>1</v>
      </c>
      <c r="F1" s="279"/>
      <c r="G1" s="279"/>
      <c r="H1" s="279"/>
      <c r="I1" s="279"/>
      <c r="J1" s="279"/>
      <c r="K1" s="279" t="s">
        <v>0</v>
      </c>
      <c r="L1" s="269"/>
      <c r="M1" s="269"/>
      <c r="N1" s="269"/>
      <c r="O1" s="280"/>
      <c r="P1" s="269"/>
      <c r="Q1" s="269"/>
      <c r="R1" s="269"/>
      <c r="S1" s="280"/>
      <c r="T1" s="269"/>
      <c r="U1" s="269"/>
      <c r="V1" s="269"/>
      <c r="W1" s="269"/>
      <c r="X1" s="279" t="s">
        <v>1</v>
      </c>
      <c r="Y1" s="281"/>
      <c r="Z1" s="269"/>
    </row>
    <row r="2" spans="1:26" x14ac:dyDescent="0.25">
      <c r="A2" s="269"/>
      <c r="B2" s="8"/>
      <c r="C2" s="247"/>
      <c r="D2" s="306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</row>
    <row r="3" spans="1:26" x14ac:dyDescent="0.25">
      <c r="A3" s="269"/>
      <c r="B3" s="8" t="s">
        <v>2</v>
      </c>
      <c r="C3" s="247" t="s">
        <v>3</v>
      </c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69"/>
      <c r="T3" s="269"/>
      <c r="U3" s="269"/>
      <c r="V3" s="269"/>
      <c r="W3" s="269"/>
      <c r="X3" s="269"/>
      <c r="Y3" s="269"/>
      <c r="Z3" s="269"/>
    </row>
    <row r="4" spans="1:26" x14ac:dyDescent="0.25">
      <c r="A4" s="269"/>
      <c r="B4" s="8" t="s">
        <v>4</v>
      </c>
      <c r="C4" s="247" t="s">
        <v>5</v>
      </c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  <c r="V4" s="269"/>
      <c r="W4" s="269"/>
      <c r="X4" s="269"/>
      <c r="Y4" s="269"/>
      <c r="Z4" s="269"/>
    </row>
    <row r="5" spans="1:26" x14ac:dyDescent="0.25">
      <c r="A5" s="269"/>
      <c r="B5" s="8"/>
      <c r="C5" s="247"/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82"/>
      <c r="P5" s="269"/>
      <c r="Q5" s="269"/>
      <c r="R5" s="269"/>
      <c r="S5" s="282"/>
      <c r="T5" s="269"/>
      <c r="U5" s="269"/>
      <c r="V5" s="269"/>
      <c r="W5" s="269"/>
      <c r="X5" s="310"/>
      <c r="Y5" s="311"/>
      <c r="Z5" s="303"/>
    </row>
    <row r="6" spans="1:26" x14ac:dyDescent="0.25">
      <c r="A6" s="269"/>
      <c r="B6" s="2"/>
      <c r="C6" s="2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82"/>
      <c r="P6" s="269"/>
      <c r="Q6" s="269"/>
      <c r="R6" s="269"/>
      <c r="S6" s="282"/>
      <c r="T6" s="269"/>
      <c r="U6" s="269"/>
      <c r="V6" s="269"/>
      <c r="W6" s="269"/>
      <c r="X6" s="269"/>
      <c r="Y6" s="269"/>
      <c r="Z6" s="269"/>
    </row>
    <row r="7" spans="1:26" s="23" customFormat="1" ht="16.5" customHeight="1" thickBot="1" x14ac:dyDescent="0.3">
      <c r="A7" s="283"/>
      <c r="B7" s="304" t="s">
        <v>6</v>
      </c>
      <c r="C7" s="304"/>
      <c r="D7" s="304"/>
      <c r="E7" s="304"/>
      <c r="F7" s="304"/>
      <c r="G7" s="304"/>
      <c r="H7" s="304"/>
      <c r="I7" s="304"/>
      <c r="J7"/>
      <c r="K7" s="283"/>
      <c r="L7" s="305"/>
      <c r="M7" s="305"/>
      <c r="N7" s="305"/>
      <c r="O7" s="284"/>
      <c r="P7" s="302"/>
      <c r="Q7" s="307"/>
      <c r="R7" s="307"/>
      <c r="S7" s="284"/>
      <c r="T7" s="302"/>
      <c r="U7" s="307"/>
      <c r="V7" s="307"/>
      <c r="W7" s="283"/>
      <c r="X7" s="302"/>
      <c r="Y7" s="307"/>
      <c r="Z7" s="307"/>
    </row>
    <row r="8" spans="1:26" ht="30" customHeight="1" thickBot="1" x14ac:dyDescent="0.3">
      <c r="A8" s="269"/>
      <c r="B8" s="36" t="s">
        <v>7</v>
      </c>
      <c r="C8" s="38"/>
      <c r="D8" s="39" t="s">
        <v>8</v>
      </c>
      <c r="E8" s="39" t="s">
        <v>9</v>
      </c>
      <c r="F8" s="39" t="s">
        <v>10</v>
      </c>
      <c r="G8" s="39" t="s">
        <v>11</v>
      </c>
      <c r="H8" s="39" t="s">
        <v>12</v>
      </c>
      <c r="I8" s="40"/>
      <c r="J8" s="278" t="s">
        <v>13</v>
      </c>
      <c r="K8" s="18"/>
      <c r="L8" s="305"/>
      <c r="M8" s="305"/>
      <c r="N8" s="305"/>
      <c r="O8" s="19"/>
      <c r="P8" s="138"/>
      <c r="Q8" s="139"/>
      <c r="R8" s="138"/>
      <c r="S8" s="19"/>
      <c r="T8" s="138"/>
      <c r="U8" s="139"/>
      <c r="V8" s="138"/>
      <c r="W8" s="269"/>
      <c r="X8" s="138"/>
      <c r="Y8" s="139"/>
      <c r="Z8" s="138"/>
    </row>
    <row r="9" spans="1:26" ht="15.75" customHeight="1" x14ac:dyDescent="0.25">
      <c r="A9" s="269"/>
      <c r="B9" s="285" t="e">
        <f t="shared" ref="B9:B15" ca="1" si="0">INDIRECT(C9&amp;"!B2")</f>
        <v>#REF!</v>
      </c>
      <c r="C9" s="286" t="s">
        <v>14</v>
      </c>
      <c r="D9" s="25" t="e">
        <f t="shared" ref="D9:D15" ca="1" si="1">INDIRECT($C9&amp;"!AM$5")</f>
        <v>#REF!</v>
      </c>
      <c r="E9" s="25" t="e">
        <f t="shared" ref="E9:E15" ca="1" si="2">INDIRECT($C9&amp;"!AN$5")</f>
        <v>#REF!</v>
      </c>
      <c r="F9" s="25" t="e">
        <f t="shared" ref="F9:F15" ca="1" si="3">INDIRECT($C9&amp;"!AO$5")</f>
        <v>#REF!</v>
      </c>
      <c r="G9" s="25" t="e">
        <f t="shared" ref="G9:G15" ca="1" si="4">INDIRECT($C9&amp;"!AP$5")</f>
        <v>#REF!</v>
      </c>
      <c r="H9" s="25" t="e">
        <f t="shared" ref="H9:H15" ca="1" si="5">INDIRECT($C9&amp;"!AQ$5")</f>
        <v>#REF!</v>
      </c>
      <c r="I9" s="26"/>
      <c r="J9" s="276" t="s">
        <v>15</v>
      </c>
      <c r="K9" s="27"/>
      <c r="L9" s="305"/>
      <c r="M9" s="305"/>
      <c r="N9" s="305"/>
      <c r="O9" s="5"/>
      <c r="P9" s="140"/>
      <c r="Q9" s="140"/>
      <c r="R9" s="30"/>
      <c r="S9" s="5"/>
      <c r="T9" s="140"/>
      <c r="U9" s="140"/>
      <c r="V9" s="30"/>
      <c r="W9" s="269"/>
      <c r="X9" s="140"/>
      <c r="Y9" s="140"/>
      <c r="Z9" s="30"/>
    </row>
    <row r="10" spans="1:26" ht="15.75" customHeight="1" x14ac:dyDescent="0.25">
      <c r="A10" s="269"/>
      <c r="B10" s="285" t="e">
        <f t="shared" ca="1" si="0"/>
        <v>#REF!</v>
      </c>
      <c r="C10" s="287" t="s">
        <v>16</v>
      </c>
      <c r="D10" s="25" t="e">
        <f t="shared" ca="1" si="1"/>
        <v>#REF!</v>
      </c>
      <c r="E10" s="25" t="e">
        <f t="shared" ca="1" si="2"/>
        <v>#REF!</v>
      </c>
      <c r="F10" s="25" t="e">
        <f t="shared" ca="1" si="3"/>
        <v>#REF!</v>
      </c>
      <c r="G10" s="25" t="e">
        <f t="shared" ca="1" si="4"/>
        <v>#REF!</v>
      </c>
      <c r="H10" s="25" t="e">
        <f t="shared" ca="1" si="5"/>
        <v>#REF!</v>
      </c>
      <c r="I10" s="26"/>
      <c r="J10" s="276" t="s">
        <v>17</v>
      </c>
      <c r="K10" s="27"/>
      <c r="L10" s="305"/>
      <c r="M10" s="305"/>
      <c r="N10" s="305"/>
      <c r="O10" s="5"/>
      <c r="P10" s="140"/>
      <c r="Q10" s="140"/>
      <c r="R10" s="30"/>
      <c r="S10" s="5"/>
      <c r="T10" s="140"/>
      <c r="U10" s="140"/>
      <c r="V10" s="30"/>
      <c r="W10" s="269"/>
      <c r="X10" s="140"/>
      <c r="Y10" s="140"/>
      <c r="Z10" s="30"/>
    </row>
    <row r="11" spans="1:26" ht="15.75" customHeight="1" x14ac:dyDescent="0.25">
      <c r="A11" s="269"/>
      <c r="B11" s="285" t="e">
        <f t="shared" ca="1" si="0"/>
        <v>#REF!</v>
      </c>
      <c r="C11" s="287" t="s">
        <v>18</v>
      </c>
      <c r="D11" s="25" t="e">
        <f t="shared" ca="1" si="1"/>
        <v>#REF!</v>
      </c>
      <c r="E11" s="25" t="e">
        <f t="shared" ca="1" si="2"/>
        <v>#REF!</v>
      </c>
      <c r="F11" s="25" t="e">
        <f t="shared" ca="1" si="3"/>
        <v>#REF!</v>
      </c>
      <c r="G11" s="25" t="e">
        <f t="shared" ca="1" si="4"/>
        <v>#REF!</v>
      </c>
      <c r="H11" s="25" t="e">
        <f t="shared" ca="1" si="5"/>
        <v>#REF!</v>
      </c>
      <c r="I11" s="26"/>
      <c r="J11" s="276" t="s">
        <v>19</v>
      </c>
      <c r="K11" s="27"/>
      <c r="L11" s="305"/>
      <c r="M11" s="305"/>
      <c r="N11" s="305"/>
      <c r="O11" s="5"/>
      <c r="P11" s="140"/>
      <c r="Q11" s="140"/>
      <c r="R11" s="30"/>
      <c r="S11" s="5"/>
      <c r="T11" s="140"/>
      <c r="U11" s="140"/>
      <c r="V11" s="30"/>
      <c r="W11" s="269"/>
      <c r="X11" s="140"/>
      <c r="Y11" s="140"/>
      <c r="Z11" s="30"/>
    </row>
    <row r="12" spans="1:26" ht="15.75" customHeight="1" x14ac:dyDescent="0.25">
      <c r="A12" s="269"/>
      <c r="B12" s="285" t="str">
        <f t="shared" ca="1" si="0"/>
        <v>Cinema</v>
      </c>
      <c r="C12" s="288" t="s">
        <v>20</v>
      </c>
      <c r="D12" s="25" t="e">
        <f t="shared" ca="1" si="1"/>
        <v>#VALUE!</v>
      </c>
      <c r="E12" s="25" t="e">
        <f t="shared" ca="1" si="2"/>
        <v>#VALUE!</v>
      </c>
      <c r="F12" s="25" t="e">
        <f t="shared" ca="1" si="3"/>
        <v>#VALUE!</v>
      </c>
      <c r="G12" s="25" t="e">
        <f t="shared" ca="1" si="4"/>
        <v>#VALUE!</v>
      </c>
      <c r="H12" s="25" t="e">
        <f t="shared" ca="1" si="5"/>
        <v>#VALUE!</v>
      </c>
      <c r="I12" s="26"/>
      <c r="J12" s="276" t="s">
        <v>23</v>
      </c>
      <c r="K12" s="27"/>
      <c r="L12" s="305"/>
      <c r="M12" s="305"/>
      <c r="N12" s="305"/>
      <c r="O12" s="5"/>
      <c r="P12" s="140"/>
      <c r="Q12" s="140"/>
      <c r="R12" s="30"/>
      <c r="S12" s="5"/>
      <c r="T12" s="140"/>
      <c r="U12" s="140"/>
      <c r="V12" s="30"/>
      <c r="W12" s="269"/>
      <c r="X12" s="140"/>
      <c r="Y12" s="140"/>
      <c r="Z12" s="30"/>
    </row>
    <row r="13" spans="1:26" ht="15.75" customHeight="1" x14ac:dyDescent="0.25">
      <c r="A13" s="269"/>
      <c r="B13" s="285" t="e">
        <f t="shared" ca="1" si="0"/>
        <v>#REF!</v>
      </c>
      <c r="C13" s="288" t="s">
        <v>22</v>
      </c>
      <c r="D13" s="25" t="e">
        <f t="shared" ca="1" si="1"/>
        <v>#REF!</v>
      </c>
      <c r="E13" s="25" t="e">
        <f t="shared" ca="1" si="2"/>
        <v>#REF!</v>
      </c>
      <c r="F13" s="25" t="e">
        <f t="shared" ca="1" si="3"/>
        <v>#REF!</v>
      </c>
      <c r="G13" s="25" t="e">
        <f t="shared" ca="1" si="4"/>
        <v>#REF!</v>
      </c>
      <c r="H13" s="25" t="e">
        <f t="shared" ca="1" si="5"/>
        <v>#REF!</v>
      </c>
      <c r="I13" s="26"/>
      <c r="J13" s="276" t="s">
        <v>215</v>
      </c>
      <c r="K13" s="27"/>
      <c r="L13" s="305"/>
      <c r="M13" s="305"/>
      <c r="N13" s="305"/>
      <c r="O13" s="5"/>
      <c r="P13" s="140"/>
      <c r="Q13" s="140"/>
      <c r="R13" s="30"/>
      <c r="S13" s="5"/>
      <c r="T13" s="140"/>
      <c r="U13" s="140"/>
      <c r="V13" s="30"/>
      <c r="W13" s="269"/>
      <c r="X13" s="140"/>
      <c r="Y13" s="140"/>
      <c r="Z13" s="30"/>
    </row>
    <row r="14" spans="1:26" ht="15.75" customHeight="1" x14ac:dyDescent="0.25">
      <c r="A14" s="269"/>
      <c r="B14" s="285" t="e">
        <f t="shared" ca="1" si="0"/>
        <v>#REF!</v>
      </c>
      <c r="C14" s="287" t="s">
        <v>24</v>
      </c>
      <c r="D14" s="25" t="e">
        <f t="shared" ca="1" si="1"/>
        <v>#REF!</v>
      </c>
      <c r="E14" s="25" t="e">
        <f t="shared" ca="1" si="2"/>
        <v>#REF!</v>
      </c>
      <c r="F14" s="25" t="e">
        <f t="shared" ca="1" si="3"/>
        <v>#REF!</v>
      </c>
      <c r="G14" s="25" t="e">
        <f t="shared" ca="1" si="4"/>
        <v>#REF!</v>
      </c>
      <c r="H14" s="25" t="e">
        <f t="shared" ca="1" si="5"/>
        <v>#REF!</v>
      </c>
      <c r="I14" s="26"/>
      <c r="J14" s="276" t="s">
        <v>216</v>
      </c>
      <c r="K14" s="27"/>
      <c r="L14" s="305"/>
      <c r="M14" s="305"/>
      <c r="N14" s="305"/>
      <c r="O14" s="5"/>
      <c r="P14" s="140"/>
      <c r="Q14" s="140"/>
      <c r="R14" s="30"/>
      <c r="S14" s="5"/>
      <c r="T14" s="140"/>
      <c r="U14" s="140"/>
      <c r="V14" s="30"/>
      <c r="W14" s="269"/>
      <c r="X14" s="140"/>
      <c r="Y14" s="140"/>
      <c r="Z14" s="30"/>
    </row>
    <row r="15" spans="1:26" ht="15.75" customHeight="1" thickBot="1" x14ac:dyDescent="0.3">
      <c r="A15" s="269"/>
      <c r="B15" s="285" t="e">
        <f t="shared" ca="1" si="0"/>
        <v>#REF!</v>
      </c>
      <c r="C15" s="287" t="s">
        <v>25</v>
      </c>
      <c r="D15" s="25" t="e">
        <f t="shared" ca="1" si="1"/>
        <v>#REF!</v>
      </c>
      <c r="E15" s="25" t="e">
        <f t="shared" ca="1" si="2"/>
        <v>#REF!</v>
      </c>
      <c r="F15" s="25" t="e">
        <f t="shared" ca="1" si="3"/>
        <v>#REF!</v>
      </c>
      <c r="G15" s="25" t="e">
        <f t="shared" ca="1" si="4"/>
        <v>#REF!</v>
      </c>
      <c r="H15" s="25" t="e">
        <f t="shared" ca="1" si="5"/>
        <v>#REF!</v>
      </c>
      <c r="I15" s="26"/>
      <c r="J15" s="276" t="s">
        <v>21</v>
      </c>
      <c r="K15" s="27"/>
      <c r="L15" s="305"/>
      <c r="M15" s="305"/>
      <c r="N15" s="305"/>
      <c r="O15" s="5"/>
      <c r="P15" s="140"/>
      <c r="Q15" s="140"/>
      <c r="R15" s="30"/>
      <c r="S15" s="5"/>
      <c r="T15" s="140"/>
      <c r="U15" s="140"/>
      <c r="V15" s="30"/>
      <c r="W15" s="269"/>
      <c r="X15" s="140"/>
      <c r="Y15" s="140"/>
      <c r="Z15" s="30"/>
    </row>
    <row r="16" spans="1:26" ht="15.75" customHeight="1" thickBot="1" x14ac:dyDescent="0.3">
      <c r="A16" s="269"/>
      <c r="B16" s="298" t="s">
        <v>26</v>
      </c>
      <c r="C16" s="299"/>
      <c r="D16" s="28" t="e">
        <f ca="1">IF(COUNTIF(D9:D15,"=0")&gt;0,0,AVERAGE(D9:D15))</f>
        <v>#REF!</v>
      </c>
      <c r="E16" s="28" t="e">
        <f ca="1">IF(COUNTIF(E9:E15,"=0")&gt;0,0,AVERAGE(E9:E15))</f>
        <v>#REF!</v>
      </c>
      <c r="F16" s="28" t="e">
        <f ca="1">IF(COUNTIF(F9:F15,"=0")&gt;0,0,AVERAGE(F9:F15))</f>
        <v>#REF!</v>
      </c>
      <c r="G16" s="28" t="e">
        <f ca="1">IF(COUNTIF(G9:G15,"=0")&gt;0,0,AVERAGE(G9:G15))</f>
        <v>#REF!</v>
      </c>
      <c r="H16" s="28" t="e">
        <f ca="1">IF(COUNTIF(H9:H15,"=0")&gt;0,0,AVERAGE(H9:H15))</f>
        <v>#REF!</v>
      </c>
      <c r="I16" s="147"/>
      <c r="J16" s="27"/>
      <c r="K16" s="27"/>
      <c r="L16" s="305"/>
      <c r="M16" s="305"/>
      <c r="N16" s="305"/>
      <c r="O16" s="5"/>
      <c r="P16" s="140"/>
      <c r="Q16" s="140"/>
      <c r="R16" s="30"/>
      <c r="S16" s="5"/>
      <c r="T16" s="140"/>
      <c r="U16" s="140"/>
      <c r="V16" s="30"/>
      <c r="W16" s="269"/>
      <c r="X16" s="140"/>
      <c r="Y16" s="140"/>
      <c r="Z16" s="30"/>
    </row>
    <row r="17" spans="2:26" ht="15.75" customHeight="1" x14ac:dyDescent="0.25">
      <c r="B17" s="289"/>
      <c r="C17" s="290"/>
      <c r="D17" s="27"/>
      <c r="E17" s="27"/>
      <c r="F17" s="27"/>
      <c r="G17" s="27"/>
      <c r="H17" s="27"/>
      <c r="I17" s="27"/>
      <c r="J17" s="27"/>
      <c r="K17" s="27"/>
      <c r="L17" s="305"/>
      <c r="M17" s="305"/>
      <c r="N17" s="305"/>
      <c r="O17" s="5"/>
      <c r="P17" s="140"/>
      <c r="Q17" s="140"/>
      <c r="R17" s="30"/>
      <c r="S17" s="5"/>
      <c r="T17" s="140"/>
      <c r="U17" s="140"/>
      <c r="V17" s="30"/>
      <c r="W17" s="269"/>
      <c r="X17" s="140"/>
      <c r="Y17" s="140"/>
      <c r="Z17" s="30"/>
    </row>
    <row r="18" spans="2:26" ht="15.75" customHeight="1" x14ac:dyDescent="0.25">
      <c r="B18" s="289"/>
      <c r="C18" s="290"/>
      <c r="D18" s="27"/>
      <c r="E18" s="27"/>
      <c r="F18" s="27"/>
      <c r="G18" s="27"/>
      <c r="H18" s="27"/>
      <c r="I18" s="27"/>
      <c r="J18" s="27"/>
      <c r="K18" s="27"/>
      <c r="L18" s="305"/>
      <c r="M18" s="305"/>
      <c r="N18" s="305"/>
      <c r="O18" s="5"/>
      <c r="P18" s="140"/>
      <c r="Q18" s="140"/>
      <c r="R18" s="30"/>
      <c r="S18" s="5"/>
      <c r="T18" s="140"/>
      <c r="U18" s="140"/>
      <c r="V18" s="30"/>
      <c r="W18" s="269"/>
      <c r="X18" s="140"/>
      <c r="Y18" s="140"/>
      <c r="Z18" s="30"/>
    </row>
    <row r="19" spans="2:26" ht="15.75" customHeight="1" thickBot="1" x14ac:dyDescent="0.3">
      <c r="B19" s="304" t="s">
        <v>27</v>
      </c>
      <c r="C19" s="304"/>
      <c r="D19" s="304"/>
      <c r="E19" s="304"/>
      <c r="F19" s="304"/>
      <c r="G19" s="304"/>
      <c r="H19" s="304"/>
      <c r="I19" s="304"/>
      <c r="J19" s="29"/>
      <c r="K19" s="29"/>
      <c r="L19" s="305"/>
      <c r="M19" s="305"/>
      <c r="N19" s="305"/>
      <c r="O19" s="282"/>
      <c r="P19" s="141"/>
      <c r="Q19" s="141"/>
      <c r="R19" s="142"/>
      <c r="S19" s="282"/>
      <c r="T19" s="141"/>
      <c r="U19" s="141"/>
      <c r="V19" s="142"/>
      <c r="W19" s="269"/>
      <c r="X19" s="141"/>
      <c r="Y19" s="141"/>
      <c r="Z19" s="142"/>
    </row>
    <row r="20" spans="2:26" ht="30" customHeight="1" thickBot="1" x14ac:dyDescent="0.3">
      <c r="B20" s="36" t="s">
        <v>7</v>
      </c>
      <c r="C20" s="38"/>
      <c r="D20" s="39" t="s">
        <v>8</v>
      </c>
      <c r="E20" s="39" t="s">
        <v>28</v>
      </c>
      <c r="F20" s="39" t="s">
        <v>29</v>
      </c>
      <c r="G20" s="39" t="s">
        <v>11</v>
      </c>
      <c r="H20" s="39"/>
      <c r="I20" s="40"/>
      <c r="J20" s="149"/>
      <c r="K20" s="30"/>
      <c r="L20" s="3"/>
      <c r="M20" s="9"/>
      <c r="N20" s="4"/>
      <c r="O20" s="5"/>
      <c r="P20" s="146"/>
      <c r="Q20" s="141"/>
      <c r="R20" s="4"/>
      <c r="S20" s="5"/>
      <c r="T20" s="146"/>
      <c r="U20" s="141"/>
      <c r="V20" s="4"/>
      <c r="W20" s="269"/>
      <c r="X20" s="146"/>
      <c r="Y20" s="141"/>
      <c r="Z20" s="4"/>
    </row>
    <row r="21" spans="2:26" ht="16.5" customHeight="1" x14ac:dyDescent="0.25">
      <c r="B21" s="285" t="e">
        <f ca="1">INDIRECT(C21&amp;"!B2")</f>
        <v>#REF!</v>
      </c>
      <c r="C21" s="286" t="s">
        <v>30</v>
      </c>
      <c r="D21" s="25" t="e">
        <f ca="1">INDIRECT($C21&amp;"!AM$5")</f>
        <v>#REF!</v>
      </c>
      <c r="E21" s="25" t="e">
        <f ca="1">INDIRECT($C21&amp;"!AN$5")</f>
        <v>#REF!</v>
      </c>
      <c r="F21" s="25" t="e">
        <f ca="1">INDIRECT($C21&amp;"!AO$5")</f>
        <v>#REF!</v>
      </c>
      <c r="G21" s="25" t="e">
        <f ca="1">INDIRECT($C21&amp;"!AP$5")</f>
        <v>#REF!</v>
      </c>
      <c r="H21" s="25" t="e">
        <f ca="1">INDIRECT($C21&amp;"!AQ$5")</f>
        <v>#REF!</v>
      </c>
      <c r="I21" s="26"/>
      <c r="J21" s="277" t="s">
        <v>32</v>
      </c>
      <c r="K21" s="283"/>
      <c r="L21" s="302"/>
      <c r="M21" s="303"/>
      <c r="N21" s="303"/>
      <c r="O21" s="284"/>
      <c r="P21" s="302"/>
      <c r="Q21" s="303"/>
      <c r="R21" s="303"/>
      <c r="S21" s="284"/>
      <c r="T21" s="302"/>
      <c r="U21" s="303"/>
      <c r="V21" s="303"/>
      <c r="W21" s="269"/>
      <c r="X21" s="302"/>
      <c r="Y21" s="303"/>
      <c r="Z21" s="303"/>
    </row>
    <row r="22" spans="2:26" x14ac:dyDescent="0.25">
      <c r="B22" s="285" t="e">
        <f ca="1">INDIRECT(C22&amp;"!B2")</f>
        <v>#REF!</v>
      </c>
      <c r="C22" s="287" t="s">
        <v>31</v>
      </c>
      <c r="D22" s="25" t="e">
        <f ca="1">INDIRECT($C22&amp;"!AM$5")</f>
        <v>#REF!</v>
      </c>
      <c r="E22" s="25" t="e">
        <f ca="1">INDIRECT($C22&amp;"!AN$5")</f>
        <v>#REF!</v>
      </c>
      <c r="F22" s="25" t="e">
        <f ca="1">INDIRECT($C22&amp;"!AO$5")</f>
        <v>#REF!</v>
      </c>
      <c r="G22" s="25" t="e">
        <f ca="1">INDIRECT($C22&amp;"!AP$5")</f>
        <v>#REF!</v>
      </c>
      <c r="H22" s="25" t="e">
        <f ca="1">INDIRECT($C22&amp;"!AQ$5")</f>
        <v>#REF!</v>
      </c>
      <c r="I22" s="26"/>
      <c r="J22" s="277"/>
      <c r="K22" s="18"/>
      <c r="L22" s="138"/>
      <c r="M22" s="18"/>
      <c r="N22" s="138"/>
      <c r="O22" s="19"/>
      <c r="P22" s="138"/>
      <c r="Q22" s="139"/>
      <c r="R22" s="138"/>
      <c r="S22" s="19"/>
      <c r="T22" s="138"/>
      <c r="U22" s="139"/>
      <c r="V22" s="138"/>
      <c r="W22" s="269"/>
      <c r="X22" s="138"/>
      <c r="Y22" s="139"/>
      <c r="Z22" s="138"/>
    </row>
    <row r="23" spans="2:26" ht="15.75" customHeight="1" x14ac:dyDescent="0.25">
      <c r="B23" s="285"/>
      <c r="C23" s="287"/>
      <c r="D23" s="25"/>
      <c r="E23" s="25"/>
      <c r="F23" s="25"/>
      <c r="G23" s="25"/>
      <c r="H23" s="25"/>
      <c r="I23" s="26"/>
      <c r="J23" s="149"/>
      <c r="K23" s="27"/>
      <c r="L23" s="138"/>
      <c r="M23" s="18"/>
      <c r="N23" s="138"/>
      <c r="O23" s="5"/>
      <c r="P23" s="140"/>
      <c r="Q23" s="140"/>
      <c r="R23" s="30"/>
      <c r="S23" s="5"/>
      <c r="T23" s="140"/>
      <c r="U23" s="140"/>
      <c r="V23" s="30"/>
      <c r="W23" s="269"/>
      <c r="X23" s="140"/>
      <c r="Y23" s="140"/>
      <c r="Z23" s="30"/>
    </row>
    <row r="24" spans="2:26" ht="15.75" customHeight="1" thickBot="1" x14ac:dyDescent="0.3">
      <c r="B24" s="285"/>
      <c r="C24" s="288"/>
      <c r="D24" s="25"/>
      <c r="E24" s="25"/>
      <c r="F24" s="25"/>
      <c r="G24" s="25"/>
      <c r="H24" s="25"/>
      <c r="I24" s="26"/>
      <c r="J24" s="149"/>
      <c r="K24" s="29"/>
      <c r="L24" s="138"/>
      <c r="M24" s="18"/>
      <c r="N24" s="138"/>
      <c r="O24" s="282"/>
      <c r="P24" s="141"/>
      <c r="Q24" s="141"/>
      <c r="R24" s="142"/>
      <c r="S24" s="282"/>
      <c r="T24" s="141"/>
      <c r="U24" s="141"/>
      <c r="V24" s="142"/>
      <c r="W24" s="269"/>
      <c r="X24" s="141"/>
      <c r="Y24" s="141"/>
      <c r="Z24" s="142"/>
    </row>
    <row r="25" spans="2:26" ht="15.75" customHeight="1" thickBot="1" x14ac:dyDescent="0.3">
      <c r="B25" s="298" t="s">
        <v>26</v>
      </c>
      <c r="C25" s="299"/>
      <c r="D25" s="28" t="e">
        <f ca="1">IF(COUNTIF(D21:D24,"=0")&gt;0,0,AVERAGE(D21:D24))</f>
        <v>#REF!</v>
      </c>
      <c r="E25" s="28" t="e">
        <f t="shared" ref="E25:H25" ca="1" si="6">IF(COUNTIF(E21:E24,"=0")&gt;0,0,AVERAGE(E21:E24))</f>
        <v>#REF!</v>
      </c>
      <c r="F25" s="28" t="e">
        <f t="shared" ca="1" si="6"/>
        <v>#REF!</v>
      </c>
      <c r="G25" s="28" t="e">
        <f t="shared" ca="1" si="6"/>
        <v>#REF!</v>
      </c>
      <c r="H25" s="28" t="e">
        <f t="shared" ca="1" si="6"/>
        <v>#REF!</v>
      </c>
      <c r="I25" s="147"/>
      <c r="J25" s="14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</row>
    <row r="26" spans="2:26" ht="15.75" customHeight="1" x14ac:dyDescent="0.25">
      <c r="B26" s="300"/>
      <c r="C26" s="301"/>
      <c r="D26" s="29"/>
      <c r="E26" s="29"/>
      <c r="F26" s="29"/>
      <c r="G26" s="29"/>
      <c r="H26" s="29"/>
      <c r="I26" s="29"/>
      <c r="J26" s="149"/>
      <c r="K26" s="283"/>
      <c r="L26" s="302"/>
      <c r="M26" s="303"/>
      <c r="N26" s="303"/>
      <c r="O26" s="284"/>
      <c r="P26" s="302"/>
      <c r="Q26" s="303"/>
      <c r="R26" s="303"/>
      <c r="S26" s="284"/>
      <c r="T26" s="302"/>
      <c r="U26" s="303"/>
      <c r="V26" s="303"/>
      <c r="W26" s="269"/>
      <c r="X26" s="302"/>
      <c r="Y26" s="303"/>
      <c r="Z26" s="303"/>
    </row>
    <row r="27" spans="2:26" ht="15.6" x14ac:dyDescent="0.25">
      <c r="B27" s="300"/>
      <c r="C27" s="301"/>
      <c r="D27" s="29"/>
      <c r="E27" s="29"/>
      <c r="F27" s="29"/>
      <c r="G27" s="29"/>
      <c r="H27" s="29"/>
      <c r="I27" s="29"/>
      <c r="J27" s="149"/>
      <c r="K27" s="18"/>
      <c r="L27" s="138"/>
      <c r="M27" s="18"/>
      <c r="N27" s="138"/>
      <c r="O27" s="19"/>
      <c r="P27" s="138"/>
      <c r="Q27" s="139"/>
      <c r="R27" s="138"/>
      <c r="S27" s="19"/>
      <c r="T27" s="138"/>
      <c r="U27" s="139"/>
      <c r="V27" s="138"/>
      <c r="W27" s="269"/>
      <c r="X27" s="138"/>
      <c r="Y27" s="139"/>
      <c r="Z27" s="138"/>
    </row>
    <row r="28" spans="2:26" ht="15.75" customHeight="1" x14ac:dyDescent="0.25">
      <c r="B28" s="300"/>
      <c r="C28" s="301"/>
      <c r="D28" s="29"/>
      <c r="E28" s="29"/>
      <c r="F28" s="29"/>
      <c r="G28" s="29"/>
      <c r="H28" s="29"/>
      <c r="I28" s="29"/>
      <c r="J28" s="149"/>
      <c r="K28" s="27"/>
      <c r="L28" s="138"/>
      <c r="M28" s="18"/>
      <c r="N28" s="138"/>
      <c r="O28" s="5"/>
      <c r="P28" s="140"/>
      <c r="Q28" s="140"/>
      <c r="R28" s="30"/>
      <c r="S28" s="5"/>
      <c r="T28" s="140"/>
      <c r="U28" s="140"/>
      <c r="V28" s="30"/>
      <c r="W28" s="269"/>
      <c r="X28" s="140"/>
      <c r="Y28" s="140"/>
      <c r="Z28" s="30"/>
    </row>
    <row r="29" spans="2:26" ht="15.75" customHeight="1" x14ac:dyDescent="0.25">
      <c r="B29" s="149"/>
      <c r="C29" s="149"/>
      <c r="D29" s="149"/>
      <c r="E29" s="149"/>
      <c r="F29" s="149"/>
      <c r="G29" s="149"/>
      <c r="H29" s="149"/>
      <c r="I29" s="149"/>
      <c r="J29" s="149"/>
      <c r="K29" s="27"/>
      <c r="L29" s="138"/>
      <c r="M29" s="18"/>
      <c r="N29" s="138"/>
      <c r="O29" s="5"/>
      <c r="P29" s="140"/>
      <c r="Q29" s="140"/>
      <c r="R29" s="30"/>
      <c r="S29" s="5"/>
      <c r="T29" s="140"/>
      <c r="U29" s="140"/>
      <c r="V29" s="30"/>
      <c r="W29" s="269"/>
      <c r="X29" s="140"/>
      <c r="Y29" s="140"/>
      <c r="Z29" s="30"/>
    </row>
    <row r="30" spans="2:26" ht="15.75" customHeight="1" x14ac:dyDescent="0.25">
      <c r="B30" s="149"/>
      <c r="C30" s="149"/>
      <c r="D30" s="149"/>
      <c r="E30" s="149"/>
      <c r="F30" s="149"/>
      <c r="G30" s="149"/>
      <c r="H30" s="149"/>
      <c r="I30" s="149"/>
      <c r="J30" s="149"/>
      <c r="K30" s="27"/>
      <c r="L30" s="269"/>
      <c r="M30" s="269"/>
      <c r="N30" s="269"/>
      <c r="O30" s="5"/>
      <c r="P30" s="140"/>
      <c r="Q30" s="140"/>
      <c r="R30" s="30"/>
      <c r="S30" s="5"/>
      <c r="T30" s="140"/>
      <c r="U30" s="140"/>
      <c r="V30" s="30"/>
      <c r="W30" s="269"/>
      <c r="X30" s="140"/>
      <c r="Y30" s="140"/>
      <c r="Z30" s="30"/>
    </row>
    <row r="31" spans="2:26" ht="16.5" customHeight="1" x14ac:dyDescent="0.25">
      <c r="B31" s="149"/>
      <c r="C31" s="149"/>
      <c r="D31" s="149"/>
      <c r="E31" s="149"/>
      <c r="F31" s="149"/>
      <c r="G31" s="149"/>
      <c r="H31" s="149"/>
      <c r="I31" s="149"/>
      <c r="J31" s="149"/>
      <c r="K31" s="29"/>
      <c r="L31" s="302"/>
      <c r="M31" s="303"/>
      <c r="N31" s="303"/>
      <c r="O31" s="282"/>
      <c r="P31" s="141"/>
      <c r="Q31" s="141"/>
      <c r="R31" s="142"/>
      <c r="S31" s="282"/>
      <c r="T31" s="141"/>
      <c r="U31" s="141"/>
      <c r="V31" s="142"/>
      <c r="W31" s="269"/>
      <c r="X31" s="141"/>
      <c r="Y31" s="141"/>
      <c r="Z31" s="142"/>
    </row>
    <row r="32" spans="2:26" x14ac:dyDescent="0.25">
      <c r="B32" s="149"/>
      <c r="C32" s="149"/>
      <c r="D32" s="149"/>
      <c r="E32" s="149"/>
      <c r="F32" s="149"/>
      <c r="G32" s="149"/>
      <c r="H32" s="149"/>
      <c r="I32" s="149"/>
      <c r="J32" s="149"/>
      <c r="K32" s="31"/>
      <c r="L32" s="269"/>
      <c r="M32" s="269"/>
      <c r="N32" s="269"/>
      <c r="O32" s="282"/>
      <c r="P32" s="269"/>
      <c r="Q32" s="269"/>
      <c r="R32" s="269"/>
      <c r="S32" s="282"/>
      <c r="T32" s="269"/>
      <c r="U32" s="269"/>
      <c r="V32" s="269"/>
      <c r="W32" s="269"/>
      <c r="X32" s="269"/>
      <c r="Y32" s="269"/>
      <c r="Z32" s="269"/>
    </row>
    <row r="33" spans="2:26" ht="16.5" customHeight="1" x14ac:dyDescent="0.25">
      <c r="B33" s="149"/>
      <c r="C33" s="149"/>
      <c r="D33" s="149"/>
      <c r="E33" s="149"/>
      <c r="F33" s="149"/>
      <c r="G33" s="149"/>
      <c r="H33" s="149"/>
      <c r="I33" s="149"/>
      <c r="J33" s="149"/>
      <c r="K33" s="283"/>
      <c r="L33" s="302"/>
      <c r="M33" s="303"/>
      <c r="N33" s="303"/>
      <c r="O33" s="284"/>
      <c r="P33" s="302"/>
      <c r="Q33" s="303"/>
      <c r="R33" s="303"/>
      <c r="S33" s="284"/>
      <c r="T33" s="302"/>
      <c r="U33" s="303"/>
      <c r="V33" s="303"/>
      <c r="W33" s="269"/>
      <c r="X33" s="302"/>
      <c r="Y33" s="303"/>
      <c r="Z33" s="303"/>
    </row>
    <row r="34" spans="2:26" ht="36.75" customHeight="1" x14ac:dyDescent="0.25">
      <c r="B34" s="145"/>
      <c r="C34" s="148"/>
      <c r="D34" s="18"/>
      <c r="E34" s="18"/>
      <c r="F34" s="18"/>
      <c r="G34" s="18"/>
      <c r="H34" s="18"/>
      <c r="I34" s="18"/>
      <c r="J34" s="18"/>
      <c r="K34" s="18"/>
      <c r="L34" s="138"/>
      <c r="M34" s="18"/>
      <c r="N34" s="138"/>
      <c r="O34" s="19"/>
      <c r="P34" s="138"/>
      <c r="Q34" s="139"/>
      <c r="R34" s="138"/>
      <c r="S34" s="19"/>
      <c r="T34" s="138"/>
      <c r="U34" s="139"/>
      <c r="V34" s="138"/>
      <c r="W34" s="269"/>
      <c r="X34" s="138"/>
      <c r="Y34" s="139"/>
      <c r="Z34" s="138"/>
    </row>
    <row r="35" spans="2:26" x14ac:dyDescent="0.25">
      <c r="B35" s="289"/>
      <c r="C35" s="290"/>
      <c r="D35" s="27"/>
      <c r="E35" s="27"/>
      <c r="F35" s="27"/>
      <c r="G35" s="27"/>
      <c r="H35" s="27"/>
      <c r="I35" s="27"/>
      <c r="J35" s="27"/>
      <c r="K35" s="27"/>
      <c r="L35" s="138"/>
      <c r="M35" s="18"/>
      <c r="N35" s="138"/>
      <c r="O35" s="5"/>
      <c r="P35" s="140"/>
      <c r="Q35" s="140"/>
      <c r="R35" s="30"/>
      <c r="S35" s="5"/>
      <c r="T35" s="140"/>
      <c r="U35" s="140"/>
      <c r="V35" s="30"/>
      <c r="W35" s="269"/>
      <c r="X35" s="140"/>
      <c r="Y35" s="140"/>
      <c r="Z35" s="30"/>
    </row>
    <row r="36" spans="2:26" ht="15.75" customHeight="1" x14ac:dyDescent="0.25">
      <c r="B36" s="289"/>
      <c r="C36" s="290"/>
      <c r="D36" s="27"/>
      <c r="E36" s="27"/>
      <c r="F36" s="27"/>
      <c r="G36" s="27"/>
      <c r="H36" s="27"/>
      <c r="I36" s="27"/>
      <c r="J36" s="27"/>
      <c r="K36" s="27"/>
      <c r="L36" s="138"/>
      <c r="M36" s="18"/>
      <c r="N36" s="138"/>
      <c r="O36" s="5"/>
      <c r="P36" s="140"/>
      <c r="Q36" s="140"/>
      <c r="R36" s="30"/>
      <c r="S36" s="5"/>
      <c r="T36" s="140"/>
      <c r="U36" s="140"/>
      <c r="V36" s="30"/>
      <c r="W36" s="269"/>
      <c r="X36" s="140"/>
      <c r="Y36" s="140"/>
      <c r="Z36" s="30"/>
    </row>
    <row r="37" spans="2:26" ht="16.5" customHeight="1" x14ac:dyDescent="0.25">
      <c r="B37" s="300"/>
      <c r="C37" s="308"/>
      <c r="D37" s="29"/>
      <c r="E37" s="29"/>
      <c r="F37" s="29"/>
      <c r="G37" s="29"/>
      <c r="H37" s="29"/>
      <c r="I37" s="29"/>
      <c r="J37" s="29"/>
      <c r="K37" s="29"/>
      <c r="L37" s="269"/>
      <c r="M37" s="269"/>
      <c r="N37" s="269"/>
      <c r="O37" s="282"/>
      <c r="P37" s="141"/>
      <c r="Q37" s="141"/>
      <c r="R37" s="142"/>
      <c r="S37" s="282"/>
      <c r="T37" s="141"/>
      <c r="U37" s="141"/>
      <c r="V37" s="142"/>
      <c r="W37" s="269"/>
      <c r="X37" s="141"/>
      <c r="Y37" s="141"/>
      <c r="Z37" s="142"/>
    </row>
    <row r="38" spans="2:26" ht="15.6" x14ac:dyDescent="0.25">
      <c r="B38" s="269"/>
      <c r="C38" s="269"/>
      <c r="D38" s="31"/>
      <c r="E38" s="31"/>
      <c r="F38" s="31"/>
      <c r="G38" s="31"/>
      <c r="H38" s="31"/>
      <c r="I38" s="31"/>
      <c r="J38" s="31"/>
      <c r="K38" s="31"/>
      <c r="L38" s="302"/>
      <c r="M38" s="303"/>
      <c r="N38" s="303"/>
      <c r="O38" s="282"/>
      <c r="P38" s="269"/>
      <c r="Q38" s="269"/>
      <c r="R38" s="269"/>
      <c r="S38" s="282"/>
      <c r="T38" s="269"/>
      <c r="U38" s="269"/>
      <c r="V38" s="269"/>
      <c r="W38" s="269"/>
      <c r="X38" s="269"/>
      <c r="Y38" s="269"/>
      <c r="Z38" s="269"/>
    </row>
    <row r="39" spans="2:26" ht="16.5" customHeight="1" x14ac:dyDescent="0.25">
      <c r="B39" s="309"/>
      <c r="C39" s="303"/>
      <c r="D39" s="303"/>
      <c r="E39" s="303"/>
      <c r="F39" s="303"/>
      <c r="G39" s="303"/>
      <c r="H39" s="303"/>
      <c r="I39" s="303"/>
      <c r="J39" s="303"/>
      <c r="K39" s="283"/>
      <c r="L39" s="302"/>
      <c r="M39" s="303"/>
      <c r="N39" s="303"/>
      <c r="O39" s="284"/>
      <c r="P39" s="302"/>
      <c r="Q39" s="303"/>
      <c r="R39" s="303"/>
      <c r="S39" s="284"/>
      <c r="T39" s="302"/>
      <c r="U39" s="303"/>
      <c r="V39" s="303"/>
      <c r="W39" s="269"/>
      <c r="X39" s="302"/>
      <c r="Y39" s="303"/>
      <c r="Z39" s="303"/>
    </row>
    <row r="40" spans="2:26" ht="36.75" customHeight="1" x14ac:dyDescent="0.25">
      <c r="B40" s="145"/>
      <c r="C40" s="148"/>
      <c r="D40" s="18"/>
      <c r="E40" s="18"/>
      <c r="F40" s="18"/>
      <c r="G40" s="18"/>
      <c r="H40" s="18"/>
      <c r="I40" s="18"/>
      <c r="J40" s="18"/>
      <c r="K40" s="18"/>
      <c r="L40" s="138"/>
      <c r="M40" s="18"/>
      <c r="N40" s="138"/>
      <c r="O40" s="19"/>
      <c r="P40" s="138"/>
      <c r="Q40" s="139"/>
      <c r="R40" s="138"/>
      <c r="S40" s="19"/>
      <c r="T40" s="138"/>
      <c r="U40" s="139"/>
      <c r="V40" s="138"/>
      <c r="W40" s="269"/>
      <c r="X40" s="138"/>
      <c r="Y40" s="139"/>
      <c r="Z40" s="138"/>
    </row>
    <row r="41" spans="2:26" x14ac:dyDescent="0.25">
      <c r="B41" s="289"/>
      <c r="C41" s="290"/>
      <c r="D41" s="27"/>
      <c r="E41" s="27"/>
      <c r="F41" s="27"/>
      <c r="G41" s="27"/>
      <c r="H41" s="27"/>
      <c r="I41" s="27"/>
      <c r="J41" s="27"/>
      <c r="K41" s="27"/>
      <c r="L41" s="138"/>
      <c r="M41" s="18"/>
      <c r="N41" s="138"/>
      <c r="O41" s="5"/>
      <c r="P41" s="140"/>
      <c r="Q41" s="140"/>
      <c r="R41" s="30"/>
      <c r="S41" s="5"/>
      <c r="T41" s="140"/>
      <c r="U41" s="140"/>
      <c r="V41" s="30"/>
      <c r="W41" s="269"/>
      <c r="X41" s="140"/>
      <c r="Y41" s="140"/>
      <c r="Z41" s="30"/>
    </row>
    <row r="42" spans="2:26" x14ac:dyDescent="0.25">
      <c r="B42" s="289"/>
      <c r="C42" s="290"/>
      <c r="D42" s="27"/>
      <c r="E42" s="27"/>
      <c r="F42" s="27"/>
      <c r="G42" s="27"/>
      <c r="H42" s="27"/>
      <c r="I42" s="27"/>
      <c r="J42" s="27"/>
      <c r="K42" s="27"/>
      <c r="L42" s="138"/>
      <c r="M42" s="18"/>
      <c r="N42" s="138"/>
      <c r="O42" s="5"/>
      <c r="P42" s="140"/>
      <c r="Q42" s="140"/>
      <c r="R42" s="30"/>
      <c r="S42" s="5"/>
      <c r="T42" s="140"/>
      <c r="U42" s="140"/>
      <c r="V42" s="30"/>
      <c r="W42" s="269"/>
      <c r="X42" s="140"/>
      <c r="Y42" s="140"/>
      <c r="Z42" s="30"/>
    </row>
    <row r="43" spans="2:26" x14ac:dyDescent="0.25">
      <c r="B43" s="289"/>
      <c r="C43" s="290"/>
      <c r="D43" s="27"/>
      <c r="E43" s="27"/>
      <c r="F43" s="27"/>
      <c r="G43" s="27"/>
      <c r="H43" s="27"/>
      <c r="I43" s="27"/>
      <c r="J43" s="27"/>
      <c r="K43" s="27"/>
      <c r="L43" s="269"/>
      <c r="M43" s="269"/>
      <c r="N43" s="269"/>
      <c r="O43" s="5"/>
      <c r="P43" s="140"/>
      <c r="Q43" s="140"/>
      <c r="R43" s="30"/>
      <c r="S43" s="5"/>
      <c r="T43" s="140"/>
      <c r="U43" s="140"/>
      <c r="V43" s="30"/>
      <c r="W43" s="269"/>
      <c r="X43" s="140"/>
      <c r="Y43" s="140"/>
      <c r="Z43" s="30"/>
    </row>
    <row r="44" spans="2:26" ht="15.75" customHeight="1" x14ac:dyDescent="0.25">
      <c r="B44" s="289"/>
      <c r="C44" s="290"/>
      <c r="D44" s="27"/>
      <c r="E44" s="27"/>
      <c r="F44" s="27"/>
      <c r="G44" s="27"/>
      <c r="H44" s="27"/>
      <c r="I44" s="27"/>
      <c r="J44" s="27"/>
      <c r="K44" s="27"/>
      <c r="L44" s="302"/>
      <c r="M44" s="303"/>
      <c r="N44" s="303"/>
      <c r="O44" s="5"/>
      <c r="P44" s="140"/>
      <c r="Q44" s="140"/>
      <c r="R44" s="30"/>
      <c r="S44" s="5"/>
      <c r="T44" s="140"/>
      <c r="U44" s="140"/>
      <c r="V44" s="30"/>
      <c r="W44" s="269"/>
      <c r="X44" s="140"/>
      <c r="Y44" s="140"/>
      <c r="Z44" s="30"/>
    </row>
    <row r="45" spans="2:26" ht="16.5" customHeight="1" x14ac:dyDescent="0.25">
      <c r="B45" s="300"/>
      <c r="C45" s="308"/>
      <c r="D45" s="29"/>
      <c r="E45" s="29"/>
      <c r="F45" s="29"/>
      <c r="G45" s="29"/>
      <c r="H45" s="29"/>
      <c r="I45" s="29"/>
      <c r="J45" s="29"/>
      <c r="K45" s="29"/>
      <c r="L45" s="138"/>
      <c r="M45" s="18"/>
      <c r="N45" s="138"/>
      <c r="O45" s="282"/>
      <c r="P45" s="141"/>
      <c r="Q45" s="141"/>
      <c r="R45" s="142"/>
      <c r="S45" s="282"/>
      <c r="T45" s="141"/>
      <c r="U45" s="141"/>
      <c r="V45" s="142"/>
      <c r="W45" s="269"/>
      <c r="X45" s="141"/>
      <c r="Y45" s="141"/>
      <c r="Z45" s="142"/>
    </row>
    <row r="46" spans="2:26" x14ac:dyDescent="0.25">
      <c r="B46" s="269"/>
      <c r="C46" s="269"/>
      <c r="D46" s="31"/>
      <c r="E46" s="31"/>
      <c r="F46" s="31"/>
      <c r="G46" s="31"/>
      <c r="H46" s="31"/>
      <c r="I46" s="31"/>
      <c r="J46" s="31"/>
      <c r="K46" s="31"/>
      <c r="L46" s="138"/>
      <c r="M46" s="18"/>
      <c r="N46" s="138"/>
      <c r="O46" s="282"/>
      <c r="P46" s="269"/>
      <c r="Q46" s="269"/>
      <c r="R46" s="269"/>
      <c r="S46" s="282"/>
      <c r="T46" s="269"/>
      <c r="U46" s="269"/>
      <c r="V46" s="269"/>
      <c r="W46" s="269"/>
      <c r="X46" s="269"/>
      <c r="Y46" s="269"/>
      <c r="Z46" s="269"/>
    </row>
    <row r="47" spans="2:26" ht="16.5" customHeight="1" x14ac:dyDescent="0.25">
      <c r="B47" s="309"/>
      <c r="C47" s="303"/>
      <c r="D47" s="303"/>
      <c r="E47" s="303"/>
      <c r="F47" s="303"/>
      <c r="G47" s="303"/>
      <c r="H47" s="303"/>
      <c r="I47" s="303"/>
      <c r="J47" s="303"/>
      <c r="K47" s="283"/>
      <c r="L47" s="302"/>
      <c r="M47" s="303"/>
      <c r="N47" s="303"/>
      <c r="O47" s="284"/>
      <c r="P47" s="302"/>
      <c r="Q47" s="303"/>
      <c r="R47" s="303"/>
      <c r="S47" s="284"/>
      <c r="T47" s="302"/>
      <c r="U47" s="303"/>
      <c r="V47" s="303"/>
      <c r="W47" s="269"/>
      <c r="X47" s="302"/>
      <c r="Y47" s="303"/>
      <c r="Z47" s="303"/>
    </row>
    <row r="48" spans="2:26" ht="36.75" customHeight="1" x14ac:dyDescent="0.25">
      <c r="B48" s="145"/>
      <c r="C48" s="148"/>
      <c r="D48" s="18"/>
      <c r="E48" s="18"/>
      <c r="F48" s="18"/>
      <c r="G48" s="18"/>
      <c r="H48" s="18"/>
      <c r="I48" s="18"/>
      <c r="J48" s="18"/>
      <c r="K48" s="18"/>
      <c r="L48" s="138"/>
      <c r="M48" s="18"/>
      <c r="N48" s="138"/>
      <c r="O48" s="19"/>
      <c r="P48" s="138"/>
      <c r="Q48" s="139"/>
      <c r="R48" s="138"/>
      <c r="S48" s="19"/>
      <c r="T48" s="138"/>
      <c r="U48" s="139"/>
      <c r="V48" s="138"/>
      <c r="W48" s="269"/>
      <c r="X48" s="138"/>
      <c r="Y48" s="139"/>
      <c r="Z48" s="138"/>
    </row>
    <row r="49" spans="2:26" x14ac:dyDescent="0.25">
      <c r="B49" s="289"/>
      <c r="C49" s="290"/>
      <c r="D49" s="27"/>
      <c r="E49" s="27"/>
      <c r="F49" s="27"/>
      <c r="G49" s="27"/>
      <c r="H49" s="27"/>
      <c r="I49" s="27"/>
      <c r="J49" s="27"/>
      <c r="K49" s="27"/>
      <c r="L49" s="138"/>
      <c r="M49" s="18"/>
      <c r="N49" s="138"/>
      <c r="O49" s="5"/>
      <c r="P49" s="140"/>
      <c r="Q49" s="140"/>
      <c r="R49" s="30"/>
      <c r="S49" s="5"/>
      <c r="T49" s="140"/>
      <c r="U49" s="140"/>
      <c r="V49" s="30"/>
      <c r="W49" s="269"/>
      <c r="X49" s="140"/>
      <c r="Y49" s="140"/>
      <c r="Z49" s="30"/>
    </row>
    <row r="50" spans="2:26" ht="15.75" customHeight="1" x14ac:dyDescent="0.25">
      <c r="B50" s="289"/>
      <c r="C50" s="290"/>
      <c r="D50" s="27"/>
      <c r="E50" s="27"/>
      <c r="F50" s="27"/>
      <c r="G50" s="27"/>
      <c r="H50" s="27"/>
      <c r="I50" s="27"/>
      <c r="J50" s="27"/>
      <c r="K50" s="27"/>
      <c r="L50" s="138"/>
      <c r="M50" s="18"/>
      <c r="N50" s="138"/>
      <c r="O50" s="5"/>
      <c r="P50" s="140"/>
      <c r="Q50" s="140"/>
      <c r="R50" s="30"/>
      <c r="S50" s="5"/>
      <c r="T50" s="140"/>
      <c r="U50" s="140"/>
      <c r="V50" s="30"/>
      <c r="W50" s="269"/>
      <c r="X50" s="140"/>
      <c r="Y50" s="140"/>
      <c r="Z50" s="30"/>
    </row>
    <row r="51" spans="2:26" ht="16.5" customHeight="1" x14ac:dyDescent="0.25">
      <c r="B51" s="300"/>
      <c r="C51" s="308"/>
      <c r="D51" s="29"/>
      <c r="E51" s="29"/>
      <c r="F51" s="29"/>
      <c r="G51" s="29"/>
      <c r="H51" s="29"/>
      <c r="I51" s="29"/>
      <c r="J51" s="29"/>
      <c r="K51" s="29"/>
      <c r="L51" s="269"/>
      <c r="M51" s="269"/>
      <c r="N51" s="269"/>
      <c r="O51" s="282"/>
      <c r="P51" s="141"/>
      <c r="Q51" s="141"/>
      <c r="R51" s="142"/>
      <c r="S51" s="282"/>
      <c r="T51" s="141"/>
      <c r="U51" s="141"/>
      <c r="V51" s="142"/>
      <c r="W51" s="269"/>
      <c r="X51" s="141"/>
      <c r="Y51" s="141"/>
      <c r="Z51" s="142"/>
    </row>
    <row r="52" spans="2:26" ht="15.6" x14ac:dyDescent="0.25">
      <c r="B52" s="269"/>
      <c r="C52" s="269"/>
      <c r="D52" s="31"/>
      <c r="E52" s="31"/>
      <c r="F52" s="31"/>
      <c r="G52" s="31"/>
      <c r="H52" s="31"/>
      <c r="I52" s="31"/>
      <c r="J52" s="31"/>
      <c r="K52" s="31"/>
      <c r="L52" s="302"/>
      <c r="M52" s="303"/>
      <c r="N52" s="303"/>
      <c r="O52" s="282"/>
      <c r="P52" s="269"/>
      <c r="Q52" s="269"/>
      <c r="R52" s="269"/>
      <c r="S52" s="282"/>
      <c r="T52" s="269"/>
      <c r="U52" s="269"/>
      <c r="V52" s="269"/>
      <c r="W52" s="269"/>
      <c r="X52" s="269"/>
      <c r="Y52" s="269"/>
      <c r="Z52" s="269"/>
    </row>
    <row r="53" spans="2:26" ht="16.5" customHeight="1" x14ac:dyDescent="0.25">
      <c r="B53" s="309"/>
      <c r="C53" s="303"/>
      <c r="D53" s="303"/>
      <c r="E53" s="303"/>
      <c r="F53" s="303"/>
      <c r="G53" s="303"/>
      <c r="H53" s="303"/>
      <c r="I53" s="303"/>
      <c r="J53" s="303"/>
      <c r="K53" s="283"/>
      <c r="L53" s="302"/>
      <c r="M53" s="303"/>
      <c r="N53" s="303"/>
      <c r="O53" s="284"/>
      <c r="P53" s="302"/>
      <c r="Q53" s="303"/>
      <c r="R53" s="303"/>
      <c r="S53" s="284"/>
      <c r="T53" s="302"/>
      <c r="U53" s="303"/>
      <c r="V53" s="303"/>
      <c r="W53" s="269"/>
      <c r="X53" s="302"/>
      <c r="Y53" s="303"/>
      <c r="Z53" s="303"/>
    </row>
    <row r="54" spans="2:26" ht="36.75" customHeight="1" x14ac:dyDescent="0.25">
      <c r="B54" s="145"/>
      <c r="C54" s="148"/>
      <c r="D54" s="18"/>
      <c r="E54" s="18"/>
      <c r="F54" s="18"/>
      <c r="G54" s="18"/>
      <c r="H54" s="18"/>
      <c r="I54" s="18"/>
      <c r="J54" s="18"/>
      <c r="K54" s="18"/>
      <c r="L54" s="138"/>
      <c r="M54" s="18"/>
      <c r="N54" s="138"/>
      <c r="O54" s="19"/>
      <c r="P54" s="138"/>
      <c r="Q54" s="139"/>
      <c r="R54" s="138"/>
      <c r="S54" s="19"/>
      <c r="T54" s="138"/>
      <c r="U54" s="139"/>
      <c r="V54" s="138"/>
      <c r="W54" s="269"/>
      <c r="X54" s="138"/>
      <c r="Y54" s="139"/>
      <c r="Z54" s="138"/>
    </row>
    <row r="55" spans="2:26" x14ac:dyDescent="0.25">
      <c r="B55" s="289"/>
      <c r="C55" s="290"/>
      <c r="D55" s="27"/>
      <c r="E55" s="27"/>
      <c r="F55" s="27"/>
      <c r="G55" s="27"/>
      <c r="H55" s="27"/>
      <c r="I55" s="27"/>
      <c r="J55" s="27"/>
      <c r="K55" s="27"/>
      <c r="L55" s="138"/>
      <c r="M55" s="18"/>
      <c r="N55" s="138"/>
      <c r="O55" s="5"/>
      <c r="P55" s="140"/>
      <c r="Q55" s="140"/>
      <c r="R55" s="30"/>
      <c r="S55" s="5"/>
      <c r="T55" s="140"/>
      <c r="U55" s="140"/>
      <c r="V55" s="30"/>
      <c r="W55" s="269"/>
      <c r="X55" s="140"/>
      <c r="Y55" s="140"/>
      <c r="Z55" s="30"/>
    </row>
    <row r="56" spans="2:26" x14ac:dyDescent="0.25">
      <c r="B56" s="289"/>
      <c r="C56" s="290"/>
      <c r="D56" s="27"/>
      <c r="E56" s="27"/>
      <c r="F56" s="27"/>
      <c r="G56" s="27"/>
      <c r="H56" s="27"/>
      <c r="I56" s="27"/>
      <c r="J56" s="27"/>
      <c r="K56" s="27"/>
      <c r="L56" s="138"/>
      <c r="M56" s="18"/>
      <c r="N56" s="138"/>
      <c r="O56" s="5"/>
      <c r="P56" s="140"/>
      <c r="Q56" s="140"/>
      <c r="R56" s="30"/>
      <c r="S56" s="5"/>
      <c r="T56" s="140"/>
      <c r="U56" s="140"/>
      <c r="V56" s="30"/>
      <c r="W56" s="269"/>
      <c r="X56" s="140"/>
      <c r="Y56" s="140"/>
      <c r="Z56" s="30"/>
    </row>
    <row r="57" spans="2:26" ht="15.75" customHeight="1" x14ac:dyDescent="0.25">
      <c r="B57" s="289"/>
      <c r="C57" s="290"/>
      <c r="D57" s="27"/>
      <c r="E57" s="27"/>
      <c r="F57" s="27"/>
      <c r="G57" s="27"/>
      <c r="H57" s="27"/>
      <c r="I57" s="27"/>
      <c r="J57" s="27"/>
      <c r="K57" s="27"/>
      <c r="L57" s="138"/>
      <c r="M57" s="18"/>
      <c r="N57" s="138"/>
      <c r="O57" s="5"/>
      <c r="P57" s="140"/>
      <c r="Q57" s="140"/>
      <c r="R57" s="30"/>
      <c r="S57" s="5"/>
      <c r="T57" s="140"/>
      <c r="U57" s="140"/>
      <c r="V57" s="30"/>
      <c r="W57" s="269"/>
      <c r="X57" s="140"/>
      <c r="Y57" s="140"/>
      <c r="Z57" s="30"/>
    </row>
    <row r="58" spans="2:26" ht="16.5" customHeight="1" x14ac:dyDescent="0.25">
      <c r="B58" s="300"/>
      <c r="C58" s="308"/>
      <c r="D58" s="29"/>
      <c r="E58" s="29"/>
      <c r="F58" s="29"/>
      <c r="G58" s="29"/>
      <c r="H58" s="29"/>
      <c r="I58" s="29"/>
      <c r="J58" s="29"/>
      <c r="K58" s="29"/>
      <c r="L58" s="269"/>
      <c r="M58" s="269"/>
      <c r="N58" s="269"/>
      <c r="O58" s="282"/>
      <c r="P58" s="141"/>
      <c r="Q58" s="141"/>
      <c r="R58" s="142"/>
      <c r="S58" s="282"/>
      <c r="T58" s="141"/>
      <c r="U58" s="141"/>
      <c r="V58" s="142"/>
      <c r="W58" s="269"/>
      <c r="X58" s="141"/>
      <c r="Y58" s="141"/>
      <c r="Z58" s="142"/>
    </row>
    <row r="59" spans="2:26" ht="15.6" x14ac:dyDescent="0.25">
      <c r="B59" s="269"/>
      <c r="C59" s="269"/>
      <c r="D59" s="31"/>
      <c r="E59" s="31"/>
      <c r="F59" s="31"/>
      <c r="G59" s="31"/>
      <c r="H59" s="31"/>
      <c r="I59" s="31"/>
      <c r="J59" s="31"/>
      <c r="K59" s="31"/>
      <c r="L59" s="302"/>
      <c r="M59" s="303"/>
      <c r="N59" s="303"/>
      <c r="O59" s="282"/>
      <c r="P59" s="269"/>
      <c r="Q59" s="269"/>
      <c r="R59" s="269"/>
      <c r="S59" s="282"/>
      <c r="T59" s="269"/>
      <c r="U59" s="269"/>
      <c r="V59" s="269"/>
      <c r="W59" s="269"/>
      <c r="X59" s="269"/>
      <c r="Y59" s="269"/>
      <c r="Z59" s="269"/>
    </row>
    <row r="60" spans="2:26" ht="16.5" customHeight="1" x14ac:dyDescent="0.25">
      <c r="B60" s="309"/>
      <c r="C60" s="303"/>
      <c r="D60" s="303"/>
      <c r="E60" s="303"/>
      <c r="F60" s="303"/>
      <c r="G60" s="303"/>
      <c r="H60" s="303"/>
      <c r="I60" s="303"/>
      <c r="J60" s="303"/>
      <c r="K60" s="283"/>
      <c r="L60" s="302"/>
      <c r="M60" s="303"/>
      <c r="N60" s="303"/>
      <c r="O60" s="284"/>
      <c r="P60" s="302"/>
      <c r="Q60" s="303"/>
      <c r="R60" s="303"/>
      <c r="S60" s="284"/>
      <c r="T60" s="302"/>
      <c r="U60" s="303"/>
      <c r="V60" s="303"/>
      <c r="W60" s="269"/>
      <c r="X60" s="302"/>
      <c r="Y60" s="303"/>
      <c r="Z60" s="303"/>
    </row>
    <row r="61" spans="2:26" ht="36.75" customHeight="1" x14ac:dyDescent="0.25">
      <c r="B61" s="145"/>
      <c r="C61" s="148"/>
      <c r="D61" s="18"/>
      <c r="E61" s="18"/>
      <c r="F61" s="18"/>
      <c r="G61" s="18"/>
      <c r="H61" s="18"/>
      <c r="I61" s="18"/>
      <c r="J61" s="18"/>
      <c r="K61" s="18"/>
      <c r="L61" s="138"/>
      <c r="M61" s="18"/>
      <c r="N61" s="138"/>
      <c r="O61" s="19"/>
      <c r="P61" s="138"/>
      <c r="Q61" s="139"/>
      <c r="R61" s="138"/>
      <c r="S61" s="19"/>
      <c r="T61" s="138"/>
      <c r="U61" s="139"/>
      <c r="V61" s="138"/>
      <c r="W61" s="269"/>
      <c r="X61" s="138"/>
      <c r="Y61" s="139"/>
      <c r="Z61" s="138"/>
    </row>
    <row r="62" spans="2:26" x14ac:dyDescent="0.25">
      <c r="B62" s="289"/>
      <c r="C62" s="290"/>
      <c r="D62" s="27"/>
      <c r="E62" s="27"/>
      <c r="F62" s="27"/>
      <c r="G62" s="27"/>
      <c r="H62" s="27"/>
      <c r="I62" s="27"/>
      <c r="J62" s="27"/>
      <c r="K62" s="27"/>
      <c r="L62" s="138"/>
      <c r="M62" s="18"/>
      <c r="N62" s="138"/>
      <c r="O62" s="5"/>
      <c r="P62" s="140"/>
      <c r="Q62" s="140"/>
      <c r="R62" s="30"/>
      <c r="S62" s="5"/>
      <c r="T62" s="140"/>
      <c r="U62" s="140"/>
      <c r="V62" s="30"/>
      <c r="W62" s="269"/>
      <c r="X62" s="140"/>
      <c r="Y62" s="140"/>
      <c r="Z62" s="30"/>
    </row>
    <row r="63" spans="2:26" x14ac:dyDescent="0.25">
      <c r="B63" s="289"/>
      <c r="C63" s="290"/>
      <c r="D63" s="27"/>
      <c r="E63" s="27"/>
      <c r="F63" s="27"/>
      <c r="G63" s="27"/>
      <c r="H63" s="27"/>
      <c r="I63" s="27"/>
      <c r="J63" s="27"/>
      <c r="K63" s="27"/>
      <c r="L63" s="138"/>
      <c r="M63" s="18"/>
      <c r="N63" s="138"/>
      <c r="O63" s="5"/>
      <c r="P63" s="140"/>
      <c r="Q63" s="140"/>
      <c r="R63" s="30"/>
      <c r="S63" s="5"/>
      <c r="T63" s="140"/>
      <c r="U63" s="140"/>
      <c r="V63" s="30"/>
      <c r="W63" s="269"/>
      <c r="X63" s="140"/>
      <c r="Y63" s="140"/>
      <c r="Z63" s="30"/>
    </row>
    <row r="64" spans="2:26" ht="15.75" customHeight="1" x14ac:dyDescent="0.25">
      <c r="B64" s="289"/>
      <c r="C64" s="290"/>
      <c r="D64" s="27"/>
      <c r="E64" s="27"/>
      <c r="F64" s="27"/>
      <c r="G64" s="27"/>
      <c r="H64" s="27"/>
      <c r="I64" s="27"/>
      <c r="J64" s="27"/>
      <c r="K64" s="27"/>
      <c r="L64" s="138"/>
      <c r="M64" s="18"/>
      <c r="N64" s="138"/>
      <c r="O64" s="5"/>
      <c r="P64" s="140"/>
      <c r="Q64" s="140"/>
      <c r="R64" s="30"/>
      <c r="S64" s="5"/>
      <c r="T64" s="140"/>
      <c r="U64" s="140"/>
      <c r="V64" s="30"/>
      <c r="W64" s="269"/>
      <c r="X64" s="140"/>
      <c r="Y64" s="140"/>
      <c r="Z64" s="30"/>
    </row>
    <row r="65" spans="2:30" ht="16.5" customHeight="1" x14ac:dyDescent="0.25">
      <c r="B65" s="300"/>
      <c r="C65" s="308"/>
      <c r="D65" s="29"/>
      <c r="E65" s="29"/>
      <c r="F65" s="29"/>
      <c r="G65" s="29"/>
      <c r="H65" s="29"/>
      <c r="I65" s="29"/>
      <c r="J65" s="29"/>
      <c r="K65" s="29"/>
      <c r="L65" s="269"/>
      <c r="M65" s="269"/>
      <c r="N65" s="269"/>
      <c r="O65" s="282"/>
      <c r="P65" s="141"/>
      <c r="Q65" s="141"/>
      <c r="R65" s="142"/>
      <c r="S65" s="282"/>
      <c r="T65" s="141"/>
      <c r="U65" s="141"/>
      <c r="V65" s="142"/>
      <c r="W65" s="269"/>
      <c r="X65" s="143"/>
      <c r="Y65" s="144"/>
      <c r="Z65" s="145"/>
      <c r="AA65" s="269"/>
      <c r="AB65" s="269"/>
      <c r="AC65" s="269"/>
      <c r="AD65" s="269"/>
    </row>
    <row r="66" spans="2:30" ht="15.6" x14ac:dyDescent="0.25">
      <c r="B66" s="269"/>
      <c r="C66" s="269"/>
      <c r="D66" s="31"/>
      <c r="E66" s="31"/>
      <c r="F66" s="31"/>
      <c r="G66" s="31"/>
      <c r="H66" s="31"/>
      <c r="I66" s="31"/>
      <c r="J66" s="31"/>
      <c r="K66" s="31"/>
      <c r="L66" s="302"/>
      <c r="M66" s="303"/>
      <c r="N66" s="303"/>
      <c r="O66" s="282"/>
      <c r="P66" s="269"/>
      <c r="Q66" s="269"/>
      <c r="R66" s="269"/>
      <c r="S66" s="282"/>
      <c r="T66" s="269"/>
      <c r="U66" s="269"/>
      <c r="V66" s="269"/>
      <c r="W66" s="269"/>
      <c r="X66" s="31"/>
      <c r="Y66" s="281"/>
      <c r="Z66" s="269"/>
      <c r="AA66" s="269"/>
      <c r="AB66" s="269"/>
      <c r="AC66" s="269"/>
      <c r="AD66" s="269"/>
    </row>
    <row r="67" spans="2:30" ht="16.5" customHeight="1" x14ac:dyDescent="0.25">
      <c r="B67" s="309"/>
      <c r="C67" s="303"/>
      <c r="D67" s="303"/>
      <c r="E67" s="303"/>
      <c r="F67" s="303"/>
      <c r="G67" s="303"/>
      <c r="H67" s="303"/>
      <c r="I67" s="303"/>
      <c r="J67" s="303"/>
      <c r="K67" s="283"/>
      <c r="L67" s="302"/>
      <c r="M67" s="303"/>
      <c r="N67" s="303"/>
      <c r="O67" s="284"/>
      <c r="P67" s="302"/>
      <c r="Q67" s="303"/>
      <c r="R67" s="303"/>
      <c r="S67" s="284"/>
      <c r="T67" s="302"/>
      <c r="U67" s="303"/>
      <c r="V67" s="303"/>
      <c r="W67" s="269"/>
      <c r="X67" s="283"/>
      <c r="Y67" s="283"/>
      <c r="Z67" s="283"/>
      <c r="AA67" s="269"/>
      <c r="AB67" s="269"/>
      <c r="AC67" s="269"/>
      <c r="AD67" s="269"/>
    </row>
    <row r="68" spans="2:30" ht="36.75" customHeight="1" x14ac:dyDescent="0.25">
      <c r="B68" s="145"/>
      <c r="C68" s="148"/>
      <c r="D68" s="18"/>
      <c r="E68" s="18"/>
      <c r="F68" s="18"/>
      <c r="G68" s="18"/>
      <c r="H68" s="18"/>
      <c r="I68" s="18"/>
      <c r="J68" s="18"/>
      <c r="K68" s="18"/>
      <c r="L68" s="138"/>
      <c r="M68" s="18"/>
      <c r="N68" s="138"/>
      <c r="O68" s="19"/>
      <c r="P68" s="138"/>
      <c r="Q68" s="139"/>
      <c r="R68" s="138"/>
      <c r="S68" s="19"/>
      <c r="T68" s="138"/>
      <c r="U68" s="139"/>
      <c r="V68" s="138"/>
      <c r="W68" s="269"/>
      <c r="X68" s="18"/>
      <c r="Y68" s="138"/>
      <c r="Z68" s="18"/>
      <c r="AA68" s="269"/>
      <c r="AB68" s="269"/>
      <c r="AC68" s="269"/>
      <c r="AD68" s="269"/>
    </row>
    <row r="69" spans="2:30" x14ac:dyDescent="0.25">
      <c r="B69" s="289"/>
      <c r="C69" s="290"/>
      <c r="D69" s="27"/>
      <c r="E69" s="27"/>
      <c r="F69" s="27"/>
      <c r="G69" s="27"/>
      <c r="H69" s="27"/>
      <c r="I69" s="27"/>
      <c r="J69" s="27"/>
      <c r="K69" s="27"/>
      <c r="L69" s="138"/>
      <c r="M69" s="18"/>
      <c r="N69" s="138"/>
      <c r="O69" s="5"/>
      <c r="P69" s="140"/>
      <c r="Q69" s="140"/>
      <c r="R69" s="30"/>
      <c r="S69" s="5"/>
      <c r="T69" s="140"/>
      <c r="U69" s="140"/>
      <c r="V69" s="30"/>
      <c r="W69" s="269"/>
      <c r="X69" s="138"/>
      <c r="Y69" s="139"/>
      <c r="Z69" s="138"/>
      <c r="AA69" s="19"/>
      <c r="AB69" s="138"/>
      <c r="AC69" s="139"/>
      <c r="AD69" s="138"/>
    </row>
    <row r="70" spans="2:30" x14ac:dyDescent="0.25">
      <c r="B70" s="289"/>
      <c r="C70" s="290"/>
      <c r="D70" s="27"/>
      <c r="E70" s="27"/>
      <c r="F70" s="27"/>
      <c r="G70" s="27"/>
      <c r="H70" s="27"/>
      <c r="I70" s="27"/>
      <c r="J70" s="27"/>
      <c r="K70" s="27"/>
      <c r="L70" s="138"/>
      <c r="M70" s="18"/>
      <c r="N70" s="138"/>
      <c r="O70" s="5"/>
      <c r="P70" s="140"/>
      <c r="Q70" s="140"/>
      <c r="R70" s="30"/>
      <c r="S70" s="5"/>
      <c r="T70" s="140"/>
      <c r="U70" s="140"/>
      <c r="V70" s="30"/>
      <c r="W70" s="269"/>
      <c r="X70" s="140"/>
      <c r="Y70" s="140"/>
      <c r="Z70" s="30"/>
      <c r="AA70" s="5"/>
      <c r="AB70" s="140"/>
      <c r="AC70" s="140"/>
      <c r="AD70" s="30"/>
    </row>
    <row r="71" spans="2:30" ht="15.75" customHeight="1" x14ac:dyDescent="0.25">
      <c r="B71" s="289"/>
      <c r="C71" s="290"/>
      <c r="D71" s="27"/>
      <c r="E71" s="27"/>
      <c r="F71" s="27"/>
      <c r="G71" s="27"/>
      <c r="H71" s="27"/>
      <c r="I71" s="27"/>
      <c r="J71" s="27"/>
      <c r="K71" s="27"/>
      <c r="L71" s="138"/>
      <c r="M71" s="18"/>
      <c r="N71" s="138"/>
      <c r="O71" s="5"/>
      <c r="P71" s="140"/>
      <c r="Q71" s="140"/>
      <c r="R71" s="30"/>
      <c r="S71" s="5"/>
      <c r="T71" s="140"/>
      <c r="U71" s="140"/>
      <c r="V71" s="30"/>
      <c r="W71" s="269"/>
      <c r="X71" s="140"/>
      <c r="Y71" s="140"/>
      <c r="Z71" s="30"/>
      <c r="AA71" s="5"/>
      <c r="AB71" s="140"/>
      <c r="AC71" s="140"/>
      <c r="AD71" s="30"/>
    </row>
    <row r="72" spans="2:30" ht="16.5" customHeight="1" x14ac:dyDescent="0.25">
      <c r="B72" s="300"/>
      <c r="C72" s="308"/>
      <c r="D72" s="29"/>
      <c r="E72" s="29"/>
      <c r="F72" s="29"/>
      <c r="G72" s="29"/>
      <c r="H72" s="29"/>
      <c r="I72" s="29"/>
      <c r="J72" s="29"/>
      <c r="K72" s="29"/>
      <c r="L72" s="269"/>
      <c r="M72" s="269"/>
      <c r="N72" s="269"/>
      <c r="O72" s="282"/>
      <c r="P72" s="141"/>
      <c r="Q72" s="141"/>
      <c r="R72" s="142"/>
      <c r="S72" s="282"/>
      <c r="T72" s="141"/>
      <c r="U72" s="141"/>
      <c r="V72" s="142"/>
      <c r="W72" s="269"/>
      <c r="X72" s="140"/>
      <c r="Y72" s="140"/>
      <c r="Z72" s="30"/>
      <c r="AA72" s="5"/>
      <c r="AB72" s="140"/>
      <c r="AC72" s="140"/>
      <c r="AD72" s="30"/>
    </row>
    <row r="73" spans="2:30" ht="15.6" x14ac:dyDescent="0.25">
      <c r="B73" s="269"/>
      <c r="C73" s="269"/>
      <c r="D73" s="269"/>
      <c r="E73" s="269"/>
      <c r="F73" s="269"/>
      <c r="G73" s="269"/>
      <c r="H73" s="269"/>
      <c r="I73" s="269"/>
      <c r="J73" s="269"/>
      <c r="K73" s="269"/>
      <c r="L73" s="302"/>
      <c r="M73" s="303"/>
      <c r="N73" s="303"/>
      <c r="O73" s="282"/>
      <c r="P73" s="269"/>
      <c r="Q73" s="269"/>
      <c r="R73" s="269"/>
      <c r="S73" s="282"/>
      <c r="T73" s="269"/>
      <c r="U73" s="269"/>
      <c r="V73" s="269"/>
      <c r="W73" s="269"/>
      <c r="X73" s="141"/>
      <c r="Y73" s="141"/>
      <c r="Z73" s="142"/>
      <c r="AA73" s="282"/>
      <c r="AB73" s="141"/>
      <c r="AC73" s="141"/>
      <c r="AD73" s="142"/>
    </row>
    <row r="74" spans="2:30" x14ac:dyDescent="0.25">
      <c r="B74" s="269"/>
      <c r="C74" s="269"/>
      <c r="D74" s="31"/>
      <c r="E74" s="31"/>
      <c r="F74" s="31"/>
      <c r="G74" s="31"/>
      <c r="H74" s="31"/>
      <c r="I74" s="31"/>
      <c r="J74" s="31"/>
      <c r="K74" s="31"/>
      <c r="L74" s="269"/>
      <c r="M74" s="269"/>
      <c r="N74" s="269"/>
      <c r="O74" s="282"/>
      <c r="P74" s="269"/>
      <c r="Q74" s="269"/>
      <c r="R74" s="269"/>
      <c r="S74" s="282"/>
      <c r="T74" s="269"/>
      <c r="U74" s="269"/>
      <c r="V74" s="269"/>
      <c r="W74" s="269"/>
      <c r="X74" s="269"/>
      <c r="Y74" s="269"/>
      <c r="Z74" s="269"/>
      <c r="AA74" s="282"/>
      <c r="AB74" s="269"/>
      <c r="AC74" s="269"/>
      <c r="AD74" s="269"/>
    </row>
    <row r="75" spans="2:30" ht="15.6" x14ac:dyDescent="0.25">
      <c r="B75" s="269"/>
      <c r="C75" s="269"/>
      <c r="D75" s="31"/>
      <c r="E75" s="31"/>
      <c r="F75" s="31"/>
      <c r="G75" s="31"/>
      <c r="H75" s="31"/>
      <c r="I75" s="31"/>
      <c r="J75" s="31"/>
      <c r="K75" s="31"/>
      <c r="L75" s="269"/>
      <c r="M75" s="269"/>
      <c r="N75" s="269"/>
      <c r="O75" s="282"/>
      <c r="P75" s="269"/>
      <c r="Q75" s="269"/>
      <c r="R75" s="269"/>
      <c r="S75" s="282"/>
      <c r="T75" s="269"/>
      <c r="U75" s="269"/>
      <c r="V75" s="269"/>
      <c r="W75" s="269"/>
      <c r="X75" s="302"/>
      <c r="Y75" s="303"/>
      <c r="Z75" s="303"/>
      <c r="AA75" s="284"/>
      <c r="AB75" s="302"/>
      <c r="AC75" s="303"/>
      <c r="AD75" s="303"/>
    </row>
    <row r="76" spans="2:30" x14ac:dyDescent="0.25">
      <c r="B76" s="269"/>
      <c r="C76" s="269"/>
      <c r="D76" s="31"/>
      <c r="E76" s="31"/>
      <c r="F76" s="31"/>
      <c r="G76" s="31"/>
      <c r="H76" s="31"/>
      <c r="I76" s="31"/>
      <c r="J76" s="31"/>
      <c r="K76" s="31"/>
      <c r="L76" s="269"/>
      <c r="M76" s="269"/>
      <c r="N76" s="269"/>
      <c r="O76" s="282"/>
      <c r="P76" s="269"/>
      <c r="Q76" s="269"/>
      <c r="R76" s="269"/>
      <c r="S76" s="282"/>
      <c r="T76" s="269"/>
      <c r="U76" s="269"/>
      <c r="V76" s="269"/>
      <c r="W76" s="269"/>
      <c r="X76" s="138"/>
      <c r="Y76" s="139"/>
      <c r="Z76" s="138"/>
      <c r="AA76" s="19"/>
      <c r="AB76" s="138"/>
      <c r="AC76" s="139"/>
      <c r="AD76" s="138"/>
    </row>
    <row r="77" spans="2:30" x14ac:dyDescent="0.25">
      <c r="B77" s="269"/>
      <c r="C77" s="269"/>
      <c r="D77" s="31"/>
      <c r="E77" s="31"/>
      <c r="F77" s="31"/>
      <c r="G77" s="31"/>
      <c r="H77" s="31"/>
      <c r="I77" s="31"/>
      <c r="J77" s="31"/>
      <c r="K77" s="31"/>
      <c r="L77" s="269"/>
      <c r="M77" s="269"/>
      <c r="N77" s="269"/>
      <c r="O77" s="282"/>
      <c r="P77" s="269"/>
      <c r="Q77" s="269"/>
      <c r="R77" s="269"/>
      <c r="S77" s="282"/>
      <c r="T77" s="269"/>
      <c r="U77" s="269"/>
      <c r="V77" s="269"/>
      <c r="W77" s="269"/>
      <c r="X77" s="140"/>
      <c r="Y77" s="140"/>
      <c r="Z77" s="30"/>
      <c r="AA77" s="5"/>
      <c r="AB77" s="140"/>
      <c r="AC77" s="140"/>
      <c r="AD77" s="30"/>
    </row>
    <row r="78" spans="2:30" x14ac:dyDescent="0.25">
      <c r="B78" s="269"/>
      <c r="C78" s="269"/>
      <c r="D78" s="31"/>
      <c r="E78" s="31"/>
      <c r="F78" s="31"/>
      <c r="G78" s="31"/>
      <c r="H78" s="31"/>
      <c r="I78" s="31"/>
      <c r="J78" s="31"/>
      <c r="K78" s="31"/>
      <c r="L78" s="269"/>
      <c r="M78" s="269"/>
      <c r="N78" s="269"/>
      <c r="O78" s="282"/>
      <c r="P78" s="269"/>
      <c r="Q78" s="269"/>
      <c r="R78" s="269"/>
      <c r="S78" s="282"/>
      <c r="T78" s="269"/>
      <c r="U78" s="269"/>
      <c r="V78" s="269"/>
      <c r="W78" s="269"/>
      <c r="X78" s="140"/>
      <c r="Y78" s="140"/>
      <c r="Z78" s="30"/>
      <c r="AA78" s="5"/>
      <c r="AB78" s="140"/>
      <c r="AC78" s="140"/>
      <c r="AD78" s="30"/>
    </row>
    <row r="79" spans="2:30" x14ac:dyDescent="0.25">
      <c r="B79" s="269"/>
      <c r="C79" s="269"/>
      <c r="D79" s="31"/>
      <c r="E79" s="31"/>
      <c r="F79" s="31"/>
      <c r="G79" s="31"/>
      <c r="H79" s="31"/>
      <c r="I79" s="31"/>
      <c r="J79" s="31"/>
      <c r="K79" s="31"/>
      <c r="L79" s="269"/>
      <c r="M79" s="269"/>
      <c r="N79" s="269"/>
      <c r="O79" s="282"/>
      <c r="P79" s="269"/>
      <c r="Q79" s="269"/>
      <c r="R79" s="269"/>
      <c r="S79" s="282"/>
      <c r="T79" s="269"/>
      <c r="U79" s="269"/>
      <c r="V79" s="269"/>
      <c r="W79" s="269"/>
      <c r="X79" s="140"/>
      <c r="Y79" s="140"/>
      <c r="Z79" s="30"/>
      <c r="AA79" s="5"/>
      <c r="AB79" s="140"/>
      <c r="AC79" s="140"/>
      <c r="AD79" s="30"/>
    </row>
    <row r="80" spans="2:30" x14ac:dyDescent="0.25">
      <c r="B80" s="269"/>
      <c r="C80" s="269"/>
      <c r="D80" s="31"/>
      <c r="E80" s="31"/>
      <c r="F80" s="31"/>
      <c r="G80" s="31"/>
      <c r="H80" s="31"/>
      <c r="I80" s="31"/>
      <c r="J80" s="31"/>
      <c r="K80" s="31"/>
      <c r="L80" s="269"/>
      <c r="M80" s="269"/>
      <c r="N80" s="269"/>
      <c r="O80" s="282"/>
      <c r="P80" s="269"/>
      <c r="Q80" s="269"/>
      <c r="R80" s="269"/>
      <c r="S80" s="282"/>
      <c r="T80" s="269"/>
      <c r="U80" s="269"/>
      <c r="V80" s="269"/>
      <c r="W80" s="269"/>
      <c r="X80" s="141"/>
      <c r="Y80" s="141"/>
      <c r="Z80" s="142"/>
      <c r="AA80" s="282"/>
      <c r="AB80" s="141"/>
      <c r="AC80" s="141"/>
      <c r="AD80" s="142"/>
    </row>
    <row r="81" spans="4:24" x14ac:dyDescent="0.25">
      <c r="D81" s="31"/>
      <c r="E81" s="31"/>
      <c r="F81" s="31"/>
      <c r="G81" s="31"/>
      <c r="H81" s="31"/>
      <c r="I81" s="31"/>
      <c r="J81" s="31"/>
      <c r="K81" s="31"/>
      <c r="L81" s="269"/>
      <c r="M81" s="269"/>
      <c r="N81" s="269"/>
      <c r="O81" s="282"/>
      <c r="P81" s="269"/>
      <c r="Q81" s="269"/>
      <c r="R81" s="269"/>
      <c r="S81" s="282"/>
      <c r="T81" s="269"/>
      <c r="U81" s="269"/>
      <c r="V81" s="269"/>
      <c r="W81" s="269"/>
      <c r="X81" s="31"/>
    </row>
    <row r="82" spans="4:24" x14ac:dyDescent="0.25">
      <c r="D82" s="31"/>
      <c r="E82" s="31"/>
      <c r="F82" s="31"/>
      <c r="G82" s="31"/>
      <c r="H82" s="31"/>
      <c r="I82" s="31"/>
      <c r="J82" s="31"/>
      <c r="K82" s="31"/>
      <c r="L82" s="269"/>
      <c r="M82" s="269"/>
      <c r="N82" s="269"/>
      <c r="O82" s="282"/>
      <c r="P82" s="269"/>
      <c r="Q82" s="269"/>
      <c r="R82" s="269"/>
      <c r="S82" s="282"/>
      <c r="T82" s="269"/>
      <c r="U82" s="269"/>
      <c r="V82" s="269"/>
      <c r="W82" s="269"/>
      <c r="X82" s="31"/>
    </row>
    <row r="83" spans="4:24" x14ac:dyDescent="0.25">
      <c r="D83" s="31"/>
      <c r="E83" s="31"/>
      <c r="F83" s="31"/>
      <c r="G83" s="31"/>
      <c r="H83" s="31"/>
      <c r="I83" s="31"/>
      <c r="J83" s="31"/>
      <c r="K83" s="31"/>
      <c r="L83" s="269"/>
      <c r="M83" s="269"/>
      <c r="N83" s="269"/>
      <c r="O83" s="282"/>
      <c r="P83" s="269"/>
      <c r="Q83" s="269"/>
      <c r="R83" s="269"/>
      <c r="S83" s="282"/>
      <c r="T83" s="269"/>
      <c r="U83" s="269"/>
      <c r="V83" s="269"/>
      <c r="W83" s="269"/>
      <c r="X83" s="31"/>
    </row>
    <row r="84" spans="4:24" x14ac:dyDescent="0.25">
      <c r="D84" s="31"/>
      <c r="E84" s="31"/>
      <c r="F84" s="31"/>
      <c r="G84" s="31"/>
      <c r="H84" s="31"/>
      <c r="I84" s="31"/>
      <c r="J84" s="31"/>
      <c r="K84" s="31"/>
      <c r="L84" s="269"/>
      <c r="M84" s="269"/>
      <c r="N84" s="269"/>
      <c r="O84" s="282"/>
      <c r="P84" s="269"/>
      <c r="Q84" s="269"/>
      <c r="R84" s="269"/>
      <c r="S84" s="282"/>
      <c r="T84" s="269"/>
      <c r="U84" s="269"/>
      <c r="V84" s="269"/>
      <c r="W84" s="269"/>
      <c r="X84" s="31"/>
    </row>
    <row r="85" spans="4:24" x14ac:dyDescent="0.25">
      <c r="D85" s="31"/>
      <c r="E85" s="31"/>
      <c r="F85" s="31"/>
      <c r="G85" s="31"/>
      <c r="H85" s="31"/>
      <c r="I85" s="31"/>
      <c r="J85" s="31"/>
      <c r="K85" s="31"/>
      <c r="L85" s="269"/>
      <c r="M85" s="269"/>
      <c r="N85" s="269"/>
      <c r="O85" s="282"/>
      <c r="P85" s="269"/>
      <c r="Q85" s="269"/>
      <c r="R85" s="269"/>
      <c r="S85" s="282"/>
      <c r="T85" s="269"/>
      <c r="U85" s="269"/>
      <c r="V85" s="269"/>
      <c r="W85" s="269"/>
      <c r="X85" s="31"/>
    </row>
    <row r="86" spans="4:24" x14ac:dyDescent="0.25">
      <c r="D86" s="31"/>
      <c r="E86" s="31"/>
      <c r="F86" s="31"/>
      <c r="G86" s="31"/>
      <c r="H86" s="31"/>
      <c r="I86" s="31"/>
      <c r="J86" s="31"/>
      <c r="K86" s="31"/>
      <c r="L86" s="269"/>
      <c r="M86" s="269"/>
      <c r="N86" s="269"/>
      <c r="O86" s="282"/>
      <c r="P86" s="269"/>
      <c r="Q86" s="269"/>
      <c r="R86" s="269"/>
      <c r="S86" s="282"/>
      <c r="T86" s="269"/>
      <c r="U86" s="269"/>
      <c r="V86" s="269"/>
      <c r="W86" s="269"/>
      <c r="X86" s="31"/>
    </row>
    <row r="87" spans="4:24" x14ac:dyDescent="0.25">
      <c r="D87" s="31"/>
      <c r="E87" s="31"/>
      <c r="F87" s="31"/>
      <c r="G87" s="31"/>
      <c r="H87" s="31"/>
      <c r="I87" s="31"/>
      <c r="J87" s="31"/>
      <c r="K87" s="31"/>
      <c r="L87" s="269"/>
      <c r="M87" s="269"/>
      <c r="N87" s="269"/>
      <c r="O87" s="282"/>
      <c r="P87" s="269"/>
      <c r="Q87" s="269"/>
      <c r="R87" s="269"/>
      <c r="S87" s="282"/>
      <c r="T87" s="269"/>
      <c r="U87" s="269"/>
      <c r="V87" s="269"/>
      <c r="W87" s="269"/>
      <c r="X87" s="31"/>
    </row>
    <row r="88" spans="4:24" x14ac:dyDescent="0.25">
      <c r="D88" s="31"/>
      <c r="E88" s="31"/>
      <c r="F88" s="31"/>
      <c r="G88" s="31"/>
      <c r="H88" s="31"/>
      <c r="I88" s="31"/>
      <c r="J88" s="31"/>
      <c r="K88" s="31"/>
      <c r="L88" s="269"/>
      <c r="M88" s="269"/>
      <c r="N88" s="269"/>
      <c r="O88" s="282"/>
      <c r="P88" s="269"/>
      <c r="Q88" s="269"/>
      <c r="R88" s="269"/>
      <c r="S88" s="282"/>
      <c r="T88" s="269"/>
      <c r="U88" s="269"/>
      <c r="V88" s="269"/>
      <c r="W88" s="269"/>
      <c r="X88" s="31"/>
    </row>
    <row r="89" spans="4:24" x14ac:dyDescent="0.25">
      <c r="D89" s="31"/>
      <c r="E89" s="31"/>
      <c r="F89" s="31"/>
      <c r="G89" s="31"/>
      <c r="H89" s="31"/>
      <c r="I89" s="31"/>
      <c r="J89" s="31"/>
      <c r="K89" s="31"/>
      <c r="L89" s="269"/>
      <c r="M89" s="269"/>
      <c r="N89" s="269"/>
      <c r="O89" s="282"/>
      <c r="P89" s="269"/>
      <c r="Q89" s="269"/>
      <c r="R89" s="269"/>
      <c r="S89" s="282"/>
      <c r="T89" s="269"/>
      <c r="U89" s="269"/>
      <c r="V89" s="269"/>
      <c r="W89" s="269"/>
      <c r="X89" s="31"/>
    </row>
    <row r="90" spans="4:24" x14ac:dyDescent="0.25">
      <c r="D90" s="31"/>
      <c r="E90" s="31"/>
      <c r="F90" s="31"/>
      <c r="G90" s="31"/>
      <c r="H90" s="31"/>
      <c r="I90" s="31"/>
      <c r="J90" s="31"/>
      <c r="K90" s="31"/>
      <c r="L90" s="269"/>
      <c r="M90" s="269"/>
      <c r="N90" s="269"/>
      <c r="O90" s="282"/>
      <c r="P90" s="269"/>
      <c r="Q90" s="269"/>
      <c r="R90" s="269"/>
      <c r="S90" s="282"/>
      <c r="T90" s="269"/>
      <c r="U90" s="269"/>
      <c r="V90" s="269"/>
      <c r="W90" s="269"/>
      <c r="X90" s="31"/>
    </row>
    <row r="91" spans="4:24" x14ac:dyDescent="0.25">
      <c r="D91" s="31"/>
      <c r="E91" s="31"/>
      <c r="F91" s="31"/>
      <c r="G91" s="31"/>
      <c r="H91" s="31"/>
      <c r="I91" s="31"/>
      <c r="J91" s="31"/>
      <c r="K91" s="31"/>
      <c r="L91" s="269"/>
      <c r="M91" s="269"/>
      <c r="N91" s="269"/>
      <c r="O91" s="282"/>
      <c r="P91" s="269"/>
      <c r="Q91" s="269"/>
      <c r="R91" s="269"/>
      <c r="S91" s="282"/>
      <c r="T91" s="269"/>
      <c r="U91" s="269"/>
      <c r="V91" s="269"/>
      <c r="W91" s="269"/>
      <c r="X91" s="31"/>
    </row>
    <row r="92" spans="4:24" x14ac:dyDescent="0.25">
      <c r="D92" s="31"/>
      <c r="E92" s="31"/>
      <c r="F92" s="31"/>
      <c r="G92" s="31"/>
      <c r="H92" s="31"/>
      <c r="I92" s="31"/>
      <c r="J92" s="31"/>
      <c r="K92" s="31"/>
      <c r="L92" s="269"/>
      <c r="M92" s="269"/>
      <c r="N92" s="269"/>
      <c r="O92" s="282"/>
      <c r="P92" s="269"/>
      <c r="Q92" s="269"/>
      <c r="R92" s="269"/>
      <c r="S92" s="282"/>
      <c r="T92" s="269"/>
      <c r="U92" s="269"/>
      <c r="V92" s="269"/>
      <c r="W92" s="269"/>
      <c r="X92" s="31"/>
    </row>
    <row r="93" spans="4:24" x14ac:dyDescent="0.25">
      <c r="D93" s="31"/>
      <c r="E93" s="31"/>
      <c r="F93" s="31"/>
      <c r="G93" s="31"/>
      <c r="H93" s="31"/>
      <c r="I93" s="31"/>
      <c r="J93" s="31"/>
      <c r="K93" s="31"/>
      <c r="L93" s="269"/>
      <c r="M93" s="269"/>
      <c r="N93" s="269"/>
      <c r="O93" s="282"/>
      <c r="P93" s="269"/>
      <c r="Q93" s="269"/>
      <c r="R93" s="269"/>
      <c r="S93" s="282"/>
      <c r="T93" s="269"/>
      <c r="U93" s="269"/>
      <c r="V93" s="269"/>
      <c r="W93" s="269"/>
      <c r="X93" s="31"/>
    </row>
    <row r="94" spans="4:24" x14ac:dyDescent="0.25">
      <c r="D94" s="31"/>
      <c r="E94" s="31"/>
      <c r="F94" s="31"/>
      <c r="G94" s="31"/>
      <c r="H94" s="31"/>
      <c r="I94" s="31"/>
      <c r="J94" s="31"/>
      <c r="K94" s="31"/>
      <c r="L94" s="269"/>
      <c r="M94" s="269"/>
      <c r="N94" s="269"/>
      <c r="O94" s="282"/>
      <c r="P94" s="269"/>
      <c r="Q94" s="269"/>
      <c r="R94" s="269"/>
      <c r="S94" s="282"/>
      <c r="T94" s="269"/>
      <c r="U94" s="269"/>
      <c r="V94" s="269"/>
      <c r="W94" s="269"/>
      <c r="X94" s="31"/>
    </row>
    <row r="95" spans="4:24" x14ac:dyDescent="0.25">
      <c r="D95" s="31"/>
      <c r="E95" s="31"/>
      <c r="F95" s="31"/>
      <c r="G95" s="31"/>
      <c r="H95" s="31"/>
      <c r="I95" s="31"/>
      <c r="J95" s="31"/>
      <c r="K95" s="31"/>
      <c r="L95" s="269"/>
      <c r="M95" s="269"/>
      <c r="N95" s="269"/>
      <c r="O95" s="282"/>
      <c r="P95" s="269"/>
      <c r="Q95" s="269"/>
      <c r="R95" s="269"/>
      <c r="S95" s="282"/>
      <c r="T95" s="269"/>
      <c r="U95" s="269"/>
      <c r="V95" s="269"/>
      <c r="W95" s="269"/>
      <c r="X95" s="31"/>
    </row>
    <row r="96" spans="4:24" x14ac:dyDescent="0.25">
      <c r="D96" s="31"/>
      <c r="E96" s="31"/>
      <c r="F96" s="31"/>
      <c r="G96" s="31"/>
      <c r="H96" s="31"/>
      <c r="I96" s="31"/>
      <c r="J96" s="31"/>
      <c r="K96" s="31"/>
      <c r="L96" s="269"/>
      <c r="M96" s="269"/>
      <c r="N96" s="269"/>
      <c r="O96" s="282"/>
      <c r="P96" s="269"/>
      <c r="Q96" s="269"/>
      <c r="R96" s="269"/>
      <c r="S96" s="282"/>
      <c r="T96" s="269"/>
      <c r="U96" s="269"/>
      <c r="V96" s="269"/>
      <c r="W96" s="269"/>
      <c r="X96" s="31"/>
    </row>
    <row r="97" spans="4:24" x14ac:dyDescent="0.25">
      <c r="D97" s="31"/>
      <c r="E97" s="31"/>
      <c r="F97" s="31"/>
      <c r="G97" s="31"/>
      <c r="H97" s="31"/>
      <c r="I97" s="31"/>
      <c r="J97" s="31"/>
      <c r="K97" s="31"/>
      <c r="L97" s="269"/>
      <c r="M97" s="269"/>
      <c r="N97" s="269"/>
      <c r="O97" s="282"/>
      <c r="P97" s="269"/>
      <c r="Q97" s="269"/>
      <c r="R97" s="269"/>
      <c r="S97" s="282"/>
      <c r="T97" s="269"/>
      <c r="U97" s="269"/>
      <c r="V97" s="269"/>
      <c r="W97" s="269"/>
      <c r="X97" s="31"/>
    </row>
    <row r="98" spans="4:24" x14ac:dyDescent="0.25">
      <c r="D98" s="31"/>
      <c r="E98" s="31"/>
      <c r="F98" s="31"/>
      <c r="G98" s="31"/>
      <c r="H98" s="31"/>
      <c r="I98" s="31"/>
      <c r="J98" s="31"/>
      <c r="K98" s="31"/>
      <c r="L98" s="269"/>
      <c r="M98" s="269"/>
      <c r="N98" s="269"/>
      <c r="O98" s="282"/>
      <c r="P98" s="269"/>
      <c r="Q98" s="269"/>
      <c r="R98" s="269"/>
      <c r="S98" s="282"/>
      <c r="T98" s="269"/>
      <c r="U98" s="269"/>
      <c r="V98" s="269"/>
      <c r="W98" s="269"/>
      <c r="X98" s="31"/>
    </row>
    <row r="99" spans="4:24" x14ac:dyDescent="0.25">
      <c r="D99" s="31"/>
      <c r="E99" s="31"/>
      <c r="F99" s="31"/>
      <c r="G99" s="31"/>
      <c r="H99" s="31"/>
      <c r="I99" s="31"/>
      <c r="J99" s="31"/>
      <c r="K99" s="31"/>
      <c r="L99" s="269"/>
      <c r="M99" s="269"/>
      <c r="N99" s="269"/>
      <c r="O99" s="282"/>
      <c r="P99" s="269"/>
      <c r="Q99" s="269"/>
      <c r="R99" s="269"/>
      <c r="S99" s="282"/>
      <c r="T99" s="269"/>
      <c r="U99" s="269"/>
      <c r="V99" s="269"/>
      <c r="W99" s="269"/>
      <c r="X99" s="31"/>
    </row>
    <row r="100" spans="4:24" x14ac:dyDescent="0.25">
      <c r="D100" s="31"/>
      <c r="E100" s="31"/>
      <c r="F100" s="31"/>
      <c r="G100" s="31"/>
      <c r="H100" s="31"/>
      <c r="I100" s="31"/>
      <c r="J100" s="31"/>
      <c r="K100" s="31"/>
      <c r="L100" s="269"/>
      <c r="M100" s="269"/>
      <c r="N100" s="269"/>
      <c r="O100" s="282"/>
      <c r="P100" s="269"/>
      <c r="Q100" s="269"/>
      <c r="R100" s="269"/>
      <c r="S100" s="282"/>
      <c r="T100" s="269"/>
      <c r="U100" s="269"/>
      <c r="V100" s="269"/>
      <c r="W100" s="269"/>
      <c r="X100" s="31"/>
    </row>
    <row r="101" spans="4:24" x14ac:dyDescent="0.25">
      <c r="D101" s="31"/>
      <c r="E101" s="31"/>
      <c r="F101" s="31"/>
      <c r="G101" s="31"/>
      <c r="H101" s="31"/>
      <c r="I101" s="31"/>
      <c r="J101" s="31"/>
      <c r="K101" s="31"/>
      <c r="L101" s="269"/>
      <c r="M101" s="269"/>
      <c r="N101" s="269"/>
      <c r="O101" s="282"/>
      <c r="P101" s="269"/>
      <c r="Q101" s="269"/>
      <c r="R101" s="269"/>
      <c r="S101" s="282"/>
      <c r="T101" s="269"/>
      <c r="U101" s="269"/>
      <c r="V101" s="269"/>
      <c r="W101" s="269"/>
      <c r="X101" s="31"/>
    </row>
    <row r="102" spans="4:24" x14ac:dyDescent="0.25">
      <c r="D102" s="31"/>
      <c r="E102" s="31"/>
      <c r="F102" s="31"/>
      <c r="G102" s="31"/>
      <c r="H102" s="31"/>
      <c r="I102" s="31"/>
      <c r="J102" s="31"/>
      <c r="K102" s="31"/>
      <c r="L102" s="269"/>
      <c r="M102" s="269"/>
      <c r="N102" s="269"/>
      <c r="O102" s="282"/>
      <c r="P102" s="269"/>
      <c r="Q102" s="269"/>
      <c r="R102" s="269"/>
      <c r="S102" s="282"/>
      <c r="T102" s="269"/>
      <c r="U102" s="269"/>
      <c r="V102" s="269"/>
      <c r="W102" s="269"/>
      <c r="X102" s="31"/>
    </row>
    <row r="103" spans="4:24" x14ac:dyDescent="0.25">
      <c r="D103" s="31"/>
      <c r="E103" s="31"/>
      <c r="F103" s="31"/>
      <c r="G103" s="31"/>
      <c r="H103" s="31"/>
      <c r="I103" s="31"/>
      <c r="J103" s="31"/>
      <c r="K103" s="31"/>
      <c r="L103" s="269"/>
      <c r="M103" s="269"/>
      <c r="N103" s="269"/>
      <c r="O103" s="282"/>
      <c r="P103" s="269"/>
      <c r="Q103" s="269"/>
      <c r="R103" s="269"/>
      <c r="S103" s="282"/>
      <c r="T103" s="269"/>
      <c r="U103" s="269"/>
      <c r="V103" s="269"/>
      <c r="W103" s="269"/>
      <c r="X103" s="31"/>
    </row>
    <row r="104" spans="4:24" x14ac:dyDescent="0.25">
      <c r="D104" s="31"/>
      <c r="E104" s="31"/>
      <c r="F104" s="31"/>
      <c r="G104" s="31"/>
      <c r="H104" s="31"/>
      <c r="I104" s="31"/>
      <c r="J104" s="31"/>
      <c r="K104" s="31"/>
      <c r="L104" s="269"/>
      <c r="M104" s="269"/>
      <c r="N104" s="269"/>
      <c r="O104" s="282"/>
      <c r="P104" s="269"/>
      <c r="Q104" s="269"/>
      <c r="R104" s="269"/>
      <c r="S104" s="282"/>
      <c r="T104" s="269"/>
      <c r="U104" s="269"/>
      <c r="V104" s="269"/>
      <c r="W104" s="269"/>
      <c r="X104" s="31"/>
    </row>
    <row r="105" spans="4:24" x14ac:dyDescent="0.25">
      <c r="D105" s="31"/>
      <c r="E105" s="31"/>
      <c r="F105" s="31"/>
      <c r="G105" s="31"/>
      <c r="H105" s="31"/>
      <c r="I105" s="31"/>
      <c r="J105" s="31"/>
      <c r="K105" s="31"/>
      <c r="L105" s="269"/>
      <c r="M105" s="269"/>
      <c r="N105" s="269"/>
      <c r="O105" s="282"/>
      <c r="P105" s="269"/>
      <c r="Q105" s="269"/>
      <c r="R105" s="269"/>
      <c r="S105" s="282"/>
      <c r="T105" s="269"/>
      <c r="U105" s="269"/>
      <c r="V105" s="269"/>
      <c r="W105" s="269"/>
      <c r="X105" s="31"/>
    </row>
    <row r="106" spans="4:24" x14ac:dyDescent="0.25">
      <c r="D106" s="31"/>
      <c r="E106" s="31"/>
      <c r="F106" s="31"/>
      <c r="G106" s="31"/>
      <c r="H106" s="31"/>
      <c r="I106" s="31"/>
      <c r="J106" s="31"/>
      <c r="K106" s="31"/>
      <c r="L106" s="269"/>
      <c r="M106" s="269"/>
      <c r="N106" s="269"/>
      <c r="O106" s="282"/>
      <c r="P106" s="269"/>
      <c r="Q106" s="269"/>
      <c r="R106" s="269"/>
      <c r="S106" s="282"/>
      <c r="T106" s="269"/>
      <c r="U106" s="269"/>
      <c r="V106" s="269"/>
      <c r="W106" s="269"/>
      <c r="X106" s="31"/>
    </row>
    <row r="107" spans="4:24" x14ac:dyDescent="0.25">
      <c r="D107" s="31"/>
      <c r="E107" s="31"/>
      <c r="F107" s="31"/>
      <c r="G107" s="31"/>
      <c r="H107" s="31"/>
      <c r="I107" s="31"/>
      <c r="J107" s="31"/>
      <c r="K107" s="31"/>
      <c r="L107" s="269"/>
      <c r="M107" s="269"/>
      <c r="N107" s="269"/>
      <c r="O107" s="282"/>
      <c r="P107" s="269"/>
      <c r="Q107" s="269"/>
      <c r="R107" s="269"/>
      <c r="S107" s="282"/>
      <c r="T107" s="269"/>
      <c r="U107" s="269"/>
      <c r="V107" s="269"/>
      <c r="W107" s="269"/>
      <c r="X107" s="31"/>
    </row>
    <row r="108" spans="4:24" x14ac:dyDescent="0.25">
      <c r="D108" s="31"/>
      <c r="E108" s="31"/>
      <c r="F108" s="31"/>
      <c r="G108" s="31"/>
      <c r="H108" s="31"/>
      <c r="I108" s="31"/>
      <c r="J108" s="31"/>
      <c r="K108" s="31"/>
      <c r="L108" s="269"/>
      <c r="M108" s="269"/>
      <c r="N108" s="269"/>
      <c r="O108" s="282"/>
      <c r="P108" s="269"/>
      <c r="Q108" s="269"/>
      <c r="R108" s="269"/>
      <c r="S108" s="282"/>
      <c r="T108" s="269"/>
      <c r="U108" s="269"/>
      <c r="V108" s="269"/>
      <c r="W108" s="269"/>
      <c r="X108" s="31"/>
    </row>
    <row r="109" spans="4:24" x14ac:dyDescent="0.25">
      <c r="D109" s="31"/>
      <c r="E109" s="31"/>
      <c r="F109" s="31"/>
      <c r="G109" s="31"/>
      <c r="H109" s="31"/>
      <c r="I109" s="31"/>
      <c r="J109" s="31"/>
      <c r="K109" s="31"/>
      <c r="L109" s="269"/>
      <c r="M109" s="269"/>
      <c r="N109" s="269"/>
      <c r="O109" s="282"/>
      <c r="P109" s="269"/>
      <c r="Q109" s="269"/>
      <c r="R109" s="269"/>
      <c r="S109" s="282"/>
      <c r="T109" s="269"/>
      <c r="U109" s="269"/>
      <c r="V109" s="269"/>
      <c r="W109" s="269"/>
      <c r="X109" s="31"/>
    </row>
    <row r="110" spans="4:24" x14ac:dyDescent="0.25">
      <c r="D110" s="31"/>
      <c r="E110" s="31"/>
      <c r="F110" s="31"/>
      <c r="G110" s="31"/>
      <c r="H110" s="31"/>
      <c r="I110" s="31"/>
      <c r="J110" s="31"/>
      <c r="K110" s="31"/>
      <c r="L110" s="269"/>
      <c r="M110" s="269"/>
      <c r="N110" s="269"/>
      <c r="O110" s="282"/>
      <c r="P110" s="269"/>
      <c r="Q110" s="269"/>
      <c r="R110" s="269"/>
      <c r="S110" s="282"/>
      <c r="T110" s="269"/>
      <c r="U110" s="269"/>
      <c r="V110" s="269"/>
      <c r="W110" s="269"/>
      <c r="X110" s="31"/>
    </row>
    <row r="111" spans="4:24" x14ac:dyDescent="0.25">
      <c r="D111" s="31"/>
      <c r="E111" s="31"/>
      <c r="F111" s="31"/>
      <c r="G111" s="31"/>
      <c r="H111" s="31"/>
      <c r="I111" s="31"/>
      <c r="J111" s="31"/>
      <c r="K111" s="31"/>
      <c r="L111" s="269"/>
      <c r="M111" s="269"/>
      <c r="N111" s="269"/>
      <c r="O111" s="282"/>
      <c r="P111" s="269"/>
      <c r="Q111" s="269"/>
      <c r="R111" s="269"/>
      <c r="S111" s="282"/>
      <c r="T111" s="269"/>
      <c r="U111" s="269"/>
      <c r="V111" s="269"/>
      <c r="W111" s="269"/>
      <c r="X111" s="31"/>
    </row>
    <row r="112" spans="4:24" x14ac:dyDescent="0.25">
      <c r="D112" s="31"/>
      <c r="E112" s="31"/>
      <c r="F112" s="31"/>
      <c r="G112" s="31"/>
      <c r="H112" s="31"/>
      <c r="I112" s="31"/>
      <c r="J112" s="31"/>
      <c r="K112" s="31"/>
      <c r="L112" s="269"/>
      <c r="M112" s="269"/>
      <c r="N112" s="269"/>
      <c r="O112" s="282"/>
      <c r="P112" s="269"/>
      <c r="Q112" s="269"/>
      <c r="R112" s="269"/>
      <c r="S112" s="282"/>
      <c r="T112" s="269"/>
      <c r="U112" s="269"/>
      <c r="V112" s="269"/>
      <c r="W112" s="269"/>
      <c r="X112" s="31"/>
    </row>
    <row r="113" spans="4:24" x14ac:dyDescent="0.25">
      <c r="D113" s="31"/>
      <c r="E113" s="31"/>
      <c r="F113" s="31"/>
      <c r="G113" s="31"/>
      <c r="H113" s="31"/>
      <c r="I113" s="31"/>
      <c r="J113" s="31"/>
      <c r="K113" s="31"/>
      <c r="L113" s="269"/>
      <c r="M113" s="269"/>
      <c r="N113" s="269"/>
      <c r="O113" s="282"/>
      <c r="P113" s="269"/>
      <c r="Q113" s="269"/>
      <c r="R113" s="269"/>
      <c r="S113" s="282"/>
      <c r="T113" s="269"/>
      <c r="U113" s="269"/>
      <c r="V113" s="269"/>
      <c r="W113" s="269"/>
      <c r="X113" s="31"/>
    </row>
    <row r="114" spans="4:24" x14ac:dyDescent="0.25">
      <c r="D114" s="31"/>
      <c r="E114" s="31"/>
      <c r="F114" s="31"/>
      <c r="G114" s="31"/>
      <c r="H114" s="31"/>
      <c r="I114" s="31"/>
      <c r="J114" s="31"/>
      <c r="K114" s="31"/>
      <c r="L114" s="269"/>
      <c r="M114" s="269"/>
      <c r="N114" s="269"/>
      <c r="O114" s="282"/>
      <c r="P114" s="269"/>
      <c r="Q114" s="269"/>
      <c r="R114" s="269"/>
      <c r="S114" s="282"/>
      <c r="T114" s="269"/>
      <c r="U114" s="269"/>
      <c r="V114" s="269"/>
      <c r="W114" s="269"/>
      <c r="X114" s="31"/>
    </row>
    <row r="115" spans="4:24" x14ac:dyDescent="0.25">
      <c r="D115" s="31"/>
      <c r="E115" s="31"/>
      <c r="F115" s="31"/>
      <c r="G115" s="31"/>
      <c r="H115" s="31"/>
      <c r="I115" s="31"/>
      <c r="J115" s="31"/>
      <c r="K115" s="31"/>
      <c r="L115" s="269"/>
      <c r="M115" s="269"/>
      <c r="N115" s="269"/>
      <c r="O115" s="282"/>
      <c r="P115" s="269"/>
      <c r="Q115" s="269"/>
      <c r="R115" s="269"/>
      <c r="S115" s="282"/>
      <c r="T115" s="269"/>
      <c r="U115" s="269"/>
      <c r="V115" s="269"/>
      <c r="W115" s="269"/>
      <c r="X115" s="31"/>
    </row>
    <row r="116" spans="4:24" x14ac:dyDescent="0.25">
      <c r="D116" s="31"/>
      <c r="E116" s="31"/>
      <c r="F116" s="31"/>
      <c r="G116" s="31"/>
      <c r="H116" s="31"/>
      <c r="I116" s="31"/>
      <c r="J116" s="31"/>
      <c r="K116" s="31"/>
      <c r="L116" s="269"/>
      <c r="M116" s="269"/>
      <c r="N116" s="269"/>
      <c r="O116" s="282"/>
      <c r="P116" s="269"/>
      <c r="Q116" s="269"/>
      <c r="R116" s="269"/>
      <c r="S116" s="282"/>
      <c r="T116" s="269"/>
      <c r="U116" s="269"/>
      <c r="V116" s="269"/>
      <c r="W116" s="269"/>
      <c r="X116" s="31"/>
    </row>
    <row r="117" spans="4:24" x14ac:dyDescent="0.25">
      <c r="D117" s="31"/>
      <c r="E117" s="31"/>
      <c r="F117" s="31"/>
      <c r="G117" s="31"/>
      <c r="H117" s="31"/>
      <c r="I117" s="31"/>
      <c r="J117" s="31"/>
      <c r="K117" s="31"/>
      <c r="L117" s="269"/>
      <c r="M117" s="269"/>
      <c r="N117" s="269"/>
      <c r="O117" s="282"/>
      <c r="P117" s="269"/>
      <c r="Q117" s="269"/>
      <c r="R117" s="269"/>
      <c r="S117" s="282"/>
      <c r="T117" s="269"/>
      <c r="U117" s="269"/>
      <c r="V117" s="269"/>
      <c r="W117" s="269"/>
      <c r="X117" s="31"/>
    </row>
    <row r="118" spans="4:24" x14ac:dyDescent="0.25">
      <c r="D118" s="31"/>
      <c r="E118" s="31"/>
      <c r="F118" s="31"/>
      <c r="G118" s="31"/>
      <c r="H118" s="31"/>
      <c r="I118" s="31"/>
      <c r="J118" s="31"/>
      <c r="K118" s="31"/>
      <c r="L118" s="269"/>
      <c r="M118" s="269"/>
      <c r="N118" s="269"/>
      <c r="O118" s="282"/>
      <c r="P118" s="269"/>
      <c r="Q118" s="269"/>
      <c r="R118" s="269"/>
      <c r="S118" s="282"/>
      <c r="T118" s="269"/>
      <c r="U118" s="269"/>
      <c r="V118" s="269"/>
      <c r="W118" s="269"/>
      <c r="X118" s="31"/>
    </row>
    <row r="119" spans="4:24" x14ac:dyDescent="0.25">
      <c r="D119" s="31"/>
      <c r="E119" s="31"/>
      <c r="F119" s="31"/>
      <c r="G119" s="31"/>
      <c r="H119" s="31"/>
      <c r="I119" s="31"/>
      <c r="J119" s="31"/>
      <c r="K119" s="31"/>
      <c r="L119" s="269"/>
      <c r="M119" s="269"/>
      <c r="N119" s="269"/>
      <c r="O119" s="282"/>
      <c r="P119" s="269"/>
      <c r="Q119" s="269"/>
      <c r="R119" s="269"/>
      <c r="S119" s="282"/>
      <c r="T119" s="269"/>
      <c r="U119" s="269"/>
      <c r="V119" s="269"/>
      <c r="W119" s="269"/>
      <c r="X119" s="31"/>
    </row>
    <row r="120" spans="4:24" x14ac:dyDescent="0.25">
      <c r="D120" s="31"/>
      <c r="E120" s="31"/>
      <c r="F120" s="31"/>
      <c r="G120" s="31"/>
      <c r="H120" s="31"/>
      <c r="I120" s="31"/>
      <c r="J120" s="31"/>
      <c r="K120" s="31"/>
      <c r="L120" s="269"/>
      <c r="M120" s="269"/>
      <c r="N120" s="269"/>
      <c r="O120" s="282"/>
      <c r="P120" s="269"/>
      <c r="Q120" s="269"/>
      <c r="R120" s="269"/>
      <c r="S120" s="282"/>
      <c r="T120" s="269"/>
      <c r="U120" s="269"/>
      <c r="V120" s="269"/>
      <c r="W120" s="269"/>
      <c r="X120" s="31"/>
    </row>
    <row r="121" spans="4:24" x14ac:dyDescent="0.25">
      <c r="D121" s="31"/>
      <c r="E121" s="31"/>
      <c r="F121" s="31"/>
      <c r="G121" s="31"/>
      <c r="H121" s="31"/>
      <c r="I121" s="31"/>
      <c r="J121" s="31"/>
      <c r="K121" s="31"/>
      <c r="L121" s="269"/>
      <c r="M121" s="269"/>
      <c r="N121" s="269"/>
      <c r="O121" s="282"/>
      <c r="P121" s="269"/>
      <c r="Q121" s="269"/>
      <c r="R121" s="269"/>
      <c r="S121" s="282"/>
      <c r="T121" s="269"/>
      <c r="U121" s="269"/>
      <c r="V121" s="269"/>
      <c r="W121" s="269"/>
      <c r="X121" s="31"/>
    </row>
    <row r="122" spans="4:24" x14ac:dyDescent="0.25">
      <c r="D122" s="31"/>
      <c r="E122" s="31"/>
      <c r="F122" s="31"/>
      <c r="G122" s="31"/>
      <c r="H122" s="31"/>
      <c r="I122" s="31"/>
      <c r="J122" s="31"/>
      <c r="K122" s="31"/>
      <c r="L122" s="269"/>
      <c r="M122" s="269"/>
      <c r="N122" s="269"/>
      <c r="O122" s="282"/>
      <c r="P122" s="269"/>
      <c r="Q122" s="269"/>
      <c r="R122" s="269"/>
      <c r="S122" s="282"/>
      <c r="T122" s="269"/>
      <c r="U122" s="269"/>
      <c r="V122" s="269"/>
      <c r="W122" s="269"/>
      <c r="X122" s="31"/>
    </row>
    <row r="123" spans="4:24" x14ac:dyDescent="0.25">
      <c r="D123" s="31"/>
      <c r="E123" s="31"/>
      <c r="F123" s="31"/>
      <c r="G123" s="31"/>
      <c r="H123" s="31"/>
      <c r="I123" s="31"/>
      <c r="J123" s="31"/>
      <c r="K123" s="31"/>
      <c r="L123" s="269"/>
      <c r="M123" s="269"/>
      <c r="N123" s="269"/>
      <c r="O123" s="282"/>
      <c r="P123" s="269"/>
      <c r="Q123" s="269"/>
      <c r="R123" s="269"/>
      <c r="S123" s="282"/>
      <c r="T123" s="269"/>
      <c r="U123" s="269"/>
      <c r="V123" s="269"/>
      <c r="W123" s="269"/>
      <c r="X123" s="31"/>
    </row>
    <row r="124" spans="4:24" x14ac:dyDescent="0.25">
      <c r="D124" s="31"/>
      <c r="E124" s="31"/>
      <c r="F124" s="31"/>
      <c r="G124" s="31"/>
      <c r="H124" s="31"/>
      <c r="I124" s="31"/>
      <c r="J124" s="31"/>
      <c r="K124" s="31"/>
      <c r="L124" s="269"/>
      <c r="M124" s="269"/>
      <c r="N124" s="269"/>
      <c r="O124" s="282"/>
      <c r="P124" s="269"/>
      <c r="Q124" s="269"/>
      <c r="R124" s="269"/>
      <c r="S124" s="282"/>
      <c r="T124" s="269"/>
      <c r="U124" s="269"/>
      <c r="V124" s="269"/>
      <c r="W124" s="269"/>
      <c r="X124" s="31"/>
    </row>
    <row r="125" spans="4:24" x14ac:dyDescent="0.25">
      <c r="D125" s="31"/>
      <c r="E125" s="31"/>
      <c r="F125" s="31"/>
      <c r="G125" s="31"/>
      <c r="H125" s="31"/>
      <c r="I125" s="31"/>
      <c r="J125" s="31"/>
      <c r="K125" s="31"/>
      <c r="L125" s="269"/>
      <c r="M125" s="269"/>
      <c r="N125" s="269"/>
      <c r="O125" s="282"/>
      <c r="P125" s="269"/>
      <c r="Q125" s="269"/>
      <c r="R125" s="269"/>
      <c r="S125" s="282"/>
      <c r="T125" s="269"/>
      <c r="U125" s="269"/>
      <c r="V125" s="269"/>
      <c r="W125" s="269"/>
      <c r="X125" s="31"/>
    </row>
    <row r="126" spans="4:24" x14ac:dyDescent="0.25">
      <c r="D126" s="31"/>
      <c r="E126" s="31"/>
      <c r="F126" s="31"/>
      <c r="G126" s="31"/>
      <c r="H126" s="31"/>
      <c r="I126" s="31"/>
      <c r="J126" s="31"/>
      <c r="K126" s="31"/>
      <c r="L126" s="269"/>
      <c r="M126" s="269"/>
      <c r="N126" s="269"/>
      <c r="O126" s="282"/>
      <c r="P126" s="269"/>
      <c r="Q126" s="269"/>
      <c r="R126" s="269"/>
      <c r="S126" s="282"/>
      <c r="T126" s="269"/>
      <c r="U126" s="269"/>
      <c r="V126" s="269"/>
      <c r="W126" s="269"/>
      <c r="X126" s="31"/>
    </row>
    <row r="127" spans="4:24" x14ac:dyDescent="0.25">
      <c r="D127" s="31"/>
      <c r="E127" s="31"/>
      <c r="F127" s="31"/>
      <c r="G127" s="31"/>
      <c r="H127" s="31"/>
      <c r="I127" s="31"/>
      <c r="J127" s="31"/>
      <c r="K127" s="31"/>
      <c r="L127" s="269"/>
      <c r="M127" s="269"/>
      <c r="N127" s="269"/>
      <c r="O127" s="282"/>
      <c r="P127" s="269"/>
      <c r="Q127" s="269"/>
      <c r="R127" s="269"/>
      <c r="S127" s="282"/>
      <c r="T127" s="269"/>
      <c r="U127" s="269"/>
      <c r="V127" s="269"/>
      <c r="W127" s="269"/>
      <c r="X127" s="31"/>
    </row>
    <row r="128" spans="4:24" x14ac:dyDescent="0.25">
      <c r="D128" s="31"/>
      <c r="E128" s="31"/>
      <c r="F128" s="31"/>
      <c r="G128" s="31"/>
      <c r="H128" s="31"/>
      <c r="I128" s="31"/>
      <c r="J128" s="31"/>
      <c r="K128" s="31"/>
      <c r="L128" s="269"/>
      <c r="M128" s="269"/>
      <c r="N128" s="269"/>
      <c r="O128" s="282"/>
      <c r="P128" s="269"/>
      <c r="Q128" s="269"/>
      <c r="R128" s="269"/>
      <c r="S128" s="282"/>
      <c r="T128" s="269"/>
      <c r="U128" s="269"/>
      <c r="V128" s="269"/>
      <c r="W128" s="269"/>
      <c r="X128" s="31"/>
    </row>
    <row r="129" spans="4:24" x14ac:dyDescent="0.25">
      <c r="D129" s="31"/>
      <c r="E129" s="31"/>
      <c r="F129" s="31"/>
      <c r="G129" s="31"/>
      <c r="H129" s="31"/>
      <c r="I129" s="31"/>
      <c r="J129" s="31"/>
      <c r="K129" s="31"/>
      <c r="L129" s="269"/>
      <c r="M129" s="269"/>
      <c r="N129" s="269"/>
      <c r="O129" s="282"/>
      <c r="P129" s="269"/>
      <c r="Q129" s="269"/>
      <c r="R129" s="269"/>
      <c r="S129" s="282"/>
      <c r="T129" s="269"/>
      <c r="U129" s="269"/>
      <c r="V129" s="269"/>
      <c r="W129" s="269"/>
      <c r="X129" s="31"/>
    </row>
    <row r="130" spans="4:24" x14ac:dyDescent="0.25">
      <c r="D130" s="31"/>
      <c r="E130" s="31"/>
      <c r="F130" s="31"/>
      <c r="G130" s="31"/>
      <c r="H130" s="31"/>
      <c r="I130" s="31"/>
      <c r="J130" s="31"/>
      <c r="K130" s="31"/>
      <c r="L130" s="269"/>
      <c r="M130" s="269"/>
      <c r="N130" s="269"/>
      <c r="O130" s="282"/>
      <c r="P130" s="269"/>
      <c r="Q130" s="269"/>
      <c r="R130" s="269"/>
      <c r="S130" s="282"/>
      <c r="T130" s="269"/>
      <c r="U130" s="269"/>
      <c r="V130" s="269"/>
      <c r="W130" s="269"/>
      <c r="X130" s="31"/>
    </row>
    <row r="131" spans="4:24" x14ac:dyDescent="0.25">
      <c r="D131" s="31"/>
      <c r="E131" s="31"/>
      <c r="F131" s="31"/>
      <c r="G131" s="31"/>
      <c r="H131" s="31"/>
      <c r="I131" s="31"/>
      <c r="J131" s="31"/>
      <c r="K131" s="31"/>
      <c r="L131" s="269"/>
      <c r="M131" s="269"/>
      <c r="N131" s="269"/>
      <c r="O131" s="282"/>
      <c r="P131" s="269"/>
      <c r="Q131" s="269"/>
      <c r="R131" s="269"/>
      <c r="S131" s="282"/>
      <c r="T131" s="269"/>
      <c r="U131" s="269"/>
      <c r="V131" s="269"/>
      <c r="W131" s="269"/>
      <c r="X131" s="31"/>
    </row>
    <row r="132" spans="4:24" x14ac:dyDescent="0.25">
      <c r="D132" s="31"/>
      <c r="E132" s="31"/>
      <c r="F132" s="31"/>
      <c r="G132" s="31"/>
      <c r="H132" s="31"/>
      <c r="I132" s="31"/>
      <c r="J132" s="31"/>
      <c r="K132" s="31"/>
      <c r="L132" s="269"/>
      <c r="M132" s="269"/>
      <c r="N132" s="269"/>
      <c r="O132" s="282"/>
      <c r="P132" s="269"/>
      <c r="Q132" s="269"/>
      <c r="R132" s="269"/>
      <c r="S132" s="282"/>
      <c r="T132" s="269"/>
      <c r="U132" s="269"/>
      <c r="V132" s="269"/>
      <c r="W132" s="269"/>
      <c r="X132" s="31"/>
    </row>
    <row r="133" spans="4:24" x14ac:dyDescent="0.25">
      <c r="D133" s="31"/>
      <c r="E133" s="31"/>
      <c r="F133" s="31"/>
      <c r="G133" s="31"/>
      <c r="H133" s="31"/>
      <c r="I133" s="31"/>
      <c r="J133" s="31"/>
      <c r="K133" s="31"/>
      <c r="L133" s="269"/>
      <c r="M133" s="269"/>
      <c r="N133" s="269"/>
      <c r="O133" s="282"/>
      <c r="P133" s="269"/>
      <c r="Q133" s="269"/>
      <c r="R133" s="269"/>
      <c r="S133" s="282"/>
      <c r="T133" s="269"/>
      <c r="U133" s="269"/>
      <c r="V133" s="269"/>
      <c r="W133" s="269"/>
      <c r="X133" s="31"/>
    </row>
    <row r="134" spans="4:24" x14ac:dyDescent="0.25">
      <c r="D134" s="31"/>
      <c r="E134" s="31"/>
      <c r="F134" s="31"/>
      <c r="G134" s="31"/>
      <c r="H134" s="31"/>
      <c r="I134" s="31"/>
      <c r="J134" s="31"/>
      <c r="K134" s="31"/>
      <c r="L134" s="269"/>
      <c r="M134" s="269"/>
      <c r="N134" s="269"/>
      <c r="O134" s="282"/>
      <c r="P134" s="269"/>
      <c r="Q134" s="269"/>
      <c r="R134" s="269"/>
      <c r="S134" s="282"/>
      <c r="T134" s="269"/>
      <c r="U134" s="269"/>
      <c r="V134" s="269"/>
      <c r="W134" s="269"/>
      <c r="X134" s="31"/>
    </row>
    <row r="135" spans="4:24" x14ac:dyDescent="0.25">
      <c r="D135" s="31"/>
      <c r="E135" s="31"/>
      <c r="F135" s="31"/>
      <c r="G135" s="31"/>
      <c r="H135" s="31"/>
      <c r="I135" s="31"/>
      <c r="J135" s="31"/>
      <c r="K135" s="31"/>
      <c r="L135" s="269"/>
      <c r="M135" s="269"/>
      <c r="N135" s="269"/>
      <c r="O135" s="282"/>
      <c r="P135" s="269"/>
      <c r="Q135" s="269"/>
      <c r="R135" s="269"/>
      <c r="S135" s="282"/>
      <c r="T135" s="269"/>
      <c r="U135" s="269"/>
      <c r="V135" s="269"/>
      <c r="W135" s="269"/>
      <c r="X135" s="31"/>
    </row>
    <row r="136" spans="4:24" x14ac:dyDescent="0.25">
      <c r="D136" s="31"/>
      <c r="E136" s="31"/>
      <c r="F136" s="31"/>
      <c r="G136" s="31"/>
      <c r="H136" s="31"/>
      <c r="I136" s="31"/>
      <c r="J136" s="31"/>
      <c r="K136" s="31"/>
      <c r="L136" s="269"/>
      <c r="M136" s="269"/>
      <c r="N136" s="269"/>
      <c r="O136" s="282"/>
      <c r="P136" s="269"/>
      <c r="Q136" s="269"/>
      <c r="R136" s="269"/>
      <c r="S136" s="282"/>
      <c r="T136" s="269"/>
      <c r="U136" s="269"/>
      <c r="V136" s="269"/>
      <c r="W136" s="269"/>
      <c r="X136" s="31"/>
    </row>
    <row r="137" spans="4:24" x14ac:dyDescent="0.25">
      <c r="D137" s="31"/>
      <c r="E137" s="31"/>
      <c r="F137" s="31"/>
      <c r="G137" s="31"/>
      <c r="H137" s="31"/>
      <c r="I137" s="31"/>
      <c r="J137" s="31"/>
      <c r="K137" s="31"/>
      <c r="L137" s="269"/>
      <c r="M137" s="269"/>
      <c r="N137" s="269"/>
      <c r="O137" s="282"/>
      <c r="P137" s="269"/>
      <c r="Q137" s="269"/>
      <c r="R137" s="269"/>
      <c r="S137" s="282"/>
      <c r="T137" s="269"/>
      <c r="U137" s="269"/>
      <c r="V137" s="269"/>
      <c r="W137" s="269"/>
      <c r="X137" s="31"/>
    </row>
    <row r="138" spans="4:24" x14ac:dyDescent="0.25">
      <c r="D138" s="31"/>
      <c r="E138" s="31"/>
      <c r="F138" s="31"/>
      <c r="G138" s="31"/>
      <c r="H138" s="31"/>
      <c r="I138" s="31"/>
      <c r="J138" s="31"/>
      <c r="K138" s="31"/>
      <c r="L138" s="269"/>
      <c r="M138" s="269"/>
      <c r="N138" s="269"/>
      <c r="O138" s="282"/>
      <c r="P138" s="269"/>
      <c r="Q138" s="269"/>
      <c r="R138" s="269"/>
      <c r="S138" s="282"/>
      <c r="T138" s="269"/>
      <c r="U138" s="269"/>
      <c r="V138" s="269"/>
      <c r="W138" s="269"/>
      <c r="X138" s="31"/>
    </row>
    <row r="139" spans="4:24" x14ac:dyDescent="0.25">
      <c r="D139" s="31"/>
      <c r="E139" s="31"/>
      <c r="F139" s="31"/>
      <c r="G139" s="31"/>
      <c r="H139" s="31"/>
      <c r="I139" s="31"/>
      <c r="J139" s="31"/>
      <c r="K139" s="31"/>
      <c r="L139" s="269"/>
      <c r="M139" s="269"/>
      <c r="N139" s="269"/>
      <c r="O139" s="282"/>
      <c r="P139" s="269"/>
      <c r="Q139" s="269"/>
      <c r="R139" s="269"/>
      <c r="S139" s="282"/>
      <c r="T139" s="269"/>
      <c r="U139" s="269"/>
      <c r="V139" s="269"/>
      <c r="W139" s="269"/>
      <c r="X139" s="31"/>
    </row>
    <row r="140" spans="4:24" x14ac:dyDescent="0.25">
      <c r="D140" s="31"/>
      <c r="E140" s="31"/>
      <c r="F140" s="31"/>
      <c r="G140" s="31"/>
      <c r="H140" s="31"/>
      <c r="I140" s="31"/>
      <c r="J140" s="31"/>
      <c r="K140" s="31"/>
      <c r="L140" s="269"/>
      <c r="M140" s="269"/>
      <c r="N140" s="269"/>
      <c r="O140" s="282"/>
      <c r="P140" s="269"/>
      <c r="Q140" s="269"/>
      <c r="R140" s="269"/>
      <c r="S140" s="282"/>
      <c r="T140" s="269"/>
      <c r="U140" s="269"/>
      <c r="V140" s="269"/>
      <c r="W140" s="269"/>
      <c r="X140" s="31"/>
    </row>
    <row r="141" spans="4:24" x14ac:dyDescent="0.25">
      <c r="D141" s="31"/>
      <c r="E141" s="31"/>
      <c r="F141" s="31"/>
      <c r="G141" s="31"/>
      <c r="H141" s="31"/>
      <c r="I141" s="31"/>
      <c r="J141" s="31"/>
      <c r="K141" s="31"/>
      <c r="L141" s="269"/>
      <c r="M141" s="269"/>
      <c r="N141" s="269"/>
      <c r="O141" s="282"/>
      <c r="P141" s="269"/>
      <c r="Q141" s="269"/>
      <c r="R141" s="269"/>
      <c r="S141" s="282"/>
      <c r="T141" s="269"/>
      <c r="U141" s="269"/>
      <c r="V141" s="269"/>
      <c r="W141" s="269"/>
      <c r="X141" s="31"/>
    </row>
    <row r="142" spans="4:24" x14ac:dyDescent="0.25">
      <c r="D142" s="31"/>
      <c r="E142" s="31"/>
      <c r="F142" s="31"/>
      <c r="G142" s="31"/>
      <c r="H142" s="31"/>
      <c r="I142" s="31"/>
      <c r="J142" s="31"/>
      <c r="K142" s="31"/>
      <c r="L142" s="269"/>
      <c r="M142" s="269"/>
      <c r="N142" s="269"/>
      <c r="O142" s="282"/>
      <c r="P142" s="269"/>
      <c r="Q142" s="269"/>
      <c r="R142" s="269"/>
      <c r="S142" s="282"/>
      <c r="T142" s="269"/>
      <c r="U142" s="269"/>
      <c r="V142" s="269"/>
      <c r="W142" s="269"/>
      <c r="X142" s="31"/>
    </row>
    <row r="143" spans="4:24" x14ac:dyDescent="0.25">
      <c r="D143" s="31"/>
      <c r="E143" s="31"/>
      <c r="F143" s="31"/>
      <c r="G143" s="31"/>
      <c r="H143" s="31"/>
      <c r="I143" s="31"/>
      <c r="J143" s="31"/>
      <c r="K143" s="31"/>
      <c r="L143" s="269"/>
      <c r="M143" s="269"/>
      <c r="N143" s="269"/>
      <c r="O143" s="282"/>
      <c r="P143" s="269"/>
      <c r="Q143" s="269"/>
      <c r="R143" s="269"/>
      <c r="S143" s="282"/>
      <c r="T143" s="269"/>
      <c r="U143" s="269"/>
      <c r="V143" s="269"/>
      <c r="W143" s="269"/>
      <c r="X143" s="31"/>
    </row>
    <row r="144" spans="4:24" x14ac:dyDescent="0.25">
      <c r="D144" s="31"/>
      <c r="E144" s="31"/>
      <c r="F144" s="31"/>
      <c r="G144" s="31"/>
      <c r="H144" s="31"/>
      <c r="I144" s="31"/>
      <c r="J144" s="31"/>
      <c r="K144" s="31"/>
      <c r="L144" s="269"/>
      <c r="M144" s="269"/>
      <c r="N144" s="269"/>
      <c r="O144" s="282"/>
      <c r="P144" s="269"/>
      <c r="Q144" s="269"/>
      <c r="R144" s="269"/>
      <c r="S144" s="282"/>
      <c r="T144" s="269"/>
      <c r="U144" s="269"/>
      <c r="V144" s="269"/>
      <c r="W144" s="269"/>
      <c r="X144" s="31"/>
    </row>
    <row r="145" spans="4:24" x14ac:dyDescent="0.25">
      <c r="D145" s="31"/>
      <c r="E145" s="31"/>
      <c r="F145" s="31"/>
      <c r="G145" s="31"/>
      <c r="H145" s="31"/>
      <c r="I145" s="31"/>
      <c r="J145" s="31"/>
      <c r="K145" s="31"/>
      <c r="L145" s="269"/>
      <c r="M145" s="269"/>
      <c r="N145" s="269"/>
      <c r="O145" s="282"/>
      <c r="P145" s="269"/>
      <c r="Q145" s="269"/>
      <c r="R145" s="269"/>
      <c r="S145" s="282"/>
      <c r="T145" s="269"/>
      <c r="U145" s="269"/>
      <c r="V145" s="269"/>
      <c r="W145" s="269"/>
      <c r="X145" s="31"/>
    </row>
    <row r="146" spans="4:24" x14ac:dyDescent="0.25">
      <c r="D146" s="31"/>
      <c r="E146" s="31"/>
      <c r="F146" s="31"/>
      <c r="G146" s="31"/>
      <c r="H146" s="31"/>
      <c r="I146" s="31"/>
      <c r="J146" s="31"/>
      <c r="K146" s="31"/>
      <c r="L146" s="269"/>
      <c r="M146" s="269"/>
      <c r="N146" s="269"/>
      <c r="O146" s="282"/>
      <c r="P146" s="269"/>
      <c r="Q146" s="269"/>
      <c r="R146" s="269"/>
      <c r="S146" s="282"/>
      <c r="T146" s="269"/>
      <c r="U146" s="269"/>
      <c r="V146" s="269"/>
      <c r="W146" s="269"/>
      <c r="X146" s="31"/>
    </row>
    <row r="147" spans="4:24" x14ac:dyDescent="0.25">
      <c r="D147" s="31"/>
      <c r="E147" s="31"/>
      <c r="F147" s="31"/>
      <c r="G147" s="31"/>
      <c r="H147" s="31"/>
      <c r="I147" s="31"/>
      <c r="J147" s="31"/>
      <c r="K147" s="31"/>
      <c r="L147" s="269"/>
      <c r="M147" s="269"/>
      <c r="N147" s="269"/>
      <c r="O147" s="282"/>
      <c r="P147" s="269"/>
      <c r="Q147" s="269"/>
      <c r="R147" s="269"/>
      <c r="S147" s="282"/>
      <c r="T147" s="269"/>
      <c r="U147" s="269"/>
      <c r="V147" s="269"/>
      <c r="W147" s="269"/>
      <c r="X147" s="31"/>
    </row>
    <row r="148" spans="4:24" x14ac:dyDescent="0.25">
      <c r="D148" s="31"/>
      <c r="E148" s="31"/>
      <c r="F148" s="31"/>
      <c r="G148" s="31"/>
      <c r="H148" s="31"/>
      <c r="I148" s="31"/>
      <c r="J148" s="31"/>
      <c r="K148" s="31"/>
      <c r="L148" s="269"/>
      <c r="M148" s="269"/>
      <c r="N148" s="269"/>
      <c r="O148" s="282"/>
      <c r="P148" s="269"/>
      <c r="Q148" s="269"/>
      <c r="R148" s="269"/>
      <c r="S148" s="282"/>
      <c r="T148" s="269"/>
      <c r="U148" s="269"/>
      <c r="V148" s="269"/>
      <c r="W148" s="269"/>
      <c r="X148" s="31"/>
    </row>
    <row r="149" spans="4:24" x14ac:dyDescent="0.25">
      <c r="D149" s="31"/>
      <c r="E149" s="31"/>
      <c r="F149" s="31"/>
      <c r="G149" s="31"/>
      <c r="H149" s="31"/>
      <c r="I149" s="31"/>
      <c r="J149" s="31"/>
      <c r="K149" s="31"/>
      <c r="L149" s="269"/>
      <c r="M149" s="269"/>
      <c r="N149" s="269"/>
      <c r="O149" s="282"/>
      <c r="P149" s="269"/>
      <c r="Q149" s="269"/>
      <c r="R149" s="269"/>
      <c r="S149" s="282"/>
      <c r="T149" s="269"/>
      <c r="U149" s="269"/>
      <c r="V149" s="269"/>
      <c r="W149" s="269"/>
      <c r="X149" s="31"/>
    </row>
    <row r="150" spans="4:24" x14ac:dyDescent="0.25">
      <c r="D150" s="31"/>
      <c r="E150" s="31"/>
      <c r="F150" s="31"/>
      <c r="G150" s="31"/>
      <c r="H150" s="31"/>
      <c r="I150" s="31"/>
      <c r="J150" s="31"/>
      <c r="K150" s="31"/>
      <c r="L150" s="269"/>
      <c r="M150" s="269"/>
      <c r="N150" s="269"/>
      <c r="O150" s="282"/>
      <c r="P150" s="269"/>
      <c r="Q150" s="269"/>
      <c r="R150" s="269"/>
      <c r="S150" s="282"/>
      <c r="T150" s="269"/>
      <c r="U150" s="269"/>
      <c r="V150" s="269"/>
      <c r="W150" s="269"/>
      <c r="X150" s="31"/>
    </row>
    <row r="151" spans="4:24" x14ac:dyDescent="0.25">
      <c r="D151" s="31"/>
      <c r="E151" s="31"/>
      <c r="F151" s="31"/>
      <c r="G151" s="31"/>
      <c r="H151" s="31"/>
      <c r="I151" s="31"/>
      <c r="J151" s="31"/>
      <c r="K151" s="31"/>
      <c r="L151" s="269"/>
      <c r="M151" s="269"/>
      <c r="N151" s="269"/>
      <c r="O151" s="282"/>
      <c r="P151" s="269"/>
      <c r="Q151" s="269"/>
      <c r="R151" s="269"/>
      <c r="S151" s="282"/>
      <c r="T151" s="269"/>
      <c r="U151" s="269"/>
      <c r="V151" s="269"/>
      <c r="W151" s="269"/>
      <c r="X151" s="31"/>
    </row>
    <row r="152" spans="4:24" x14ac:dyDescent="0.25">
      <c r="D152" s="31"/>
      <c r="E152" s="31"/>
      <c r="F152" s="31"/>
      <c r="G152" s="31"/>
      <c r="H152" s="31"/>
      <c r="I152" s="31"/>
      <c r="J152" s="31"/>
      <c r="K152" s="31"/>
      <c r="L152" s="269"/>
      <c r="M152" s="269"/>
      <c r="N152" s="269"/>
      <c r="O152" s="282"/>
      <c r="P152" s="269"/>
      <c r="Q152" s="269"/>
      <c r="R152" s="269"/>
      <c r="S152" s="282"/>
      <c r="T152" s="269"/>
      <c r="U152" s="269"/>
      <c r="V152" s="269"/>
      <c r="W152" s="269"/>
      <c r="X152" s="31"/>
    </row>
    <row r="153" spans="4:24" x14ac:dyDescent="0.25">
      <c r="D153" s="31"/>
      <c r="E153" s="31"/>
      <c r="F153" s="31"/>
      <c r="G153" s="31"/>
      <c r="H153" s="31"/>
      <c r="I153" s="31"/>
      <c r="J153" s="31"/>
      <c r="K153" s="31"/>
      <c r="L153" s="269"/>
      <c r="M153" s="269"/>
      <c r="N153" s="269"/>
      <c r="O153" s="282"/>
      <c r="P153" s="269"/>
      <c r="Q153" s="269"/>
      <c r="R153" s="269"/>
      <c r="S153" s="282"/>
      <c r="T153" s="269"/>
      <c r="U153" s="269"/>
      <c r="V153" s="269"/>
      <c r="W153" s="269"/>
      <c r="X153" s="31"/>
    </row>
    <row r="154" spans="4:24" x14ac:dyDescent="0.25">
      <c r="D154" s="31"/>
      <c r="E154" s="31"/>
      <c r="F154" s="31"/>
      <c r="G154" s="31"/>
      <c r="H154" s="31"/>
      <c r="I154" s="31"/>
      <c r="J154" s="31"/>
      <c r="K154" s="31"/>
      <c r="L154" s="269"/>
      <c r="M154" s="269"/>
      <c r="N154" s="269"/>
      <c r="O154" s="282"/>
      <c r="P154" s="269"/>
      <c r="Q154" s="269"/>
      <c r="R154" s="269"/>
      <c r="S154" s="282"/>
      <c r="T154" s="269"/>
      <c r="U154" s="269"/>
      <c r="V154" s="269"/>
      <c r="W154" s="269"/>
      <c r="X154" s="31"/>
    </row>
    <row r="155" spans="4:24" x14ac:dyDescent="0.25">
      <c r="D155" s="31"/>
      <c r="E155" s="31"/>
      <c r="F155" s="31"/>
      <c r="G155" s="31"/>
      <c r="H155" s="31"/>
      <c r="I155" s="31"/>
      <c r="J155" s="31"/>
      <c r="K155" s="31"/>
      <c r="L155" s="269"/>
      <c r="M155" s="269"/>
      <c r="N155" s="269"/>
      <c r="O155" s="282"/>
      <c r="P155" s="269"/>
      <c r="Q155" s="269"/>
      <c r="R155" s="269"/>
      <c r="S155" s="282"/>
      <c r="T155" s="269"/>
      <c r="U155" s="269"/>
      <c r="V155" s="269"/>
      <c r="W155" s="269"/>
      <c r="X155" s="31"/>
    </row>
    <row r="156" spans="4:24" x14ac:dyDescent="0.25">
      <c r="D156" s="31"/>
      <c r="E156" s="31"/>
      <c r="F156" s="31"/>
      <c r="G156" s="31"/>
      <c r="H156" s="31"/>
      <c r="I156" s="31"/>
      <c r="J156" s="31"/>
      <c r="K156" s="31"/>
      <c r="L156" s="269"/>
      <c r="M156" s="269"/>
      <c r="N156" s="269"/>
      <c r="O156" s="282"/>
      <c r="P156" s="269"/>
      <c r="Q156" s="269"/>
      <c r="R156" s="269"/>
      <c r="S156" s="282"/>
      <c r="T156" s="269"/>
      <c r="U156" s="269"/>
      <c r="V156" s="269"/>
      <c r="W156" s="269"/>
      <c r="X156" s="31"/>
    </row>
    <row r="157" spans="4:24" x14ac:dyDescent="0.25">
      <c r="D157" s="31"/>
      <c r="E157" s="31"/>
      <c r="F157" s="31"/>
      <c r="G157" s="31"/>
      <c r="H157" s="31"/>
      <c r="I157" s="31"/>
      <c r="J157" s="31"/>
      <c r="K157" s="31"/>
      <c r="L157" s="269"/>
      <c r="M157" s="269"/>
      <c r="N157" s="269"/>
      <c r="O157" s="282"/>
      <c r="P157" s="269"/>
      <c r="Q157" s="269"/>
      <c r="R157" s="269"/>
      <c r="S157" s="282"/>
      <c r="T157" s="269"/>
      <c r="U157" s="269"/>
      <c r="V157" s="269"/>
      <c r="W157" s="269"/>
      <c r="X157" s="31"/>
    </row>
    <row r="158" spans="4:24" x14ac:dyDescent="0.25">
      <c r="D158" s="31"/>
      <c r="E158" s="31"/>
      <c r="F158" s="31"/>
      <c r="G158" s="31"/>
      <c r="H158" s="31"/>
      <c r="I158" s="31"/>
      <c r="J158" s="31"/>
      <c r="K158" s="31"/>
      <c r="L158" s="269"/>
      <c r="M158" s="269"/>
      <c r="N158" s="269"/>
      <c r="O158" s="282"/>
      <c r="P158" s="269"/>
      <c r="Q158" s="269"/>
      <c r="R158" s="269"/>
      <c r="S158" s="282"/>
      <c r="T158" s="269"/>
      <c r="U158" s="269"/>
      <c r="V158" s="269"/>
      <c r="W158" s="269"/>
      <c r="X158" s="31"/>
    </row>
    <row r="159" spans="4:24" x14ac:dyDescent="0.25">
      <c r="D159" s="31"/>
      <c r="E159" s="31"/>
      <c r="F159" s="31"/>
      <c r="G159" s="31"/>
      <c r="H159" s="31"/>
      <c r="I159" s="31"/>
      <c r="J159" s="31"/>
      <c r="K159" s="31"/>
      <c r="L159" s="269"/>
      <c r="M159" s="269"/>
      <c r="N159" s="269"/>
      <c r="O159" s="282"/>
      <c r="P159" s="269"/>
      <c r="Q159" s="269"/>
      <c r="R159" s="269"/>
      <c r="S159" s="282"/>
      <c r="T159" s="269"/>
      <c r="U159" s="269"/>
      <c r="V159" s="269"/>
      <c r="W159" s="269"/>
      <c r="X159" s="31"/>
    </row>
    <row r="160" spans="4:24" x14ac:dyDescent="0.25">
      <c r="D160" s="31"/>
      <c r="E160" s="31"/>
      <c r="F160" s="31"/>
      <c r="G160" s="31"/>
      <c r="H160" s="31"/>
      <c r="I160" s="31"/>
      <c r="J160" s="31"/>
      <c r="K160" s="31"/>
      <c r="L160" s="269"/>
      <c r="M160" s="269"/>
      <c r="N160" s="269"/>
      <c r="O160" s="282"/>
      <c r="P160" s="269"/>
      <c r="Q160" s="269"/>
      <c r="R160" s="269"/>
      <c r="S160" s="282"/>
      <c r="T160" s="269"/>
      <c r="U160" s="269"/>
      <c r="V160" s="269"/>
      <c r="W160" s="269"/>
      <c r="X160" s="31"/>
    </row>
    <row r="161" spans="4:24" x14ac:dyDescent="0.25">
      <c r="D161" s="31"/>
      <c r="E161" s="31"/>
      <c r="F161" s="31"/>
      <c r="G161" s="31"/>
      <c r="H161" s="31"/>
      <c r="I161" s="31"/>
      <c r="J161" s="31"/>
      <c r="K161" s="31"/>
      <c r="L161" s="269"/>
      <c r="M161" s="269"/>
      <c r="N161" s="269"/>
      <c r="O161" s="282"/>
      <c r="P161" s="269"/>
      <c r="Q161" s="269"/>
      <c r="R161" s="269"/>
      <c r="S161" s="282"/>
      <c r="T161" s="269"/>
      <c r="U161" s="269"/>
      <c r="V161" s="269"/>
      <c r="W161" s="269"/>
      <c r="X161" s="31"/>
    </row>
    <row r="162" spans="4:24" x14ac:dyDescent="0.25">
      <c r="D162" s="31"/>
      <c r="E162" s="31"/>
      <c r="F162" s="31"/>
      <c r="G162" s="31"/>
      <c r="H162" s="31"/>
      <c r="I162" s="31"/>
      <c r="J162" s="31"/>
      <c r="K162" s="31"/>
      <c r="L162" s="269"/>
      <c r="M162" s="269"/>
      <c r="N162" s="269"/>
      <c r="O162" s="282"/>
      <c r="P162" s="269"/>
      <c r="Q162" s="269"/>
      <c r="R162" s="269"/>
      <c r="S162" s="282"/>
      <c r="T162" s="269"/>
      <c r="U162" s="269"/>
      <c r="V162" s="269"/>
      <c r="W162" s="269"/>
      <c r="X162" s="31"/>
    </row>
    <row r="163" spans="4:24" x14ac:dyDescent="0.25">
      <c r="D163" s="31"/>
      <c r="E163" s="31"/>
      <c r="F163" s="31"/>
      <c r="G163" s="31"/>
      <c r="H163" s="31"/>
      <c r="I163" s="31"/>
      <c r="J163" s="31"/>
      <c r="K163" s="31"/>
      <c r="L163" s="269"/>
      <c r="M163" s="269"/>
      <c r="N163" s="269"/>
      <c r="O163" s="282"/>
      <c r="P163" s="269"/>
      <c r="Q163" s="269"/>
      <c r="R163" s="269"/>
      <c r="S163" s="282"/>
      <c r="T163" s="269"/>
      <c r="U163" s="269"/>
      <c r="V163" s="269"/>
      <c r="W163" s="269"/>
      <c r="X163" s="31"/>
    </row>
    <row r="164" spans="4:24" x14ac:dyDescent="0.25">
      <c r="D164" s="31"/>
      <c r="E164" s="31"/>
      <c r="F164" s="31"/>
      <c r="G164" s="31"/>
      <c r="H164" s="31"/>
      <c r="I164" s="31"/>
      <c r="J164" s="31"/>
      <c r="K164" s="31"/>
      <c r="L164" s="269"/>
      <c r="M164" s="269"/>
      <c r="N164" s="269"/>
      <c r="O164" s="282"/>
      <c r="P164" s="269"/>
      <c r="Q164" s="269"/>
      <c r="R164" s="269"/>
      <c r="S164" s="282"/>
      <c r="T164" s="269"/>
      <c r="U164" s="269"/>
      <c r="V164" s="269"/>
      <c r="W164" s="269"/>
      <c r="X164" s="31"/>
    </row>
    <row r="165" spans="4:24" x14ac:dyDescent="0.25">
      <c r="D165" s="31"/>
      <c r="E165" s="31"/>
      <c r="F165" s="31"/>
      <c r="G165" s="31"/>
      <c r="H165" s="31"/>
      <c r="I165" s="31"/>
      <c r="J165" s="31"/>
      <c r="K165" s="31"/>
      <c r="L165" s="269"/>
      <c r="M165" s="269"/>
      <c r="N165" s="269"/>
      <c r="O165" s="282"/>
      <c r="P165" s="269"/>
      <c r="Q165" s="269"/>
      <c r="R165" s="269"/>
      <c r="S165" s="282"/>
      <c r="T165" s="269"/>
      <c r="U165" s="269"/>
      <c r="V165" s="269"/>
      <c r="W165" s="269"/>
      <c r="X165" s="31"/>
    </row>
    <row r="166" spans="4:24" x14ac:dyDescent="0.25">
      <c r="D166" s="31"/>
      <c r="E166" s="31"/>
      <c r="F166" s="31"/>
      <c r="G166" s="31"/>
      <c r="H166" s="31"/>
      <c r="I166" s="31"/>
      <c r="J166" s="31"/>
      <c r="K166" s="31"/>
      <c r="L166" s="269"/>
      <c r="M166" s="269"/>
      <c r="N166" s="269"/>
      <c r="O166" s="282"/>
      <c r="P166" s="269"/>
      <c r="Q166" s="269"/>
      <c r="R166" s="269"/>
      <c r="S166" s="282"/>
      <c r="T166" s="269"/>
      <c r="U166" s="269"/>
      <c r="V166" s="269"/>
      <c r="W166" s="269"/>
      <c r="X166" s="31"/>
    </row>
    <row r="167" spans="4:24" x14ac:dyDescent="0.25">
      <c r="D167" s="31"/>
      <c r="E167" s="31"/>
      <c r="F167" s="31"/>
      <c r="G167" s="31"/>
      <c r="H167" s="31"/>
      <c r="I167" s="31"/>
      <c r="J167" s="31"/>
      <c r="K167" s="31"/>
      <c r="L167" s="269"/>
      <c r="M167" s="269"/>
      <c r="N167" s="269"/>
      <c r="O167" s="282"/>
      <c r="P167" s="269"/>
      <c r="Q167" s="269"/>
      <c r="R167" s="269"/>
      <c r="S167" s="282"/>
      <c r="T167" s="269"/>
      <c r="U167" s="269"/>
      <c r="V167" s="269"/>
      <c r="W167" s="269"/>
      <c r="X167" s="31"/>
    </row>
    <row r="168" spans="4:24" x14ac:dyDescent="0.25">
      <c r="D168" s="31"/>
      <c r="E168" s="31"/>
      <c r="F168" s="31"/>
      <c r="G168" s="31"/>
      <c r="H168" s="31"/>
      <c r="I168" s="31"/>
      <c r="J168" s="31"/>
      <c r="K168" s="31"/>
      <c r="L168" s="269"/>
      <c r="M168" s="269"/>
      <c r="N168" s="269"/>
      <c r="O168" s="282"/>
      <c r="P168" s="269"/>
      <c r="Q168" s="269"/>
      <c r="R168" s="269"/>
      <c r="S168" s="282"/>
      <c r="T168" s="269"/>
      <c r="U168" s="269"/>
      <c r="V168" s="269"/>
      <c r="W168" s="269"/>
      <c r="X168" s="31"/>
    </row>
    <row r="169" spans="4:24" x14ac:dyDescent="0.25">
      <c r="D169" s="31"/>
      <c r="E169" s="31"/>
      <c r="F169" s="31"/>
      <c r="G169" s="31"/>
      <c r="H169" s="31"/>
      <c r="I169" s="31"/>
      <c r="J169" s="31"/>
      <c r="K169" s="31"/>
      <c r="L169" s="269"/>
      <c r="M169" s="269"/>
      <c r="N169" s="269"/>
      <c r="O169" s="282"/>
      <c r="P169" s="269"/>
      <c r="Q169" s="269"/>
      <c r="R169" s="269"/>
      <c r="S169" s="282"/>
      <c r="T169" s="269"/>
      <c r="U169" s="269"/>
      <c r="V169" s="269"/>
      <c r="W169" s="269"/>
      <c r="X169" s="31"/>
    </row>
    <row r="170" spans="4:24" x14ac:dyDescent="0.25">
      <c r="D170" s="31"/>
      <c r="E170" s="31"/>
      <c r="F170" s="31"/>
      <c r="G170" s="31"/>
      <c r="H170" s="31"/>
      <c r="I170" s="31"/>
      <c r="J170" s="31"/>
      <c r="K170" s="31"/>
      <c r="L170" s="269"/>
      <c r="M170" s="269"/>
      <c r="N170" s="269"/>
      <c r="O170" s="282"/>
      <c r="P170" s="269"/>
      <c r="Q170" s="269"/>
      <c r="R170" s="269"/>
      <c r="S170" s="282"/>
      <c r="T170" s="269"/>
      <c r="U170" s="269"/>
      <c r="V170" s="269"/>
      <c r="W170" s="269"/>
      <c r="X170" s="31"/>
    </row>
    <row r="171" spans="4:24" x14ac:dyDescent="0.25">
      <c r="D171" s="31"/>
      <c r="E171" s="31"/>
      <c r="F171" s="31"/>
      <c r="G171" s="31"/>
      <c r="H171" s="31"/>
      <c r="I171" s="31"/>
      <c r="J171" s="31"/>
      <c r="K171" s="31"/>
      <c r="L171" s="269"/>
      <c r="M171" s="269"/>
      <c r="N171" s="269"/>
      <c r="O171" s="282"/>
      <c r="P171" s="269"/>
      <c r="Q171" s="269"/>
      <c r="R171" s="269"/>
      <c r="S171" s="282"/>
      <c r="T171" s="269"/>
      <c r="U171" s="269"/>
      <c r="V171" s="269"/>
      <c r="W171" s="269"/>
      <c r="X171" s="31"/>
    </row>
    <row r="172" spans="4:24" x14ac:dyDescent="0.25">
      <c r="D172" s="31"/>
      <c r="E172" s="31"/>
      <c r="F172" s="31"/>
      <c r="G172" s="31"/>
      <c r="H172" s="31"/>
      <c r="I172" s="31"/>
      <c r="J172" s="31"/>
      <c r="K172" s="31"/>
      <c r="L172" s="269"/>
      <c r="M172" s="269"/>
      <c r="N172" s="269"/>
      <c r="O172" s="282"/>
      <c r="P172" s="269"/>
      <c r="Q172" s="269"/>
      <c r="R172" s="269"/>
      <c r="S172" s="282"/>
      <c r="T172" s="269"/>
      <c r="U172" s="269"/>
      <c r="V172" s="269"/>
      <c r="W172" s="269"/>
      <c r="X172" s="31"/>
    </row>
    <row r="173" spans="4:24" x14ac:dyDescent="0.25">
      <c r="D173" s="31"/>
      <c r="E173" s="31"/>
      <c r="F173" s="31"/>
      <c r="G173" s="31"/>
      <c r="H173" s="31"/>
      <c r="I173" s="31"/>
      <c r="J173" s="31"/>
      <c r="K173" s="31"/>
      <c r="L173" s="269"/>
      <c r="M173" s="269"/>
      <c r="N173" s="269"/>
      <c r="O173" s="282"/>
      <c r="P173" s="269"/>
      <c r="Q173" s="269"/>
      <c r="R173" s="269"/>
      <c r="S173" s="282"/>
      <c r="T173" s="269"/>
      <c r="U173" s="269"/>
      <c r="V173" s="269"/>
      <c r="W173" s="269"/>
      <c r="X173" s="31"/>
    </row>
    <row r="174" spans="4:24" x14ac:dyDescent="0.25">
      <c r="D174" s="31"/>
      <c r="E174" s="31"/>
      <c r="F174" s="31"/>
      <c r="G174" s="31"/>
      <c r="H174" s="31"/>
      <c r="I174" s="31"/>
      <c r="J174" s="31"/>
      <c r="K174" s="31"/>
      <c r="L174" s="269"/>
      <c r="M174" s="269"/>
      <c r="N174" s="269"/>
      <c r="O174" s="282"/>
      <c r="P174" s="269"/>
      <c r="Q174" s="269"/>
      <c r="R174" s="269"/>
      <c r="S174" s="282"/>
      <c r="T174" s="269"/>
      <c r="U174" s="269"/>
      <c r="V174" s="269"/>
      <c r="W174" s="269"/>
      <c r="X174" s="31"/>
    </row>
    <row r="175" spans="4:24" x14ac:dyDescent="0.25">
      <c r="D175" s="31"/>
      <c r="E175" s="31"/>
      <c r="F175" s="31"/>
      <c r="G175" s="31"/>
      <c r="H175" s="31"/>
      <c r="I175" s="31"/>
      <c r="J175" s="31"/>
      <c r="K175" s="31"/>
      <c r="L175" s="269"/>
      <c r="M175" s="269"/>
      <c r="N175" s="269"/>
      <c r="O175" s="282"/>
      <c r="P175" s="269"/>
      <c r="Q175" s="269"/>
      <c r="R175" s="269"/>
      <c r="S175" s="282"/>
      <c r="T175" s="269"/>
      <c r="U175" s="269"/>
      <c r="V175" s="269"/>
      <c r="W175" s="269"/>
      <c r="X175" s="31"/>
    </row>
    <row r="176" spans="4:24" x14ac:dyDescent="0.25">
      <c r="D176" s="31"/>
      <c r="E176" s="31"/>
      <c r="F176" s="31"/>
      <c r="G176" s="31"/>
      <c r="H176" s="31"/>
      <c r="I176" s="31"/>
      <c r="J176" s="31"/>
      <c r="K176" s="31"/>
      <c r="L176" s="269"/>
      <c r="M176" s="269"/>
      <c r="N176" s="269"/>
      <c r="O176" s="282"/>
      <c r="P176" s="269"/>
      <c r="Q176" s="269"/>
      <c r="R176" s="269"/>
      <c r="S176" s="282"/>
      <c r="T176" s="269"/>
      <c r="U176" s="269"/>
      <c r="V176" s="269"/>
      <c r="W176" s="269"/>
      <c r="X176" s="31"/>
    </row>
    <row r="177" spans="4:24" x14ac:dyDescent="0.25">
      <c r="D177" s="31"/>
      <c r="E177" s="31"/>
      <c r="F177" s="31"/>
      <c r="G177" s="31"/>
      <c r="H177" s="31"/>
      <c r="I177" s="31"/>
      <c r="J177" s="31"/>
      <c r="K177" s="31"/>
      <c r="L177" s="269"/>
      <c r="M177" s="269"/>
      <c r="N177" s="269"/>
      <c r="O177" s="282"/>
      <c r="P177" s="269"/>
      <c r="Q177" s="269"/>
      <c r="R177" s="269"/>
      <c r="S177" s="282"/>
      <c r="T177" s="269"/>
      <c r="U177" s="269"/>
      <c r="V177" s="269"/>
      <c r="W177" s="269"/>
      <c r="X177" s="31"/>
    </row>
    <row r="178" spans="4:24" x14ac:dyDescent="0.25">
      <c r="D178" s="31"/>
      <c r="E178" s="31"/>
      <c r="F178" s="31"/>
      <c r="G178" s="31"/>
      <c r="H178" s="31"/>
      <c r="I178" s="31"/>
      <c r="J178" s="31"/>
      <c r="K178" s="31"/>
      <c r="L178" s="269"/>
      <c r="M178" s="269"/>
      <c r="N178" s="269"/>
      <c r="O178" s="282"/>
      <c r="P178" s="269"/>
      <c r="Q178" s="269"/>
      <c r="R178" s="269"/>
      <c r="S178" s="282"/>
      <c r="T178" s="269"/>
      <c r="U178" s="269"/>
      <c r="V178" s="269"/>
      <c r="W178" s="269"/>
      <c r="X178" s="31"/>
    </row>
    <row r="179" spans="4:24" x14ac:dyDescent="0.25">
      <c r="D179" s="31"/>
      <c r="E179" s="31"/>
      <c r="F179" s="31"/>
      <c r="G179" s="31"/>
      <c r="H179" s="31"/>
      <c r="I179" s="31"/>
      <c r="J179" s="31"/>
      <c r="K179" s="31"/>
      <c r="L179" s="269"/>
      <c r="M179" s="269"/>
      <c r="N179" s="269"/>
      <c r="O179" s="282"/>
      <c r="P179" s="269"/>
      <c r="Q179" s="269"/>
      <c r="R179" s="269"/>
      <c r="S179" s="282"/>
      <c r="T179" s="269"/>
      <c r="U179" s="269"/>
      <c r="V179" s="269"/>
      <c r="W179" s="269"/>
      <c r="X179" s="31"/>
    </row>
    <row r="180" spans="4:24" x14ac:dyDescent="0.25">
      <c r="D180" s="31"/>
      <c r="E180" s="31"/>
      <c r="F180" s="31"/>
      <c r="G180" s="31"/>
      <c r="H180" s="31"/>
      <c r="I180" s="31"/>
      <c r="J180" s="31"/>
      <c r="K180" s="31"/>
      <c r="L180" s="269"/>
      <c r="M180" s="269"/>
      <c r="N180" s="269"/>
      <c r="O180" s="282"/>
      <c r="P180" s="269"/>
      <c r="Q180" s="269"/>
      <c r="R180" s="269"/>
      <c r="S180" s="282"/>
      <c r="T180" s="269"/>
      <c r="U180" s="269"/>
      <c r="V180" s="269"/>
      <c r="W180" s="269"/>
      <c r="X180" s="31"/>
    </row>
    <row r="181" spans="4:24" x14ac:dyDescent="0.25">
      <c r="D181" s="31"/>
      <c r="E181" s="31"/>
      <c r="F181" s="31"/>
      <c r="G181" s="31"/>
      <c r="H181" s="31"/>
      <c r="I181" s="31"/>
      <c r="J181" s="31"/>
      <c r="K181" s="31"/>
      <c r="L181" s="269"/>
      <c r="M181" s="269"/>
      <c r="N181" s="269"/>
      <c r="O181" s="282"/>
      <c r="P181" s="269"/>
      <c r="Q181" s="269"/>
      <c r="R181" s="269"/>
      <c r="S181" s="282"/>
      <c r="T181" s="269"/>
      <c r="U181" s="269"/>
      <c r="V181" s="269"/>
      <c r="W181" s="269"/>
      <c r="X181" s="31"/>
    </row>
    <row r="182" spans="4:24" x14ac:dyDescent="0.25">
      <c r="D182" s="31"/>
      <c r="E182" s="31"/>
      <c r="F182" s="31"/>
      <c r="G182" s="31"/>
      <c r="H182" s="31"/>
      <c r="I182" s="31"/>
      <c r="J182" s="31"/>
      <c r="K182" s="31"/>
      <c r="L182" s="269"/>
      <c r="M182" s="269"/>
      <c r="N182" s="269"/>
      <c r="O182" s="282"/>
      <c r="P182" s="269"/>
      <c r="Q182" s="269"/>
      <c r="R182" s="269"/>
      <c r="S182" s="282"/>
      <c r="T182" s="269"/>
      <c r="U182" s="269"/>
      <c r="V182" s="269"/>
      <c r="W182" s="269"/>
      <c r="X182" s="31"/>
    </row>
    <row r="183" spans="4:24" x14ac:dyDescent="0.25">
      <c r="D183" s="31"/>
      <c r="E183" s="31"/>
      <c r="F183" s="31"/>
      <c r="G183" s="31"/>
      <c r="H183" s="31"/>
      <c r="I183" s="31"/>
      <c r="J183" s="31"/>
      <c r="K183" s="31"/>
      <c r="L183" s="269"/>
      <c r="M183" s="269"/>
      <c r="N183" s="269"/>
      <c r="O183" s="282"/>
      <c r="P183" s="269"/>
      <c r="Q183" s="269"/>
      <c r="R183" s="269"/>
      <c r="S183" s="282"/>
      <c r="T183" s="269"/>
      <c r="U183" s="269"/>
      <c r="V183" s="269"/>
      <c r="W183" s="269"/>
      <c r="X183" s="31"/>
    </row>
    <row r="184" spans="4:24" x14ac:dyDescent="0.25">
      <c r="D184" s="31"/>
      <c r="E184" s="31"/>
      <c r="F184" s="31"/>
      <c r="G184" s="31"/>
      <c r="H184" s="31"/>
      <c r="I184" s="31"/>
      <c r="J184" s="31"/>
      <c r="K184" s="31"/>
      <c r="L184" s="269"/>
      <c r="M184" s="269"/>
      <c r="N184" s="269"/>
      <c r="O184" s="282"/>
      <c r="P184" s="269"/>
      <c r="Q184" s="269"/>
      <c r="R184" s="269"/>
      <c r="S184" s="282"/>
      <c r="T184" s="269"/>
      <c r="U184" s="269"/>
      <c r="V184" s="269"/>
      <c r="W184" s="269"/>
      <c r="X184" s="31"/>
    </row>
    <row r="185" spans="4:24" x14ac:dyDescent="0.25">
      <c r="D185" s="31"/>
      <c r="E185" s="31"/>
      <c r="F185" s="31"/>
      <c r="G185" s="31"/>
      <c r="H185" s="31"/>
      <c r="I185" s="31"/>
      <c r="J185" s="31"/>
      <c r="K185" s="31"/>
      <c r="L185" s="269"/>
      <c r="M185" s="269"/>
      <c r="N185" s="269"/>
      <c r="O185" s="282"/>
      <c r="P185" s="269"/>
      <c r="Q185" s="269"/>
      <c r="R185" s="269"/>
      <c r="S185" s="282"/>
      <c r="T185" s="269"/>
      <c r="U185" s="269"/>
      <c r="V185" s="269"/>
      <c r="W185" s="269"/>
      <c r="X185" s="31"/>
    </row>
    <row r="186" spans="4:24" x14ac:dyDescent="0.25">
      <c r="D186" s="31"/>
      <c r="E186" s="31"/>
      <c r="F186" s="31"/>
      <c r="G186" s="31"/>
      <c r="H186" s="31"/>
      <c r="I186" s="31"/>
      <c r="J186" s="31"/>
      <c r="K186" s="31"/>
      <c r="L186" s="269"/>
      <c r="M186" s="269"/>
      <c r="N186" s="269"/>
      <c r="O186" s="282"/>
      <c r="P186" s="269"/>
      <c r="Q186" s="269"/>
      <c r="R186" s="269"/>
      <c r="S186" s="282"/>
      <c r="T186" s="269"/>
      <c r="U186" s="269"/>
      <c r="V186" s="269"/>
      <c r="W186" s="269"/>
      <c r="X186" s="31"/>
    </row>
    <row r="187" spans="4:24" x14ac:dyDescent="0.25">
      <c r="D187" s="31"/>
      <c r="E187" s="31"/>
      <c r="F187" s="31"/>
      <c r="G187" s="31"/>
      <c r="H187" s="31"/>
      <c r="I187" s="31"/>
      <c r="J187" s="31"/>
      <c r="K187" s="31"/>
      <c r="L187" s="269"/>
      <c r="M187" s="269"/>
      <c r="N187" s="269"/>
      <c r="O187" s="282"/>
      <c r="P187" s="269"/>
      <c r="Q187" s="269"/>
      <c r="R187" s="269"/>
      <c r="S187" s="282"/>
      <c r="T187" s="269"/>
      <c r="U187" s="269"/>
      <c r="V187" s="269"/>
      <c r="W187" s="269"/>
      <c r="X187" s="31"/>
    </row>
    <row r="188" spans="4:24" x14ac:dyDescent="0.25">
      <c r="D188" s="31"/>
      <c r="E188" s="31"/>
      <c r="F188" s="31"/>
      <c r="G188" s="31"/>
      <c r="H188" s="31"/>
      <c r="I188" s="31"/>
      <c r="J188" s="31"/>
      <c r="K188" s="31"/>
      <c r="L188" s="269"/>
      <c r="M188" s="269"/>
      <c r="N188" s="269"/>
      <c r="O188" s="282"/>
      <c r="P188" s="269"/>
      <c r="Q188" s="269"/>
      <c r="R188" s="269"/>
      <c r="S188" s="282"/>
      <c r="T188" s="269"/>
      <c r="U188" s="269"/>
      <c r="V188" s="269"/>
      <c r="W188" s="269"/>
      <c r="X188" s="31"/>
    </row>
    <row r="189" spans="4:24" x14ac:dyDescent="0.25">
      <c r="D189" s="31"/>
      <c r="E189" s="31"/>
      <c r="F189" s="31"/>
      <c r="G189" s="31"/>
      <c r="H189" s="31"/>
      <c r="I189" s="31"/>
      <c r="J189" s="31"/>
      <c r="K189" s="31"/>
      <c r="L189" s="269"/>
      <c r="M189" s="269"/>
      <c r="N189" s="269"/>
      <c r="O189" s="282"/>
      <c r="P189" s="269"/>
      <c r="Q189" s="269"/>
      <c r="R189" s="269"/>
      <c r="S189" s="282"/>
      <c r="T189" s="269"/>
      <c r="U189" s="269"/>
      <c r="V189" s="269"/>
      <c r="W189" s="269"/>
      <c r="X189" s="31"/>
    </row>
    <row r="190" spans="4:24" x14ac:dyDescent="0.25">
      <c r="D190" s="31"/>
      <c r="E190" s="31"/>
      <c r="F190" s="31"/>
      <c r="G190" s="31"/>
      <c r="H190" s="31"/>
      <c r="I190" s="31"/>
      <c r="J190" s="31"/>
      <c r="K190" s="31"/>
      <c r="L190" s="269"/>
      <c r="M190" s="269"/>
      <c r="N190" s="269"/>
      <c r="O190" s="282"/>
      <c r="P190" s="269"/>
      <c r="Q190" s="269"/>
      <c r="R190" s="269"/>
      <c r="S190" s="282"/>
      <c r="T190" s="269"/>
      <c r="U190" s="269"/>
      <c r="V190" s="269"/>
      <c r="W190" s="269"/>
      <c r="X190" s="31"/>
    </row>
    <row r="191" spans="4:24" x14ac:dyDescent="0.25">
      <c r="D191" s="31"/>
      <c r="E191" s="31"/>
      <c r="F191" s="31"/>
      <c r="G191" s="31"/>
      <c r="H191" s="31"/>
      <c r="I191" s="31"/>
      <c r="J191" s="31"/>
      <c r="K191" s="31"/>
      <c r="L191" s="269"/>
      <c r="M191" s="269"/>
      <c r="N191" s="269"/>
      <c r="O191" s="282"/>
      <c r="P191" s="269"/>
      <c r="Q191" s="269"/>
      <c r="R191" s="269"/>
      <c r="S191" s="282"/>
      <c r="T191" s="269"/>
      <c r="U191" s="269"/>
      <c r="V191" s="269"/>
      <c r="W191" s="269"/>
      <c r="X191" s="31"/>
    </row>
    <row r="192" spans="4:24" x14ac:dyDescent="0.25">
      <c r="D192" s="31"/>
      <c r="E192" s="31"/>
      <c r="F192" s="31"/>
      <c r="G192" s="31"/>
      <c r="H192" s="31"/>
      <c r="I192" s="31"/>
      <c r="J192" s="31"/>
      <c r="K192" s="31"/>
      <c r="L192" s="269"/>
      <c r="M192" s="269"/>
      <c r="N192" s="269"/>
      <c r="O192" s="282"/>
      <c r="P192" s="269"/>
      <c r="Q192" s="269"/>
      <c r="R192" s="269"/>
      <c r="S192" s="282"/>
      <c r="T192" s="269"/>
      <c r="U192" s="269"/>
      <c r="V192" s="269"/>
      <c r="W192" s="269"/>
      <c r="X192" s="31"/>
    </row>
    <row r="193" spans="4:24" x14ac:dyDescent="0.25">
      <c r="D193" s="31"/>
      <c r="E193" s="31"/>
      <c r="F193" s="31"/>
      <c r="G193" s="31"/>
      <c r="H193" s="31"/>
      <c r="I193" s="31"/>
      <c r="J193" s="31"/>
      <c r="K193" s="31"/>
      <c r="L193" s="269"/>
      <c r="M193" s="269"/>
      <c r="N193" s="269"/>
      <c r="O193" s="282"/>
      <c r="P193" s="269"/>
      <c r="Q193" s="269"/>
      <c r="R193" s="269"/>
      <c r="S193" s="282"/>
      <c r="T193" s="269"/>
      <c r="U193" s="269"/>
      <c r="V193" s="269"/>
      <c r="W193" s="269"/>
      <c r="X193" s="31"/>
    </row>
    <row r="194" spans="4:24" x14ac:dyDescent="0.25">
      <c r="D194" s="31"/>
      <c r="E194" s="31"/>
      <c r="F194" s="31"/>
      <c r="G194" s="31"/>
      <c r="H194" s="31"/>
      <c r="I194" s="31"/>
      <c r="J194" s="31"/>
      <c r="K194" s="31"/>
      <c r="L194" s="269"/>
      <c r="M194" s="269"/>
      <c r="N194" s="269"/>
      <c r="O194" s="282"/>
      <c r="P194" s="269"/>
      <c r="Q194" s="269"/>
      <c r="R194" s="269"/>
      <c r="S194" s="282"/>
      <c r="T194" s="269"/>
      <c r="U194" s="269"/>
      <c r="V194" s="269"/>
      <c r="W194" s="269"/>
      <c r="X194" s="31"/>
    </row>
    <row r="195" spans="4:24" x14ac:dyDescent="0.25">
      <c r="D195" s="31"/>
      <c r="E195" s="31"/>
      <c r="F195" s="31"/>
      <c r="G195" s="31"/>
      <c r="H195" s="31"/>
      <c r="I195" s="31"/>
      <c r="J195" s="31"/>
      <c r="K195" s="31"/>
      <c r="L195" s="269"/>
      <c r="M195" s="269"/>
      <c r="N195" s="269"/>
      <c r="O195" s="282"/>
      <c r="P195" s="269"/>
      <c r="Q195" s="269"/>
      <c r="R195" s="269"/>
      <c r="S195" s="282"/>
      <c r="T195" s="269"/>
      <c r="U195" s="269"/>
      <c r="V195" s="269"/>
      <c r="W195" s="269"/>
      <c r="X195" s="31"/>
    </row>
    <row r="196" spans="4:24" x14ac:dyDescent="0.25">
      <c r="D196" s="31"/>
      <c r="E196" s="31"/>
      <c r="F196" s="31"/>
      <c r="G196" s="31"/>
      <c r="H196" s="31"/>
      <c r="I196" s="31"/>
      <c r="J196" s="31"/>
      <c r="K196" s="31"/>
      <c r="L196" s="269"/>
      <c r="M196" s="269"/>
      <c r="N196" s="269"/>
      <c r="O196" s="282"/>
      <c r="P196" s="269"/>
      <c r="Q196" s="269"/>
      <c r="R196" s="269"/>
      <c r="S196" s="282"/>
      <c r="T196" s="269"/>
      <c r="U196" s="269"/>
      <c r="V196" s="269"/>
      <c r="W196" s="269"/>
      <c r="X196" s="31"/>
    </row>
    <row r="197" spans="4:24" x14ac:dyDescent="0.25">
      <c r="D197" s="31"/>
      <c r="E197" s="31"/>
      <c r="F197" s="31"/>
      <c r="G197" s="31"/>
      <c r="H197" s="31"/>
      <c r="I197" s="31"/>
      <c r="J197" s="31"/>
      <c r="K197" s="31"/>
      <c r="L197" s="269"/>
      <c r="M197" s="269"/>
      <c r="N197" s="269"/>
      <c r="O197" s="282"/>
      <c r="P197" s="269"/>
      <c r="Q197" s="269"/>
      <c r="R197" s="269"/>
      <c r="S197" s="282"/>
      <c r="T197" s="269"/>
      <c r="U197" s="269"/>
      <c r="V197" s="269"/>
      <c r="W197" s="269"/>
      <c r="X197" s="31"/>
    </row>
    <row r="198" spans="4:24" x14ac:dyDescent="0.25">
      <c r="D198" s="31"/>
      <c r="E198" s="31"/>
      <c r="F198" s="31"/>
      <c r="G198" s="31"/>
      <c r="H198" s="31"/>
      <c r="I198" s="31"/>
      <c r="J198" s="31"/>
      <c r="K198" s="31"/>
      <c r="L198" s="269"/>
      <c r="M198" s="269"/>
      <c r="N198" s="269"/>
      <c r="O198" s="282"/>
      <c r="P198" s="269"/>
      <c r="Q198" s="269"/>
      <c r="R198" s="269"/>
      <c r="S198" s="282"/>
      <c r="T198" s="269"/>
      <c r="U198" s="269"/>
      <c r="V198" s="269"/>
      <c r="W198" s="269"/>
      <c r="X198" s="31"/>
    </row>
    <row r="199" spans="4:24" x14ac:dyDescent="0.25">
      <c r="D199" s="31"/>
      <c r="E199" s="31"/>
      <c r="F199" s="31"/>
      <c r="G199" s="31"/>
      <c r="H199" s="31"/>
      <c r="I199" s="31"/>
      <c r="J199" s="31"/>
      <c r="K199" s="31"/>
      <c r="L199" s="269"/>
      <c r="M199" s="269"/>
      <c r="N199" s="269"/>
      <c r="O199" s="282"/>
      <c r="P199" s="269"/>
      <c r="Q199" s="269"/>
      <c r="R199" s="269"/>
      <c r="S199" s="282"/>
      <c r="T199" s="269"/>
      <c r="U199" s="269"/>
      <c r="V199" s="269"/>
      <c r="W199" s="269"/>
      <c r="X199" s="31"/>
    </row>
    <row r="200" spans="4:24" x14ac:dyDescent="0.25">
      <c r="D200" s="31"/>
      <c r="E200" s="31"/>
      <c r="F200" s="31"/>
      <c r="G200" s="31"/>
      <c r="H200" s="31"/>
      <c r="I200" s="31"/>
      <c r="J200" s="31"/>
      <c r="K200" s="31"/>
      <c r="L200" s="269"/>
      <c r="M200" s="269"/>
      <c r="N200" s="269"/>
      <c r="O200" s="282"/>
      <c r="P200" s="269"/>
      <c r="Q200" s="269"/>
      <c r="R200" s="269"/>
      <c r="S200" s="282"/>
      <c r="T200" s="269"/>
      <c r="U200" s="269"/>
      <c r="V200" s="269"/>
      <c r="W200" s="269"/>
      <c r="X200" s="31"/>
    </row>
    <row r="201" spans="4:24" x14ac:dyDescent="0.25">
      <c r="D201" s="31"/>
      <c r="E201" s="31"/>
      <c r="F201" s="31"/>
      <c r="G201" s="31"/>
      <c r="H201" s="31"/>
      <c r="I201" s="31"/>
      <c r="J201" s="31"/>
      <c r="K201" s="31"/>
      <c r="L201" s="269"/>
      <c r="M201" s="269"/>
      <c r="N201" s="269"/>
      <c r="O201" s="282"/>
      <c r="P201" s="269"/>
      <c r="Q201" s="269"/>
      <c r="R201" s="269"/>
      <c r="S201" s="282"/>
      <c r="T201" s="269"/>
      <c r="U201" s="269"/>
      <c r="V201" s="269"/>
      <c r="W201" s="269"/>
      <c r="X201" s="31"/>
    </row>
    <row r="202" spans="4:24" x14ac:dyDescent="0.25">
      <c r="D202" s="31"/>
      <c r="E202" s="31"/>
      <c r="F202" s="31"/>
      <c r="G202" s="31"/>
      <c r="H202" s="31"/>
      <c r="I202" s="31"/>
      <c r="J202" s="31"/>
      <c r="K202" s="31"/>
      <c r="L202" s="269"/>
      <c r="M202" s="269"/>
      <c r="N202" s="269"/>
      <c r="O202" s="282"/>
      <c r="P202" s="269"/>
      <c r="Q202" s="269"/>
      <c r="R202" s="269"/>
      <c r="S202" s="282"/>
      <c r="T202" s="269"/>
      <c r="U202" s="269"/>
      <c r="V202" s="269"/>
      <c r="W202" s="269"/>
      <c r="X202" s="31"/>
    </row>
    <row r="203" spans="4:24" x14ac:dyDescent="0.25">
      <c r="D203" s="31"/>
      <c r="E203" s="31"/>
      <c r="F203" s="31"/>
      <c r="G203" s="31"/>
      <c r="H203" s="31"/>
      <c r="I203" s="31"/>
      <c r="J203" s="31"/>
      <c r="K203" s="31"/>
      <c r="L203" s="269"/>
      <c r="M203" s="269"/>
      <c r="N203" s="269"/>
      <c r="O203" s="282"/>
      <c r="P203" s="269"/>
      <c r="Q203" s="269"/>
      <c r="R203" s="269"/>
      <c r="S203" s="282"/>
      <c r="T203" s="269"/>
      <c r="U203" s="269"/>
      <c r="V203" s="269"/>
      <c r="W203" s="269"/>
      <c r="X203" s="31"/>
    </row>
    <row r="204" spans="4:24" x14ac:dyDescent="0.25">
      <c r="D204" s="31"/>
      <c r="E204" s="31"/>
      <c r="F204" s="31"/>
      <c r="G204" s="31"/>
      <c r="H204" s="31"/>
      <c r="I204" s="31"/>
      <c r="J204" s="31"/>
      <c r="K204" s="31"/>
      <c r="L204" s="269"/>
      <c r="M204" s="269"/>
      <c r="N204" s="269"/>
      <c r="O204" s="282"/>
      <c r="P204" s="269"/>
      <c r="Q204" s="269"/>
      <c r="R204" s="269"/>
      <c r="S204" s="282"/>
      <c r="T204" s="269"/>
      <c r="U204" s="269"/>
      <c r="V204" s="269"/>
      <c r="W204" s="269"/>
      <c r="X204" s="31"/>
    </row>
    <row r="205" spans="4:24" x14ac:dyDescent="0.25">
      <c r="D205" s="31"/>
      <c r="E205" s="31"/>
      <c r="F205" s="31"/>
      <c r="G205" s="31"/>
      <c r="H205" s="31"/>
      <c r="I205" s="31"/>
      <c r="J205" s="31"/>
      <c r="K205" s="31"/>
      <c r="L205" s="269"/>
      <c r="M205" s="269"/>
      <c r="N205" s="269"/>
      <c r="O205" s="282"/>
      <c r="P205" s="269"/>
      <c r="Q205" s="269"/>
      <c r="R205" s="269"/>
      <c r="S205" s="282"/>
      <c r="T205" s="269"/>
      <c r="U205" s="269"/>
      <c r="V205" s="269"/>
      <c r="W205" s="269"/>
      <c r="X205" s="31"/>
    </row>
    <row r="206" spans="4:24" x14ac:dyDescent="0.25">
      <c r="D206" s="31"/>
      <c r="E206" s="31"/>
      <c r="F206" s="31"/>
      <c r="G206" s="31"/>
      <c r="H206" s="31"/>
      <c r="I206" s="31"/>
      <c r="J206" s="31"/>
      <c r="K206" s="31"/>
      <c r="L206" s="269"/>
      <c r="M206" s="269"/>
      <c r="N206" s="269"/>
      <c r="O206" s="282"/>
      <c r="P206" s="269"/>
      <c r="Q206" s="269"/>
      <c r="R206" s="269"/>
      <c r="S206" s="282"/>
      <c r="T206" s="269"/>
      <c r="U206" s="269"/>
      <c r="V206" s="269"/>
      <c r="W206" s="269"/>
      <c r="X206" s="31"/>
    </row>
    <row r="207" spans="4:24" x14ac:dyDescent="0.25">
      <c r="D207" s="31"/>
      <c r="E207" s="31"/>
      <c r="F207" s="31"/>
      <c r="G207" s="31"/>
      <c r="H207" s="31"/>
      <c r="I207" s="31"/>
      <c r="J207" s="31"/>
      <c r="K207" s="31"/>
      <c r="L207" s="269"/>
      <c r="M207" s="269"/>
      <c r="N207" s="269"/>
      <c r="O207" s="282"/>
      <c r="P207" s="269"/>
      <c r="Q207" s="269"/>
      <c r="R207" s="269"/>
      <c r="S207" s="282"/>
      <c r="T207" s="269"/>
      <c r="U207" s="269"/>
      <c r="V207" s="269"/>
      <c r="W207" s="269"/>
      <c r="X207" s="31"/>
    </row>
    <row r="208" spans="4:24" x14ac:dyDescent="0.25">
      <c r="D208" s="31"/>
      <c r="E208" s="31"/>
      <c r="F208" s="31"/>
      <c r="G208" s="31"/>
      <c r="H208" s="31"/>
      <c r="I208" s="31"/>
      <c r="J208" s="31"/>
      <c r="K208" s="31"/>
      <c r="L208" s="269"/>
      <c r="M208" s="269"/>
      <c r="N208" s="269"/>
      <c r="O208" s="282"/>
      <c r="P208" s="269"/>
      <c r="Q208" s="269"/>
      <c r="R208" s="269"/>
      <c r="S208" s="282"/>
      <c r="T208" s="269"/>
      <c r="U208" s="269"/>
      <c r="V208" s="269"/>
      <c r="W208" s="269"/>
      <c r="X208" s="31"/>
    </row>
    <row r="209" spans="4:24" x14ac:dyDescent="0.25">
      <c r="D209" s="31"/>
      <c r="E209" s="31"/>
      <c r="F209" s="31"/>
      <c r="G209" s="31"/>
      <c r="H209" s="31"/>
      <c r="I209" s="31"/>
      <c r="J209" s="31"/>
      <c r="K209" s="31"/>
      <c r="L209" s="269"/>
      <c r="M209" s="269"/>
      <c r="N209" s="269"/>
      <c r="O209" s="282"/>
      <c r="P209" s="269"/>
      <c r="Q209" s="269"/>
      <c r="R209" s="269"/>
      <c r="S209" s="282"/>
      <c r="T209" s="269"/>
      <c r="U209" s="269"/>
      <c r="V209" s="269"/>
      <c r="W209" s="269"/>
      <c r="X209" s="31"/>
    </row>
    <row r="210" spans="4:24" x14ac:dyDescent="0.25">
      <c r="D210" s="31"/>
      <c r="E210" s="31"/>
      <c r="F210" s="31"/>
      <c r="G210" s="31"/>
      <c r="H210" s="31"/>
      <c r="I210" s="31"/>
      <c r="J210" s="31"/>
      <c r="K210" s="31"/>
      <c r="L210" s="269"/>
      <c r="M210" s="269"/>
      <c r="N210" s="269"/>
      <c r="O210" s="282"/>
      <c r="P210" s="269"/>
      <c r="Q210" s="269"/>
      <c r="R210" s="269"/>
      <c r="S210" s="282"/>
      <c r="T210" s="269"/>
      <c r="U210" s="269"/>
      <c r="V210" s="269"/>
      <c r="W210" s="269"/>
      <c r="X210" s="31"/>
    </row>
    <row r="211" spans="4:24" x14ac:dyDescent="0.25">
      <c r="D211" s="31"/>
      <c r="E211" s="31"/>
      <c r="F211" s="31"/>
      <c r="G211" s="31"/>
      <c r="H211" s="31"/>
      <c r="I211" s="31"/>
      <c r="J211" s="31"/>
      <c r="K211" s="31"/>
      <c r="L211" s="269"/>
      <c r="M211" s="269"/>
      <c r="N211" s="269"/>
      <c r="O211" s="282"/>
      <c r="P211" s="269"/>
      <c r="Q211" s="269"/>
      <c r="R211" s="269"/>
      <c r="S211" s="282"/>
      <c r="T211" s="269"/>
      <c r="U211" s="269"/>
      <c r="V211" s="269"/>
      <c r="W211" s="269"/>
      <c r="X211" s="31"/>
    </row>
    <row r="212" spans="4:24" x14ac:dyDescent="0.25">
      <c r="D212" s="31"/>
      <c r="E212" s="31"/>
      <c r="F212" s="31"/>
      <c r="G212" s="31"/>
      <c r="H212" s="31"/>
      <c r="I212" s="31"/>
      <c r="J212" s="31"/>
      <c r="K212" s="31"/>
      <c r="L212" s="269"/>
      <c r="M212" s="269"/>
      <c r="N212" s="269"/>
      <c r="O212" s="282"/>
      <c r="P212" s="269"/>
      <c r="Q212" s="269"/>
      <c r="R212" s="269"/>
      <c r="S212" s="282"/>
      <c r="T212" s="269"/>
      <c r="U212" s="269"/>
      <c r="V212" s="269"/>
      <c r="W212" s="269"/>
      <c r="X212" s="31"/>
    </row>
    <row r="213" spans="4:24" x14ac:dyDescent="0.25">
      <c r="D213" s="31"/>
      <c r="E213" s="31"/>
      <c r="F213" s="31"/>
      <c r="G213" s="31"/>
      <c r="H213" s="31"/>
      <c r="I213" s="31"/>
      <c r="J213" s="31"/>
      <c r="K213" s="31"/>
      <c r="L213" s="269"/>
      <c r="M213" s="269"/>
      <c r="N213" s="269"/>
      <c r="O213" s="282"/>
      <c r="P213" s="269"/>
      <c r="Q213" s="269"/>
      <c r="R213" s="269"/>
      <c r="S213" s="282"/>
      <c r="T213" s="269"/>
      <c r="U213" s="269"/>
      <c r="V213" s="269"/>
      <c r="W213" s="269"/>
      <c r="X213" s="31"/>
    </row>
    <row r="214" spans="4:24" x14ac:dyDescent="0.25">
      <c r="D214" s="31"/>
      <c r="E214" s="31"/>
      <c r="F214" s="31"/>
      <c r="G214" s="31"/>
      <c r="H214" s="31"/>
      <c r="I214" s="31"/>
      <c r="J214" s="31"/>
      <c r="K214" s="31"/>
      <c r="L214" s="269"/>
      <c r="M214" s="269"/>
      <c r="N214" s="269"/>
      <c r="O214" s="282"/>
      <c r="P214" s="269"/>
      <c r="Q214" s="269"/>
      <c r="R214" s="269"/>
      <c r="S214" s="282"/>
      <c r="T214" s="269"/>
      <c r="U214" s="269"/>
      <c r="V214" s="269"/>
      <c r="W214" s="269"/>
      <c r="X214" s="31"/>
    </row>
    <row r="215" spans="4:24" x14ac:dyDescent="0.25">
      <c r="D215" s="31"/>
      <c r="E215" s="31"/>
      <c r="F215" s="31"/>
      <c r="G215" s="31"/>
      <c r="H215" s="31"/>
      <c r="I215" s="31"/>
      <c r="J215" s="31"/>
      <c r="K215" s="31"/>
      <c r="L215" s="269"/>
      <c r="M215" s="269"/>
      <c r="N215" s="269"/>
      <c r="O215" s="282"/>
      <c r="P215" s="269"/>
      <c r="Q215" s="269"/>
      <c r="R215" s="269"/>
      <c r="S215" s="282"/>
      <c r="T215" s="269"/>
      <c r="U215" s="269"/>
      <c r="V215" s="269"/>
      <c r="W215" s="269"/>
      <c r="X215" s="31"/>
    </row>
    <row r="216" spans="4:24" x14ac:dyDescent="0.25">
      <c r="D216" s="31"/>
      <c r="E216" s="31"/>
      <c r="F216" s="31"/>
      <c r="G216" s="31"/>
      <c r="H216" s="31"/>
      <c r="I216" s="31"/>
      <c r="J216" s="31"/>
      <c r="K216" s="31"/>
      <c r="L216" s="269"/>
      <c r="M216" s="269"/>
      <c r="N216" s="269"/>
      <c r="O216" s="282"/>
      <c r="P216" s="269"/>
      <c r="Q216" s="269"/>
      <c r="R216" s="269"/>
      <c r="S216" s="282"/>
      <c r="T216" s="269"/>
      <c r="U216" s="269"/>
      <c r="V216" s="269"/>
      <c r="W216" s="269"/>
      <c r="X216" s="31"/>
    </row>
    <row r="217" spans="4:24" x14ac:dyDescent="0.25">
      <c r="D217" s="31"/>
      <c r="E217" s="31"/>
      <c r="F217" s="31"/>
      <c r="G217" s="31"/>
      <c r="H217" s="31"/>
      <c r="I217" s="31"/>
      <c r="J217" s="31"/>
      <c r="K217" s="31"/>
      <c r="L217" s="269"/>
      <c r="M217" s="269"/>
      <c r="N217" s="269"/>
      <c r="O217" s="282"/>
      <c r="P217" s="269"/>
      <c r="Q217" s="269"/>
      <c r="R217" s="269"/>
      <c r="S217" s="282"/>
      <c r="T217" s="269"/>
      <c r="U217" s="269"/>
      <c r="V217" s="269"/>
      <c r="W217" s="269"/>
      <c r="X217" s="31"/>
    </row>
    <row r="218" spans="4:24" x14ac:dyDescent="0.25">
      <c r="D218" s="31"/>
      <c r="E218" s="31"/>
      <c r="F218" s="31"/>
      <c r="G218" s="31"/>
      <c r="H218" s="31"/>
      <c r="I218" s="31"/>
      <c r="J218" s="31"/>
      <c r="K218" s="31"/>
      <c r="L218" s="269"/>
      <c r="M218" s="269"/>
      <c r="N218" s="269"/>
      <c r="O218" s="282"/>
      <c r="P218" s="269"/>
      <c r="Q218" s="269"/>
      <c r="R218" s="269"/>
      <c r="S218" s="282"/>
      <c r="T218" s="269"/>
      <c r="U218" s="269"/>
      <c r="V218" s="269"/>
      <c r="W218" s="269"/>
      <c r="X218" s="31"/>
    </row>
    <row r="219" spans="4:24" x14ac:dyDescent="0.25">
      <c r="D219" s="31"/>
      <c r="E219" s="31"/>
      <c r="F219" s="31"/>
      <c r="G219" s="31"/>
      <c r="H219" s="31"/>
      <c r="I219" s="31"/>
      <c r="J219" s="31"/>
      <c r="K219" s="31"/>
      <c r="L219" s="269"/>
      <c r="M219" s="269"/>
      <c r="N219" s="269"/>
      <c r="O219" s="282"/>
      <c r="P219" s="269"/>
      <c r="Q219" s="269"/>
      <c r="R219" s="269"/>
      <c r="S219" s="282"/>
      <c r="T219" s="269"/>
      <c r="U219" s="269"/>
      <c r="V219" s="269"/>
      <c r="W219" s="269"/>
      <c r="X219" s="31"/>
    </row>
    <row r="220" spans="4:24" x14ac:dyDescent="0.25">
      <c r="D220" s="31"/>
      <c r="E220" s="31"/>
      <c r="F220" s="31"/>
      <c r="G220" s="31"/>
      <c r="H220" s="31"/>
      <c r="I220" s="31"/>
      <c r="J220" s="31"/>
      <c r="K220" s="31"/>
      <c r="L220" s="269"/>
      <c r="M220" s="269"/>
      <c r="N220" s="269"/>
      <c r="O220" s="282"/>
      <c r="P220" s="269"/>
      <c r="Q220" s="269"/>
      <c r="R220" s="269"/>
      <c r="S220" s="282"/>
      <c r="T220" s="269"/>
      <c r="U220" s="269"/>
      <c r="V220" s="269"/>
      <c r="W220" s="269"/>
      <c r="X220" s="31"/>
    </row>
    <row r="221" spans="4:24" x14ac:dyDescent="0.25">
      <c r="D221" s="31"/>
      <c r="E221" s="31"/>
      <c r="F221" s="31"/>
      <c r="G221" s="31"/>
      <c r="H221" s="31"/>
      <c r="I221" s="31"/>
      <c r="J221" s="31"/>
      <c r="K221" s="31"/>
      <c r="L221" s="269"/>
      <c r="M221" s="269"/>
      <c r="N221" s="269"/>
      <c r="O221" s="282"/>
      <c r="P221" s="269"/>
      <c r="Q221" s="269"/>
      <c r="R221" s="269"/>
      <c r="S221" s="282"/>
      <c r="T221" s="269"/>
      <c r="U221" s="269"/>
      <c r="V221" s="269"/>
      <c r="W221" s="269"/>
      <c r="X221" s="31"/>
    </row>
    <row r="222" spans="4:24" x14ac:dyDescent="0.25">
      <c r="D222" s="31"/>
      <c r="E222" s="31"/>
      <c r="F222" s="31"/>
      <c r="G222" s="31"/>
      <c r="H222" s="31"/>
      <c r="I222" s="31"/>
      <c r="J222" s="31"/>
      <c r="K222" s="31"/>
      <c r="L222" s="269"/>
      <c r="M222" s="269"/>
      <c r="N222" s="269"/>
      <c r="O222" s="282"/>
      <c r="P222" s="269"/>
      <c r="Q222" s="269"/>
      <c r="R222" s="269"/>
      <c r="S222" s="282"/>
      <c r="T222" s="269"/>
      <c r="U222" s="269"/>
      <c r="V222" s="269"/>
      <c r="W222" s="269"/>
      <c r="X222" s="31"/>
    </row>
    <row r="223" spans="4:24" x14ac:dyDescent="0.25">
      <c r="D223" s="31"/>
      <c r="E223" s="31"/>
      <c r="F223" s="31"/>
      <c r="G223" s="31"/>
      <c r="H223" s="31"/>
      <c r="I223" s="31"/>
      <c r="J223" s="31"/>
      <c r="K223" s="31"/>
      <c r="L223" s="269"/>
      <c r="M223" s="269"/>
      <c r="N223" s="269"/>
      <c r="O223" s="282"/>
      <c r="P223" s="269"/>
      <c r="Q223" s="269"/>
      <c r="R223" s="269"/>
      <c r="S223" s="282"/>
      <c r="T223" s="269"/>
      <c r="U223" s="269"/>
      <c r="V223" s="269"/>
      <c r="W223" s="269"/>
      <c r="X223" s="31"/>
    </row>
    <row r="224" spans="4:24" x14ac:dyDescent="0.25">
      <c r="D224" s="31"/>
      <c r="E224" s="31"/>
      <c r="F224" s="31"/>
      <c r="G224" s="31"/>
      <c r="H224" s="31"/>
      <c r="I224" s="31"/>
      <c r="J224" s="31"/>
      <c r="K224" s="31"/>
      <c r="L224" s="269"/>
      <c r="M224" s="269"/>
      <c r="N224" s="269"/>
      <c r="O224" s="282"/>
      <c r="P224" s="269"/>
      <c r="Q224" s="269"/>
      <c r="R224" s="269"/>
      <c r="S224" s="282"/>
      <c r="T224" s="269"/>
      <c r="U224" s="269"/>
      <c r="V224" s="269"/>
      <c r="W224" s="269"/>
      <c r="X224" s="31"/>
    </row>
    <row r="225" spans="4:24" x14ac:dyDescent="0.25">
      <c r="D225" s="31"/>
      <c r="E225" s="31"/>
      <c r="F225" s="31"/>
      <c r="G225" s="31"/>
      <c r="H225" s="31"/>
      <c r="I225" s="31"/>
      <c r="J225" s="31"/>
      <c r="K225" s="31"/>
      <c r="L225" s="269"/>
      <c r="M225" s="269"/>
      <c r="N225" s="269"/>
      <c r="O225" s="282"/>
      <c r="P225" s="269"/>
      <c r="Q225" s="269"/>
      <c r="R225" s="269"/>
      <c r="S225" s="282"/>
      <c r="T225" s="269"/>
      <c r="U225" s="269"/>
      <c r="V225" s="269"/>
      <c r="W225" s="269"/>
      <c r="X225" s="31"/>
    </row>
    <row r="226" spans="4:24" x14ac:dyDescent="0.25">
      <c r="D226" s="31"/>
      <c r="E226" s="31"/>
      <c r="F226" s="31"/>
      <c r="G226" s="31"/>
      <c r="H226" s="31"/>
      <c r="I226" s="31"/>
      <c r="J226" s="31"/>
      <c r="K226" s="31"/>
      <c r="L226" s="269"/>
      <c r="M226" s="269"/>
      <c r="N226" s="269"/>
      <c r="O226" s="282"/>
      <c r="P226" s="269"/>
      <c r="Q226" s="269"/>
      <c r="R226" s="269"/>
      <c r="S226" s="282"/>
      <c r="T226" s="269"/>
      <c r="U226" s="269"/>
      <c r="V226" s="269"/>
      <c r="W226" s="269"/>
      <c r="X226" s="31"/>
    </row>
    <row r="227" spans="4:24" x14ac:dyDescent="0.25">
      <c r="D227" s="31"/>
      <c r="E227" s="31"/>
      <c r="F227" s="31"/>
      <c r="G227" s="31"/>
      <c r="H227" s="31"/>
      <c r="I227" s="31"/>
      <c r="J227" s="31"/>
      <c r="K227" s="31"/>
      <c r="L227" s="269"/>
      <c r="M227" s="269"/>
      <c r="N227" s="269"/>
      <c r="O227" s="282"/>
      <c r="P227" s="269"/>
      <c r="Q227" s="269"/>
      <c r="R227" s="269"/>
      <c r="S227" s="282"/>
      <c r="T227" s="269"/>
      <c r="U227" s="269"/>
      <c r="V227" s="269"/>
      <c r="W227" s="269"/>
      <c r="X227" s="31"/>
    </row>
    <row r="228" spans="4:24" x14ac:dyDescent="0.25">
      <c r="D228" s="31"/>
      <c r="E228" s="31"/>
      <c r="F228" s="31"/>
      <c r="G228" s="31"/>
      <c r="H228" s="31"/>
      <c r="I228" s="31"/>
      <c r="J228" s="31"/>
      <c r="K228" s="31"/>
      <c r="L228" s="269"/>
      <c r="M228" s="269"/>
      <c r="N228" s="269"/>
      <c r="O228" s="282"/>
      <c r="P228" s="269"/>
      <c r="Q228" s="269"/>
      <c r="R228" s="269"/>
      <c r="S228" s="282"/>
      <c r="T228" s="269"/>
      <c r="U228" s="269"/>
      <c r="V228" s="269"/>
      <c r="W228" s="269"/>
      <c r="X228" s="31"/>
    </row>
    <row r="229" spans="4:24" x14ac:dyDescent="0.25">
      <c r="D229" s="31"/>
      <c r="E229" s="31"/>
      <c r="F229" s="31"/>
      <c r="G229" s="31"/>
      <c r="H229" s="31"/>
      <c r="I229" s="31"/>
      <c r="J229" s="31"/>
      <c r="K229" s="31"/>
      <c r="L229" s="269"/>
      <c r="M229" s="269"/>
      <c r="N229" s="269"/>
      <c r="O229" s="282"/>
      <c r="P229" s="269"/>
      <c r="Q229" s="269"/>
      <c r="R229" s="269"/>
      <c r="S229" s="282"/>
      <c r="T229" s="269"/>
      <c r="U229" s="269"/>
      <c r="V229" s="269"/>
      <c r="W229" s="269"/>
      <c r="X229" s="31"/>
    </row>
    <row r="230" spans="4:24" x14ac:dyDescent="0.25">
      <c r="D230" s="31"/>
      <c r="E230" s="31"/>
      <c r="F230" s="31"/>
      <c r="G230" s="31"/>
      <c r="H230" s="31"/>
      <c r="I230" s="31"/>
      <c r="J230" s="31"/>
      <c r="K230" s="31"/>
      <c r="L230" s="269"/>
      <c r="M230" s="269"/>
      <c r="N230" s="269"/>
      <c r="O230" s="282"/>
      <c r="P230" s="269"/>
      <c r="Q230" s="269"/>
      <c r="R230" s="269"/>
      <c r="S230" s="282"/>
      <c r="T230" s="269"/>
      <c r="U230" s="269"/>
      <c r="V230" s="269"/>
      <c r="W230" s="269"/>
      <c r="X230" s="31"/>
    </row>
    <row r="231" spans="4:24" x14ac:dyDescent="0.25">
      <c r="D231" s="31"/>
      <c r="E231" s="31"/>
      <c r="F231" s="31"/>
      <c r="G231" s="31"/>
      <c r="H231" s="31"/>
      <c r="I231" s="31"/>
      <c r="J231" s="31"/>
      <c r="K231" s="31"/>
      <c r="L231" s="269"/>
      <c r="M231" s="269"/>
      <c r="N231" s="269"/>
      <c r="O231" s="282"/>
      <c r="P231" s="269"/>
      <c r="Q231" s="269"/>
      <c r="R231" s="269"/>
      <c r="S231" s="282"/>
      <c r="T231" s="269"/>
      <c r="U231" s="269"/>
      <c r="V231" s="269"/>
      <c r="W231" s="269"/>
      <c r="X231" s="31"/>
    </row>
    <row r="232" spans="4:24" x14ac:dyDescent="0.25">
      <c r="D232" s="31"/>
      <c r="E232" s="31"/>
      <c r="F232" s="31"/>
      <c r="G232" s="31"/>
      <c r="H232" s="31"/>
      <c r="I232" s="31"/>
      <c r="J232" s="31"/>
      <c r="K232" s="31"/>
      <c r="L232" s="269"/>
      <c r="M232" s="269"/>
      <c r="N232" s="269"/>
      <c r="O232" s="282"/>
      <c r="P232" s="269"/>
      <c r="Q232" s="269"/>
      <c r="R232" s="269"/>
      <c r="S232" s="282"/>
      <c r="T232" s="269"/>
      <c r="U232" s="269"/>
      <c r="V232" s="269"/>
      <c r="W232" s="269"/>
      <c r="X232" s="31"/>
    </row>
    <row r="233" spans="4:24" x14ac:dyDescent="0.25">
      <c r="D233" s="31"/>
      <c r="E233" s="31"/>
      <c r="F233" s="31"/>
      <c r="G233" s="31"/>
      <c r="H233" s="31"/>
      <c r="I233" s="31"/>
      <c r="J233" s="31"/>
      <c r="K233" s="31"/>
      <c r="L233" s="269"/>
      <c r="M233" s="269"/>
      <c r="N233" s="269"/>
      <c r="O233" s="282"/>
      <c r="P233" s="269"/>
      <c r="Q233" s="269"/>
      <c r="R233" s="269"/>
      <c r="S233" s="282"/>
      <c r="T233" s="269"/>
      <c r="U233" s="269"/>
      <c r="V233" s="269"/>
      <c r="W233" s="269"/>
      <c r="X233" s="31"/>
    </row>
    <row r="234" spans="4:24" x14ac:dyDescent="0.25">
      <c r="D234" s="31"/>
      <c r="E234" s="31"/>
      <c r="F234" s="31"/>
      <c r="G234" s="31"/>
      <c r="H234" s="31"/>
      <c r="I234" s="31"/>
      <c r="J234" s="31"/>
      <c r="K234" s="31"/>
      <c r="L234" s="269"/>
      <c r="M234" s="269"/>
      <c r="N234" s="269"/>
      <c r="O234" s="282"/>
      <c r="P234" s="269"/>
      <c r="Q234" s="269"/>
      <c r="R234" s="269"/>
      <c r="S234" s="282"/>
      <c r="T234" s="269"/>
      <c r="U234" s="269"/>
      <c r="V234" s="269"/>
      <c r="W234" s="269"/>
      <c r="X234" s="31"/>
    </row>
    <row r="235" spans="4:24" x14ac:dyDescent="0.25">
      <c r="D235" s="31"/>
      <c r="E235" s="31"/>
      <c r="F235" s="31"/>
      <c r="G235" s="31"/>
      <c r="H235" s="31"/>
      <c r="I235" s="31"/>
      <c r="J235" s="31"/>
      <c r="K235" s="31"/>
      <c r="L235" s="269"/>
      <c r="M235" s="269"/>
      <c r="N235" s="269"/>
      <c r="O235" s="282"/>
      <c r="P235" s="269"/>
      <c r="Q235" s="269"/>
      <c r="R235" s="269"/>
      <c r="S235" s="282"/>
      <c r="T235" s="269"/>
      <c r="U235" s="269"/>
      <c r="V235" s="269"/>
      <c r="W235" s="269"/>
      <c r="X235" s="31"/>
    </row>
    <row r="236" spans="4:24" x14ac:dyDescent="0.25">
      <c r="D236" s="31"/>
      <c r="E236" s="31"/>
      <c r="F236" s="31"/>
      <c r="G236" s="31"/>
      <c r="H236" s="31"/>
      <c r="I236" s="31"/>
      <c r="J236" s="31"/>
      <c r="K236" s="31"/>
      <c r="L236" s="269"/>
      <c r="M236" s="269"/>
      <c r="N236" s="269"/>
      <c r="O236" s="282"/>
      <c r="P236" s="269"/>
      <c r="Q236" s="269"/>
      <c r="R236" s="269"/>
      <c r="S236" s="282"/>
      <c r="T236" s="269"/>
      <c r="U236" s="269"/>
      <c r="V236" s="269"/>
      <c r="W236" s="269"/>
      <c r="X236" s="31"/>
    </row>
    <row r="237" spans="4:24" x14ac:dyDescent="0.25">
      <c r="D237" s="31"/>
      <c r="E237" s="31"/>
      <c r="F237" s="31"/>
      <c r="G237" s="31"/>
      <c r="H237" s="31"/>
      <c r="I237" s="31"/>
      <c r="J237" s="31"/>
      <c r="K237" s="31"/>
      <c r="L237" s="269"/>
      <c r="M237" s="269"/>
      <c r="N237" s="269"/>
      <c r="O237" s="282"/>
      <c r="P237" s="269"/>
      <c r="Q237" s="269"/>
      <c r="R237" s="269"/>
      <c r="S237" s="282"/>
      <c r="T237" s="269"/>
      <c r="U237" s="269"/>
      <c r="V237" s="269"/>
      <c r="W237" s="269"/>
      <c r="X237" s="31"/>
    </row>
    <row r="238" spans="4:24" x14ac:dyDescent="0.25">
      <c r="D238" s="31"/>
      <c r="E238" s="31"/>
      <c r="F238" s="31"/>
      <c r="G238" s="31"/>
      <c r="H238" s="31"/>
      <c r="I238" s="31"/>
      <c r="J238" s="31"/>
      <c r="K238" s="31"/>
      <c r="L238" s="269"/>
      <c r="M238" s="269"/>
      <c r="N238" s="269"/>
      <c r="O238" s="282"/>
      <c r="P238" s="269"/>
      <c r="Q238" s="269"/>
      <c r="R238" s="269"/>
      <c r="S238" s="282"/>
      <c r="T238" s="269"/>
      <c r="U238" s="269"/>
      <c r="V238" s="269"/>
      <c r="W238" s="269"/>
      <c r="X238" s="31"/>
    </row>
    <row r="239" spans="4:24" x14ac:dyDescent="0.25">
      <c r="D239" s="31"/>
      <c r="E239" s="31"/>
      <c r="F239" s="31"/>
      <c r="G239" s="31"/>
      <c r="H239" s="31"/>
      <c r="I239" s="31"/>
      <c r="J239" s="31"/>
      <c r="K239" s="31"/>
      <c r="L239" s="269"/>
      <c r="M239" s="269"/>
      <c r="N239" s="269"/>
      <c r="O239" s="282"/>
      <c r="P239" s="269"/>
      <c r="Q239" s="269"/>
      <c r="R239" s="269"/>
      <c r="S239" s="282"/>
      <c r="T239" s="269"/>
      <c r="U239" s="269"/>
      <c r="V239" s="269"/>
      <c r="W239" s="269"/>
      <c r="X239" s="31"/>
    </row>
    <row r="240" spans="4:24" x14ac:dyDescent="0.25">
      <c r="D240" s="31"/>
      <c r="E240" s="31"/>
      <c r="F240" s="31"/>
      <c r="G240" s="31"/>
      <c r="H240" s="31"/>
      <c r="I240" s="31"/>
      <c r="J240" s="31"/>
      <c r="K240" s="31"/>
      <c r="L240" s="269"/>
      <c r="M240" s="269"/>
      <c r="N240" s="269"/>
      <c r="O240" s="282"/>
      <c r="P240" s="269"/>
      <c r="Q240" s="269"/>
      <c r="R240" s="269"/>
      <c r="S240" s="282"/>
      <c r="T240" s="269"/>
      <c r="U240" s="269"/>
      <c r="V240" s="269"/>
      <c r="W240" s="269"/>
      <c r="X240" s="31"/>
    </row>
    <row r="241" spans="4:24" x14ac:dyDescent="0.25">
      <c r="D241" s="31"/>
      <c r="E241" s="31"/>
      <c r="F241" s="31"/>
      <c r="G241" s="31"/>
      <c r="H241" s="31"/>
      <c r="I241" s="31"/>
      <c r="J241" s="31"/>
      <c r="K241" s="31"/>
      <c r="L241" s="269"/>
      <c r="M241" s="269"/>
      <c r="N241" s="269"/>
      <c r="O241" s="282"/>
      <c r="P241" s="269"/>
      <c r="Q241" s="269"/>
      <c r="R241" s="269"/>
      <c r="S241" s="282"/>
      <c r="T241" s="269"/>
      <c r="U241" s="269"/>
      <c r="V241" s="269"/>
      <c r="W241" s="269"/>
      <c r="X241" s="31"/>
    </row>
    <row r="242" spans="4:24" x14ac:dyDescent="0.25">
      <c r="D242" s="31"/>
      <c r="E242" s="31"/>
      <c r="F242" s="31"/>
      <c r="G242" s="31"/>
      <c r="H242" s="31"/>
      <c r="I242" s="31"/>
      <c r="J242" s="31"/>
      <c r="K242" s="31"/>
      <c r="L242" s="269"/>
      <c r="M242" s="269"/>
      <c r="N242" s="269"/>
      <c r="O242" s="282"/>
      <c r="P242" s="269"/>
      <c r="Q242" s="269"/>
      <c r="R242" s="269"/>
      <c r="S242" s="282"/>
      <c r="T242" s="269"/>
      <c r="U242" s="269"/>
      <c r="V242" s="269"/>
      <c r="W242" s="269"/>
      <c r="X242" s="31"/>
    </row>
    <row r="243" spans="4:24" x14ac:dyDescent="0.25">
      <c r="D243" s="31"/>
      <c r="E243" s="31"/>
      <c r="F243" s="31"/>
      <c r="G243" s="31"/>
      <c r="H243" s="31"/>
      <c r="I243" s="31"/>
      <c r="J243" s="31"/>
      <c r="K243" s="31"/>
      <c r="L243" s="269"/>
      <c r="M243" s="269"/>
      <c r="N243" s="269"/>
      <c r="O243" s="282"/>
      <c r="P243" s="269"/>
      <c r="Q243" s="269"/>
      <c r="R243" s="269"/>
      <c r="S243" s="282"/>
      <c r="T243" s="269"/>
      <c r="U243" s="269"/>
      <c r="V243" s="269"/>
      <c r="W243" s="269"/>
      <c r="X243" s="31"/>
    </row>
    <row r="244" spans="4:24" x14ac:dyDescent="0.25">
      <c r="D244" s="31"/>
      <c r="E244" s="31"/>
      <c r="F244" s="31"/>
      <c r="G244" s="31"/>
      <c r="H244" s="31"/>
      <c r="I244" s="31"/>
      <c r="J244" s="31"/>
      <c r="K244" s="31"/>
      <c r="L244" s="269"/>
      <c r="M244" s="269"/>
      <c r="N244" s="269"/>
      <c r="O244" s="282"/>
      <c r="P244" s="269"/>
      <c r="Q244" s="269"/>
      <c r="R244" s="269"/>
      <c r="S244" s="282"/>
      <c r="T244" s="269"/>
      <c r="U244" s="269"/>
      <c r="V244" s="269"/>
      <c r="W244" s="269"/>
      <c r="X244" s="31"/>
    </row>
    <row r="245" spans="4:24" x14ac:dyDescent="0.25">
      <c r="D245" s="31"/>
      <c r="E245" s="31"/>
      <c r="F245" s="31"/>
      <c r="G245" s="31"/>
      <c r="H245" s="31"/>
      <c r="I245" s="31"/>
      <c r="J245" s="31"/>
      <c r="K245" s="31"/>
      <c r="L245" s="269"/>
      <c r="M245" s="269"/>
      <c r="N245" s="269"/>
      <c r="O245" s="282"/>
      <c r="P245" s="269"/>
      <c r="Q245" s="269"/>
      <c r="R245" s="269"/>
      <c r="S245" s="282"/>
      <c r="T245" s="269"/>
      <c r="U245" s="269"/>
      <c r="V245" s="269"/>
      <c r="W245" s="269"/>
      <c r="X245" s="31"/>
    </row>
    <row r="246" spans="4:24" x14ac:dyDescent="0.25">
      <c r="D246" s="31"/>
      <c r="E246" s="31"/>
      <c r="F246" s="31"/>
      <c r="G246" s="31"/>
      <c r="H246" s="31"/>
      <c r="I246" s="31"/>
      <c r="J246" s="31"/>
      <c r="K246" s="31"/>
      <c r="L246" s="269"/>
      <c r="M246" s="269"/>
      <c r="N246" s="269"/>
      <c r="O246" s="282"/>
      <c r="P246" s="269"/>
      <c r="Q246" s="269"/>
      <c r="R246" s="269"/>
      <c r="S246" s="282"/>
      <c r="T246" s="269"/>
      <c r="U246" s="269"/>
      <c r="V246" s="269"/>
      <c r="W246" s="269"/>
      <c r="X246" s="31"/>
    </row>
    <row r="247" spans="4:24" x14ac:dyDescent="0.25">
      <c r="D247" s="31"/>
      <c r="E247" s="31"/>
      <c r="F247" s="31"/>
      <c r="G247" s="31"/>
      <c r="H247" s="31"/>
      <c r="I247" s="31"/>
      <c r="J247" s="31"/>
      <c r="K247" s="31"/>
      <c r="L247" s="269"/>
      <c r="M247" s="269"/>
      <c r="N247" s="269"/>
      <c r="O247" s="282"/>
      <c r="P247" s="269"/>
      <c r="Q247" s="269"/>
      <c r="R247" s="269"/>
      <c r="S247" s="282"/>
      <c r="T247" s="269"/>
      <c r="U247" s="269"/>
      <c r="V247" s="269"/>
      <c r="W247" s="269"/>
      <c r="X247" s="31"/>
    </row>
    <row r="248" spans="4:24" x14ac:dyDescent="0.25">
      <c r="D248" s="31"/>
      <c r="E248" s="31"/>
      <c r="F248" s="31"/>
      <c r="G248" s="31"/>
      <c r="H248" s="31"/>
      <c r="I248" s="31"/>
      <c r="J248" s="31"/>
      <c r="K248" s="31"/>
      <c r="L248" s="269"/>
      <c r="M248" s="269"/>
      <c r="N248" s="269"/>
      <c r="O248" s="282"/>
      <c r="P248" s="269"/>
      <c r="Q248" s="269"/>
      <c r="R248" s="269"/>
      <c r="S248" s="282"/>
      <c r="T248" s="269"/>
      <c r="U248" s="269"/>
      <c r="V248" s="269"/>
      <c r="W248" s="269"/>
      <c r="X248" s="31"/>
    </row>
    <row r="249" spans="4:24" x14ac:dyDescent="0.25">
      <c r="D249" s="31"/>
      <c r="E249" s="31"/>
      <c r="F249" s="31"/>
      <c r="G249" s="31"/>
      <c r="H249" s="31"/>
      <c r="I249" s="31"/>
      <c r="J249" s="31"/>
      <c r="K249" s="31"/>
      <c r="L249" s="269"/>
      <c r="M249" s="269"/>
      <c r="N249" s="269"/>
      <c r="O249" s="282"/>
      <c r="P249" s="269"/>
      <c r="Q249" s="269"/>
      <c r="R249" s="269"/>
      <c r="S249" s="282"/>
      <c r="T249" s="269"/>
      <c r="U249" s="269"/>
      <c r="V249" s="269"/>
      <c r="W249" s="269"/>
      <c r="X249" s="31"/>
    </row>
    <row r="250" spans="4:24" x14ac:dyDescent="0.25">
      <c r="D250" s="31"/>
      <c r="E250" s="31"/>
      <c r="F250" s="31"/>
      <c r="G250" s="31"/>
      <c r="H250" s="31"/>
      <c r="I250" s="31"/>
      <c r="J250" s="31"/>
      <c r="K250" s="31"/>
      <c r="L250" s="269"/>
      <c r="M250" s="269"/>
      <c r="N250" s="269"/>
      <c r="O250" s="282"/>
      <c r="P250" s="269"/>
      <c r="Q250" s="269"/>
      <c r="R250" s="269"/>
      <c r="S250" s="282"/>
      <c r="T250" s="269"/>
      <c r="U250" s="269"/>
      <c r="V250" s="269"/>
      <c r="W250" s="269"/>
      <c r="X250" s="31"/>
    </row>
    <row r="251" spans="4:24" x14ac:dyDescent="0.25">
      <c r="D251" s="31"/>
      <c r="E251" s="31"/>
      <c r="F251" s="31"/>
      <c r="G251" s="31"/>
      <c r="H251" s="31"/>
      <c r="I251" s="31"/>
      <c r="J251" s="31"/>
      <c r="K251" s="31"/>
      <c r="L251" s="269"/>
      <c r="M251" s="269"/>
      <c r="N251" s="269"/>
      <c r="O251" s="282"/>
      <c r="P251" s="269"/>
      <c r="Q251" s="269"/>
      <c r="R251" s="269"/>
      <c r="S251" s="282"/>
      <c r="T251" s="269"/>
      <c r="U251" s="269"/>
      <c r="V251" s="269"/>
      <c r="W251" s="269"/>
      <c r="X251" s="31"/>
    </row>
    <row r="252" spans="4:24" x14ac:dyDescent="0.25">
      <c r="D252" s="31"/>
      <c r="E252" s="31"/>
      <c r="F252" s="31"/>
      <c r="G252" s="31"/>
      <c r="H252" s="31"/>
      <c r="I252" s="31"/>
      <c r="J252" s="31"/>
      <c r="K252" s="31"/>
      <c r="L252" s="269"/>
      <c r="M252" s="269"/>
      <c r="N252" s="269"/>
      <c r="O252" s="282"/>
      <c r="P252" s="269"/>
      <c r="Q252" s="269"/>
      <c r="R252" s="269"/>
      <c r="S252" s="282"/>
      <c r="T252" s="269"/>
      <c r="U252" s="269"/>
      <c r="V252" s="269"/>
      <c r="W252" s="269"/>
      <c r="X252" s="31"/>
    </row>
    <row r="253" spans="4:24" x14ac:dyDescent="0.25">
      <c r="D253" s="31"/>
      <c r="E253" s="31"/>
      <c r="F253" s="31"/>
      <c r="G253" s="31"/>
      <c r="H253" s="31"/>
      <c r="I253" s="31"/>
      <c r="J253" s="31"/>
      <c r="K253" s="31"/>
      <c r="L253" s="269"/>
      <c r="M253" s="269"/>
      <c r="N253" s="269"/>
      <c r="O253" s="282"/>
      <c r="P253" s="269"/>
      <c r="Q253" s="269"/>
      <c r="R253" s="269"/>
      <c r="S253" s="282"/>
      <c r="T253" s="269"/>
      <c r="U253" s="269"/>
      <c r="V253" s="269"/>
      <c r="W253" s="269"/>
      <c r="X253" s="31"/>
    </row>
    <row r="254" spans="4:24" x14ac:dyDescent="0.25">
      <c r="D254" s="31"/>
      <c r="E254" s="31"/>
      <c r="F254" s="31"/>
      <c r="G254" s="31"/>
      <c r="H254" s="31"/>
      <c r="I254" s="31"/>
      <c r="J254" s="31"/>
      <c r="K254" s="31"/>
      <c r="L254" s="269"/>
      <c r="M254" s="269"/>
      <c r="N254" s="269"/>
      <c r="O254" s="282"/>
      <c r="P254" s="269"/>
      <c r="Q254" s="269"/>
      <c r="R254" s="269"/>
      <c r="S254" s="282"/>
      <c r="T254" s="269"/>
      <c r="U254" s="269"/>
      <c r="V254" s="269"/>
      <c r="W254" s="269"/>
      <c r="X254" s="31"/>
    </row>
    <row r="255" spans="4:24" x14ac:dyDescent="0.25">
      <c r="D255" s="31"/>
      <c r="E255" s="31"/>
      <c r="F255" s="31"/>
      <c r="G255" s="31"/>
      <c r="H255" s="31"/>
      <c r="I255" s="31"/>
      <c r="J255" s="31"/>
      <c r="K255" s="31"/>
      <c r="L255" s="269"/>
      <c r="M255" s="269"/>
      <c r="N255" s="269"/>
      <c r="O255" s="282"/>
      <c r="P255" s="269"/>
      <c r="Q255" s="269"/>
      <c r="R255" s="269"/>
      <c r="S255" s="282"/>
      <c r="T255" s="269"/>
      <c r="U255" s="269"/>
      <c r="V255" s="269"/>
      <c r="W255" s="269"/>
      <c r="X255" s="31"/>
    </row>
    <row r="256" spans="4:24" x14ac:dyDescent="0.25">
      <c r="D256" s="31"/>
      <c r="E256" s="31"/>
      <c r="F256" s="31"/>
      <c r="G256" s="31"/>
      <c r="H256" s="31"/>
      <c r="I256" s="31"/>
      <c r="J256" s="31"/>
      <c r="K256" s="31"/>
      <c r="L256" s="269"/>
      <c r="M256" s="269"/>
      <c r="N256" s="269"/>
      <c r="O256" s="282"/>
      <c r="P256" s="269"/>
      <c r="Q256" s="269"/>
      <c r="R256" s="269"/>
      <c r="S256" s="282"/>
      <c r="T256" s="269"/>
      <c r="U256" s="269"/>
      <c r="V256" s="269"/>
      <c r="W256" s="269"/>
      <c r="X256" s="31"/>
    </row>
    <row r="257" spans="4:24" x14ac:dyDescent="0.25">
      <c r="D257" s="31"/>
      <c r="E257" s="31"/>
      <c r="F257" s="31"/>
      <c r="G257" s="31"/>
      <c r="H257" s="31"/>
      <c r="I257" s="31"/>
      <c r="J257" s="31"/>
      <c r="K257" s="31"/>
      <c r="L257" s="269"/>
      <c r="M257" s="269"/>
      <c r="N257" s="269"/>
      <c r="O257" s="282"/>
      <c r="P257" s="269"/>
      <c r="Q257" s="269"/>
      <c r="R257" s="269"/>
      <c r="S257" s="282"/>
      <c r="T257" s="269"/>
      <c r="U257" s="269"/>
      <c r="V257" s="269"/>
      <c r="W257" s="269"/>
      <c r="X257" s="31"/>
    </row>
    <row r="258" spans="4:24" x14ac:dyDescent="0.25">
      <c r="D258" s="31"/>
      <c r="E258" s="31"/>
      <c r="F258" s="31"/>
      <c r="G258" s="31"/>
      <c r="H258" s="31"/>
      <c r="I258" s="31"/>
      <c r="J258" s="31"/>
      <c r="K258" s="31"/>
      <c r="L258" s="269"/>
      <c r="M258" s="269"/>
      <c r="N258" s="269"/>
      <c r="O258" s="282"/>
      <c r="P258" s="269"/>
      <c r="Q258" s="269"/>
      <c r="R258" s="269"/>
      <c r="S258" s="282"/>
      <c r="T258" s="269"/>
      <c r="U258" s="269"/>
      <c r="V258" s="269"/>
      <c r="W258" s="269"/>
      <c r="X258" s="31"/>
    </row>
    <row r="259" spans="4:24" x14ac:dyDescent="0.25">
      <c r="D259" s="31"/>
      <c r="E259" s="31"/>
      <c r="F259" s="31"/>
      <c r="G259" s="31"/>
      <c r="H259" s="31"/>
      <c r="I259" s="31"/>
      <c r="J259" s="31"/>
      <c r="K259" s="31"/>
      <c r="L259" s="269"/>
      <c r="M259" s="269"/>
      <c r="N259" s="269"/>
      <c r="O259" s="282"/>
      <c r="P259" s="269"/>
      <c r="Q259" s="269"/>
      <c r="R259" s="269"/>
      <c r="S259" s="282"/>
      <c r="T259" s="269"/>
      <c r="U259" s="269"/>
      <c r="V259" s="269"/>
      <c r="W259" s="269"/>
      <c r="X259" s="31"/>
    </row>
    <row r="260" spans="4:24" x14ac:dyDescent="0.25">
      <c r="D260" s="31"/>
      <c r="E260" s="31"/>
      <c r="F260" s="31"/>
      <c r="G260" s="31"/>
      <c r="H260" s="31"/>
      <c r="I260" s="31"/>
      <c r="J260" s="31"/>
      <c r="K260" s="31"/>
      <c r="L260" s="269"/>
      <c r="M260" s="269"/>
      <c r="N260" s="269"/>
      <c r="O260" s="282"/>
      <c r="P260" s="269"/>
      <c r="Q260" s="269"/>
      <c r="R260" s="269"/>
      <c r="S260" s="282"/>
      <c r="T260" s="269"/>
      <c r="U260" s="269"/>
      <c r="V260" s="269"/>
      <c r="W260" s="269"/>
      <c r="X260" s="31"/>
    </row>
    <row r="261" spans="4:24" x14ac:dyDescent="0.25">
      <c r="D261" s="31"/>
      <c r="E261" s="31"/>
      <c r="F261" s="31"/>
      <c r="G261" s="31"/>
      <c r="H261" s="31"/>
      <c r="I261" s="31"/>
      <c r="J261" s="31"/>
      <c r="K261" s="31"/>
      <c r="L261" s="269"/>
      <c r="M261" s="269"/>
      <c r="N261" s="269"/>
      <c r="O261" s="282"/>
      <c r="P261" s="269"/>
      <c r="Q261" s="269"/>
      <c r="R261" s="269"/>
      <c r="S261" s="282"/>
      <c r="T261" s="269"/>
      <c r="U261" s="269"/>
      <c r="V261" s="269"/>
      <c r="W261" s="269"/>
      <c r="X261" s="31"/>
    </row>
    <row r="262" spans="4:24" x14ac:dyDescent="0.25">
      <c r="D262" s="31"/>
      <c r="E262" s="31"/>
      <c r="F262" s="31"/>
      <c r="G262" s="31"/>
      <c r="H262" s="31"/>
      <c r="I262" s="31"/>
      <c r="J262" s="31"/>
      <c r="K262" s="31"/>
      <c r="L262" s="269"/>
      <c r="M262" s="269"/>
      <c r="N262" s="269"/>
      <c r="O262" s="282"/>
      <c r="P262" s="269"/>
      <c r="Q262" s="269"/>
      <c r="R262" s="269"/>
      <c r="S262" s="282"/>
      <c r="T262" s="269"/>
      <c r="U262" s="269"/>
      <c r="V262" s="269"/>
      <c r="W262" s="269"/>
      <c r="X262" s="31"/>
    </row>
    <row r="263" spans="4:24" x14ac:dyDescent="0.25">
      <c r="D263" s="31"/>
      <c r="E263" s="31"/>
      <c r="F263" s="31"/>
      <c r="G263" s="31"/>
      <c r="H263" s="31"/>
      <c r="I263" s="31"/>
      <c r="J263" s="31"/>
      <c r="K263" s="31"/>
      <c r="L263" s="269"/>
      <c r="M263" s="269"/>
      <c r="N263" s="269"/>
      <c r="O263" s="282"/>
      <c r="P263" s="269"/>
      <c r="Q263" s="269"/>
      <c r="R263" s="269"/>
      <c r="S263" s="282"/>
      <c r="T263" s="269"/>
      <c r="U263" s="269"/>
      <c r="V263" s="269"/>
      <c r="W263" s="269"/>
      <c r="X263" s="31"/>
    </row>
    <row r="264" spans="4:24" x14ac:dyDescent="0.25">
      <c r="D264" s="31"/>
      <c r="E264" s="31"/>
      <c r="F264" s="31"/>
      <c r="G264" s="31"/>
      <c r="H264" s="31"/>
      <c r="I264" s="31"/>
      <c r="J264" s="31"/>
      <c r="K264" s="31"/>
      <c r="L264" s="269"/>
      <c r="M264" s="269"/>
      <c r="N264" s="269"/>
      <c r="O264" s="282"/>
      <c r="P264" s="269"/>
      <c r="Q264" s="269"/>
      <c r="R264" s="269"/>
      <c r="S264" s="282"/>
      <c r="T264" s="269"/>
      <c r="U264" s="269"/>
      <c r="V264" s="269"/>
      <c r="W264" s="269"/>
      <c r="X264" s="31"/>
    </row>
    <row r="265" spans="4:24" x14ac:dyDescent="0.25">
      <c r="D265" s="31"/>
      <c r="E265" s="31"/>
      <c r="F265" s="31"/>
      <c r="G265" s="31"/>
      <c r="H265" s="31"/>
      <c r="I265" s="31"/>
      <c r="J265" s="31"/>
      <c r="K265" s="31"/>
      <c r="L265" s="269"/>
      <c r="M265" s="269"/>
      <c r="N265" s="269"/>
      <c r="O265" s="282"/>
      <c r="P265" s="269"/>
      <c r="Q265" s="269"/>
      <c r="R265" s="269"/>
      <c r="S265" s="282"/>
      <c r="T265" s="269"/>
      <c r="U265" s="269"/>
      <c r="V265" s="269"/>
      <c r="W265" s="269"/>
      <c r="X265" s="31"/>
    </row>
    <row r="266" spans="4:24" x14ac:dyDescent="0.25">
      <c r="D266" s="31"/>
      <c r="E266" s="31"/>
      <c r="F266" s="31"/>
      <c r="G266" s="31"/>
      <c r="H266" s="31"/>
      <c r="I266" s="31"/>
      <c r="J266" s="31"/>
      <c r="K266" s="31"/>
      <c r="L266" s="269"/>
      <c r="M266" s="269"/>
      <c r="N266" s="269"/>
      <c r="O266" s="282"/>
      <c r="P266" s="269"/>
      <c r="Q266" s="269"/>
      <c r="R266" s="269"/>
      <c r="S266" s="282"/>
      <c r="T266" s="269"/>
      <c r="U266" s="269"/>
      <c r="V266" s="269"/>
      <c r="W266" s="269"/>
      <c r="X266" s="31"/>
    </row>
    <row r="267" spans="4:24" x14ac:dyDescent="0.25">
      <c r="D267" s="31"/>
      <c r="E267" s="31"/>
      <c r="F267" s="31"/>
      <c r="G267" s="31"/>
      <c r="H267" s="31"/>
      <c r="I267" s="31"/>
      <c r="J267" s="31"/>
      <c r="K267" s="31"/>
      <c r="L267" s="269"/>
      <c r="M267" s="269"/>
      <c r="N267" s="269"/>
      <c r="O267" s="282"/>
      <c r="P267" s="269"/>
      <c r="Q267" s="269"/>
      <c r="R267" s="269"/>
      <c r="S267" s="282"/>
      <c r="T267" s="269"/>
      <c r="U267" s="269"/>
      <c r="V267" s="269"/>
      <c r="W267" s="269"/>
      <c r="X267" s="31"/>
    </row>
    <row r="268" spans="4:24" x14ac:dyDescent="0.25">
      <c r="D268" s="31"/>
      <c r="E268" s="31"/>
      <c r="F268" s="31"/>
      <c r="G268" s="31"/>
      <c r="H268" s="31"/>
      <c r="I268" s="31"/>
      <c r="J268" s="31"/>
      <c r="K268" s="31"/>
      <c r="L268" s="269"/>
      <c r="M268" s="269"/>
      <c r="N268" s="269"/>
      <c r="O268" s="282"/>
      <c r="P268" s="269"/>
      <c r="Q268" s="269"/>
      <c r="R268" s="269"/>
      <c r="S268" s="282"/>
      <c r="T268" s="269"/>
      <c r="U268" s="269"/>
      <c r="V268" s="269"/>
      <c r="W268" s="269"/>
      <c r="X268" s="31"/>
    </row>
    <row r="269" spans="4:24" x14ac:dyDescent="0.25">
      <c r="D269" s="31"/>
      <c r="E269" s="31"/>
      <c r="F269" s="31"/>
      <c r="G269" s="31"/>
      <c r="H269" s="31"/>
      <c r="I269" s="31"/>
      <c r="J269" s="31"/>
      <c r="K269" s="31"/>
      <c r="L269" s="269"/>
      <c r="M269" s="269"/>
      <c r="N269" s="269"/>
      <c r="O269" s="282"/>
      <c r="P269" s="269"/>
      <c r="Q269" s="269"/>
      <c r="R269" s="269"/>
      <c r="S269" s="282"/>
      <c r="T269" s="269"/>
      <c r="U269" s="269"/>
      <c r="V269" s="269"/>
      <c r="W269" s="269"/>
      <c r="X269" s="31"/>
    </row>
    <row r="270" spans="4:24" x14ac:dyDescent="0.25">
      <c r="D270" s="31"/>
      <c r="E270" s="31"/>
      <c r="F270" s="31"/>
      <c r="G270" s="31"/>
      <c r="H270" s="31"/>
      <c r="I270" s="31"/>
      <c r="J270" s="31"/>
      <c r="K270" s="31"/>
      <c r="L270" s="269"/>
      <c r="M270" s="269"/>
      <c r="N270" s="269"/>
      <c r="O270" s="282"/>
      <c r="P270" s="269"/>
      <c r="Q270" s="269"/>
      <c r="R270" s="269"/>
      <c r="S270" s="282"/>
      <c r="T270" s="269"/>
      <c r="U270" s="269"/>
      <c r="V270" s="269"/>
      <c r="W270" s="269"/>
      <c r="X270" s="31"/>
    </row>
    <row r="271" spans="4:24" x14ac:dyDescent="0.25">
      <c r="D271" s="31"/>
      <c r="E271" s="31"/>
      <c r="F271" s="31"/>
      <c r="G271" s="31"/>
      <c r="H271" s="31"/>
      <c r="I271" s="31"/>
      <c r="J271" s="31"/>
      <c r="K271" s="31"/>
      <c r="L271" s="269"/>
      <c r="M271" s="269"/>
      <c r="N271" s="269"/>
      <c r="O271" s="282"/>
      <c r="P271" s="269"/>
      <c r="Q271" s="269"/>
      <c r="R271" s="269"/>
      <c r="S271" s="282"/>
      <c r="T271" s="269"/>
      <c r="U271" s="269"/>
      <c r="V271" s="269"/>
      <c r="W271" s="269"/>
      <c r="X271" s="31"/>
    </row>
    <row r="272" spans="4:24" x14ac:dyDescent="0.25">
      <c r="D272" s="31"/>
      <c r="E272" s="31"/>
      <c r="F272" s="31"/>
      <c r="G272" s="31"/>
      <c r="H272" s="31"/>
      <c r="I272" s="31"/>
      <c r="J272" s="31"/>
      <c r="K272" s="31"/>
      <c r="L272" s="269"/>
      <c r="M272" s="269"/>
      <c r="N272" s="269"/>
      <c r="O272" s="282"/>
      <c r="P272" s="269"/>
      <c r="Q272" s="269"/>
      <c r="R272" s="269"/>
      <c r="S272" s="282"/>
      <c r="T272" s="269"/>
      <c r="U272" s="269"/>
      <c r="V272" s="269"/>
      <c r="W272" s="269"/>
      <c r="X272" s="31"/>
    </row>
    <row r="273" spans="4:24" x14ac:dyDescent="0.25">
      <c r="D273" s="31"/>
      <c r="E273" s="31"/>
      <c r="F273" s="31"/>
      <c r="G273" s="31"/>
      <c r="H273" s="31"/>
      <c r="I273" s="31"/>
      <c r="J273" s="31"/>
      <c r="K273" s="31"/>
      <c r="L273" s="269"/>
      <c r="M273" s="269"/>
      <c r="N273" s="269"/>
      <c r="O273" s="282"/>
      <c r="P273" s="269"/>
      <c r="Q273" s="269"/>
      <c r="R273" s="269"/>
      <c r="S273" s="282"/>
      <c r="T273" s="269"/>
      <c r="U273" s="269"/>
      <c r="V273" s="269"/>
      <c r="W273" s="269"/>
      <c r="X273" s="31"/>
    </row>
    <row r="274" spans="4:24" x14ac:dyDescent="0.25">
      <c r="D274" s="31"/>
      <c r="E274" s="31"/>
      <c r="F274" s="31"/>
      <c r="G274" s="31"/>
      <c r="H274" s="31"/>
      <c r="I274" s="31"/>
      <c r="J274" s="31"/>
      <c r="K274" s="31"/>
      <c r="L274" s="269"/>
      <c r="M274" s="269"/>
      <c r="N274" s="269"/>
      <c r="O274" s="282"/>
      <c r="P274" s="269"/>
      <c r="Q274" s="269"/>
      <c r="R274" s="269"/>
      <c r="S274" s="282"/>
      <c r="T274" s="269"/>
      <c r="U274" s="269"/>
      <c r="V274" s="269"/>
      <c r="W274" s="269"/>
      <c r="X274" s="31"/>
    </row>
    <row r="275" spans="4:24" x14ac:dyDescent="0.25">
      <c r="D275" s="31"/>
      <c r="E275" s="31"/>
      <c r="F275" s="31"/>
      <c r="G275" s="31"/>
      <c r="H275" s="31"/>
      <c r="I275" s="31"/>
      <c r="J275" s="31"/>
      <c r="K275" s="31"/>
      <c r="L275" s="269"/>
      <c r="M275" s="269"/>
      <c r="N275" s="269"/>
      <c r="O275" s="282"/>
      <c r="P275" s="269"/>
      <c r="Q275" s="269"/>
      <c r="R275" s="269"/>
      <c r="S275" s="282"/>
      <c r="T275" s="269"/>
      <c r="U275" s="269"/>
      <c r="V275" s="269"/>
      <c r="W275" s="269"/>
      <c r="X275" s="31"/>
    </row>
    <row r="276" spans="4:24" x14ac:dyDescent="0.25">
      <c r="D276" s="31"/>
      <c r="E276" s="31"/>
      <c r="F276" s="31"/>
      <c r="G276" s="31"/>
      <c r="H276" s="31"/>
      <c r="I276" s="31"/>
      <c r="J276" s="31"/>
      <c r="K276" s="31"/>
      <c r="L276" s="269"/>
      <c r="M276" s="269"/>
      <c r="N276" s="269"/>
      <c r="O276" s="282"/>
      <c r="P276" s="269"/>
      <c r="Q276" s="269"/>
      <c r="R276" s="269"/>
      <c r="S276" s="282"/>
      <c r="T276" s="269"/>
      <c r="U276" s="269"/>
      <c r="V276" s="269"/>
      <c r="W276" s="269"/>
      <c r="X276" s="31"/>
    </row>
    <row r="277" spans="4:24" x14ac:dyDescent="0.25">
      <c r="D277" s="31"/>
      <c r="E277" s="31"/>
      <c r="F277" s="31"/>
      <c r="G277" s="31"/>
      <c r="H277" s="31"/>
      <c r="I277" s="31"/>
      <c r="J277" s="31"/>
      <c r="K277" s="31"/>
      <c r="L277" s="269"/>
      <c r="M277" s="269"/>
      <c r="N277" s="269"/>
      <c r="O277" s="282"/>
      <c r="P277" s="269"/>
      <c r="Q277" s="269"/>
      <c r="R277" s="269"/>
      <c r="S277" s="282"/>
      <c r="T277" s="269"/>
      <c r="U277" s="269"/>
      <c r="V277" s="269"/>
      <c r="W277" s="269"/>
      <c r="X277" s="31"/>
    </row>
    <row r="278" spans="4:24" x14ac:dyDescent="0.25">
      <c r="D278" s="31"/>
      <c r="E278" s="31"/>
      <c r="F278" s="31"/>
      <c r="G278" s="31"/>
      <c r="H278" s="31"/>
      <c r="I278" s="31"/>
      <c r="J278" s="31"/>
      <c r="K278" s="31"/>
      <c r="L278" s="269"/>
      <c r="M278" s="269"/>
      <c r="N278" s="269"/>
      <c r="O278" s="282"/>
      <c r="P278" s="269"/>
      <c r="Q278" s="269"/>
      <c r="R278" s="269"/>
      <c r="S278" s="282"/>
      <c r="T278" s="269"/>
      <c r="U278" s="269"/>
      <c r="V278" s="269"/>
      <c r="W278" s="269"/>
      <c r="X278" s="31"/>
    </row>
    <row r="279" spans="4:24" x14ac:dyDescent="0.25">
      <c r="D279" s="31"/>
      <c r="E279" s="31"/>
      <c r="F279" s="31"/>
      <c r="G279" s="31"/>
      <c r="H279" s="31"/>
      <c r="I279" s="31"/>
      <c r="J279" s="31"/>
      <c r="K279" s="31"/>
      <c r="L279" s="269"/>
      <c r="M279" s="269"/>
      <c r="N279" s="269"/>
      <c r="O279" s="282"/>
      <c r="P279" s="269"/>
      <c r="Q279" s="269"/>
      <c r="R279" s="269"/>
      <c r="S279" s="282"/>
      <c r="T279" s="269"/>
      <c r="U279" s="269"/>
      <c r="V279" s="269"/>
      <c r="W279" s="269"/>
      <c r="X279" s="31"/>
    </row>
    <row r="280" spans="4:24" x14ac:dyDescent="0.25">
      <c r="D280" s="31"/>
      <c r="E280" s="31"/>
      <c r="F280" s="31"/>
      <c r="G280" s="31"/>
      <c r="H280" s="31"/>
      <c r="I280" s="31"/>
      <c r="J280" s="31"/>
      <c r="K280" s="31"/>
      <c r="L280" s="269"/>
      <c r="M280" s="269"/>
      <c r="N280" s="269"/>
      <c r="O280" s="282"/>
      <c r="P280" s="269"/>
      <c r="Q280" s="269"/>
      <c r="R280" s="269"/>
      <c r="S280" s="282"/>
      <c r="T280" s="269"/>
      <c r="U280" s="269"/>
      <c r="V280" s="269"/>
      <c r="W280" s="269"/>
      <c r="X280" s="31"/>
    </row>
    <row r="281" spans="4:24" x14ac:dyDescent="0.25">
      <c r="D281" s="31"/>
      <c r="E281" s="31"/>
      <c r="F281" s="31"/>
      <c r="G281" s="31"/>
      <c r="H281" s="31"/>
      <c r="I281" s="31"/>
      <c r="J281" s="31"/>
      <c r="K281" s="31"/>
      <c r="L281" s="269"/>
      <c r="M281" s="269"/>
      <c r="N281" s="269"/>
      <c r="O281" s="282"/>
      <c r="P281" s="269"/>
      <c r="Q281" s="269"/>
      <c r="R281" s="269"/>
      <c r="S281" s="282"/>
      <c r="T281" s="269"/>
      <c r="U281" s="269"/>
      <c r="V281" s="269"/>
      <c r="W281" s="269"/>
      <c r="X281" s="31"/>
    </row>
    <row r="282" spans="4:24" x14ac:dyDescent="0.25">
      <c r="D282" s="31"/>
      <c r="E282" s="31"/>
      <c r="F282" s="31"/>
      <c r="G282" s="31"/>
      <c r="H282" s="31"/>
      <c r="I282" s="31"/>
      <c r="J282" s="31"/>
      <c r="K282" s="31"/>
      <c r="L282" s="269"/>
      <c r="M282" s="269"/>
      <c r="N282" s="269"/>
      <c r="O282" s="282"/>
      <c r="P282" s="269"/>
      <c r="Q282" s="269"/>
      <c r="R282" s="269"/>
      <c r="S282" s="282"/>
      <c r="T282" s="269"/>
      <c r="U282" s="269"/>
      <c r="V282" s="269"/>
      <c r="W282" s="269"/>
      <c r="X282" s="31"/>
    </row>
    <row r="283" spans="4:24" x14ac:dyDescent="0.25">
      <c r="D283" s="31"/>
      <c r="E283" s="31"/>
      <c r="F283" s="31"/>
      <c r="G283" s="31"/>
      <c r="H283" s="31"/>
      <c r="I283" s="31"/>
      <c r="J283" s="31"/>
      <c r="K283" s="31"/>
      <c r="L283" s="269"/>
      <c r="M283" s="269"/>
      <c r="N283" s="269"/>
      <c r="O283" s="282"/>
      <c r="P283" s="269"/>
      <c r="Q283" s="269"/>
      <c r="R283" s="269"/>
      <c r="S283" s="282"/>
      <c r="T283" s="269"/>
      <c r="U283" s="269"/>
      <c r="V283" s="269"/>
      <c r="W283" s="269"/>
      <c r="X283" s="31"/>
    </row>
    <row r="284" spans="4:24" x14ac:dyDescent="0.25">
      <c r="D284" s="31"/>
      <c r="E284" s="31"/>
      <c r="F284" s="31"/>
      <c r="G284" s="31"/>
      <c r="H284" s="31"/>
      <c r="I284" s="31"/>
      <c r="J284" s="31"/>
      <c r="K284" s="31"/>
      <c r="L284" s="269"/>
      <c r="M284" s="269"/>
      <c r="N284" s="269"/>
      <c r="O284" s="282"/>
      <c r="P284" s="269"/>
      <c r="Q284" s="269"/>
      <c r="R284" s="269"/>
      <c r="S284" s="282"/>
      <c r="T284" s="269"/>
      <c r="U284" s="269"/>
      <c r="V284" s="269"/>
      <c r="W284" s="269"/>
      <c r="X284" s="31"/>
    </row>
    <row r="285" spans="4:24" x14ac:dyDescent="0.25">
      <c r="D285" s="31"/>
      <c r="E285" s="31"/>
      <c r="F285" s="31"/>
      <c r="G285" s="31"/>
      <c r="H285" s="31"/>
      <c r="I285" s="31"/>
      <c r="J285" s="31"/>
      <c r="K285" s="31"/>
      <c r="L285" s="269"/>
      <c r="M285" s="269"/>
      <c r="N285" s="269"/>
      <c r="O285" s="282"/>
      <c r="P285" s="269"/>
      <c r="Q285" s="269"/>
      <c r="R285" s="269"/>
      <c r="S285" s="282"/>
      <c r="T285" s="269"/>
      <c r="U285" s="269"/>
      <c r="V285" s="269"/>
      <c r="W285" s="269"/>
      <c r="X285" s="31"/>
    </row>
    <row r="286" spans="4:24" x14ac:dyDescent="0.25">
      <c r="D286" s="31"/>
      <c r="E286" s="31"/>
      <c r="F286" s="31"/>
      <c r="G286" s="31"/>
      <c r="H286" s="31"/>
      <c r="I286" s="31"/>
      <c r="J286" s="31"/>
      <c r="K286" s="31"/>
      <c r="L286" s="269"/>
      <c r="M286" s="269"/>
      <c r="N286" s="269"/>
      <c r="O286" s="282"/>
      <c r="P286" s="269"/>
      <c r="Q286" s="269"/>
      <c r="R286" s="269"/>
      <c r="S286" s="282"/>
      <c r="T286" s="269"/>
      <c r="U286" s="269"/>
      <c r="V286" s="269"/>
      <c r="W286" s="269"/>
      <c r="X286" s="31"/>
    </row>
    <row r="287" spans="4:24" x14ac:dyDescent="0.25">
      <c r="D287" s="31"/>
      <c r="E287" s="31"/>
      <c r="F287" s="31"/>
      <c r="G287" s="31"/>
      <c r="H287" s="31"/>
      <c r="I287" s="31"/>
      <c r="J287" s="31"/>
      <c r="K287" s="31"/>
      <c r="L287" s="269"/>
      <c r="M287" s="269"/>
      <c r="N287" s="269"/>
      <c r="O287" s="282"/>
      <c r="P287" s="269"/>
      <c r="Q287" s="269"/>
      <c r="R287" s="269"/>
      <c r="S287" s="282"/>
      <c r="T287" s="269"/>
      <c r="U287" s="269"/>
      <c r="V287" s="269"/>
      <c r="W287" s="269"/>
      <c r="X287" s="31"/>
    </row>
    <row r="288" spans="4:24" x14ac:dyDescent="0.25">
      <c r="D288" s="31"/>
      <c r="E288" s="31"/>
      <c r="F288" s="31"/>
      <c r="G288" s="31"/>
      <c r="H288" s="31"/>
      <c r="I288" s="31"/>
      <c r="J288" s="31"/>
      <c r="K288" s="31"/>
      <c r="L288" s="269"/>
      <c r="M288" s="269"/>
      <c r="N288" s="269"/>
      <c r="O288" s="282"/>
      <c r="P288" s="269"/>
      <c r="Q288" s="269"/>
      <c r="R288" s="269"/>
      <c r="S288" s="282"/>
      <c r="T288" s="269"/>
      <c r="U288" s="269"/>
      <c r="V288" s="269"/>
      <c r="W288" s="269"/>
      <c r="X288" s="31"/>
    </row>
    <row r="289" spans="4:24" x14ac:dyDescent="0.25">
      <c r="D289" s="31"/>
      <c r="E289" s="31"/>
      <c r="F289" s="31"/>
      <c r="G289" s="31"/>
      <c r="H289" s="31"/>
      <c r="I289" s="31"/>
      <c r="J289" s="31"/>
      <c r="K289" s="31"/>
      <c r="L289" s="269"/>
      <c r="M289" s="269"/>
      <c r="N289" s="269"/>
      <c r="O289" s="282"/>
      <c r="P289" s="269"/>
      <c r="Q289" s="269"/>
      <c r="R289" s="269"/>
      <c r="S289" s="282"/>
      <c r="T289" s="269"/>
      <c r="U289" s="269"/>
      <c r="V289" s="269"/>
      <c r="W289" s="269"/>
      <c r="X289" s="31"/>
    </row>
    <row r="290" spans="4:24" x14ac:dyDescent="0.25">
      <c r="D290" s="31"/>
      <c r="E290" s="31"/>
      <c r="F290" s="31"/>
      <c r="G290" s="31"/>
      <c r="H290" s="31"/>
      <c r="I290" s="31"/>
      <c r="J290" s="31"/>
      <c r="K290" s="31"/>
      <c r="L290" s="269"/>
      <c r="M290" s="269"/>
      <c r="N290" s="269"/>
      <c r="O290" s="282"/>
      <c r="P290" s="269"/>
      <c r="Q290" s="269"/>
      <c r="R290" s="269"/>
      <c r="S290" s="282"/>
      <c r="T290" s="269"/>
      <c r="U290" s="269"/>
      <c r="V290" s="269"/>
      <c r="W290" s="269"/>
      <c r="X290" s="31"/>
    </row>
    <row r="291" spans="4:24" x14ac:dyDescent="0.25">
      <c r="D291" s="31"/>
      <c r="E291" s="31"/>
      <c r="F291" s="31"/>
      <c r="G291" s="31"/>
      <c r="H291" s="31"/>
      <c r="I291" s="31"/>
      <c r="J291" s="31"/>
      <c r="K291" s="31"/>
      <c r="L291" s="269"/>
      <c r="M291" s="269"/>
      <c r="N291" s="269"/>
      <c r="O291" s="282"/>
      <c r="P291" s="269"/>
      <c r="Q291" s="269"/>
      <c r="R291" s="269"/>
      <c r="S291" s="282"/>
      <c r="T291" s="269"/>
      <c r="U291" s="269"/>
      <c r="V291" s="269"/>
      <c r="W291" s="269"/>
      <c r="X291" s="31"/>
    </row>
    <row r="292" spans="4:24" x14ac:dyDescent="0.25">
      <c r="D292" s="31"/>
      <c r="E292" s="31"/>
      <c r="F292" s="31"/>
      <c r="G292" s="31"/>
      <c r="H292" s="31"/>
      <c r="I292" s="31"/>
      <c r="J292" s="31"/>
      <c r="K292" s="31"/>
      <c r="L292" s="269"/>
      <c r="M292" s="269"/>
      <c r="N292" s="269"/>
      <c r="O292" s="282"/>
      <c r="P292" s="269"/>
      <c r="Q292" s="269"/>
      <c r="R292" s="269"/>
      <c r="S292" s="282"/>
      <c r="T292" s="269"/>
      <c r="U292" s="269"/>
      <c r="V292" s="269"/>
      <c r="W292" s="269"/>
      <c r="X292" s="31"/>
    </row>
    <row r="293" spans="4:24" x14ac:dyDescent="0.25">
      <c r="D293" s="31"/>
      <c r="E293" s="31"/>
      <c r="F293" s="31"/>
      <c r="G293" s="31"/>
      <c r="H293" s="31"/>
      <c r="I293" s="31"/>
      <c r="J293" s="31"/>
      <c r="K293" s="31"/>
      <c r="L293" s="269"/>
      <c r="M293" s="269"/>
      <c r="N293" s="269"/>
      <c r="O293" s="282"/>
      <c r="P293" s="269"/>
      <c r="Q293" s="269"/>
      <c r="R293" s="269"/>
      <c r="S293" s="282"/>
      <c r="T293" s="269"/>
      <c r="U293" s="269"/>
      <c r="V293" s="269"/>
      <c r="W293" s="269"/>
      <c r="X293" s="31"/>
    </row>
    <row r="294" spans="4:24" x14ac:dyDescent="0.25">
      <c r="D294" s="31"/>
      <c r="E294" s="31"/>
      <c r="F294" s="31"/>
      <c r="G294" s="31"/>
      <c r="H294" s="31"/>
      <c r="I294" s="31"/>
      <c r="J294" s="31"/>
      <c r="K294" s="31"/>
      <c r="L294" s="269"/>
      <c r="M294" s="269"/>
      <c r="N294" s="269"/>
      <c r="O294" s="282"/>
      <c r="P294" s="269"/>
      <c r="Q294" s="269"/>
      <c r="R294" s="269"/>
      <c r="S294" s="282"/>
      <c r="T294" s="269"/>
      <c r="U294" s="269"/>
      <c r="V294" s="269"/>
      <c r="W294" s="269"/>
      <c r="X294" s="31"/>
    </row>
    <row r="295" spans="4:24" x14ac:dyDescent="0.25">
      <c r="D295" s="31"/>
      <c r="E295" s="31"/>
      <c r="F295" s="31"/>
      <c r="G295" s="31"/>
      <c r="H295" s="31"/>
      <c r="I295" s="31"/>
      <c r="J295" s="31"/>
      <c r="K295" s="31"/>
      <c r="L295" s="269"/>
      <c r="M295" s="269"/>
      <c r="N295" s="269"/>
      <c r="O295" s="282"/>
      <c r="P295" s="269"/>
      <c r="Q295" s="269"/>
      <c r="R295" s="269"/>
      <c r="S295" s="282"/>
      <c r="T295" s="269"/>
      <c r="U295" s="269"/>
      <c r="V295" s="269"/>
      <c r="W295" s="269"/>
      <c r="X295" s="31"/>
    </row>
    <row r="296" spans="4:24" x14ac:dyDescent="0.25">
      <c r="D296" s="31"/>
      <c r="E296" s="31"/>
      <c r="F296" s="31"/>
      <c r="G296" s="31"/>
      <c r="H296" s="31"/>
      <c r="I296" s="31"/>
      <c r="J296" s="31"/>
      <c r="K296" s="31"/>
      <c r="L296" s="269"/>
      <c r="M296" s="269"/>
      <c r="N296" s="269"/>
      <c r="O296" s="282"/>
      <c r="P296" s="269"/>
      <c r="Q296" s="269"/>
      <c r="R296" s="269"/>
      <c r="S296" s="282"/>
      <c r="T296" s="269"/>
      <c r="U296" s="269"/>
      <c r="V296" s="269"/>
      <c r="W296" s="269"/>
      <c r="X296" s="31"/>
    </row>
    <row r="297" spans="4:24" x14ac:dyDescent="0.25">
      <c r="D297" s="31"/>
      <c r="E297" s="31"/>
      <c r="F297" s="31"/>
      <c r="G297" s="31"/>
      <c r="H297" s="31"/>
      <c r="I297" s="31"/>
      <c r="J297" s="31"/>
      <c r="K297" s="31"/>
      <c r="L297" s="269"/>
      <c r="M297" s="269"/>
      <c r="N297" s="269"/>
      <c r="O297" s="282"/>
      <c r="P297" s="269"/>
      <c r="Q297" s="269"/>
      <c r="R297" s="269"/>
      <c r="S297" s="282"/>
      <c r="T297" s="269"/>
      <c r="U297" s="269"/>
      <c r="V297" s="269"/>
      <c r="W297" s="269"/>
      <c r="X297" s="31"/>
    </row>
    <row r="298" spans="4:24" x14ac:dyDescent="0.25">
      <c r="D298" s="31"/>
      <c r="E298" s="31"/>
      <c r="F298" s="31"/>
      <c r="G298" s="31"/>
      <c r="H298" s="31"/>
      <c r="I298" s="31"/>
      <c r="J298" s="31"/>
      <c r="K298" s="31"/>
      <c r="L298" s="269"/>
      <c r="M298" s="269"/>
      <c r="N298" s="269"/>
      <c r="O298" s="282"/>
      <c r="P298" s="269"/>
      <c r="Q298" s="269"/>
      <c r="R298" s="269"/>
      <c r="S298" s="282"/>
      <c r="T298" s="269"/>
      <c r="U298" s="269"/>
      <c r="V298" s="269"/>
      <c r="W298" s="269"/>
      <c r="X298" s="31"/>
    </row>
    <row r="299" spans="4:24" x14ac:dyDescent="0.25">
      <c r="D299" s="31"/>
      <c r="E299" s="31"/>
      <c r="F299" s="31"/>
      <c r="G299" s="31"/>
      <c r="H299" s="31"/>
      <c r="I299" s="31"/>
      <c r="J299" s="31"/>
      <c r="K299" s="31"/>
      <c r="L299" s="269"/>
      <c r="M299" s="269"/>
      <c r="N299" s="269"/>
      <c r="O299" s="282"/>
      <c r="P299" s="269"/>
      <c r="Q299" s="269"/>
      <c r="R299" s="269"/>
      <c r="S299" s="282"/>
      <c r="T299" s="269"/>
      <c r="U299" s="269"/>
      <c r="V299" s="269"/>
      <c r="W299" s="269"/>
      <c r="X299" s="31"/>
    </row>
    <row r="300" spans="4:24" x14ac:dyDescent="0.25">
      <c r="D300" s="31"/>
      <c r="E300" s="31"/>
      <c r="F300" s="31"/>
      <c r="G300" s="31"/>
      <c r="H300" s="31"/>
      <c r="I300" s="31"/>
      <c r="J300" s="31"/>
      <c r="K300" s="31"/>
      <c r="L300" s="269"/>
      <c r="M300" s="269"/>
      <c r="N300" s="269"/>
      <c r="O300" s="282"/>
      <c r="P300" s="269"/>
      <c r="Q300" s="269"/>
      <c r="R300" s="269"/>
      <c r="S300" s="282"/>
      <c r="T300" s="269"/>
      <c r="U300" s="269"/>
      <c r="V300" s="269"/>
      <c r="W300" s="269"/>
      <c r="X300" s="31"/>
    </row>
    <row r="301" spans="4:24" x14ac:dyDescent="0.25">
      <c r="D301" s="31"/>
      <c r="E301" s="31"/>
      <c r="F301" s="31"/>
      <c r="G301" s="31"/>
      <c r="H301" s="31"/>
      <c r="I301" s="31"/>
      <c r="J301" s="31"/>
      <c r="K301" s="31"/>
      <c r="L301" s="269"/>
      <c r="M301" s="269"/>
      <c r="N301" s="269"/>
      <c r="O301" s="282"/>
      <c r="P301" s="269"/>
      <c r="Q301" s="269"/>
      <c r="R301" s="269"/>
      <c r="S301" s="282"/>
      <c r="T301" s="269"/>
      <c r="U301" s="269"/>
      <c r="V301" s="269"/>
      <c r="W301" s="269"/>
      <c r="X301" s="31"/>
    </row>
    <row r="302" spans="4:24" x14ac:dyDescent="0.25">
      <c r="D302" s="31"/>
      <c r="E302" s="31"/>
      <c r="F302" s="31"/>
      <c r="G302" s="31"/>
      <c r="H302" s="31"/>
      <c r="I302" s="31"/>
      <c r="J302" s="31"/>
      <c r="K302" s="31"/>
      <c r="L302" s="269"/>
      <c r="M302" s="269"/>
      <c r="N302" s="269"/>
      <c r="O302" s="282"/>
      <c r="P302" s="269"/>
      <c r="Q302" s="269"/>
      <c r="R302" s="269"/>
      <c r="S302" s="282"/>
      <c r="T302" s="269"/>
      <c r="U302" s="269"/>
      <c r="V302" s="269"/>
      <c r="W302" s="269"/>
      <c r="X302" s="31"/>
    </row>
    <row r="303" spans="4:24" x14ac:dyDescent="0.25">
      <c r="D303" s="31"/>
      <c r="E303" s="31"/>
      <c r="F303" s="31"/>
      <c r="G303" s="31"/>
      <c r="H303" s="31"/>
      <c r="I303" s="31"/>
      <c r="J303" s="31"/>
      <c r="K303" s="31"/>
      <c r="L303" s="269"/>
      <c r="M303" s="269"/>
      <c r="N303" s="269"/>
      <c r="O303" s="282"/>
      <c r="P303" s="269"/>
      <c r="Q303" s="269"/>
      <c r="R303" s="269"/>
      <c r="S303" s="282"/>
      <c r="T303" s="269"/>
      <c r="U303" s="269"/>
      <c r="V303" s="269"/>
      <c r="W303" s="269"/>
      <c r="X303" s="31"/>
    </row>
    <row r="304" spans="4:24" x14ac:dyDescent="0.25">
      <c r="D304" s="31"/>
      <c r="E304" s="31"/>
      <c r="F304" s="31"/>
      <c r="G304" s="31"/>
      <c r="H304" s="31"/>
      <c r="I304" s="31"/>
      <c r="J304" s="31"/>
      <c r="K304" s="31"/>
      <c r="L304" s="269"/>
      <c r="M304" s="269"/>
      <c r="N304" s="269"/>
      <c r="O304" s="282"/>
      <c r="P304" s="269"/>
      <c r="Q304" s="269"/>
      <c r="R304" s="269"/>
      <c r="S304" s="282"/>
      <c r="T304" s="269"/>
      <c r="U304" s="269"/>
      <c r="V304" s="269"/>
      <c r="W304" s="269"/>
      <c r="X304" s="31"/>
    </row>
    <row r="305" spans="4:24" x14ac:dyDescent="0.25">
      <c r="D305" s="31"/>
      <c r="E305" s="31"/>
      <c r="F305" s="31"/>
      <c r="G305" s="31"/>
      <c r="H305" s="31"/>
      <c r="I305" s="31"/>
      <c r="J305" s="31"/>
      <c r="K305" s="31"/>
      <c r="L305" s="269"/>
      <c r="M305" s="269"/>
      <c r="N305" s="269"/>
      <c r="O305" s="282"/>
      <c r="P305" s="269"/>
      <c r="Q305" s="269"/>
      <c r="R305" s="269"/>
      <c r="S305" s="282"/>
      <c r="T305" s="269"/>
      <c r="U305" s="269"/>
      <c r="V305" s="269"/>
      <c r="W305" s="269"/>
      <c r="X305" s="31"/>
    </row>
    <row r="306" spans="4:24" x14ac:dyDescent="0.25">
      <c r="D306" s="31"/>
      <c r="E306" s="31"/>
      <c r="F306" s="31"/>
      <c r="G306" s="31"/>
      <c r="H306" s="31"/>
      <c r="I306" s="31"/>
      <c r="J306" s="31"/>
      <c r="K306" s="31"/>
      <c r="L306" s="269"/>
      <c r="M306" s="269"/>
      <c r="N306" s="269"/>
      <c r="O306" s="282"/>
      <c r="P306" s="269"/>
      <c r="Q306" s="269"/>
      <c r="R306" s="269"/>
      <c r="S306" s="282"/>
      <c r="T306" s="269"/>
      <c r="U306" s="269"/>
      <c r="V306" s="269"/>
      <c r="W306" s="269"/>
      <c r="X306" s="31"/>
    </row>
    <row r="307" spans="4:24" x14ac:dyDescent="0.25">
      <c r="D307" s="31"/>
      <c r="E307" s="31"/>
      <c r="F307" s="31"/>
      <c r="G307" s="31"/>
      <c r="H307" s="31"/>
      <c r="I307" s="31"/>
      <c r="J307" s="31"/>
      <c r="K307" s="31"/>
      <c r="L307" s="269"/>
      <c r="M307" s="269"/>
      <c r="N307" s="269"/>
      <c r="O307" s="282"/>
      <c r="P307" s="269"/>
      <c r="Q307" s="269"/>
      <c r="R307" s="269"/>
      <c r="S307" s="282"/>
      <c r="T307" s="269"/>
      <c r="U307" s="269"/>
      <c r="V307" s="269"/>
      <c r="W307" s="269"/>
      <c r="X307" s="31"/>
    </row>
    <row r="308" spans="4:24" x14ac:dyDescent="0.25">
      <c r="D308" s="31"/>
      <c r="E308" s="31"/>
      <c r="F308" s="31"/>
      <c r="G308" s="31"/>
      <c r="H308" s="31"/>
      <c r="I308" s="31"/>
      <c r="J308" s="31"/>
      <c r="K308" s="31"/>
      <c r="L308" s="269"/>
      <c r="M308" s="269"/>
      <c r="N308" s="269"/>
      <c r="O308" s="282"/>
      <c r="P308" s="269"/>
      <c r="Q308" s="269"/>
      <c r="R308" s="269"/>
      <c r="S308" s="282"/>
      <c r="T308" s="269"/>
      <c r="U308" s="269"/>
      <c r="V308" s="269"/>
      <c r="W308" s="269"/>
      <c r="X308" s="31"/>
    </row>
    <row r="309" spans="4:24" x14ac:dyDescent="0.25">
      <c r="D309" s="31"/>
      <c r="E309" s="31"/>
      <c r="F309" s="31"/>
      <c r="G309" s="31"/>
      <c r="H309" s="31"/>
      <c r="I309" s="31"/>
      <c r="J309" s="31"/>
      <c r="K309" s="31"/>
      <c r="L309" s="269"/>
      <c r="M309" s="269"/>
      <c r="N309" s="269"/>
      <c r="O309" s="282"/>
      <c r="P309" s="269"/>
      <c r="Q309" s="269"/>
      <c r="R309" s="269"/>
      <c r="S309" s="282"/>
      <c r="T309" s="269"/>
      <c r="U309" s="269"/>
      <c r="V309" s="269"/>
      <c r="W309" s="269"/>
      <c r="X309" s="31"/>
    </row>
    <row r="310" spans="4:24" x14ac:dyDescent="0.25">
      <c r="D310" s="31"/>
      <c r="E310" s="31"/>
      <c r="F310" s="31"/>
      <c r="G310" s="31"/>
      <c r="H310" s="31"/>
      <c r="I310" s="31"/>
      <c r="J310" s="31"/>
      <c r="K310" s="31"/>
      <c r="L310" s="269"/>
      <c r="M310" s="269"/>
      <c r="N310" s="269"/>
      <c r="O310" s="282"/>
      <c r="P310" s="269"/>
      <c r="Q310" s="269"/>
      <c r="R310" s="269"/>
      <c r="S310" s="282"/>
      <c r="T310" s="269"/>
      <c r="U310" s="269"/>
      <c r="V310" s="269"/>
      <c r="W310" s="269"/>
      <c r="X310" s="31"/>
    </row>
    <row r="311" spans="4:24" x14ac:dyDescent="0.25">
      <c r="D311" s="31"/>
      <c r="E311" s="31"/>
      <c r="F311" s="31"/>
      <c r="G311" s="31"/>
      <c r="H311" s="31"/>
      <c r="I311" s="31"/>
      <c r="J311" s="31"/>
      <c r="K311" s="31"/>
      <c r="L311" s="269"/>
      <c r="M311" s="269"/>
      <c r="N311" s="269"/>
      <c r="O311" s="282"/>
      <c r="P311" s="269"/>
      <c r="Q311" s="269"/>
      <c r="R311" s="269"/>
      <c r="S311" s="282"/>
      <c r="T311" s="269"/>
      <c r="U311" s="269"/>
      <c r="V311" s="269"/>
      <c r="W311" s="269"/>
      <c r="X311" s="31"/>
    </row>
    <row r="312" spans="4:24" x14ac:dyDescent="0.25">
      <c r="D312" s="31"/>
      <c r="E312" s="31"/>
      <c r="F312" s="31"/>
      <c r="G312" s="31"/>
      <c r="H312" s="31"/>
      <c r="I312" s="31"/>
      <c r="J312" s="31"/>
      <c r="K312" s="31"/>
      <c r="L312" s="269"/>
      <c r="M312" s="269"/>
      <c r="N312" s="269"/>
      <c r="O312" s="282"/>
      <c r="P312" s="269"/>
      <c r="Q312" s="269"/>
      <c r="R312" s="269"/>
      <c r="S312" s="282"/>
      <c r="T312" s="269"/>
      <c r="U312" s="269"/>
      <c r="V312" s="269"/>
      <c r="W312" s="269"/>
      <c r="X312" s="31"/>
    </row>
    <row r="313" spans="4:24" x14ac:dyDescent="0.25">
      <c r="D313" s="31"/>
      <c r="E313" s="31"/>
      <c r="F313" s="31"/>
      <c r="G313" s="31"/>
      <c r="H313" s="31"/>
      <c r="I313" s="31"/>
      <c r="J313" s="31"/>
      <c r="K313" s="31"/>
      <c r="L313" s="269"/>
      <c r="M313" s="269"/>
      <c r="N313" s="269"/>
      <c r="O313" s="282"/>
      <c r="P313" s="269"/>
      <c r="Q313" s="269"/>
      <c r="R313" s="269"/>
      <c r="S313" s="282"/>
      <c r="T313" s="269"/>
      <c r="U313" s="269"/>
      <c r="V313" s="269"/>
      <c r="W313" s="269"/>
      <c r="X313" s="31"/>
    </row>
    <row r="314" spans="4:24" x14ac:dyDescent="0.25">
      <c r="D314" s="31"/>
      <c r="E314" s="31"/>
      <c r="F314" s="31"/>
      <c r="G314" s="31"/>
      <c r="H314" s="31"/>
      <c r="I314" s="31"/>
      <c r="J314" s="31"/>
      <c r="K314" s="31"/>
      <c r="L314" s="269"/>
      <c r="M314" s="269"/>
      <c r="N314" s="269"/>
      <c r="O314" s="282"/>
      <c r="P314" s="269"/>
      <c r="Q314" s="269"/>
      <c r="R314" s="269"/>
      <c r="S314" s="282"/>
      <c r="T314" s="269"/>
      <c r="U314" s="269"/>
      <c r="V314" s="269"/>
      <c r="W314" s="269"/>
      <c r="X314" s="31"/>
    </row>
    <row r="315" spans="4:24" x14ac:dyDescent="0.25">
      <c r="D315" s="31"/>
      <c r="E315" s="31"/>
      <c r="F315" s="31"/>
      <c r="G315" s="31"/>
      <c r="H315" s="31"/>
      <c r="I315" s="31"/>
      <c r="J315" s="31"/>
      <c r="K315" s="31"/>
      <c r="L315" s="269"/>
      <c r="M315" s="269"/>
      <c r="N315" s="269"/>
      <c r="O315" s="282"/>
      <c r="P315" s="269"/>
      <c r="Q315" s="269"/>
      <c r="R315" s="269"/>
      <c r="S315" s="282"/>
      <c r="T315" s="269"/>
      <c r="U315" s="269"/>
      <c r="V315" s="269"/>
      <c r="W315" s="269"/>
      <c r="X315" s="31"/>
    </row>
    <row r="316" spans="4:24" x14ac:dyDescent="0.25">
      <c r="D316" s="31"/>
      <c r="E316" s="31"/>
      <c r="F316" s="31"/>
      <c r="G316" s="31"/>
      <c r="H316" s="31"/>
      <c r="I316" s="31"/>
      <c r="J316" s="31"/>
      <c r="K316" s="31"/>
      <c r="L316" s="269"/>
      <c r="M316" s="269"/>
      <c r="N316" s="269"/>
      <c r="O316" s="282"/>
      <c r="P316" s="269"/>
      <c r="Q316" s="269"/>
      <c r="R316" s="269"/>
      <c r="S316" s="282"/>
      <c r="T316" s="269"/>
      <c r="U316" s="269"/>
      <c r="V316" s="269"/>
      <c r="W316" s="269"/>
      <c r="X316" s="31"/>
    </row>
    <row r="317" spans="4:24" x14ac:dyDescent="0.25">
      <c r="D317" s="31"/>
      <c r="E317" s="31"/>
      <c r="F317" s="31"/>
      <c r="G317" s="31"/>
      <c r="H317" s="31"/>
      <c r="I317" s="31"/>
      <c r="J317" s="31"/>
      <c r="K317" s="31"/>
      <c r="L317" s="269"/>
      <c r="M317" s="269"/>
      <c r="N317" s="269"/>
      <c r="O317" s="282"/>
      <c r="P317" s="269"/>
      <c r="Q317" s="269"/>
      <c r="R317" s="269"/>
      <c r="S317" s="282"/>
      <c r="T317" s="269"/>
      <c r="U317" s="269"/>
      <c r="V317" s="269"/>
      <c r="W317" s="269"/>
      <c r="X317" s="31"/>
    </row>
    <row r="318" spans="4:24" x14ac:dyDescent="0.25">
      <c r="D318" s="31"/>
      <c r="E318" s="31"/>
      <c r="F318" s="31"/>
      <c r="G318" s="31"/>
      <c r="H318" s="31"/>
      <c r="I318" s="31"/>
      <c r="J318" s="31"/>
      <c r="K318" s="31"/>
      <c r="L318" s="269"/>
      <c r="M318" s="269"/>
      <c r="N318" s="269"/>
      <c r="O318" s="282"/>
      <c r="P318" s="269"/>
      <c r="Q318" s="269"/>
      <c r="R318" s="269"/>
      <c r="S318" s="282"/>
      <c r="T318" s="269"/>
      <c r="U318" s="269"/>
      <c r="V318" s="269"/>
      <c r="W318" s="269"/>
      <c r="X318" s="31"/>
    </row>
    <row r="319" spans="4:24" x14ac:dyDescent="0.25">
      <c r="D319" s="31"/>
      <c r="E319" s="31"/>
      <c r="F319" s="31"/>
      <c r="G319" s="31"/>
      <c r="H319" s="31"/>
      <c r="I319" s="31"/>
      <c r="J319" s="31"/>
      <c r="K319" s="31"/>
      <c r="L319" s="269"/>
      <c r="M319" s="269"/>
      <c r="N319" s="269"/>
      <c r="O319" s="282"/>
      <c r="P319" s="269"/>
      <c r="Q319" s="269"/>
      <c r="R319" s="269"/>
      <c r="S319" s="282"/>
      <c r="T319" s="269"/>
      <c r="U319" s="269"/>
      <c r="V319" s="269"/>
      <c r="W319" s="269"/>
      <c r="X319" s="31"/>
    </row>
    <row r="320" spans="4:24" x14ac:dyDescent="0.25">
      <c r="D320" s="31"/>
      <c r="E320" s="31"/>
      <c r="F320" s="31"/>
      <c r="G320" s="31"/>
      <c r="H320" s="31"/>
      <c r="I320" s="31"/>
      <c r="J320" s="31"/>
      <c r="K320" s="31"/>
      <c r="L320" s="269"/>
      <c r="M320" s="269"/>
      <c r="N320" s="269"/>
      <c r="O320" s="282"/>
      <c r="P320" s="269"/>
      <c r="Q320" s="269"/>
      <c r="R320" s="269"/>
      <c r="S320" s="282"/>
      <c r="T320" s="269"/>
      <c r="U320" s="269"/>
      <c r="V320" s="269"/>
      <c r="W320" s="269"/>
      <c r="X320" s="31"/>
    </row>
    <row r="321" spans="4:24" x14ac:dyDescent="0.25">
      <c r="D321" s="31"/>
      <c r="E321" s="31"/>
      <c r="F321" s="31"/>
      <c r="G321" s="31"/>
      <c r="H321" s="31"/>
      <c r="I321" s="31"/>
      <c r="J321" s="31"/>
      <c r="K321" s="31"/>
      <c r="L321" s="269"/>
      <c r="M321" s="269"/>
      <c r="N321" s="269"/>
      <c r="O321" s="282"/>
      <c r="P321" s="269"/>
      <c r="Q321" s="269"/>
      <c r="R321" s="269"/>
      <c r="S321" s="282"/>
      <c r="T321" s="269"/>
      <c r="U321" s="269"/>
      <c r="V321" s="269"/>
      <c r="W321" s="269"/>
      <c r="X321" s="31"/>
    </row>
    <row r="322" spans="4:24" x14ac:dyDescent="0.25">
      <c r="D322" s="31"/>
      <c r="E322" s="31"/>
      <c r="F322" s="31"/>
      <c r="G322" s="31"/>
      <c r="H322" s="31"/>
      <c r="I322" s="31"/>
      <c r="J322" s="31"/>
      <c r="K322" s="31"/>
      <c r="L322" s="269"/>
      <c r="M322" s="269"/>
      <c r="N322" s="269"/>
      <c r="O322" s="282"/>
      <c r="P322" s="269"/>
      <c r="Q322" s="269"/>
      <c r="R322" s="269"/>
      <c r="S322" s="282"/>
      <c r="T322" s="269"/>
      <c r="U322" s="269"/>
      <c r="V322" s="269"/>
      <c r="W322" s="269"/>
      <c r="X322" s="31"/>
    </row>
    <row r="323" spans="4:24" x14ac:dyDescent="0.25">
      <c r="D323" s="31"/>
      <c r="E323" s="31"/>
      <c r="F323" s="31"/>
      <c r="G323" s="31"/>
      <c r="H323" s="31"/>
      <c r="I323" s="31"/>
      <c r="J323" s="31"/>
      <c r="K323" s="31"/>
      <c r="L323" s="269"/>
      <c r="M323" s="269"/>
      <c r="N323" s="269"/>
      <c r="O323" s="282"/>
      <c r="P323" s="269"/>
      <c r="Q323" s="269"/>
      <c r="R323" s="269"/>
      <c r="S323" s="282"/>
      <c r="T323" s="269"/>
      <c r="U323" s="269"/>
      <c r="V323" s="269"/>
      <c r="W323" s="269"/>
      <c r="X323" s="31"/>
    </row>
    <row r="324" spans="4:24" x14ac:dyDescent="0.25">
      <c r="D324" s="31"/>
      <c r="E324" s="31"/>
      <c r="F324" s="31"/>
      <c r="G324" s="31"/>
      <c r="H324" s="31"/>
      <c r="I324" s="31"/>
      <c r="J324" s="31"/>
      <c r="K324" s="31"/>
      <c r="L324" s="269"/>
      <c r="M324" s="269"/>
      <c r="N324" s="269"/>
      <c r="O324" s="282"/>
      <c r="P324" s="269"/>
      <c r="Q324" s="269"/>
      <c r="R324" s="269"/>
      <c r="S324" s="282"/>
      <c r="T324" s="269"/>
      <c r="U324" s="269"/>
      <c r="V324" s="269"/>
      <c r="W324" s="269"/>
      <c r="X324" s="31"/>
    </row>
    <row r="325" spans="4:24" x14ac:dyDescent="0.25">
      <c r="D325" s="31"/>
      <c r="E325" s="31"/>
      <c r="F325" s="31"/>
      <c r="G325" s="31"/>
      <c r="H325" s="31"/>
      <c r="I325" s="31"/>
      <c r="J325" s="31"/>
      <c r="K325" s="31"/>
      <c r="L325" s="269"/>
      <c r="M325" s="269"/>
      <c r="N325" s="269"/>
      <c r="O325" s="282"/>
      <c r="P325" s="269"/>
      <c r="Q325" s="269"/>
      <c r="R325" s="269"/>
      <c r="S325" s="282"/>
      <c r="T325" s="269"/>
      <c r="U325" s="269"/>
      <c r="V325" s="269"/>
      <c r="W325" s="269"/>
      <c r="X325" s="31"/>
    </row>
    <row r="326" spans="4:24" x14ac:dyDescent="0.25">
      <c r="D326" s="31"/>
      <c r="E326" s="31"/>
      <c r="F326" s="31"/>
      <c r="G326" s="31"/>
      <c r="H326" s="31"/>
      <c r="I326" s="31"/>
      <c r="J326" s="31"/>
      <c r="K326" s="31"/>
      <c r="L326" s="269"/>
      <c r="M326" s="269"/>
      <c r="N326" s="269"/>
      <c r="O326" s="282"/>
      <c r="P326" s="269"/>
      <c r="Q326" s="269"/>
      <c r="R326" s="269"/>
      <c r="S326" s="282"/>
      <c r="T326" s="269"/>
      <c r="U326" s="269"/>
      <c r="V326" s="269"/>
      <c r="W326" s="269"/>
      <c r="X326" s="31"/>
    </row>
    <row r="327" spans="4:24" x14ac:dyDescent="0.25">
      <c r="D327" s="31"/>
      <c r="E327" s="31"/>
      <c r="F327" s="31"/>
      <c r="G327" s="31"/>
      <c r="H327" s="31"/>
      <c r="I327" s="31"/>
      <c r="J327" s="31"/>
      <c r="K327" s="31"/>
      <c r="L327" s="269"/>
      <c r="M327" s="269"/>
      <c r="N327" s="269"/>
      <c r="O327" s="282"/>
      <c r="P327" s="269"/>
      <c r="Q327" s="269"/>
      <c r="R327" s="269"/>
      <c r="S327" s="282"/>
      <c r="T327" s="269"/>
      <c r="U327" s="269"/>
      <c r="V327" s="269"/>
      <c r="W327" s="269"/>
      <c r="X327" s="31"/>
    </row>
    <row r="328" spans="4:24" x14ac:dyDescent="0.25">
      <c r="D328" s="31"/>
      <c r="E328" s="31"/>
      <c r="F328" s="31"/>
      <c r="G328" s="31"/>
      <c r="H328" s="31"/>
      <c r="I328" s="31"/>
      <c r="J328" s="31"/>
      <c r="K328" s="31"/>
      <c r="L328" s="269"/>
      <c r="M328" s="269"/>
      <c r="N328" s="269"/>
      <c r="O328" s="282"/>
      <c r="P328" s="269"/>
      <c r="Q328" s="269"/>
      <c r="R328" s="269"/>
      <c r="S328" s="282"/>
      <c r="T328" s="269"/>
      <c r="U328" s="269"/>
      <c r="V328" s="269"/>
      <c r="W328" s="269"/>
      <c r="X328" s="31"/>
    </row>
    <row r="329" spans="4:24" x14ac:dyDescent="0.25">
      <c r="D329" s="31"/>
      <c r="E329" s="31"/>
      <c r="F329" s="31"/>
      <c r="G329" s="31"/>
      <c r="H329" s="31"/>
      <c r="I329" s="31"/>
      <c r="J329" s="31"/>
      <c r="K329" s="31"/>
      <c r="L329" s="269"/>
      <c r="M329" s="269"/>
      <c r="N329" s="269"/>
      <c r="O329" s="282"/>
      <c r="P329" s="269"/>
      <c r="Q329" s="269"/>
      <c r="R329" s="269"/>
      <c r="S329" s="282"/>
      <c r="T329" s="269"/>
      <c r="U329" s="269"/>
      <c r="V329" s="269"/>
      <c r="W329" s="269"/>
      <c r="X329" s="31"/>
    </row>
    <row r="330" spans="4:24" x14ac:dyDescent="0.25">
      <c r="D330" s="31"/>
      <c r="E330" s="31"/>
      <c r="F330" s="31"/>
      <c r="G330" s="31"/>
      <c r="H330" s="31"/>
      <c r="I330" s="31"/>
      <c r="J330" s="31"/>
      <c r="K330" s="31"/>
      <c r="L330" s="269"/>
      <c r="M330" s="269"/>
      <c r="N330" s="269"/>
      <c r="O330" s="282"/>
      <c r="P330" s="269"/>
      <c r="Q330" s="269"/>
      <c r="R330" s="269"/>
      <c r="S330" s="282"/>
      <c r="T330" s="269"/>
      <c r="U330" s="269"/>
      <c r="V330" s="269"/>
      <c r="W330" s="269"/>
      <c r="X330" s="31"/>
    </row>
    <row r="331" spans="4:24" x14ac:dyDescent="0.25">
      <c r="D331" s="31"/>
      <c r="E331" s="31"/>
      <c r="F331" s="31"/>
      <c r="G331" s="31"/>
      <c r="H331" s="31"/>
      <c r="I331" s="31"/>
      <c r="J331" s="31"/>
      <c r="K331" s="31"/>
      <c r="L331" s="269"/>
      <c r="M331" s="269"/>
      <c r="N331" s="269"/>
      <c r="O331" s="282"/>
      <c r="P331" s="269"/>
      <c r="Q331" s="269"/>
      <c r="R331" s="269"/>
      <c r="S331" s="282"/>
      <c r="T331" s="269"/>
      <c r="U331" s="269"/>
      <c r="V331" s="269"/>
      <c r="W331" s="269"/>
      <c r="X331" s="31"/>
    </row>
    <row r="332" spans="4:24" x14ac:dyDescent="0.25">
      <c r="D332" s="31"/>
      <c r="E332" s="31"/>
      <c r="F332" s="31"/>
      <c r="G332" s="31"/>
      <c r="H332" s="31"/>
      <c r="I332" s="31"/>
      <c r="J332" s="31"/>
      <c r="K332" s="31"/>
      <c r="L332" s="269"/>
      <c r="M332" s="269"/>
      <c r="N332" s="269"/>
      <c r="O332" s="282"/>
      <c r="P332" s="269"/>
      <c r="Q332" s="269"/>
      <c r="R332" s="269"/>
      <c r="S332" s="282"/>
      <c r="T332" s="269"/>
      <c r="U332" s="269"/>
      <c r="V332" s="269"/>
      <c r="W332" s="269"/>
      <c r="X332" s="31"/>
    </row>
    <row r="333" spans="4:24" x14ac:dyDescent="0.25">
      <c r="D333" s="31"/>
      <c r="E333" s="31"/>
      <c r="F333" s="31"/>
      <c r="G333" s="31"/>
      <c r="H333" s="31"/>
      <c r="I333" s="31"/>
      <c r="J333" s="31"/>
      <c r="K333" s="31"/>
      <c r="L333" s="269"/>
      <c r="M333" s="269"/>
      <c r="N333" s="269"/>
      <c r="O333" s="282"/>
      <c r="P333" s="269"/>
      <c r="Q333" s="269"/>
      <c r="R333" s="269"/>
      <c r="S333" s="282"/>
      <c r="T333" s="269"/>
      <c r="U333" s="269"/>
      <c r="V333" s="269"/>
      <c r="W333" s="269"/>
      <c r="X333" s="31"/>
    </row>
    <row r="334" spans="4:24" x14ac:dyDescent="0.25">
      <c r="D334" s="31"/>
      <c r="E334" s="31"/>
      <c r="F334" s="31"/>
      <c r="G334" s="31"/>
      <c r="H334" s="31"/>
      <c r="I334" s="31"/>
      <c r="J334" s="31"/>
      <c r="K334" s="31"/>
      <c r="L334" s="269"/>
      <c r="M334" s="269"/>
      <c r="N334" s="269"/>
      <c r="O334" s="282"/>
      <c r="P334" s="269"/>
      <c r="Q334" s="269"/>
      <c r="R334" s="269"/>
      <c r="S334" s="282"/>
      <c r="T334" s="269"/>
      <c r="U334" s="269"/>
      <c r="V334" s="269"/>
      <c r="W334" s="269"/>
      <c r="X334" s="31"/>
    </row>
    <row r="335" spans="4:24" x14ac:dyDescent="0.25">
      <c r="D335" s="31"/>
      <c r="E335" s="31"/>
      <c r="F335" s="31"/>
      <c r="G335" s="31"/>
      <c r="H335" s="31"/>
      <c r="I335" s="31"/>
      <c r="J335" s="31"/>
      <c r="K335" s="31"/>
      <c r="L335" s="269"/>
      <c r="M335" s="269"/>
      <c r="N335" s="269"/>
      <c r="O335" s="282"/>
      <c r="P335" s="269"/>
      <c r="Q335" s="269"/>
      <c r="R335" s="269"/>
      <c r="S335" s="282"/>
      <c r="T335" s="269"/>
      <c r="U335" s="269"/>
      <c r="V335" s="269"/>
      <c r="W335" s="269"/>
      <c r="X335" s="31"/>
    </row>
    <row r="336" spans="4:24" x14ac:dyDescent="0.25">
      <c r="D336" s="31"/>
      <c r="E336" s="31"/>
      <c r="F336" s="31"/>
      <c r="G336" s="31"/>
      <c r="H336" s="31"/>
      <c r="I336" s="31"/>
      <c r="J336" s="31"/>
      <c r="K336" s="31"/>
      <c r="L336" s="269"/>
      <c r="M336" s="269"/>
      <c r="N336" s="269"/>
      <c r="O336" s="282"/>
      <c r="P336" s="269"/>
      <c r="Q336" s="269"/>
      <c r="R336" s="269"/>
      <c r="S336" s="282"/>
      <c r="T336" s="269"/>
      <c r="U336" s="269"/>
      <c r="V336" s="269"/>
      <c r="W336" s="269"/>
      <c r="X336" s="31"/>
    </row>
    <row r="337" spans="4:24" x14ac:dyDescent="0.25">
      <c r="D337" s="31"/>
      <c r="E337" s="31"/>
      <c r="F337" s="31"/>
      <c r="G337" s="31"/>
      <c r="H337" s="31"/>
      <c r="I337" s="31"/>
      <c r="J337" s="31"/>
      <c r="K337" s="31"/>
      <c r="L337" s="269"/>
      <c r="M337" s="269"/>
      <c r="N337" s="269"/>
      <c r="O337" s="282"/>
      <c r="P337" s="269"/>
      <c r="Q337" s="269"/>
      <c r="R337" s="269"/>
      <c r="S337" s="282"/>
      <c r="T337" s="269"/>
      <c r="U337" s="269"/>
      <c r="V337" s="269"/>
      <c r="W337" s="269"/>
      <c r="X337" s="31"/>
    </row>
    <row r="338" spans="4:24" x14ac:dyDescent="0.25">
      <c r="D338" s="31"/>
      <c r="E338" s="31"/>
      <c r="F338" s="31"/>
      <c r="G338" s="31"/>
      <c r="H338" s="31"/>
      <c r="I338" s="31"/>
      <c r="J338" s="31"/>
      <c r="K338" s="31"/>
      <c r="L338" s="269"/>
      <c r="M338" s="269"/>
      <c r="N338" s="269"/>
      <c r="O338" s="282"/>
      <c r="P338" s="269"/>
      <c r="Q338" s="269"/>
      <c r="R338" s="269"/>
      <c r="S338" s="282"/>
      <c r="T338" s="269"/>
      <c r="U338" s="269"/>
      <c r="V338" s="269"/>
      <c r="W338" s="269"/>
      <c r="X338" s="31"/>
    </row>
    <row r="339" spans="4:24" x14ac:dyDescent="0.25">
      <c r="D339" s="31"/>
      <c r="E339" s="31"/>
      <c r="F339" s="31"/>
      <c r="G339" s="31"/>
      <c r="H339" s="31"/>
      <c r="I339" s="31"/>
      <c r="J339" s="31"/>
      <c r="K339" s="31"/>
      <c r="L339" s="269"/>
      <c r="M339" s="269"/>
      <c r="N339" s="269"/>
      <c r="O339" s="282"/>
      <c r="P339" s="269"/>
      <c r="Q339" s="269"/>
      <c r="R339" s="269"/>
      <c r="S339" s="282"/>
      <c r="T339" s="269"/>
      <c r="U339" s="269"/>
      <c r="V339" s="269"/>
      <c r="W339" s="269"/>
      <c r="X339" s="31"/>
    </row>
    <row r="340" spans="4:24" x14ac:dyDescent="0.25">
      <c r="D340" s="31"/>
      <c r="E340" s="31"/>
      <c r="F340" s="31"/>
      <c r="G340" s="31"/>
      <c r="H340" s="31"/>
      <c r="I340" s="31"/>
      <c r="J340" s="31"/>
      <c r="K340" s="31"/>
      <c r="L340" s="269"/>
      <c r="M340" s="269"/>
      <c r="N340" s="269"/>
      <c r="O340" s="282"/>
      <c r="P340" s="269"/>
      <c r="Q340" s="269"/>
      <c r="R340" s="269"/>
      <c r="S340" s="282"/>
      <c r="T340" s="269"/>
      <c r="U340" s="269"/>
      <c r="V340" s="269"/>
      <c r="W340" s="269"/>
      <c r="X340" s="31"/>
    </row>
    <row r="341" spans="4:24" x14ac:dyDescent="0.25">
      <c r="D341" s="31"/>
      <c r="E341" s="31"/>
      <c r="F341" s="31"/>
      <c r="G341" s="31"/>
      <c r="H341" s="31"/>
      <c r="I341" s="31"/>
      <c r="J341" s="31"/>
      <c r="K341" s="31"/>
      <c r="L341" s="269"/>
      <c r="M341" s="269"/>
      <c r="N341" s="269"/>
      <c r="O341" s="282"/>
      <c r="P341" s="269"/>
      <c r="Q341" s="269"/>
      <c r="R341" s="269"/>
      <c r="S341" s="282"/>
      <c r="T341" s="269"/>
      <c r="U341" s="269"/>
      <c r="V341" s="269"/>
      <c r="W341" s="269"/>
      <c r="X341" s="31"/>
    </row>
    <row r="342" spans="4:24" x14ac:dyDescent="0.25">
      <c r="D342" s="31"/>
      <c r="E342" s="31"/>
      <c r="F342" s="31"/>
      <c r="G342" s="31"/>
      <c r="H342" s="31"/>
      <c r="I342" s="31"/>
      <c r="J342" s="31"/>
      <c r="K342" s="31"/>
      <c r="L342" s="269"/>
      <c r="M342" s="269"/>
      <c r="N342" s="269"/>
      <c r="O342" s="282"/>
      <c r="P342" s="269"/>
      <c r="Q342" s="269"/>
      <c r="R342" s="269"/>
      <c r="S342" s="282"/>
      <c r="T342" s="269"/>
      <c r="U342" s="269"/>
      <c r="V342" s="269"/>
      <c r="W342" s="269"/>
      <c r="X342" s="31"/>
    </row>
    <row r="343" spans="4:24" x14ac:dyDescent="0.25">
      <c r="D343" s="31"/>
      <c r="E343" s="31"/>
      <c r="F343" s="31"/>
      <c r="G343" s="31"/>
      <c r="H343" s="31"/>
      <c r="I343" s="31"/>
      <c r="J343" s="31"/>
      <c r="K343" s="31"/>
      <c r="L343" s="269"/>
      <c r="M343" s="269"/>
      <c r="N343" s="269"/>
      <c r="O343" s="282"/>
      <c r="P343" s="269"/>
      <c r="Q343" s="269"/>
      <c r="R343" s="269"/>
      <c r="S343" s="282"/>
      <c r="T343" s="269"/>
      <c r="U343" s="269"/>
      <c r="V343" s="269"/>
      <c r="W343" s="269"/>
      <c r="X343" s="31"/>
    </row>
    <row r="344" spans="4:24" x14ac:dyDescent="0.25">
      <c r="D344" s="31"/>
      <c r="E344" s="31"/>
      <c r="F344" s="31"/>
      <c r="G344" s="31"/>
      <c r="H344" s="31"/>
      <c r="I344" s="31"/>
      <c r="J344" s="31"/>
      <c r="K344" s="31"/>
      <c r="L344" s="269"/>
      <c r="M344" s="269"/>
      <c r="N344" s="269"/>
      <c r="O344" s="282"/>
      <c r="P344" s="269"/>
      <c r="Q344" s="269"/>
      <c r="R344" s="269"/>
      <c r="S344" s="282"/>
      <c r="T344" s="269"/>
      <c r="U344" s="269"/>
      <c r="V344" s="269"/>
      <c r="W344" s="269"/>
      <c r="X344" s="31"/>
    </row>
    <row r="345" spans="4:24" x14ac:dyDescent="0.25">
      <c r="D345" s="31"/>
      <c r="E345" s="31"/>
      <c r="F345" s="31"/>
      <c r="G345" s="31"/>
      <c r="H345" s="31"/>
      <c r="I345" s="31"/>
      <c r="J345" s="31"/>
      <c r="K345" s="31"/>
      <c r="L345" s="269"/>
      <c r="M345" s="269"/>
      <c r="N345" s="269"/>
      <c r="O345" s="282"/>
      <c r="P345" s="269"/>
      <c r="Q345" s="269"/>
      <c r="R345" s="269"/>
      <c r="S345" s="282"/>
      <c r="T345" s="269"/>
      <c r="U345" s="269"/>
      <c r="V345" s="269"/>
      <c r="W345" s="269"/>
      <c r="X345" s="31"/>
    </row>
    <row r="346" spans="4:24" x14ac:dyDescent="0.25">
      <c r="D346" s="31"/>
      <c r="E346" s="31"/>
      <c r="F346" s="31"/>
      <c r="G346" s="31"/>
      <c r="H346" s="31"/>
      <c r="I346" s="31"/>
      <c r="J346" s="31"/>
      <c r="K346" s="31"/>
      <c r="L346" s="269"/>
      <c r="M346" s="269"/>
      <c r="N346" s="269"/>
      <c r="O346" s="282"/>
      <c r="P346" s="269"/>
      <c r="Q346" s="269"/>
      <c r="R346" s="269"/>
      <c r="S346" s="282"/>
      <c r="T346" s="269"/>
      <c r="U346" s="269"/>
      <c r="V346" s="269"/>
      <c r="W346" s="269"/>
      <c r="X346" s="31"/>
    </row>
    <row r="347" spans="4:24" x14ac:dyDescent="0.25">
      <c r="D347" s="31"/>
      <c r="E347" s="31"/>
      <c r="F347" s="31"/>
      <c r="G347" s="31"/>
      <c r="H347" s="31"/>
      <c r="I347" s="31"/>
      <c r="J347" s="31"/>
      <c r="K347" s="31"/>
      <c r="L347" s="269"/>
      <c r="M347" s="269"/>
      <c r="N347" s="269"/>
      <c r="O347" s="282"/>
      <c r="P347" s="269"/>
      <c r="Q347" s="269"/>
      <c r="R347" s="269"/>
      <c r="S347" s="282"/>
      <c r="T347" s="269"/>
      <c r="U347" s="269"/>
      <c r="V347" s="269"/>
      <c r="W347" s="269"/>
      <c r="X347" s="31"/>
    </row>
    <row r="348" spans="4:24" x14ac:dyDescent="0.25">
      <c r="D348" s="31"/>
      <c r="E348" s="31"/>
      <c r="F348" s="31"/>
      <c r="G348" s="31"/>
      <c r="H348" s="31"/>
      <c r="I348" s="31"/>
      <c r="J348" s="31"/>
      <c r="K348" s="31"/>
      <c r="L348" s="269"/>
      <c r="M348" s="269"/>
      <c r="N348" s="269"/>
      <c r="O348" s="282"/>
      <c r="P348" s="269"/>
      <c r="Q348" s="269"/>
      <c r="R348" s="269"/>
      <c r="S348" s="282"/>
      <c r="T348" s="269"/>
      <c r="U348" s="269"/>
      <c r="V348" s="269"/>
      <c r="W348" s="269"/>
      <c r="X348" s="31"/>
    </row>
    <row r="349" spans="4:24" x14ac:dyDescent="0.25">
      <c r="D349" s="31"/>
      <c r="E349" s="31"/>
      <c r="F349" s="31"/>
      <c r="G349" s="31"/>
      <c r="H349" s="31"/>
      <c r="I349" s="31"/>
      <c r="J349" s="31"/>
      <c r="K349" s="31"/>
      <c r="L349" s="269"/>
      <c r="M349" s="269"/>
      <c r="N349" s="269"/>
      <c r="O349" s="282"/>
      <c r="P349" s="269"/>
      <c r="Q349" s="269"/>
      <c r="R349" s="269"/>
      <c r="S349" s="282"/>
      <c r="T349" s="269"/>
      <c r="U349" s="269"/>
      <c r="V349" s="269"/>
      <c r="W349" s="269"/>
      <c r="X349" s="31"/>
    </row>
    <row r="350" spans="4:24" x14ac:dyDescent="0.25">
      <c r="D350" s="31"/>
      <c r="E350" s="31"/>
      <c r="F350" s="31"/>
      <c r="G350" s="31"/>
      <c r="H350" s="31"/>
      <c r="I350" s="31"/>
      <c r="J350" s="31"/>
      <c r="K350" s="31"/>
      <c r="L350" s="269"/>
      <c r="M350" s="269"/>
      <c r="N350" s="269"/>
      <c r="O350" s="282"/>
      <c r="P350" s="269"/>
      <c r="Q350" s="269"/>
      <c r="R350" s="269"/>
      <c r="S350" s="282"/>
      <c r="T350" s="269"/>
      <c r="U350" s="269"/>
      <c r="V350" s="269"/>
      <c r="W350" s="269"/>
      <c r="X350" s="31"/>
    </row>
    <row r="351" spans="4:24" x14ac:dyDescent="0.25">
      <c r="D351" s="31"/>
      <c r="E351" s="31"/>
      <c r="F351" s="31"/>
      <c r="G351" s="31"/>
      <c r="H351" s="31"/>
      <c r="I351" s="31"/>
      <c r="J351" s="31"/>
      <c r="K351" s="31"/>
      <c r="L351" s="269"/>
      <c r="M351" s="269"/>
      <c r="N351" s="269"/>
      <c r="O351" s="282"/>
      <c r="P351" s="269"/>
      <c r="Q351" s="269"/>
      <c r="R351" s="269"/>
      <c r="S351" s="282"/>
      <c r="T351" s="269"/>
      <c r="U351" s="269"/>
      <c r="V351" s="269"/>
      <c r="W351" s="269"/>
      <c r="X351" s="31"/>
    </row>
    <row r="352" spans="4:24" x14ac:dyDescent="0.25">
      <c r="D352" s="31"/>
      <c r="E352" s="31"/>
      <c r="F352" s="31"/>
      <c r="G352" s="31"/>
      <c r="H352" s="31"/>
      <c r="I352" s="31"/>
      <c r="J352" s="31"/>
      <c r="K352" s="31"/>
      <c r="L352" s="269"/>
      <c r="M352" s="269"/>
      <c r="N352" s="269"/>
      <c r="O352" s="282"/>
      <c r="P352" s="269"/>
      <c r="Q352" s="269"/>
      <c r="R352" s="269"/>
      <c r="S352" s="282"/>
      <c r="T352" s="269"/>
      <c r="U352" s="269"/>
      <c r="V352" s="269"/>
      <c r="W352" s="269"/>
      <c r="X352" s="31"/>
    </row>
    <row r="353" spans="4:24" x14ac:dyDescent="0.25">
      <c r="D353" s="31"/>
      <c r="E353" s="31"/>
      <c r="F353" s="31"/>
      <c r="G353" s="31"/>
      <c r="H353" s="31"/>
      <c r="I353" s="31"/>
      <c r="J353" s="31"/>
      <c r="K353" s="31"/>
      <c r="L353" s="269"/>
      <c r="M353" s="269"/>
      <c r="N353" s="269"/>
      <c r="O353" s="282"/>
      <c r="P353" s="269"/>
      <c r="Q353" s="269"/>
      <c r="R353" s="269"/>
      <c r="S353" s="282"/>
      <c r="T353" s="269"/>
      <c r="U353" s="269"/>
      <c r="V353" s="269"/>
      <c r="W353" s="269"/>
      <c r="X353" s="31"/>
    </row>
    <row r="354" spans="4:24" x14ac:dyDescent="0.25">
      <c r="D354" s="31"/>
      <c r="E354" s="31"/>
      <c r="F354" s="31"/>
      <c r="G354" s="31"/>
      <c r="H354" s="31"/>
      <c r="I354" s="31"/>
      <c r="J354" s="31"/>
      <c r="K354" s="31"/>
      <c r="L354" s="269"/>
      <c r="M354" s="269"/>
      <c r="N354" s="269"/>
      <c r="O354" s="282"/>
      <c r="P354" s="269"/>
      <c r="Q354" s="269"/>
      <c r="R354" s="269"/>
      <c r="S354" s="282"/>
      <c r="T354" s="269"/>
      <c r="U354" s="269"/>
      <c r="V354" s="269"/>
      <c r="W354" s="269"/>
      <c r="X354" s="31"/>
    </row>
    <row r="355" spans="4:24" x14ac:dyDescent="0.25">
      <c r="D355" s="31"/>
      <c r="E355" s="31"/>
      <c r="F355" s="31"/>
      <c r="G355" s="31"/>
      <c r="H355" s="31"/>
      <c r="I355" s="31"/>
      <c r="J355" s="31"/>
      <c r="K355" s="31"/>
      <c r="L355" s="269"/>
      <c r="M355" s="269"/>
      <c r="N355" s="269"/>
      <c r="O355" s="282"/>
      <c r="P355" s="269"/>
      <c r="Q355" s="269"/>
      <c r="R355" s="269"/>
      <c r="S355" s="282"/>
      <c r="T355" s="269"/>
      <c r="U355" s="269"/>
      <c r="V355" s="269"/>
      <c r="W355" s="269"/>
      <c r="X355" s="31"/>
    </row>
    <row r="356" spans="4:24" x14ac:dyDescent="0.25">
      <c r="D356" s="31"/>
      <c r="E356" s="31"/>
      <c r="F356" s="31"/>
      <c r="G356" s="31"/>
      <c r="H356" s="31"/>
      <c r="I356" s="31"/>
      <c r="J356" s="31"/>
      <c r="K356" s="31"/>
      <c r="L356" s="269"/>
      <c r="M356" s="269"/>
      <c r="N356" s="269"/>
      <c r="O356" s="282"/>
      <c r="P356" s="269"/>
      <c r="Q356" s="269"/>
      <c r="R356" s="269"/>
      <c r="S356" s="282"/>
      <c r="T356" s="269"/>
      <c r="U356" s="269"/>
      <c r="V356" s="269"/>
      <c r="W356" s="269"/>
      <c r="X356" s="31"/>
    </row>
    <row r="357" spans="4:24" x14ac:dyDescent="0.25">
      <c r="D357" s="31"/>
      <c r="E357" s="31"/>
      <c r="F357" s="31"/>
      <c r="G357" s="31"/>
      <c r="H357" s="31"/>
      <c r="I357" s="31"/>
      <c r="J357" s="31"/>
      <c r="K357" s="31"/>
      <c r="L357" s="269"/>
      <c r="M357" s="269"/>
      <c r="N357" s="269"/>
      <c r="O357" s="282"/>
      <c r="P357" s="269"/>
      <c r="Q357" s="269"/>
      <c r="R357" s="269"/>
      <c r="S357" s="282"/>
      <c r="T357" s="269"/>
      <c r="U357" s="269"/>
      <c r="V357" s="269"/>
      <c r="W357" s="269"/>
      <c r="X357" s="31"/>
    </row>
    <row r="358" spans="4:24" x14ac:dyDescent="0.25">
      <c r="D358" s="31"/>
      <c r="E358" s="31"/>
      <c r="F358" s="31"/>
      <c r="G358" s="31"/>
      <c r="H358" s="31"/>
      <c r="I358" s="31"/>
      <c r="J358" s="31"/>
      <c r="K358" s="31"/>
      <c r="L358" s="269"/>
      <c r="M358" s="269"/>
      <c r="N358" s="269"/>
      <c r="O358" s="282"/>
      <c r="P358" s="269"/>
      <c r="Q358" s="269"/>
      <c r="R358" s="269"/>
      <c r="S358" s="282"/>
      <c r="T358" s="269"/>
      <c r="U358" s="269"/>
      <c r="V358" s="269"/>
      <c r="W358" s="269"/>
      <c r="X358" s="31"/>
    </row>
    <row r="359" spans="4:24" x14ac:dyDescent="0.25">
      <c r="D359" s="31"/>
      <c r="E359" s="31"/>
      <c r="F359" s="31"/>
      <c r="G359" s="31"/>
      <c r="H359" s="31"/>
      <c r="I359" s="31"/>
      <c r="J359" s="31"/>
      <c r="K359" s="31"/>
      <c r="L359" s="269"/>
      <c r="M359" s="269"/>
      <c r="N359" s="269"/>
      <c r="O359" s="282"/>
      <c r="P359" s="269"/>
      <c r="Q359" s="269"/>
      <c r="R359" s="269"/>
      <c r="S359" s="282"/>
      <c r="T359" s="269"/>
      <c r="U359" s="269"/>
      <c r="V359" s="269"/>
      <c r="W359" s="269"/>
      <c r="X359" s="31"/>
    </row>
    <row r="360" spans="4:24" x14ac:dyDescent="0.25">
      <c r="D360" s="31"/>
      <c r="E360" s="31"/>
      <c r="F360" s="31"/>
      <c r="G360" s="31"/>
      <c r="H360" s="31"/>
      <c r="I360" s="31"/>
      <c r="J360" s="31"/>
      <c r="K360" s="31"/>
      <c r="L360" s="269"/>
      <c r="M360" s="269"/>
      <c r="N360" s="269"/>
      <c r="O360" s="282"/>
      <c r="P360" s="269"/>
      <c r="Q360" s="269"/>
      <c r="R360" s="269"/>
      <c r="S360" s="282"/>
      <c r="T360" s="269"/>
      <c r="U360" s="269"/>
      <c r="V360" s="269"/>
      <c r="W360" s="269"/>
      <c r="X360" s="31"/>
    </row>
    <row r="361" spans="4:24" x14ac:dyDescent="0.25">
      <c r="D361" s="31"/>
      <c r="E361" s="31"/>
      <c r="F361" s="31"/>
      <c r="G361" s="31"/>
      <c r="H361" s="31"/>
      <c r="I361" s="31"/>
      <c r="J361" s="31"/>
      <c r="K361" s="31"/>
      <c r="L361" s="269"/>
      <c r="M361" s="269"/>
      <c r="N361" s="269"/>
      <c r="O361" s="282"/>
      <c r="P361" s="269"/>
      <c r="Q361" s="269"/>
      <c r="R361" s="269"/>
      <c r="S361" s="282"/>
      <c r="T361" s="269"/>
      <c r="U361" s="269"/>
      <c r="V361" s="269"/>
      <c r="W361" s="269"/>
      <c r="X361" s="31"/>
    </row>
    <row r="362" spans="4:24" x14ac:dyDescent="0.25">
      <c r="D362" s="31"/>
      <c r="E362" s="31"/>
      <c r="F362" s="31"/>
      <c r="G362" s="31"/>
      <c r="H362" s="31"/>
      <c r="I362" s="31"/>
      <c r="J362" s="31"/>
      <c r="K362" s="31"/>
      <c r="L362" s="269"/>
      <c r="M362" s="269"/>
      <c r="N362" s="269"/>
      <c r="O362" s="282"/>
      <c r="P362" s="269"/>
      <c r="Q362" s="269"/>
      <c r="R362" s="269"/>
      <c r="S362" s="282"/>
      <c r="T362" s="269"/>
      <c r="U362" s="269"/>
      <c r="V362" s="269"/>
      <c r="W362" s="269"/>
      <c r="X362" s="31"/>
    </row>
    <row r="363" spans="4:24" x14ac:dyDescent="0.25">
      <c r="D363" s="31"/>
      <c r="E363" s="31"/>
      <c r="F363" s="31"/>
      <c r="G363" s="31"/>
      <c r="H363" s="31"/>
      <c r="I363" s="31"/>
      <c r="J363" s="31"/>
      <c r="K363" s="31"/>
      <c r="L363" s="269"/>
      <c r="M363" s="269"/>
      <c r="N363" s="269"/>
      <c r="O363" s="282"/>
      <c r="P363" s="269"/>
      <c r="Q363" s="269"/>
      <c r="R363" s="269"/>
      <c r="S363" s="282"/>
      <c r="T363" s="269"/>
      <c r="U363" s="269"/>
      <c r="V363" s="269"/>
      <c r="W363" s="269"/>
      <c r="X363" s="31"/>
    </row>
    <row r="364" spans="4:24" x14ac:dyDescent="0.25">
      <c r="D364" s="31"/>
      <c r="E364" s="31"/>
      <c r="F364" s="31"/>
      <c r="G364" s="31"/>
      <c r="H364" s="31"/>
      <c r="I364" s="31"/>
      <c r="J364" s="31"/>
      <c r="K364" s="31"/>
      <c r="L364" s="269"/>
      <c r="M364" s="269"/>
      <c r="N364" s="269"/>
      <c r="O364" s="282"/>
      <c r="P364" s="269"/>
      <c r="Q364" s="269"/>
      <c r="R364" s="269"/>
      <c r="S364" s="282"/>
      <c r="T364" s="269"/>
      <c r="U364" s="269"/>
      <c r="V364" s="269"/>
      <c r="W364" s="269"/>
      <c r="X364" s="31"/>
    </row>
    <row r="365" spans="4:24" x14ac:dyDescent="0.25">
      <c r="D365" s="31"/>
      <c r="E365" s="31"/>
      <c r="F365" s="31"/>
      <c r="G365" s="31"/>
      <c r="H365" s="31"/>
      <c r="I365" s="31"/>
      <c r="J365" s="31"/>
      <c r="K365" s="31"/>
      <c r="L365" s="269"/>
      <c r="M365" s="269"/>
      <c r="N365" s="269"/>
      <c r="O365" s="282"/>
      <c r="P365" s="269"/>
      <c r="Q365" s="269"/>
      <c r="R365" s="269"/>
      <c r="S365" s="282"/>
      <c r="T365" s="269"/>
      <c r="U365" s="269"/>
      <c r="V365" s="269"/>
      <c r="W365" s="269"/>
      <c r="X365" s="31"/>
    </row>
    <row r="366" spans="4:24" x14ac:dyDescent="0.25">
      <c r="D366" s="31"/>
      <c r="E366" s="31"/>
      <c r="F366" s="31"/>
      <c r="G366" s="31"/>
      <c r="H366" s="31"/>
      <c r="I366" s="31"/>
      <c r="J366" s="31"/>
      <c r="K366" s="31"/>
      <c r="L366" s="269"/>
      <c r="M366" s="269"/>
      <c r="N366" s="269"/>
      <c r="O366" s="282"/>
      <c r="P366" s="269"/>
      <c r="Q366" s="269"/>
      <c r="R366" s="269"/>
      <c r="S366" s="282"/>
      <c r="T366" s="269"/>
      <c r="U366" s="269"/>
      <c r="V366" s="269"/>
      <c r="W366" s="269"/>
      <c r="X366" s="31"/>
    </row>
    <row r="367" spans="4:24" x14ac:dyDescent="0.25">
      <c r="D367" s="31"/>
      <c r="E367" s="31"/>
      <c r="F367" s="31"/>
      <c r="G367" s="31"/>
      <c r="H367" s="31"/>
      <c r="I367" s="31"/>
      <c r="J367" s="31"/>
      <c r="K367" s="31"/>
      <c r="L367" s="269"/>
      <c r="M367" s="269"/>
      <c r="N367" s="269"/>
      <c r="O367" s="282"/>
      <c r="P367" s="269"/>
      <c r="Q367" s="269"/>
      <c r="R367" s="269"/>
      <c r="S367" s="282"/>
      <c r="T367" s="269"/>
      <c r="U367" s="269"/>
      <c r="V367" s="269"/>
      <c r="W367" s="269"/>
      <c r="X367" s="31"/>
    </row>
    <row r="368" spans="4:24" x14ac:dyDescent="0.25">
      <c r="D368" s="31"/>
      <c r="E368" s="31"/>
      <c r="F368" s="31"/>
      <c r="G368" s="31"/>
      <c r="H368" s="31"/>
      <c r="I368" s="31"/>
      <c r="J368" s="31"/>
      <c r="K368" s="31"/>
      <c r="L368" s="269"/>
      <c r="M368" s="269"/>
      <c r="N368" s="269"/>
      <c r="O368" s="282"/>
      <c r="P368" s="269"/>
      <c r="Q368" s="269"/>
      <c r="R368" s="269"/>
      <c r="S368" s="282"/>
      <c r="T368" s="269"/>
      <c r="U368" s="269"/>
      <c r="V368" s="269"/>
      <c r="W368" s="269"/>
      <c r="X368" s="31"/>
    </row>
    <row r="369" spans="4:24" x14ac:dyDescent="0.25">
      <c r="D369" s="31"/>
      <c r="E369" s="31"/>
      <c r="F369" s="31"/>
      <c r="G369" s="31"/>
      <c r="H369" s="31"/>
      <c r="I369" s="31"/>
      <c r="J369" s="31"/>
      <c r="K369" s="31"/>
      <c r="L369" s="269"/>
      <c r="M369" s="269"/>
      <c r="N369" s="269"/>
      <c r="O369" s="282"/>
      <c r="P369" s="269"/>
      <c r="Q369" s="269"/>
      <c r="R369" s="269"/>
      <c r="S369" s="282"/>
      <c r="T369" s="269"/>
      <c r="U369" s="269"/>
      <c r="V369" s="269"/>
      <c r="W369" s="269"/>
      <c r="X369" s="31"/>
    </row>
    <row r="370" spans="4:24" x14ac:dyDescent="0.25">
      <c r="D370" s="31"/>
      <c r="E370" s="31"/>
      <c r="F370" s="31"/>
      <c r="G370" s="31"/>
      <c r="H370" s="31"/>
      <c r="I370" s="31"/>
      <c r="J370" s="31"/>
      <c r="K370" s="31"/>
      <c r="L370" s="269"/>
      <c r="M370" s="269"/>
      <c r="N370" s="269"/>
      <c r="O370" s="282"/>
      <c r="P370" s="269"/>
      <c r="Q370" s="269"/>
      <c r="R370" s="269"/>
      <c r="S370" s="282"/>
      <c r="T370" s="269"/>
      <c r="U370" s="269"/>
      <c r="V370" s="269"/>
      <c r="W370" s="269"/>
      <c r="X370" s="31"/>
    </row>
    <row r="371" spans="4:24" x14ac:dyDescent="0.25">
      <c r="D371" s="31"/>
      <c r="E371" s="31"/>
      <c r="F371" s="31"/>
      <c r="G371" s="31"/>
      <c r="H371" s="31"/>
      <c r="I371" s="31"/>
      <c r="J371" s="31"/>
      <c r="K371" s="31"/>
      <c r="L371" s="269"/>
      <c r="M371" s="269"/>
      <c r="N371" s="269"/>
      <c r="O371" s="282"/>
      <c r="P371" s="269"/>
      <c r="Q371" s="269"/>
      <c r="R371" s="269"/>
      <c r="S371" s="282"/>
      <c r="T371" s="269"/>
      <c r="U371" s="269"/>
      <c r="V371" s="269"/>
      <c r="W371" s="269"/>
      <c r="X371" s="31"/>
    </row>
    <row r="372" spans="4:24" x14ac:dyDescent="0.25">
      <c r="D372" s="31"/>
      <c r="E372" s="31"/>
      <c r="F372" s="31"/>
      <c r="G372" s="31"/>
      <c r="H372" s="31"/>
      <c r="I372" s="31"/>
      <c r="J372" s="31"/>
      <c r="K372" s="31"/>
      <c r="L372" s="269"/>
      <c r="M372" s="269"/>
      <c r="N372" s="269"/>
      <c r="O372" s="282"/>
      <c r="P372" s="269"/>
      <c r="Q372" s="269"/>
      <c r="R372" s="269"/>
      <c r="S372" s="282"/>
      <c r="T372" s="269"/>
      <c r="U372" s="269"/>
      <c r="V372" s="269"/>
      <c r="W372" s="269"/>
      <c r="X372" s="31"/>
    </row>
    <row r="373" spans="4:24" x14ac:dyDescent="0.25">
      <c r="D373" s="31"/>
      <c r="E373" s="31"/>
      <c r="F373" s="31"/>
      <c r="G373" s="31"/>
      <c r="H373" s="31"/>
      <c r="I373" s="31"/>
      <c r="J373" s="31"/>
      <c r="K373" s="31"/>
      <c r="L373" s="269"/>
      <c r="M373" s="269"/>
      <c r="N373" s="269"/>
      <c r="O373" s="282"/>
      <c r="P373" s="269"/>
      <c r="Q373" s="269"/>
      <c r="R373" s="269"/>
      <c r="S373" s="282"/>
      <c r="T373" s="269"/>
      <c r="U373" s="269"/>
      <c r="V373" s="269"/>
      <c r="W373" s="269"/>
      <c r="X373" s="31"/>
    </row>
    <row r="374" spans="4:24" x14ac:dyDescent="0.25">
      <c r="D374" s="31"/>
      <c r="E374" s="31"/>
      <c r="F374" s="31"/>
      <c r="G374" s="31"/>
      <c r="H374" s="31"/>
      <c r="I374" s="31"/>
      <c r="J374" s="31"/>
      <c r="K374" s="31"/>
      <c r="L374" s="269"/>
      <c r="M374" s="269"/>
      <c r="N374" s="269"/>
      <c r="O374" s="282"/>
      <c r="P374" s="269"/>
      <c r="Q374" s="269"/>
      <c r="R374" s="269"/>
      <c r="S374" s="282"/>
      <c r="T374" s="269"/>
      <c r="U374" s="269"/>
      <c r="V374" s="269"/>
      <c r="W374" s="269"/>
      <c r="X374" s="31"/>
    </row>
    <row r="375" spans="4:24" x14ac:dyDescent="0.25">
      <c r="D375" s="31"/>
      <c r="E375" s="31"/>
      <c r="F375" s="31"/>
      <c r="G375" s="31"/>
      <c r="H375" s="31"/>
      <c r="I375" s="31"/>
      <c r="J375" s="31"/>
      <c r="K375" s="31"/>
      <c r="L375" s="269"/>
      <c r="M375" s="269"/>
      <c r="N375" s="269"/>
      <c r="O375" s="282"/>
      <c r="P375" s="269"/>
      <c r="Q375" s="269"/>
      <c r="R375" s="269"/>
      <c r="S375" s="282"/>
      <c r="T375" s="269"/>
      <c r="U375" s="269"/>
      <c r="V375" s="269"/>
      <c r="W375" s="269"/>
      <c r="X375" s="31"/>
    </row>
    <row r="376" spans="4:24" x14ac:dyDescent="0.25">
      <c r="D376" s="31"/>
      <c r="E376" s="31"/>
      <c r="F376" s="31"/>
      <c r="G376" s="31"/>
      <c r="H376" s="31"/>
      <c r="I376" s="31"/>
      <c r="J376" s="31"/>
      <c r="K376" s="31"/>
      <c r="L376" s="269"/>
      <c r="M376" s="269"/>
      <c r="N376" s="269"/>
      <c r="O376" s="282"/>
      <c r="P376" s="269"/>
      <c r="Q376" s="269"/>
      <c r="R376" s="269"/>
      <c r="S376" s="282"/>
      <c r="T376" s="269"/>
      <c r="U376" s="269"/>
      <c r="V376" s="269"/>
      <c r="W376" s="269"/>
      <c r="X376" s="31"/>
    </row>
    <row r="377" spans="4:24" x14ac:dyDescent="0.25">
      <c r="D377" s="31"/>
      <c r="E377" s="31"/>
      <c r="F377" s="31"/>
      <c r="G377" s="31"/>
      <c r="H377" s="31"/>
      <c r="I377" s="31"/>
      <c r="J377" s="31"/>
      <c r="K377" s="31"/>
      <c r="L377" s="269"/>
      <c r="M377" s="269"/>
      <c r="N377" s="269"/>
      <c r="O377" s="282"/>
      <c r="P377" s="269"/>
      <c r="Q377" s="269"/>
      <c r="R377" s="269"/>
      <c r="S377" s="282"/>
      <c r="T377" s="269"/>
      <c r="U377" s="269"/>
      <c r="V377" s="269"/>
      <c r="W377" s="269"/>
      <c r="X377" s="31"/>
    </row>
    <row r="378" spans="4:24" x14ac:dyDescent="0.25">
      <c r="D378" s="31"/>
      <c r="E378" s="31"/>
      <c r="F378" s="31"/>
      <c r="G378" s="31"/>
      <c r="H378" s="31"/>
      <c r="I378" s="31"/>
      <c r="J378" s="31"/>
      <c r="K378" s="31"/>
      <c r="L378" s="269"/>
      <c r="M378" s="269"/>
      <c r="N378" s="269"/>
      <c r="O378" s="282"/>
      <c r="P378" s="269"/>
      <c r="Q378" s="269"/>
      <c r="R378" s="269"/>
      <c r="S378" s="282"/>
      <c r="T378" s="269"/>
      <c r="U378" s="269"/>
      <c r="V378" s="269"/>
      <c r="W378" s="269"/>
      <c r="X378" s="31"/>
    </row>
    <row r="379" spans="4:24" x14ac:dyDescent="0.25">
      <c r="D379" s="31"/>
      <c r="E379" s="31"/>
      <c r="F379" s="31"/>
      <c r="G379" s="31"/>
      <c r="H379" s="31"/>
      <c r="I379" s="31"/>
      <c r="J379" s="31"/>
      <c r="K379" s="31"/>
      <c r="L379" s="269"/>
      <c r="M379" s="269"/>
      <c r="N379" s="269"/>
      <c r="O379" s="282"/>
      <c r="P379" s="269"/>
      <c r="Q379" s="269"/>
      <c r="R379" s="269"/>
      <c r="S379" s="282"/>
      <c r="T379" s="269"/>
      <c r="U379" s="269"/>
      <c r="V379" s="269"/>
      <c r="W379" s="269"/>
      <c r="X379" s="31"/>
    </row>
    <row r="380" spans="4:24" x14ac:dyDescent="0.25">
      <c r="D380" s="31"/>
      <c r="E380" s="31"/>
      <c r="F380" s="31"/>
      <c r="G380" s="31"/>
      <c r="H380" s="31"/>
      <c r="I380" s="31"/>
      <c r="J380" s="31"/>
      <c r="K380" s="31"/>
      <c r="L380" s="269"/>
      <c r="M380" s="269"/>
      <c r="N380" s="269"/>
      <c r="O380" s="282"/>
      <c r="P380" s="269"/>
      <c r="Q380" s="269"/>
      <c r="R380" s="269"/>
      <c r="S380" s="282"/>
      <c r="T380" s="269"/>
      <c r="U380" s="269"/>
      <c r="V380" s="269"/>
      <c r="W380" s="269"/>
      <c r="X380" s="31"/>
    </row>
    <row r="381" spans="4:24" x14ac:dyDescent="0.25">
      <c r="D381" s="31"/>
      <c r="E381" s="31"/>
      <c r="F381" s="31"/>
      <c r="G381" s="31"/>
      <c r="H381" s="31"/>
      <c r="I381" s="31"/>
      <c r="J381" s="31"/>
      <c r="K381" s="31"/>
      <c r="L381" s="269"/>
      <c r="M381" s="269"/>
      <c r="N381" s="269"/>
      <c r="O381" s="282"/>
      <c r="P381" s="269"/>
      <c r="Q381" s="269"/>
      <c r="R381" s="269"/>
      <c r="S381" s="282"/>
      <c r="T381" s="269"/>
      <c r="U381" s="269"/>
      <c r="V381" s="269"/>
      <c r="W381" s="269"/>
      <c r="X381" s="31"/>
    </row>
    <row r="382" spans="4:24" x14ac:dyDescent="0.25">
      <c r="D382" s="31"/>
      <c r="E382" s="31"/>
      <c r="F382" s="31"/>
      <c r="G382" s="31"/>
      <c r="H382" s="31"/>
      <c r="I382" s="31"/>
      <c r="J382" s="31"/>
      <c r="K382" s="31"/>
      <c r="L382" s="269"/>
      <c r="M382" s="269"/>
      <c r="N382" s="269"/>
      <c r="O382" s="282"/>
      <c r="P382" s="269"/>
      <c r="Q382" s="269"/>
      <c r="R382" s="269"/>
      <c r="S382" s="282"/>
      <c r="T382" s="269"/>
      <c r="U382" s="269"/>
      <c r="V382" s="269"/>
      <c r="W382" s="269"/>
      <c r="X382" s="31"/>
    </row>
    <row r="383" spans="4:24" x14ac:dyDescent="0.25">
      <c r="D383" s="31"/>
      <c r="E383" s="31"/>
      <c r="F383" s="31"/>
      <c r="G383" s="31"/>
      <c r="H383" s="31"/>
      <c r="I383" s="31"/>
      <c r="J383" s="31"/>
      <c r="K383" s="31"/>
      <c r="L383" s="269"/>
      <c r="M383" s="269"/>
      <c r="N383" s="269"/>
      <c r="O383" s="282"/>
      <c r="P383" s="269"/>
      <c r="Q383" s="269"/>
      <c r="R383" s="269"/>
      <c r="S383" s="282"/>
      <c r="T383" s="269"/>
      <c r="U383" s="269"/>
      <c r="V383" s="269"/>
      <c r="W383" s="269"/>
      <c r="X383" s="31"/>
    </row>
    <row r="384" spans="4:24" x14ac:dyDescent="0.25">
      <c r="D384" s="31"/>
      <c r="E384" s="31"/>
      <c r="F384" s="31"/>
      <c r="G384" s="31"/>
      <c r="H384" s="31"/>
      <c r="I384" s="31"/>
      <c r="J384" s="31"/>
      <c r="K384" s="31"/>
      <c r="L384" s="269"/>
      <c r="M384" s="269"/>
      <c r="N384" s="269"/>
      <c r="O384" s="282"/>
      <c r="P384" s="269"/>
      <c r="Q384" s="269"/>
      <c r="R384" s="269"/>
      <c r="S384" s="282"/>
      <c r="T384" s="269"/>
      <c r="U384" s="269"/>
      <c r="V384" s="269"/>
      <c r="W384" s="269"/>
      <c r="X384" s="31"/>
    </row>
    <row r="385" spans="4:24" x14ac:dyDescent="0.25">
      <c r="D385" s="31"/>
      <c r="E385" s="31"/>
      <c r="F385" s="31"/>
      <c r="G385" s="31"/>
      <c r="H385" s="31"/>
      <c r="I385" s="31"/>
      <c r="J385" s="31"/>
      <c r="K385" s="31"/>
      <c r="L385" s="269"/>
      <c r="M385" s="269"/>
      <c r="N385" s="269"/>
      <c r="O385" s="282"/>
      <c r="P385" s="269"/>
      <c r="Q385" s="269"/>
      <c r="R385" s="269"/>
      <c r="S385" s="282"/>
      <c r="T385" s="269"/>
      <c r="U385" s="269"/>
      <c r="V385" s="269"/>
      <c r="W385" s="269"/>
      <c r="X385" s="31"/>
    </row>
    <row r="386" spans="4:24" x14ac:dyDescent="0.25">
      <c r="D386" s="31"/>
      <c r="E386" s="31"/>
      <c r="F386" s="31"/>
      <c r="G386" s="31"/>
      <c r="H386" s="31"/>
      <c r="I386" s="31"/>
      <c r="J386" s="31"/>
      <c r="K386" s="31"/>
      <c r="L386" s="269"/>
      <c r="M386" s="269"/>
      <c r="N386" s="269"/>
      <c r="O386" s="282"/>
      <c r="P386" s="269"/>
      <c r="Q386" s="269"/>
      <c r="R386" s="269"/>
      <c r="S386" s="282"/>
      <c r="T386" s="269"/>
      <c r="U386" s="269"/>
      <c r="V386" s="269"/>
      <c r="W386" s="269"/>
      <c r="X386" s="31"/>
    </row>
    <row r="387" spans="4:24" x14ac:dyDescent="0.25">
      <c r="D387" s="31"/>
      <c r="E387" s="31"/>
      <c r="F387" s="31"/>
      <c r="G387" s="31"/>
      <c r="H387" s="31"/>
      <c r="I387" s="31"/>
      <c r="J387" s="31"/>
      <c r="K387" s="31"/>
      <c r="L387" s="269"/>
      <c r="M387" s="269"/>
      <c r="N387" s="269"/>
      <c r="O387" s="282"/>
      <c r="P387" s="269"/>
      <c r="Q387" s="269"/>
      <c r="R387" s="269"/>
      <c r="S387" s="282"/>
      <c r="T387" s="269"/>
      <c r="U387" s="269"/>
      <c r="V387" s="269"/>
      <c r="W387" s="269"/>
      <c r="X387" s="31"/>
    </row>
    <row r="388" spans="4:24" x14ac:dyDescent="0.25">
      <c r="D388" s="31"/>
      <c r="E388" s="31"/>
      <c r="F388" s="31"/>
      <c r="G388" s="31"/>
      <c r="H388" s="31"/>
      <c r="I388" s="31"/>
      <c r="J388" s="31"/>
      <c r="K388" s="31"/>
      <c r="L388" s="269"/>
      <c r="M388" s="269"/>
      <c r="N388" s="269"/>
      <c r="O388" s="282"/>
      <c r="P388" s="269"/>
      <c r="Q388" s="269"/>
      <c r="R388" s="269"/>
      <c r="S388" s="282"/>
      <c r="T388" s="269"/>
      <c r="U388" s="269"/>
      <c r="V388" s="269"/>
      <c r="W388" s="269"/>
      <c r="X388" s="31"/>
    </row>
    <row r="389" spans="4:24" x14ac:dyDescent="0.25">
      <c r="D389" s="31"/>
      <c r="E389" s="31"/>
      <c r="F389" s="31"/>
      <c r="G389" s="31"/>
      <c r="H389" s="31"/>
      <c r="I389" s="31"/>
      <c r="J389" s="31"/>
      <c r="K389" s="31"/>
      <c r="L389" s="269"/>
      <c r="M389" s="269"/>
      <c r="N389" s="269"/>
      <c r="O389" s="282"/>
      <c r="P389" s="269"/>
      <c r="Q389" s="269"/>
      <c r="R389" s="269"/>
      <c r="S389" s="282"/>
      <c r="T389" s="269"/>
      <c r="U389" s="269"/>
      <c r="V389" s="269"/>
      <c r="W389" s="269"/>
      <c r="X389" s="31"/>
    </row>
    <row r="390" spans="4:24" x14ac:dyDescent="0.25">
      <c r="D390" s="31"/>
      <c r="E390" s="31"/>
      <c r="F390" s="31"/>
      <c r="G390" s="31"/>
      <c r="H390" s="31"/>
      <c r="I390" s="31"/>
      <c r="J390" s="31"/>
      <c r="K390" s="31"/>
      <c r="L390" s="269"/>
      <c r="M390" s="269"/>
      <c r="N390" s="269"/>
      <c r="O390" s="282"/>
      <c r="P390" s="269"/>
      <c r="Q390" s="269"/>
      <c r="R390" s="269"/>
      <c r="S390" s="282"/>
      <c r="T390" s="269"/>
      <c r="U390" s="269"/>
      <c r="V390" s="269"/>
      <c r="W390" s="269"/>
      <c r="X390" s="31"/>
    </row>
    <row r="391" spans="4:24" x14ac:dyDescent="0.25">
      <c r="D391" s="31"/>
      <c r="E391" s="31"/>
      <c r="F391" s="31"/>
      <c r="G391" s="31"/>
      <c r="H391" s="31"/>
      <c r="I391" s="31"/>
      <c r="J391" s="31"/>
      <c r="K391" s="31"/>
      <c r="L391" s="269"/>
      <c r="M391" s="269"/>
      <c r="N391" s="269"/>
      <c r="O391" s="282"/>
      <c r="P391" s="269"/>
      <c r="Q391" s="269"/>
      <c r="R391" s="269"/>
      <c r="S391" s="282"/>
      <c r="T391" s="269"/>
      <c r="U391" s="269"/>
      <c r="V391" s="269"/>
      <c r="W391" s="269"/>
      <c r="X391" s="31"/>
    </row>
    <row r="392" spans="4:24" x14ac:dyDescent="0.25">
      <c r="D392" s="31"/>
      <c r="E392" s="31"/>
      <c r="F392" s="31"/>
      <c r="G392" s="31"/>
      <c r="H392" s="31"/>
      <c r="I392" s="31"/>
      <c r="J392" s="31"/>
      <c r="K392" s="31"/>
      <c r="L392" s="269"/>
      <c r="M392" s="269"/>
      <c r="N392" s="269"/>
      <c r="O392" s="282"/>
      <c r="P392" s="269"/>
      <c r="Q392" s="269"/>
      <c r="R392" s="269"/>
      <c r="S392" s="282"/>
      <c r="T392" s="269"/>
      <c r="U392" s="269"/>
      <c r="V392" s="269"/>
      <c r="W392" s="269"/>
      <c r="X392" s="31"/>
    </row>
    <row r="393" spans="4:24" x14ac:dyDescent="0.25">
      <c r="D393" s="31"/>
      <c r="E393" s="31"/>
      <c r="F393" s="31"/>
      <c r="G393" s="31"/>
      <c r="H393" s="31"/>
      <c r="I393" s="31"/>
      <c r="J393" s="31"/>
      <c r="K393" s="31"/>
      <c r="L393" s="269"/>
      <c r="M393" s="269"/>
      <c r="N393" s="269"/>
      <c r="O393" s="282"/>
      <c r="P393" s="269"/>
      <c r="Q393" s="269"/>
      <c r="R393" s="269"/>
      <c r="S393" s="282"/>
      <c r="T393" s="269"/>
      <c r="U393" s="269"/>
      <c r="V393" s="269"/>
      <c r="W393" s="269"/>
      <c r="X393" s="31"/>
    </row>
    <row r="394" spans="4:24" x14ac:dyDescent="0.25">
      <c r="D394" s="31"/>
      <c r="E394" s="31"/>
      <c r="F394" s="31"/>
      <c r="G394" s="31"/>
      <c r="H394" s="31"/>
      <c r="I394" s="31"/>
      <c r="J394" s="31"/>
      <c r="K394" s="31"/>
      <c r="L394" s="269"/>
      <c r="M394" s="269"/>
      <c r="N394" s="269"/>
      <c r="O394" s="282"/>
      <c r="P394" s="269"/>
      <c r="Q394" s="269"/>
      <c r="R394" s="269"/>
      <c r="S394" s="282"/>
      <c r="T394" s="269"/>
      <c r="U394" s="269"/>
      <c r="V394" s="269"/>
      <c r="W394" s="269"/>
      <c r="X394" s="31"/>
    </row>
    <row r="395" spans="4:24" x14ac:dyDescent="0.25">
      <c r="D395" s="31"/>
      <c r="E395" s="31"/>
      <c r="F395" s="31"/>
      <c r="G395" s="31"/>
      <c r="H395" s="31"/>
      <c r="I395" s="31"/>
      <c r="J395" s="31"/>
      <c r="K395" s="31"/>
      <c r="L395" s="269"/>
      <c r="M395" s="269"/>
      <c r="N395" s="269"/>
      <c r="O395" s="282"/>
      <c r="P395" s="269"/>
      <c r="Q395" s="269"/>
      <c r="R395" s="269"/>
      <c r="S395" s="282"/>
      <c r="T395" s="269"/>
      <c r="U395" s="269"/>
      <c r="V395" s="269"/>
      <c r="W395" s="269"/>
      <c r="X395" s="31"/>
    </row>
    <row r="396" spans="4:24" x14ac:dyDescent="0.25">
      <c r="D396" s="31"/>
      <c r="E396" s="31"/>
      <c r="F396" s="31"/>
      <c r="G396" s="31"/>
      <c r="H396" s="31"/>
      <c r="I396" s="31"/>
      <c r="J396" s="31"/>
      <c r="K396" s="31"/>
      <c r="L396" s="269"/>
      <c r="M396" s="269"/>
      <c r="N396" s="269"/>
      <c r="O396" s="282"/>
      <c r="P396" s="269"/>
      <c r="Q396" s="269"/>
      <c r="R396" s="269"/>
      <c r="S396" s="282"/>
      <c r="T396" s="269"/>
      <c r="U396" s="269"/>
      <c r="V396" s="269"/>
      <c r="W396" s="269"/>
      <c r="X396" s="31"/>
    </row>
    <row r="397" spans="4:24" x14ac:dyDescent="0.25">
      <c r="D397" s="31"/>
      <c r="E397" s="31"/>
      <c r="F397" s="31"/>
      <c r="G397" s="31"/>
      <c r="H397" s="31"/>
      <c r="I397" s="31"/>
      <c r="J397" s="31"/>
      <c r="K397" s="31"/>
      <c r="L397" s="269"/>
      <c r="M397" s="269"/>
      <c r="N397" s="269"/>
      <c r="O397" s="282"/>
      <c r="P397" s="269"/>
      <c r="Q397" s="269"/>
      <c r="R397" s="269"/>
      <c r="S397" s="282"/>
      <c r="T397" s="269"/>
      <c r="U397" s="269"/>
      <c r="V397" s="269"/>
      <c r="W397" s="269"/>
      <c r="X397" s="31"/>
    </row>
    <row r="398" spans="4:24" x14ac:dyDescent="0.25">
      <c r="D398" s="31"/>
      <c r="E398" s="31"/>
      <c r="F398" s="31"/>
      <c r="G398" s="31"/>
      <c r="H398" s="31"/>
      <c r="I398" s="31"/>
      <c r="J398" s="31"/>
      <c r="K398" s="31"/>
      <c r="L398" s="269"/>
      <c r="M398" s="269"/>
      <c r="N398" s="269"/>
      <c r="O398" s="282"/>
      <c r="P398" s="269"/>
      <c r="Q398" s="269"/>
      <c r="R398" s="269"/>
      <c r="S398" s="282"/>
      <c r="T398" s="269"/>
      <c r="U398" s="269"/>
      <c r="V398" s="269"/>
      <c r="W398" s="269"/>
      <c r="X398" s="31"/>
    </row>
    <row r="399" spans="4:24" x14ac:dyDescent="0.25">
      <c r="D399" s="31"/>
      <c r="E399" s="31"/>
      <c r="F399" s="31"/>
      <c r="G399" s="31"/>
      <c r="H399" s="31"/>
      <c r="I399" s="31"/>
      <c r="J399" s="31"/>
      <c r="K399" s="31"/>
      <c r="L399" s="269"/>
      <c r="M399" s="269"/>
      <c r="N399" s="269"/>
      <c r="O399" s="282"/>
      <c r="P399" s="269"/>
      <c r="Q399" s="269"/>
      <c r="R399" s="269"/>
      <c r="S399" s="282"/>
      <c r="T399" s="269"/>
      <c r="U399" s="269"/>
      <c r="V399" s="269"/>
      <c r="W399" s="269"/>
      <c r="X399" s="31"/>
    </row>
    <row r="400" spans="4:24" x14ac:dyDescent="0.25">
      <c r="D400" s="31"/>
      <c r="E400" s="31"/>
      <c r="F400" s="31"/>
      <c r="G400" s="31"/>
      <c r="H400" s="31"/>
      <c r="I400" s="31"/>
      <c r="J400" s="31"/>
      <c r="K400" s="31"/>
      <c r="L400" s="269"/>
      <c r="M400" s="269"/>
      <c r="N400" s="269"/>
      <c r="O400" s="282"/>
      <c r="P400" s="269"/>
      <c r="Q400" s="269"/>
      <c r="R400" s="269"/>
      <c r="S400" s="282"/>
      <c r="T400" s="269"/>
      <c r="U400" s="269"/>
      <c r="V400" s="269"/>
      <c r="W400" s="269"/>
      <c r="X400" s="31"/>
    </row>
    <row r="401" spans="4:24" x14ac:dyDescent="0.25">
      <c r="D401" s="31"/>
      <c r="E401" s="31"/>
      <c r="F401" s="31"/>
      <c r="G401" s="31"/>
      <c r="H401" s="31"/>
      <c r="I401" s="31"/>
      <c r="J401" s="31"/>
      <c r="K401" s="31"/>
      <c r="L401" s="269"/>
      <c r="M401" s="269"/>
      <c r="N401" s="269"/>
      <c r="O401" s="282"/>
      <c r="P401" s="269"/>
      <c r="Q401" s="269"/>
      <c r="R401" s="269"/>
      <c r="S401" s="282"/>
      <c r="T401" s="269"/>
      <c r="U401" s="269"/>
      <c r="V401" s="269"/>
      <c r="W401" s="269"/>
      <c r="X401" s="31"/>
    </row>
    <row r="402" spans="4:24" x14ac:dyDescent="0.25">
      <c r="D402" s="31"/>
      <c r="E402" s="31"/>
      <c r="F402" s="31"/>
      <c r="G402" s="31"/>
      <c r="H402" s="31"/>
      <c r="I402" s="31"/>
      <c r="J402" s="31"/>
      <c r="K402" s="31"/>
      <c r="L402" s="269"/>
      <c r="M402" s="269"/>
      <c r="N402" s="269"/>
      <c r="O402" s="282"/>
      <c r="P402" s="269"/>
      <c r="Q402" s="269"/>
      <c r="R402" s="269"/>
      <c r="S402" s="282"/>
      <c r="T402" s="269"/>
      <c r="U402" s="269"/>
      <c r="V402" s="269"/>
      <c r="W402" s="269"/>
      <c r="X402" s="31"/>
    </row>
    <row r="403" spans="4:24" x14ac:dyDescent="0.25">
      <c r="D403" s="31"/>
      <c r="E403" s="31"/>
      <c r="F403" s="31"/>
      <c r="G403" s="31"/>
      <c r="H403" s="31"/>
      <c r="I403" s="31"/>
      <c r="J403" s="31"/>
      <c r="K403" s="31"/>
      <c r="L403" s="269"/>
      <c r="M403" s="269"/>
      <c r="N403" s="269"/>
      <c r="O403" s="282"/>
      <c r="P403" s="269"/>
      <c r="Q403" s="269"/>
      <c r="R403" s="269"/>
      <c r="S403" s="282"/>
      <c r="T403" s="269"/>
      <c r="U403" s="269"/>
      <c r="V403" s="269"/>
      <c r="W403" s="269"/>
      <c r="X403" s="31"/>
    </row>
    <row r="404" spans="4:24" x14ac:dyDescent="0.25">
      <c r="D404" s="31"/>
      <c r="E404" s="31"/>
      <c r="F404" s="31"/>
      <c r="G404" s="31"/>
      <c r="H404" s="31"/>
      <c r="I404" s="31"/>
      <c r="J404" s="31"/>
      <c r="K404" s="31"/>
      <c r="L404" s="269"/>
      <c r="M404" s="269"/>
      <c r="N404" s="269"/>
      <c r="O404" s="282"/>
      <c r="P404" s="269"/>
      <c r="Q404" s="269"/>
      <c r="R404" s="269"/>
      <c r="S404" s="282"/>
      <c r="T404" s="269"/>
      <c r="U404" s="269"/>
      <c r="V404" s="269"/>
      <c r="W404" s="269"/>
      <c r="X404" s="31"/>
    </row>
    <row r="405" spans="4:24" x14ac:dyDescent="0.25">
      <c r="D405" s="31"/>
      <c r="E405" s="31"/>
      <c r="F405" s="31"/>
      <c r="G405" s="31"/>
      <c r="H405" s="31"/>
      <c r="I405" s="31"/>
      <c r="J405" s="31"/>
      <c r="K405" s="31"/>
      <c r="L405" s="269"/>
      <c r="M405" s="269"/>
      <c r="N405" s="269"/>
      <c r="O405" s="282"/>
      <c r="P405" s="269"/>
      <c r="Q405" s="269"/>
      <c r="R405" s="269"/>
      <c r="S405" s="282"/>
      <c r="T405" s="269"/>
      <c r="U405" s="269"/>
      <c r="V405" s="269"/>
      <c r="W405" s="269"/>
      <c r="X405" s="31"/>
    </row>
    <row r="406" spans="4:24" x14ac:dyDescent="0.25">
      <c r="D406" s="31"/>
      <c r="E406" s="31"/>
      <c r="F406" s="31"/>
      <c r="G406" s="31"/>
      <c r="H406" s="31"/>
      <c r="I406" s="31"/>
      <c r="J406" s="31"/>
      <c r="K406" s="31"/>
      <c r="L406" s="269"/>
      <c r="M406" s="269"/>
      <c r="N406" s="269"/>
      <c r="O406" s="282"/>
      <c r="P406" s="269"/>
      <c r="Q406" s="269"/>
      <c r="R406" s="269"/>
      <c r="S406" s="282"/>
      <c r="T406" s="269"/>
      <c r="U406" s="269"/>
      <c r="V406" s="269"/>
      <c r="W406" s="269"/>
      <c r="X406" s="31"/>
    </row>
    <row r="407" spans="4:24" x14ac:dyDescent="0.25">
      <c r="D407" s="31"/>
      <c r="E407" s="31"/>
      <c r="F407" s="31"/>
      <c r="G407" s="31"/>
      <c r="H407" s="31"/>
      <c r="I407" s="31"/>
      <c r="J407" s="31"/>
      <c r="K407" s="31"/>
      <c r="L407" s="269"/>
      <c r="M407" s="269"/>
      <c r="N407" s="269"/>
      <c r="O407" s="282"/>
      <c r="P407" s="269"/>
      <c r="Q407" s="269"/>
      <c r="R407" s="269"/>
      <c r="S407" s="282"/>
      <c r="T407" s="269"/>
      <c r="U407" s="269"/>
      <c r="V407" s="269"/>
      <c r="W407" s="269"/>
      <c r="X407" s="31"/>
    </row>
    <row r="408" spans="4:24" x14ac:dyDescent="0.25">
      <c r="D408" s="31"/>
      <c r="E408" s="31"/>
      <c r="F408" s="31"/>
      <c r="G408" s="31"/>
      <c r="H408" s="31"/>
      <c r="I408" s="31"/>
      <c r="J408" s="31"/>
      <c r="K408" s="31"/>
      <c r="L408" s="269"/>
      <c r="M408" s="269"/>
      <c r="N408" s="269"/>
      <c r="O408" s="282"/>
      <c r="P408" s="269"/>
      <c r="Q408" s="269"/>
      <c r="R408" s="269"/>
      <c r="S408" s="282"/>
      <c r="T408" s="269"/>
      <c r="U408" s="269"/>
      <c r="V408" s="269"/>
      <c r="W408" s="269"/>
      <c r="X408" s="31"/>
    </row>
    <row r="409" spans="4:24" x14ac:dyDescent="0.25">
      <c r="D409" s="31"/>
      <c r="E409" s="31"/>
      <c r="F409" s="31"/>
      <c r="G409" s="31"/>
      <c r="H409" s="31"/>
      <c r="I409" s="31"/>
      <c r="J409" s="31"/>
      <c r="K409" s="31"/>
      <c r="L409" s="269"/>
      <c r="M409" s="269"/>
      <c r="N409" s="269"/>
      <c r="O409" s="282"/>
      <c r="P409" s="269"/>
      <c r="Q409" s="269"/>
      <c r="R409" s="269"/>
      <c r="S409" s="282"/>
      <c r="T409" s="269"/>
      <c r="U409" s="269"/>
      <c r="V409" s="269"/>
      <c r="W409" s="269"/>
      <c r="X409" s="31"/>
    </row>
    <row r="410" spans="4:24" x14ac:dyDescent="0.25">
      <c r="D410" s="31"/>
      <c r="E410" s="31"/>
      <c r="F410" s="31"/>
      <c r="G410" s="31"/>
      <c r="H410" s="31"/>
      <c r="I410" s="31"/>
      <c r="J410" s="31"/>
      <c r="K410" s="31"/>
      <c r="L410" s="269"/>
      <c r="M410" s="269"/>
      <c r="N410" s="269"/>
      <c r="O410" s="282"/>
      <c r="P410" s="269"/>
      <c r="Q410" s="269"/>
      <c r="R410" s="269"/>
      <c r="S410" s="282"/>
      <c r="T410" s="269"/>
      <c r="U410" s="269"/>
      <c r="V410" s="269"/>
      <c r="W410" s="269"/>
      <c r="X410" s="31"/>
    </row>
    <row r="411" spans="4:24" x14ac:dyDescent="0.25">
      <c r="D411" s="31"/>
      <c r="E411" s="31"/>
      <c r="F411" s="31"/>
      <c r="G411" s="31"/>
      <c r="H411" s="31"/>
      <c r="I411" s="31"/>
      <c r="J411" s="31"/>
      <c r="K411" s="31"/>
      <c r="L411" s="269"/>
      <c r="M411" s="269"/>
      <c r="N411" s="269"/>
      <c r="O411" s="282"/>
      <c r="P411" s="269"/>
      <c r="Q411" s="269"/>
      <c r="R411" s="269"/>
      <c r="S411" s="282"/>
      <c r="T411" s="269"/>
      <c r="U411" s="269"/>
      <c r="V411" s="269"/>
      <c r="W411" s="269"/>
      <c r="X411" s="31"/>
    </row>
    <row r="412" spans="4:24" x14ac:dyDescent="0.25">
      <c r="D412" s="31"/>
      <c r="E412" s="31"/>
      <c r="F412" s="31"/>
      <c r="G412" s="31"/>
      <c r="H412" s="31"/>
      <c r="I412" s="31"/>
      <c r="J412" s="31"/>
      <c r="K412" s="31"/>
      <c r="L412" s="269"/>
      <c r="M412" s="269"/>
      <c r="N412" s="269"/>
      <c r="O412" s="282"/>
      <c r="P412" s="269"/>
      <c r="Q412" s="269"/>
      <c r="R412" s="269"/>
      <c r="S412" s="282"/>
      <c r="T412" s="269"/>
      <c r="U412" s="269"/>
      <c r="V412" s="269"/>
      <c r="W412" s="269"/>
      <c r="X412" s="31"/>
    </row>
    <row r="413" spans="4:24" x14ac:dyDescent="0.25">
      <c r="D413" s="31"/>
      <c r="E413" s="31"/>
      <c r="F413" s="31"/>
      <c r="G413" s="31"/>
      <c r="H413" s="31"/>
      <c r="I413" s="31"/>
      <c r="J413" s="31"/>
      <c r="K413" s="31"/>
      <c r="L413" s="269"/>
      <c r="M413" s="269"/>
      <c r="N413" s="269"/>
      <c r="O413" s="282"/>
      <c r="P413" s="269"/>
      <c r="Q413" s="269"/>
      <c r="R413" s="269"/>
      <c r="S413" s="282"/>
      <c r="T413" s="269"/>
      <c r="U413" s="269"/>
      <c r="V413" s="269"/>
      <c r="W413" s="269"/>
      <c r="X413" s="31"/>
    </row>
    <row r="414" spans="4:24" x14ac:dyDescent="0.25">
      <c r="D414" s="31"/>
      <c r="E414" s="31"/>
      <c r="F414" s="31"/>
      <c r="G414" s="31"/>
      <c r="H414" s="31"/>
      <c r="I414" s="31"/>
      <c r="J414" s="31"/>
      <c r="K414" s="31"/>
      <c r="L414" s="269"/>
      <c r="M414" s="269"/>
      <c r="N414" s="269"/>
      <c r="O414" s="282"/>
      <c r="P414" s="269"/>
      <c r="Q414" s="269"/>
      <c r="R414" s="269"/>
      <c r="S414" s="282"/>
      <c r="T414" s="269"/>
      <c r="U414" s="269"/>
      <c r="V414" s="269"/>
      <c r="W414" s="269"/>
      <c r="X414" s="31"/>
    </row>
    <row r="415" spans="4:24" x14ac:dyDescent="0.25">
      <c r="D415" s="31"/>
      <c r="E415" s="31"/>
      <c r="F415" s="31"/>
      <c r="G415" s="31"/>
      <c r="H415" s="31"/>
      <c r="I415" s="31"/>
      <c r="J415" s="31"/>
      <c r="K415" s="31"/>
      <c r="L415" s="269"/>
      <c r="M415" s="269"/>
      <c r="N415" s="269"/>
      <c r="O415" s="282"/>
      <c r="P415" s="269"/>
      <c r="Q415" s="269"/>
      <c r="R415" s="269"/>
      <c r="S415" s="282"/>
      <c r="T415" s="269"/>
      <c r="U415" s="269"/>
      <c r="V415" s="269"/>
      <c r="W415" s="269"/>
      <c r="X415" s="31"/>
    </row>
    <row r="416" spans="4:24" x14ac:dyDescent="0.25">
      <c r="D416" s="31"/>
      <c r="E416" s="31"/>
      <c r="F416" s="31"/>
      <c r="G416" s="31"/>
      <c r="H416" s="31"/>
      <c r="I416" s="31"/>
      <c r="J416" s="31"/>
      <c r="K416" s="31"/>
      <c r="L416" s="269"/>
      <c r="M416" s="269"/>
      <c r="N416" s="269"/>
      <c r="O416" s="282"/>
      <c r="P416" s="269"/>
      <c r="Q416" s="269"/>
      <c r="R416" s="269"/>
      <c r="S416" s="282"/>
      <c r="T416" s="269"/>
      <c r="U416" s="269"/>
      <c r="V416" s="269"/>
      <c r="W416" s="269"/>
      <c r="X416" s="31"/>
    </row>
    <row r="417" spans="4:24" x14ac:dyDescent="0.25">
      <c r="D417" s="31"/>
      <c r="E417" s="31"/>
      <c r="F417" s="31"/>
      <c r="G417" s="31"/>
      <c r="H417" s="31"/>
      <c r="I417" s="31"/>
      <c r="J417" s="31"/>
      <c r="K417" s="31"/>
      <c r="L417" s="269"/>
      <c r="M417" s="269"/>
      <c r="N417" s="269"/>
      <c r="O417" s="282"/>
      <c r="P417" s="269"/>
      <c r="Q417" s="269"/>
      <c r="R417" s="269"/>
      <c r="S417" s="282"/>
      <c r="T417" s="269"/>
      <c r="U417" s="269"/>
      <c r="V417" s="269"/>
      <c r="W417" s="269"/>
      <c r="X417" s="31"/>
    </row>
    <row r="418" spans="4:24" x14ac:dyDescent="0.25">
      <c r="D418" s="31"/>
      <c r="E418" s="31"/>
      <c r="F418" s="31"/>
      <c r="G418" s="31"/>
      <c r="H418" s="31"/>
      <c r="I418" s="31"/>
      <c r="J418" s="31"/>
      <c r="K418" s="31"/>
      <c r="L418" s="269"/>
      <c r="M418" s="269"/>
      <c r="N418" s="269"/>
      <c r="O418" s="282"/>
      <c r="P418" s="269"/>
      <c r="Q418" s="269"/>
      <c r="R418" s="269"/>
      <c r="S418" s="282"/>
      <c r="T418" s="269"/>
      <c r="U418" s="269"/>
      <c r="V418" s="269"/>
      <c r="W418" s="269"/>
      <c r="X418" s="31"/>
    </row>
    <row r="419" spans="4:24" x14ac:dyDescent="0.25">
      <c r="D419" s="31"/>
      <c r="E419" s="31"/>
      <c r="F419" s="31"/>
      <c r="G419" s="31"/>
      <c r="H419" s="31"/>
      <c r="I419" s="31"/>
      <c r="J419" s="31"/>
      <c r="K419" s="31"/>
      <c r="L419" s="269"/>
      <c r="M419" s="269"/>
      <c r="N419" s="269"/>
      <c r="O419" s="282"/>
      <c r="P419" s="269"/>
      <c r="Q419" s="269"/>
      <c r="R419" s="269"/>
      <c r="S419" s="282"/>
      <c r="T419" s="269"/>
      <c r="U419" s="269"/>
      <c r="V419" s="269"/>
      <c r="W419" s="269"/>
      <c r="X419" s="31"/>
    </row>
    <row r="420" spans="4:24" x14ac:dyDescent="0.25">
      <c r="D420" s="31"/>
      <c r="E420" s="31"/>
      <c r="F420" s="31"/>
      <c r="G420" s="31"/>
      <c r="H420" s="31"/>
      <c r="I420" s="31"/>
      <c r="J420" s="31"/>
      <c r="K420" s="31"/>
      <c r="L420" s="269"/>
      <c r="M420" s="269"/>
      <c r="N420" s="269"/>
      <c r="O420" s="282"/>
      <c r="P420" s="269"/>
      <c r="Q420" s="269"/>
      <c r="R420" s="269"/>
      <c r="S420" s="282"/>
      <c r="T420" s="269"/>
      <c r="U420" s="269"/>
      <c r="V420" s="269"/>
      <c r="W420" s="269"/>
      <c r="X420" s="31"/>
    </row>
    <row r="421" spans="4:24" x14ac:dyDescent="0.25">
      <c r="D421" s="31"/>
      <c r="E421" s="31"/>
      <c r="F421" s="31"/>
      <c r="G421" s="31"/>
      <c r="H421" s="31"/>
      <c r="I421" s="31"/>
      <c r="J421" s="31"/>
      <c r="K421" s="31"/>
      <c r="L421" s="269"/>
      <c r="M421" s="269"/>
      <c r="N421" s="269"/>
      <c r="O421" s="282"/>
      <c r="P421" s="269"/>
      <c r="Q421" s="269"/>
      <c r="R421" s="269"/>
      <c r="S421" s="282"/>
      <c r="T421" s="269"/>
      <c r="U421" s="269"/>
      <c r="V421" s="269"/>
      <c r="W421" s="269"/>
      <c r="X421" s="31"/>
    </row>
    <row r="422" spans="4:24" x14ac:dyDescent="0.25">
      <c r="D422" s="31"/>
      <c r="E422" s="31"/>
      <c r="F422" s="31"/>
      <c r="G422" s="31"/>
      <c r="H422" s="31"/>
      <c r="I422" s="31"/>
      <c r="J422" s="31"/>
      <c r="K422" s="31"/>
      <c r="L422" s="269"/>
      <c r="M422" s="269"/>
      <c r="N422" s="269"/>
      <c r="O422" s="282"/>
      <c r="P422" s="269"/>
      <c r="Q422" s="269"/>
      <c r="R422" s="269"/>
      <c r="S422" s="282"/>
      <c r="T422" s="269"/>
      <c r="U422" s="269"/>
      <c r="V422" s="269"/>
      <c r="W422" s="269"/>
      <c r="X422" s="31"/>
    </row>
    <row r="423" spans="4:24" x14ac:dyDescent="0.25">
      <c r="D423" s="31"/>
      <c r="E423" s="31"/>
      <c r="F423" s="31"/>
      <c r="G423" s="31"/>
      <c r="H423" s="31"/>
      <c r="I423" s="31"/>
      <c r="J423" s="31"/>
      <c r="K423" s="31"/>
      <c r="L423" s="269"/>
      <c r="M423" s="269"/>
      <c r="N423" s="269"/>
      <c r="O423" s="282"/>
      <c r="P423" s="269"/>
      <c r="Q423" s="269"/>
      <c r="R423" s="269"/>
      <c r="S423" s="282"/>
      <c r="T423" s="269"/>
      <c r="U423" s="269"/>
      <c r="V423" s="269"/>
      <c r="W423" s="269"/>
      <c r="X423" s="31"/>
    </row>
    <row r="424" spans="4:24" x14ac:dyDescent="0.25">
      <c r="D424" s="31"/>
      <c r="E424" s="31"/>
      <c r="F424" s="31"/>
      <c r="G424" s="31"/>
      <c r="H424" s="31"/>
      <c r="I424" s="31"/>
      <c r="J424" s="31"/>
      <c r="K424" s="31"/>
      <c r="L424" s="269"/>
      <c r="M424" s="269"/>
      <c r="N424" s="269"/>
      <c r="O424" s="282"/>
      <c r="P424" s="269"/>
      <c r="Q424" s="269"/>
      <c r="R424" s="269"/>
      <c r="S424" s="282"/>
      <c r="T424" s="269"/>
      <c r="U424" s="269"/>
      <c r="V424" s="269"/>
      <c r="W424" s="269"/>
      <c r="X424" s="31"/>
    </row>
    <row r="425" spans="4:24" x14ac:dyDescent="0.25">
      <c r="D425" s="31"/>
      <c r="E425" s="31"/>
      <c r="F425" s="31"/>
      <c r="G425" s="31"/>
      <c r="H425" s="31"/>
      <c r="I425" s="31"/>
      <c r="J425" s="31"/>
      <c r="K425" s="31"/>
      <c r="L425" s="269"/>
      <c r="M425" s="269"/>
      <c r="N425" s="269"/>
      <c r="O425" s="282"/>
      <c r="P425" s="269"/>
      <c r="Q425" s="269"/>
      <c r="R425" s="269"/>
      <c r="S425" s="282"/>
      <c r="T425" s="269"/>
      <c r="U425" s="269"/>
      <c r="V425" s="269"/>
      <c r="W425" s="269"/>
      <c r="X425" s="31"/>
    </row>
    <row r="426" spans="4:24" x14ac:dyDescent="0.25">
      <c r="D426" s="31"/>
      <c r="E426" s="31"/>
      <c r="F426" s="31"/>
      <c r="G426" s="31"/>
      <c r="H426" s="31"/>
      <c r="I426" s="31"/>
      <c r="J426" s="31"/>
      <c r="K426" s="31"/>
      <c r="L426" s="269"/>
      <c r="M426" s="269"/>
      <c r="N426" s="269"/>
      <c r="O426" s="282"/>
      <c r="P426" s="269"/>
      <c r="Q426" s="269"/>
      <c r="R426" s="269"/>
      <c r="S426" s="282"/>
      <c r="T426" s="269"/>
      <c r="U426" s="269"/>
      <c r="V426" s="269"/>
      <c r="W426" s="269"/>
      <c r="X426" s="31"/>
    </row>
    <row r="427" spans="4:24" x14ac:dyDescent="0.25">
      <c r="D427" s="31"/>
      <c r="E427" s="31"/>
      <c r="F427" s="31"/>
      <c r="G427" s="31"/>
      <c r="H427" s="31"/>
      <c r="I427" s="31"/>
      <c r="J427" s="31"/>
      <c r="K427" s="31"/>
      <c r="L427" s="269"/>
      <c r="M427" s="269"/>
      <c r="N427" s="269"/>
      <c r="O427" s="282"/>
      <c r="P427" s="269"/>
      <c r="Q427" s="269"/>
      <c r="R427" s="269"/>
      <c r="S427" s="282"/>
      <c r="T427" s="269"/>
      <c r="U427" s="269"/>
      <c r="V427" s="269"/>
      <c r="W427" s="269"/>
      <c r="X427" s="31"/>
    </row>
    <row r="428" spans="4:24" x14ac:dyDescent="0.25">
      <c r="D428" s="31"/>
      <c r="E428" s="31"/>
      <c r="F428" s="31"/>
      <c r="G428" s="31"/>
      <c r="H428" s="31"/>
      <c r="I428" s="31"/>
      <c r="J428" s="31"/>
      <c r="K428" s="31"/>
      <c r="L428" s="269"/>
      <c r="M428" s="269"/>
      <c r="N428" s="269"/>
      <c r="O428" s="282"/>
      <c r="P428" s="269"/>
      <c r="Q428" s="269"/>
      <c r="R428" s="269"/>
      <c r="S428" s="282"/>
      <c r="T428" s="269"/>
      <c r="U428" s="269"/>
      <c r="V428" s="269"/>
      <c r="W428" s="269"/>
      <c r="X428" s="31"/>
    </row>
    <row r="429" spans="4:24" x14ac:dyDescent="0.25">
      <c r="D429" s="31"/>
      <c r="E429" s="31"/>
      <c r="F429" s="31"/>
      <c r="G429" s="31"/>
      <c r="H429" s="31"/>
      <c r="I429" s="31"/>
      <c r="J429" s="31"/>
      <c r="K429" s="31"/>
      <c r="L429" s="269"/>
      <c r="M429" s="269"/>
      <c r="N429" s="269"/>
      <c r="O429" s="282"/>
      <c r="P429" s="269"/>
      <c r="Q429" s="269"/>
      <c r="R429" s="269"/>
      <c r="S429" s="282"/>
      <c r="T429" s="269"/>
      <c r="U429" s="269"/>
      <c r="V429" s="269"/>
      <c r="W429" s="269"/>
      <c r="X429" s="31"/>
    </row>
    <row r="430" spans="4:24" x14ac:dyDescent="0.25">
      <c r="D430" s="31"/>
      <c r="E430" s="31"/>
      <c r="F430" s="31"/>
      <c r="G430" s="31"/>
      <c r="H430" s="31"/>
      <c r="I430" s="31"/>
      <c r="J430" s="31"/>
      <c r="K430" s="31"/>
      <c r="L430" s="269"/>
      <c r="M430" s="269"/>
      <c r="N430" s="269"/>
      <c r="O430" s="282"/>
      <c r="P430" s="269"/>
      <c r="Q430" s="269"/>
      <c r="R430" s="269"/>
      <c r="S430" s="282"/>
      <c r="T430" s="269"/>
      <c r="U430" s="269"/>
      <c r="V430" s="269"/>
      <c r="W430" s="269"/>
      <c r="X430" s="31"/>
    </row>
    <row r="431" spans="4:24" x14ac:dyDescent="0.25">
      <c r="D431" s="31"/>
      <c r="E431" s="31"/>
      <c r="F431" s="31"/>
      <c r="G431" s="31"/>
      <c r="H431" s="31"/>
      <c r="I431" s="31"/>
      <c r="J431" s="31"/>
      <c r="K431" s="31"/>
      <c r="L431" s="269"/>
      <c r="M431" s="269"/>
      <c r="N431" s="269"/>
      <c r="O431" s="282"/>
      <c r="P431" s="269"/>
      <c r="Q431" s="269"/>
      <c r="R431" s="269"/>
      <c r="S431" s="282"/>
      <c r="T431" s="269"/>
      <c r="U431" s="269"/>
      <c r="V431" s="269"/>
      <c r="W431" s="269"/>
      <c r="X431" s="31"/>
    </row>
    <row r="432" spans="4:24" x14ac:dyDescent="0.25">
      <c r="D432" s="31"/>
      <c r="E432" s="31"/>
      <c r="F432" s="31"/>
      <c r="G432" s="31"/>
      <c r="H432" s="31"/>
      <c r="I432" s="31"/>
      <c r="J432" s="31"/>
      <c r="K432" s="31"/>
      <c r="L432" s="269"/>
      <c r="M432" s="269"/>
      <c r="N432" s="269"/>
      <c r="O432" s="282"/>
      <c r="P432" s="269"/>
      <c r="Q432" s="269"/>
      <c r="R432" s="269"/>
      <c r="S432" s="282"/>
      <c r="T432" s="269"/>
      <c r="U432" s="269"/>
      <c r="V432" s="269"/>
      <c r="W432" s="269"/>
      <c r="X432" s="31"/>
    </row>
    <row r="433" spans="4:24" x14ac:dyDescent="0.25">
      <c r="D433" s="31"/>
      <c r="E433" s="31"/>
      <c r="F433" s="31"/>
      <c r="G433" s="31"/>
      <c r="H433" s="31"/>
      <c r="I433" s="31"/>
      <c r="J433" s="31"/>
      <c r="K433" s="31"/>
      <c r="L433" s="269"/>
      <c r="M433" s="269"/>
      <c r="N433" s="269"/>
      <c r="O433" s="282"/>
      <c r="P433" s="269"/>
      <c r="Q433" s="269"/>
      <c r="R433" s="269"/>
      <c r="S433" s="282"/>
      <c r="T433" s="269"/>
      <c r="U433" s="269"/>
      <c r="V433" s="269"/>
      <c r="W433" s="269"/>
      <c r="X433" s="31"/>
    </row>
    <row r="434" spans="4:24" x14ac:dyDescent="0.25">
      <c r="D434" s="31"/>
      <c r="E434" s="31"/>
      <c r="F434" s="31"/>
      <c r="G434" s="31"/>
      <c r="H434" s="31"/>
      <c r="I434" s="31"/>
      <c r="J434" s="31"/>
      <c r="K434" s="31"/>
      <c r="L434" s="269"/>
      <c r="M434" s="269"/>
      <c r="N434" s="269"/>
      <c r="O434" s="282"/>
      <c r="P434" s="269"/>
      <c r="Q434" s="269"/>
      <c r="R434" s="269"/>
      <c r="S434" s="282"/>
      <c r="T434" s="269"/>
      <c r="U434" s="269"/>
      <c r="V434" s="269"/>
      <c r="W434" s="269"/>
      <c r="X434" s="31"/>
    </row>
    <row r="435" spans="4:24" x14ac:dyDescent="0.25">
      <c r="D435" s="31"/>
      <c r="E435" s="31"/>
      <c r="F435" s="31"/>
      <c r="G435" s="31"/>
      <c r="H435" s="31"/>
      <c r="I435" s="31"/>
      <c r="J435" s="31"/>
      <c r="K435" s="31"/>
      <c r="L435" s="269"/>
      <c r="M435" s="269"/>
      <c r="N435" s="269"/>
      <c r="O435" s="282"/>
      <c r="P435" s="269"/>
      <c r="Q435" s="269"/>
      <c r="R435" s="269"/>
      <c r="S435" s="282"/>
      <c r="T435" s="269"/>
      <c r="U435" s="269"/>
      <c r="V435" s="269"/>
      <c r="W435" s="269"/>
      <c r="X435" s="31"/>
    </row>
    <row r="436" spans="4:24" x14ac:dyDescent="0.25">
      <c r="D436" s="31"/>
      <c r="E436" s="31"/>
      <c r="F436" s="31"/>
      <c r="G436" s="31"/>
      <c r="H436" s="31"/>
      <c r="I436" s="31"/>
      <c r="J436" s="31"/>
      <c r="K436" s="31"/>
      <c r="L436" s="269"/>
      <c r="M436" s="269"/>
      <c r="N436" s="269"/>
      <c r="O436" s="282"/>
      <c r="P436" s="269"/>
      <c r="Q436" s="269"/>
      <c r="R436" s="269"/>
      <c r="S436" s="282"/>
      <c r="T436" s="269"/>
      <c r="U436" s="269"/>
      <c r="V436" s="269"/>
      <c r="W436" s="269"/>
      <c r="X436" s="31"/>
    </row>
    <row r="437" spans="4:24" x14ac:dyDescent="0.25">
      <c r="D437" s="31"/>
      <c r="E437" s="31"/>
      <c r="F437" s="31"/>
      <c r="G437" s="31"/>
      <c r="H437" s="31"/>
      <c r="I437" s="31"/>
      <c r="J437" s="31"/>
      <c r="K437" s="31"/>
      <c r="L437" s="269"/>
      <c r="M437" s="269"/>
      <c r="N437" s="269"/>
      <c r="O437" s="282"/>
      <c r="P437" s="269"/>
      <c r="Q437" s="269"/>
      <c r="R437" s="269"/>
      <c r="S437" s="282"/>
      <c r="T437" s="269"/>
      <c r="U437" s="269"/>
      <c r="V437" s="269"/>
      <c r="W437" s="269"/>
      <c r="X437" s="31"/>
    </row>
    <row r="438" spans="4:24" x14ac:dyDescent="0.25">
      <c r="D438" s="31"/>
      <c r="E438" s="31"/>
      <c r="F438" s="31"/>
      <c r="G438" s="31"/>
      <c r="H438" s="31"/>
      <c r="I438" s="31"/>
      <c r="J438" s="31"/>
      <c r="K438" s="31"/>
      <c r="L438" s="269"/>
      <c r="M438" s="269"/>
      <c r="N438" s="269"/>
      <c r="O438" s="282"/>
      <c r="P438" s="269"/>
      <c r="Q438" s="269"/>
      <c r="R438" s="269"/>
      <c r="S438" s="282"/>
      <c r="T438" s="269"/>
      <c r="U438" s="269"/>
      <c r="V438" s="269"/>
      <c r="W438" s="269"/>
      <c r="X438" s="31"/>
    </row>
    <row r="439" spans="4:24" x14ac:dyDescent="0.25">
      <c r="D439" s="31"/>
      <c r="E439" s="31"/>
      <c r="F439" s="31"/>
      <c r="G439" s="31"/>
      <c r="H439" s="31"/>
      <c r="I439" s="31"/>
      <c r="J439" s="31"/>
      <c r="K439" s="31"/>
      <c r="L439" s="269"/>
      <c r="M439" s="269"/>
      <c r="N439" s="269"/>
      <c r="O439" s="282"/>
      <c r="P439" s="269"/>
      <c r="Q439" s="269"/>
      <c r="R439" s="269"/>
      <c r="S439" s="282"/>
      <c r="T439" s="269"/>
      <c r="U439" s="269"/>
      <c r="V439" s="269"/>
      <c r="W439" s="269"/>
      <c r="X439" s="31"/>
    </row>
    <row r="440" spans="4:24" x14ac:dyDescent="0.25">
      <c r="D440" s="31"/>
      <c r="E440" s="31"/>
      <c r="F440" s="31"/>
      <c r="G440" s="31"/>
      <c r="H440" s="31"/>
      <c r="I440" s="31"/>
      <c r="J440" s="31"/>
      <c r="K440" s="31"/>
      <c r="L440" s="269"/>
      <c r="M440" s="269"/>
      <c r="N440" s="269"/>
      <c r="O440" s="282"/>
      <c r="P440" s="269"/>
      <c r="Q440" s="269"/>
      <c r="R440" s="269"/>
      <c r="S440" s="282"/>
      <c r="T440" s="269"/>
      <c r="U440" s="269"/>
      <c r="V440" s="269"/>
      <c r="W440" s="269"/>
      <c r="X440" s="31"/>
    </row>
    <row r="441" spans="4:24" x14ac:dyDescent="0.25">
      <c r="D441" s="31"/>
      <c r="E441" s="31"/>
      <c r="F441" s="31"/>
      <c r="G441" s="31"/>
      <c r="H441" s="31"/>
      <c r="I441" s="31"/>
      <c r="J441" s="31"/>
      <c r="K441" s="31"/>
      <c r="L441" s="269"/>
      <c r="M441" s="269"/>
      <c r="N441" s="269"/>
      <c r="O441" s="282"/>
      <c r="P441" s="269"/>
      <c r="Q441" s="269"/>
      <c r="R441" s="269"/>
      <c r="S441" s="282"/>
      <c r="T441" s="269"/>
      <c r="U441" s="269"/>
      <c r="V441" s="269"/>
      <c r="W441" s="269"/>
      <c r="X441" s="31"/>
    </row>
    <row r="442" spans="4:24" x14ac:dyDescent="0.25">
      <c r="D442" s="31"/>
      <c r="E442" s="31"/>
      <c r="F442" s="31"/>
      <c r="G442" s="31"/>
      <c r="H442" s="31"/>
      <c r="I442" s="31"/>
      <c r="J442" s="31"/>
      <c r="K442" s="31"/>
      <c r="L442" s="269"/>
      <c r="M442" s="269"/>
      <c r="N442" s="269"/>
      <c r="O442" s="282"/>
      <c r="P442" s="269"/>
      <c r="Q442" s="269"/>
      <c r="R442" s="269"/>
      <c r="S442" s="282"/>
      <c r="T442" s="269"/>
      <c r="U442" s="269"/>
      <c r="V442" s="269"/>
      <c r="W442" s="269"/>
      <c r="X442" s="31"/>
    </row>
    <row r="443" spans="4:24" x14ac:dyDescent="0.25">
      <c r="D443" s="31"/>
      <c r="E443" s="31"/>
      <c r="F443" s="31"/>
      <c r="G443" s="31"/>
      <c r="H443" s="31"/>
      <c r="I443" s="31"/>
      <c r="J443" s="31"/>
      <c r="K443" s="31"/>
      <c r="L443" s="269"/>
      <c r="M443" s="269"/>
      <c r="N443" s="269"/>
      <c r="O443" s="282"/>
      <c r="P443" s="269"/>
      <c r="Q443" s="269"/>
      <c r="R443" s="269"/>
      <c r="S443" s="282"/>
      <c r="T443" s="269"/>
      <c r="U443" s="269"/>
      <c r="V443" s="269"/>
      <c r="W443" s="269"/>
      <c r="X443" s="31"/>
    </row>
    <row r="444" spans="4:24" x14ac:dyDescent="0.25">
      <c r="D444" s="31"/>
      <c r="E444" s="31"/>
      <c r="F444" s="31"/>
      <c r="G444" s="31"/>
      <c r="H444" s="31"/>
      <c r="I444" s="31"/>
      <c r="J444" s="31"/>
      <c r="K444" s="31"/>
      <c r="L444" s="269"/>
      <c r="M444" s="269"/>
      <c r="N444" s="269"/>
      <c r="O444" s="282"/>
      <c r="P444" s="269"/>
      <c r="Q444" s="269"/>
      <c r="R444" s="269"/>
      <c r="S444" s="282"/>
      <c r="T444" s="269"/>
      <c r="U444" s="269"/>
      <c r="V444" s="269"/>
      <c r="W444" s="269"/>
      <c r="X444" s="31"/>
    </row>
    <row r="445" spans="4:24" x14ac:dyDescent="0.25">
      <c r="D445" s="31"/>
      <c r="E445" s="31"/>
      <c r="F445" s="31"/>
      <c r="G445" s="31"/>
      <c r="H445" s="31"/>
      <c r="I445" s="31"/>
      <c r="J445" s="31"/>
      <c r="K445" s="31"/>
      <c r="L445" s="269"/>
      <c r="M445" s="269"/>
      <c r="N445" s="269"/>
      <c r="O445" s="282"/>
      <c r="P445" s="269"/>
      <c r="Q445" s="269"/>
      <c r="R445" s="269"/>
      <c r="S445" s="282"/>
      <c r="T445" s="269"/>
      <c r="U445" s="269"/>
      <c r="V445" s="269"/>
      <c r="W445" s="269"/>
      <c r="X445" s="31"/>
    </row>
    <row r="446" spans="4:24" x14ac:dyDescent="0.25">
      <c r="D446" s="31"/>
      <c r="E446" s="31"/>
      <c r="F446" s="31"/>
      <c r="G446" s="31"/>
      <c r="H446" s="31"/>
      <c r="I446" s="31"/>
      <c r="J446" s="31"/>
      <c r="K446" s="31"/>
      <c r="L446" s="269"/>
      <c r="M446" s="269"/>
      <c r="N446" s="269"/>
      <c r="O446" s="282"/>
      <c r="P446" s="269"/>
      <c r="Q446" s="269"/>
      <c r="R446" s="269"/>
      <c r="S446" s="282"/>
      <c r="T446" s="269"/>
      <c r="U446" s="269"/>
      <c r="V446" s="269"/>
      <c r="W446" s="269"/>
      <c r="X446" s="31"/>
    </row>
    <row r="447" spans="4:24" x14ac:dyDescent="0.25">
      <c r="D447" s="31"/>
      <c r="E447" s="31"/>
      <c r="F447" s="31"/>
      <c r="G447" s="31"/>
      <c r="H447" s="31"/>
      <c r="I447" s="31"/>
      <c r="J447" s="31"/>
      <c r="K447" s="31"/>
      <c r="L447" s="269"/>
      <c r="M447" s="269"/>
      <c r="N447" s="269"/>
      <c r="O447" s="282"/>
      <c r="P447" s="269"/>
      <c r="Q447" s="269"/>
      <c r="R447" s="269"/>
      <c r="S447" s="282"/>
      <c r="T447" s="269"/>
      <c r="U447" s="269"/>
      <c r="V447" s="269"/>
      <c r="W447" s="269"/>
      <c r="X447" s="31"/>
    </row>
    <row r="448" spans="4:24" x14ac:dyDescent="0.25">
      <c r="D448" s="31"/>
      <c r="E448" s="31"/>
      <c r="F448" s="31"/>
      <c r="G448" s="31"/>
      <c r="H448" s="31"/>
      <c r="I448" s="31"/>
      <c r="J448" s="31"/>
      <c r="K448" s="31"/>
      <c r="L448" s="269"/>
      <c r="M448" s="269"/>
      <c r="N448" s="269"/>
      <c r="O448" s="282"/>
      <c r="P448" s="269"/>
      <c r="Q448" s="269"/>
      <c r="R448" s="269"/>
      <c r="S448" s="282"/>
      <c r="T448" s="269"/>
      <c r="U448" s="269"/>
      <c r="V448" s="269"/>
      <c r="W448" s="269"/>
      <c r="X448" s="31"/>
    </row>
    <row r="449" spans="4:24" x14ac:dyDescent="0.25">
      <c r="D449" s="31"/>
      <c r="E449" s="31"/>
      <c r="F449" s="31"/>
      <c r="G449" s="31"/>
      <c r="H449" s="31"/>
      <c r="I449" s="31"/>
      <c r="J449" s="31"/>
      <c r="K449" s="31"/>
      <c r="L449" s="269"/>
      <c r="M449" s="269"/>
      <c r="N449" s="269"/>
      <c r="O449" s="282"/>
      <c r="P449" s="269"/>
      <c r="Q449" s="269"/>
      <c r="R449" s="269"/>
      <c r="S449" s="282"/>
      <c r="T449" s="269"/>
      <c r="U449" s="269"/>
      <c r="V449" s="269"/>
      <c r="W449" s="269"/>
      <c r="X449" s="31"/>
    </row>
    <row r="450" spans="4:24" x14ac:dyDescent="0.25">
      <c r="D450" s="31"/>
      <c r="E450" s="31"/>
      <c r="F450" s="31"/>
      <c r="G450" s="31"/>
      <c r="H450" s="31"/>
      <c r="I450" s="31"/>
      <c r="J450" s="31"/>
      <c r="K450" s="31"/>
      <c r="L450" s="269"/>
      <c r="M450" s="269"/>
      <c r="N450" s="269"/>
      <c r="O450" s="282"/>
      <c r="P450" s="269"/>
      <c r="Q450" s="269"/>
      <c r="R450" s="269"/>
      <c r="S450" s="282"/>
      <c r="T450" s="269"/>
      <c r="U450" s="269"/>
      <c r="V450" s="269"/>
      <c r="W450" s="269"/>
      <c r="X450" s="31"/>
    </row>
    <row r="451" spans="4:24" x14ac:dyDescent="0.25">
      <c r="D451" s="31"/>
      <c r="E451" s="31"/>
      <c r="F451" s="31"/>
      <c r="G451" s="31"/>
      <c r="H451" s="31"/>
      <c r="I451" s="31"/>
      <c r="J451" s="31"/>
      <c r="K451" s="31"/>
      <c r="L451" s="269"/>
      <c r="M451" s="269"/>
      <c r="N451" s="269"/>
      <c r="O451" s="282"/>
      <c r="P451" s="269"/>
      <c r="Q451" s="269"/>
      <c r="R451" s="269"/>
      <c r="S451" s="282"/>
      <c r="T451" s="269"/>
      <c r="U451" s="269"/>
      <c r="V451" s="269"/>
      <c r="W451" s="269"/>
      <c r="X451" s="31"/>
    </row>
    <row r="452" spans="4:24" x14ac:dyDescent="0.25">
      <c r="D452" s="31"/>
      <c r="E452" s="31"/>
      <c r="F452" s="31"/>
      <c r="G452" s="31"/>
      <c r="H452" s="31"/>
      <c r="I452" s="31"/>
      <c r="J452" s="31"/>
      <c r="K452" s="31"/>
      <c r="L452" s="269"/>
      <c r="M452" s="269"/>
      <c r="N452" s="269"/>
      <c r="O452" s="282"/>
      <c r="P452" s="269"/>
      <c r="Q452" s="269"/>
      <c r="R452" s="269"/>
      <c r="S452" s="282"/>
      <c r="T452" s="269"/>
      <c r="U452" s="269"/>
      <c r="V452" s="269"/>
      <c r="W452" s="269"/>
      <c r="X452" s="31"/>
    </row>
    <row r="453" spans="4:24" x14ac:dyDescent="0.25">
      <c r="D453" s="31"/>
      <c r="E453" s="31"/>
      <c r="F453" s="31"/>
      <c r="G453" s="31"/>
      <c r="H453" s="31"/>
      <c r="I453" s="31"/>
      <c r="J453" s="31"/>
      <c r="K453" s="31"/>
      <c r="L453" s="269"/>
      <c r="M453" s="269"/>
      <c r="N453" s="269"/>
      <c r="O453" s="282"/>
      <c r="P453" s="269"/>
      <c r="Q453" s="269"/>
      <c r="R453" s="269"/>
      <c r="S453" s="282"/>
      <c r="T453" s="269"/>
      <c r="U453" s="269"/>
      <c r="V453" s="269"/>
      <c r="W453" s="269"/>
      <c r="X453" s="31"/>
    </row>
    <row r="454" spans="4:24" x14ac:dyDescent="0.25">
      <c r="D454" s="31"/>
      <c r="E454" s="31"/>
      <c r="F454" s="31"/>
      <c r="G454" s="31"/>
      <c r="H454" s="31"/>
      <c r="I454" s="31"/>
      <c r="J454" s="31"/>
      <c r="K454" s="31"/>
      <c r="L454" s="269"/>
      <c r="M454" s="269"/>
      <c r="N454" s="269"/>
      <c r="O454" s="282"/>
      <c r="P454" s="269"/>
      <c r="Q454" s="269"/>
      <c r="R454" s="269"/>
      <c r="S454" s="282"/>
      <c r="T454" s="269"/>
      <c r="U454" s="269"/>
      <c r="V454" s="269"/>
      <c r="W454" s="269"/>
      <c r="X454" s="31"/>
    </row>
    <row r="455" spans="4:24" x14ac:dyDescent="0.25">
      <c r="D455" s="31"/>
      <c r="E455" s="31"/>
      <c r="F455" s="31"/>
      <c r="G455" s="31"/>
      <c r="H455" s="31"/>
      <c r="I455" s="31"/>
      <c r="J455" s="31"/>
      <c r="K455" s="31"/>
      <c r="L455" s="269"/>
      <c r="M455" s="269"/>
      <c r="N455" s="269"/>
      <c r="O455" s="282"/>
      <c r="P455" s="269"/>
      <c r="Q455" s="269"/>
      <c r="R455" s="269"/>
      <c r="S455" s="282"/>
      <c r="T455" s="269"/>
      <c r="U455" s="269"/>
      <c r="V455" s="269"/>
      <c r="W455" s="269"/>
      <c r="X455" s="31"/>
    </row>
    <row r="456" spans="4:24" x14ac:dyDescent="0.25">
      <c r="D456" s="31"/>
      <c r="E456" s="31"/>
      <c r="F456" s="31"/>
      <c r="G456" s="31"/>
      <c r="H456" s="31"/>
      <c r="I456" s="31"/>
      <c r="J456" s="31"/>
      <c r="K456" s="31"/>
      <c r="L456" s="269"/>
      <c r="M456" s="269"/>
      <c r="N456" s="269"/>
      <c r="O456" s="282"/>
      <c r="P456" s="269"/>
      <c r="Q456" s="269"/>
      <c r="R456" s="269"/>
      <c r="S456" s="282"/>
      <c r="T456" s="269"/>
      <c r="U456" s="269"/>
      <c r="V456" s="269"/>
      <c r="W456" s="269"/>
      <c r="X456" s="31"/>
    </row>
    <row r="457" spans="4:24" x14ac:dyDescent="0.25">
      <c r="D457" s="31"/>
      <c r="E457" s="31"/>
      <c r="F457" s="31"/>
      <c r="G457" s="31"/>
      <c r="H457" s="31"/>
      <c r="I457" s="31"/>
      <c r="J457" s="31"/>
      <c r="K457" s="31"/>
      <c r="L457" s="269"/>
      <c r="M457" s="269"/>
      <c r="N457" s="269"/>
      <c r="O457" s="282"/>
      <c r="P457" s="269"/>
      <c r="Q457" s="269"/>
      <c r="R457" s="269"/>
      <c r="S457" s="282"/>
      <c r="T457" s="269"/>
      <c r="U457" s="269"/>
      <c r="V457" s="269"/>
      <c r="W457" s="269"/>
      <c r="X457" s="31"/>
    </row>
    <row r="458" spans="4:24" x14ac:dyDescent="0.25">
      <c r="D458" s="31"/>
      <c r="E458" s="31"/>
      <c r="F458" s="31"/>
      <c r="G458" s="31"/>
      <c r="H458" s="31"/>
      <c r="I458" s="31"/>
      <c r="J458" s="31"/>
      <c r="K458" s="31"/>
      <c r="L458" s="269"/>
      <c r="M458" s="269"/>
      <c r="N458" s="269"/>
      <c r="O458" s="282"/>
      <c r="P458" s="269"/>
      <c r="Q458" s="269"/>
      <c r="R458" s="269"/>
      <c r="S458" s="282"/>
      <c r="T458" s="269"/>
      <c r="U458" s="269"/>
      <c r="V458" s="269"/>
      <c r="W458" s="269"/>
      <c r="X458" s="31"/>
    </row>
    <row r="459" spans="4:24" x14ac:dyDescent="0.25">
      <c r="D459" s="31"/>
      <c r="E459" s="31"/>
      <c r="F459" s="31"/>
      <c r="G459" s="31"/>
      <c r="H459" s="31"/>
      <c r="I459" s="31"/>
      <c r="J459" s="31"/>
      <c r="K459" s="31"/>
      <c r="L459" s="269"/>
      <c r="M459" s="269"/>
      <c r="N459" s="269"/>
      <c r="O459" s="282"/>
      <c r="P459" s="269"/>
      <c r="Q459" s="269"/>
      <c r="R459" s="269"/>
      <c r="S459" s="282"/>
      <c r="T459" s="269"/>
      <c r="U459" s="269"/>
      <c r="V459" s="269"/>
      <c r="W459" s="269"/>
      <c r="X459" s="31"/>
    </row>
    <row r="460" spans="4:24" x14ac:dyDescent="0.25">
      <c r="D460" s="31"/>
      <c r="E460" s="31"/>
      <c r="F460" s="31"/>
      <c r="G460" s="31"/>
      <c r="H460" s="31"/>
      <c r="I460" s="31"/>
      <c r="J460" s="31"/>
      <c r="K460" s="31"/>
      <c r="L460" s="269"/>
      <c r="M460" s="269"/>
      <c r="N460" s="269"/>
      <c r="O460" s="282"/>
      <c r="P460" s="269"/>
      <c r="Q460" s="269"/>
      <c r="R460" s="269"/>
      <c r="S460" s="282"/>
      <c r="T460" s="269"/>
      <c r="U460" s="269"/>
      <c r="V460" s="269"/>
      <c r="W460" s="269"/>
      <c r="X460" s="31"/>
    </row>
    <row r="461" spans="4:24" x14ac:dyDescent="0.25">
      <c r="D461" s="31"/>
      <c r="E461" s="31"/>
      <c r="F461" s="31"/>
      <c r="G461" s="31"/>
      <c r="H461" s="31"/>
      <c r="I461" s="31"/>
      <c r="J461" s="31"/>
      <c r="K461" s="31"/>
      <c r="L461" s="269"/>
      <c r="M461" s="269"/>
      <c r="N461" s="269"/>
      <c r="O461" s="282"/>
      <c r="P461" s="269"/>
      <c r="Q461" s="269"/>
      <c r="R461" s="269"/>
      <c r="S461" s="282"/>
      <c r="T461" s="269"/>
      <c r="U461" s="269"/>
      <c r="V461" s="269"/>
      <c r="W461" s="269"/>
      <c r="X461" s="31"/>
    </row>
    <row r="462" spans="4:24" x14ac:dyDescent="0.25">
      <c r="D462" s="31"/>
      <c r="E462" s="31"/>
      <c r="F462" s="31"/>
      <c r="G462" s="31"/>
      <c r="H462" s="31"/>
      <c r="I462" s="31"/>
      <c r="J462" s="31"/>
      <c r="K462" s="31"/>
      <c r="L462" s="269"/>
      <c r="M462" s="269"/>
      <c r="N462" s="269"/>
      <c r="O462" s="282"/>
      <c r="P462" s="269"/>
      <c r="Q462" s="269"/>
      <c r="R462" s="269"/>
      <c r="S462" s="282"/>
      <c r="T462" s="269"/>
      <c r="U462" s="269"/>
      <c r="V462" s="269"/>
      <c r="W462" s="269"/>
      <c r="X462" s="31"/>
    </row>
    <row r="463" spans="4:24" x14ac:dyDescent="0.25">
      <c r="D463" s="31"/>
      <c r="E463" s="31"/>
      <c r="F463" s="31"/>
      <c r="G463" s="31"/>
      <c r="H463" s="31"/>
      <c r="I463" s="31"/>
      <c r="J463" s="31"/>
      <c r="K463" s="31"/>
      <c r="L463" s="269"/>
      <c r="M463" s="269"/>
      <c r="N463" s="269"/>
      <c r="O463" s="282"/>
      <c r="P463" s="269"/>
      <c r="Q463" s="269"/>
      <c r="R463" s="269"/>
      <c r="S463" s="282"/>
      <c r="T463" s="269"/>
      <c r="U463" s="269"/>
      <c r="V463" s="269"/>
      <c r="W463" s="269"/>
      <c r="X463" s="31"/>
    </row>
    <row r="464" spans="4:24" x14ac:dyDescent="0.25">
      <c r="D464" s="31"/>
      <c r="E464" s="31"/>
      <c r="F464" s="31"/>
      <c r="G464" s="31"/>
      <c r="H464" s="31"/>
      <c r="I464" s="31"/>
      <c r="J464" s="31"/>
      <c r="K464" s="31"/>
      <c r="L464" s="269"/>
      <c r="M464" s="269"/>
      <c r="N464" s="269"/>
      <c r="O464" s="282"/>
      <c r="P464" s="269"/>
      <c r="Q464" s="269"/>
      <c r="R464" s="269"/>
      <c r="S464" s="282"/>
      <c r="T464" s="269"/>
      <c r="U464" s="269"/>
      <c r="V464" s="269"/>
      <c r="W464" s="269"/>
      <c r="X464" s="31"/>
    </row>
    <row r="465" spans="4:24" x14ac:dyDescent="0.25">
      <c r="D465" s="31"/>
      <c r="E465" s="31"/>
      <c r="F465" s="31"/>
      <c r="G465" s="31"/>
      <c r="H465" s="31"/>
      <c r="I465" s="31"/>
      <c r="J465" s="31"/>
      <c r="K465" s="31"/>
      <c r="L465" s="269"/>
      <c r="M465" s="269"/>
      <c r="N465" s="269"/>
      <c r="O465" s="282"/>
      <c r="P465" s="269"/>
      <c r="Q465" s="269"/>
      <c r="R465" s="269"/>
      <c r="S465" s="282"/>
      <c r="T465" s="269"/>
      <c r="U465" s="269"/>
      <c r="V465" s="269"/>
      <c r="W465" s="269"/>
      <c r="X465" s="31"/>
    </row>
    <row r="466" spans="4:24" x14ac:dyDescent="0.25">
      <c r="D466" s="31"/>
      <c r="E466" s="31"/>
      <c r="F466" s="31"/>
      <c r="G466" s="31"/>
      <c r="H466" s="31"/>
      <c r="I466" s="31"/>
      <c r="J466" s="31"/>
      <c r="K466" s="31"/>
      <c r="L466" s="269"/>
      <c r="M466" s="269"/>
      <c r="N466" s="269"/>
      <c r="O466" s="282"/>
      <c r="P466" s="269"/>
      <c r="Q466" s="269"/>
      <c r="R466" s="269"/>
      <c r="S466" s="282"/>
      <c r="T466" s="269"/>
      <c r="U466" s="269"/>
      <c r="V466" s="269"/>
      <c r="W466" s="269"/>
      <c r="X466" s="31"/>
    </row>
    <row r="467" spans="4:24" x14ac:dyDescent="0.25">
      <c r="D467" s="31"/>
      <c r="E467" s="31"/>
      <c r="F467" s="31"/>
      <c r="G467" s="31"/>
      <c r="H467" s="31"/>
      <c r="I467" s="31"/>
      <c r="J467" s="31"/>
      <c r="K467" s="31"/>
      <c r="L467" s="269"/>
      <c r="M467" s="269"/>
      <c r="N467" s="269"/>
      <c r="O467" s="282"/>
      <c r="P467" s="269"/>
      <c r="Q467" s="269"/>
      <c r="R467" s="269"/>
      <c r="S467" s="282"/>
      <c r="T467" s="269"/>
      <c r="U467" s="269"/>
      <c r="V467" s="269"/>
      <c r="W467" s="269"/>
      <c r="X467" s="31"/>
    </row>
    <row r="468" spans="4:24" x14ac:dyDescent="0.25">
      <c r="D468" s="31"/>
      <c r="E468" s="31"/>
      <c r="F468" s="31"/>
      <c r="G468" s="31"/>
      <c r="H468" s="31"/>
      <c r="I468" s="31"/>
      <c r="J468" s="31"/>
      <c r="K468" s="31"/>
      <c r="L468" s="269"/>
      <c r="M468" s="269"/>
      <c r="N468" s="269"/>
      <c r="O468" s="282"/>
      <c r="P468" s="269"/>
      <c r="Q468" s="269"/>
      <c r="R468" s="269"/>
      <c r="S468" s="282"/>
      <c r="T468" s="269"/>
      <c r="U468" s="269"/>
      <c r="V468" s="269"/>
      <c r="W468" s="269"/>
      <c r="X468" s="31"/>
    </row>
    <row r="469" spans="4:24" x14ac:dyDescent="0.25">
      <c r="D469" s="31"/>
      <c r="E469" s="31"/>
      <c r="F469" s="31"/>
      <c r="G469" s="31"/>
      <c r="H469" s="31"/>
      <c r="I469" s="31"/>
      <c r="J469" s="31"/>
      <c r="K469" s="31"/>
      <c r="L469" s="269"/>
      <c r="M469" s="269"/>
      <c r="N469" s="269"/>
      <c r="O469" s="282"/>
      <c r="P469" s="269"/>
      <c r="Q469" s="269"/>
      <c r="R469" s="269"/>
      <c r="S469" s="282"/>
      <c r="T469" s="269"/>
      <c r="U469" s="269"/>
      <c r="V469" s="269"/>
      <c r="W469" s="269"/>
      <c r="X469" s="31"/>
    </row>
    <row r="470" spans="4:24" x14ac:dyDescent="0.25">
      <c r="D470" s="31"/>
      <c r="E470" s="31"/>
      <c r="F470" s="31"/>
      <c r="G470" s="31"/>
      <c r="H470" s="31"/>
      <c r="I470" s="31"/>
      <c r="J470" s="31"/>
      <c r="K470" s="31"/>
      <c r="L470" s="269"/>
      <c r="M470" s="269"/>
      <c r="N470" s="269"/>
      <c r="O470" s="282"/>
      <c r="P470" s="269"/>
      <c r="Q470" s="269"/>
      <c r="R470" s="269"/>
      <c r="S470" s="282"/>
      <c r="T470" s="269"/>
      <c r="U470" s="269"/>
      <c r="V470" s="269"/>
      <c r="W470" s="269"/>
      <c r="X470" s="31"/>
    </row>
    <row r="471" spans="4:24" x14ac:dyDescent="0.25">
      <c r="D471" s="31"/>
      <c r="E471" s="31"/>
      <c r="F471" s="31"/>
      <c r="G471" s="31"/>
      <c r="H471" s="31"/>
      <c r="I471" s="31"/>
      <c r="J471" s="31"/>
      <c r="K471" s="31"/>
      <c r="L471" s="269"/>
      <c r="M471" s="269"/>
      <c r="N471" s="269"/>
      <c r="O471" s="282"/>
      <c r="P471" s="269"/>
      <c r="Q471" s="269"/>
      <c r="R471" s="269"/>
      <c r="S471" s="282"/>
      <c r="T471" s="269"/>
      <c r="U471" s="269"/>
      <c r="V471" s="269"/>
      <c r="W471" s="269"/>
      <c r="X471" s="31"/>
    </row>
    <row r="472" spans="4:24" x14ac:dyDescent="0.25">
      <c r="D472" s="31"/>
      <c r="E472" s="31"/>
      <c r="F472" s="31"/>
      <c r="G472" s="31"/>
      <c r="H472" s="31"/>
      <c r="I472" s="31"/>
      <c r="J472" s="31"/>
      <c r="K472" s="31"/>
      <c r="L472" s="269"/>
      <c r="M472" s="269"/>
      <c r="N472" s="269"/>
      <c r="O472" s="282"/>
      <c r="P472" s="269"/>
      <c r="Q472" s="269"/>
      <c r="R472" s="269"/>
      <c r="S472" s="282"/>
      <c r="T472" s="269"/>
      <c r="U472" s="269"/>
      <c r="V472" s="269"/>
      <c r="W472" s="269"/>
      <c r="X472" s="31"/>
    </row>
    <row r="473" spans="4:24" x14ac:dyDescent="0.25">
      <c r="D473" s="31"/>
      <c r="E473" s="31"/>
      <c r="F473" s="31"/>
      <c r="G473" s="31"/>
      <c r="H473" s="31"/>
      <c r="I473" s="31"/>
      <c r="J473" s="31"/>
      <c r="K473" s="31"/>
      <c r="L473" s="269"/>
      <c r="M473" s="269"/>
      <c r="N473" s="269"/>
      <c r="O473" s="282"/>
      <c r="P473" s="269"/>
      <c r="Q473" s="269"/>
      <c r="R473" s="269"/>
      <c r="S473" s="282"/>
      <c r="T473" s="269"/>
      <c r="U473" s="269"/>
      <c r="V473" s="269"/>
      <c r="W473" s="269"/>
      <c r="X473" s="31"/>
    </row>
    <row r="474" spans="4:24" x14ac:dyDescent="0.25">
      <c r="D474" s="31"/>
      <c r="E474" s="31"/>
      <c r="F474" s="31"/>
      <c r="G474" s="31"/>
      <c r="H474" s="31"/>
      <c r="I474" s="31"/>
      <c r="J474" s="31"/>
      <c r="K474" s="31"/>
      <c r="L474" s="269"/>
      <c r="M474" s="269"/>
      <c r="N474" s="269"/>
      <c r="O474" s="282"/>
      <c r="P474" s="269"/>
      <c r="Q474" s="269"/>
      <c r="R474" s="269"/>
      <c r="S474" s="282"/>
      <c r="T474" s="269"/>
      <c r="U474" s="269"/>
      <c r="V474" s="269"/>
      <c r="W474" s="269"/>
      <c r="X474" s="31"/>
    </row>
    <row r="475" spans="4:24" x14ac:dyDescent="0.25">
      <c r="D475" s="31"/>
      <c r="E475" s="31"/>
      <c r="F475" s="31"/>
      <c r="G475" s="31"/>
      <c r="H475" s="31"/>
      <c r="I475" s="31"/>
      <c r="J475" s="31"/>
      <c r="K475" s="31"/>
      <c r="L475" s="269"/>
      <c r="M475" s="269"/>
      <c r="N475" s="269"/>
      <c r="O475" s="282"/>
      <c r="P475" s="269"/>
      <c r="Q475" s="269"/>
      <c r="R475" s="269"/>
      <c r="S475" s="282"/>
      <c r="T475" s="269"/>
      <c r="U475" s="269"/>
      <c r="V475" s="269"/>
      <c r="W475" s="269"/>
      <c r="X475" s="31"/>
    </row>
    <row r="476" spans="4:24" x14ac:dyDescent="0.25">
      <c r="D476" s="31"/>
      <c r="E476" s="31"/>
      <c r="F476" s="31"/>
      <c r="G476" s="31"/>
      <c r="H476" s="31"/>
      <c r="I476" s="31"/>
      <c r="J476" s="31"/>
      <c r="K476" s="31"/>
      <c r="L476" s="269"/>
      <c r="M476" s="269"/>
      <c r="N476" s="269"/>
      <c r="O476" s="282"/>
      <c r="P476" s="269"/>
      <c r="Q476" s="269"/>
      <c r="R476" s="269"/>
      <c r="S476" s="282"/>
      <c r="T476" s="269"/>
      <c r="U476" s="269"/>
      <c r="V476" s="269"/>
      <c r="W476" s="269"/>
      <c r="X476" s="31"/>
    </row>
    <row r="477" spans="4:24" x14ac:dyDescent="0.25">
      <c r="D477" s="31"/>
      <c r="E477" s="31"/>
      <c r="F477" s="31"/>
      <c r="G477" s="31"/>
      <c r="H477" s="31"/>
      <c r="I477" s="31"/>
      <c r="J477" s="31"/>
      <c r="K477" s="31"/>
      <c r="L477" s="269"/>
      <c r="M477" s="269"/>
      <c r="N477" s="269"/>
      <c r="O477" s="282"/>
      <c r="P477" s="269"/>
      <c r="Q477" s="269"/>
      <c r="R477" s="269"/>
      <c r="S477" s="282"/>
      <c r="T477" s="269"/>
      <c r="U477" s="269"/>
      <c r="V477" s="269"/>
      <c r="W477" s="269"/>
      <c r="X477" s="31"/>
    </row>
    <row r="478" spans="4:24" x14ac:dyDescent="0.25">
      <c r="D478" s="31"/>
      <c r="E478" s="31"/>
      <c r="F478" s="31"/>
      <c r="G478" s="31"/>
      <c r="H478" s="31"/>
      <c r="I478" s="31"/>
      <c r="J478" s="31"/>
      <c r="K478" s="31"/>
      <c r="L478" s="269"/>
      <c r="M478" s="269"/>
      <c r="N478" s="269"/>
      <c r="O478" s="282"/>
      <c r="P478" s="269"/>
      <c r="Q478" s="269"/>
      <c r="R478" s="269"/>
      <c r="S478" s="282"/>
      <c r="T478" s="269"/>
      <c r="U478" s="269"/>
      <c r="V478" s="269"/>
      <c r="W478" s="269"/>
      <c r="X478" s="31"/>
    </row>
    <row r="479" spans="4:24" x14ac:dyDescent="0.25">
      <c r="D479" s="31"/>
      <c r="E479" s="31"/>
      <c r="F479" s="31"/>
      <c r="G479" s="31"/>
      <c r="H479" s="31"/>
      <c r="I479" s="31"/>
      <c r="J479" s="31"/>
      <c r="K479" s="31"/>
      <c r="L479" s="269"/>
      <c r="M479" s="269"/>
      <c r="N479" s="269"/>
      <c r="O479" s="282"/>
      <c r="P479" s="269"/>
      <c r="Q479" s="269"/>
      <c r="R479" s="269"/>
      <c r="S479" s="282"/>
      <c r="T479" s="269"/>
      <c r="U479" s="269"/>
      <c r="V479" s="269"/>
      <c r="W479" s="269"/>
      <c r="X479" s="31"/>
    </row>
    <row r="480" spans="4:24" x14ac:dyDescent="0.25">
      <c r="D480" s="31"/>
      <c r="E480" s="31"/>
      <c r="F480" s="31"/>
      <c r="G480" s="31"/>
      <c r="H480" s="31"/>
      <c r="I480" s="31"/>
      <c r="J480" s="31"/>
      <c r="K480" s="31"/>
      <c r="L480" s="269"/>
      <c r="M480" s="269"/>
      <c r="N480" s="269"/>
      <c r="O480" s="282"/>
      <c r="P480" s="269"/>
      <c r="Q480" s="269"/>
      <c r="R480" s="269"/>
      <c r="S480" s="282"/>
      <c r="T480" s="269"/>
      <c r="U480" s="269"/>
      <c r="V480" s="269"/>
      <c r="W480" s="269"/>
      <c r="X480" s="31"/>
    </row>
    <row r="481" spans="4:24" x14ac:dyDescent="0.25">
      <c r="D481" s="31"/>
      <c r="E481" s="31"/>
      <c r="F481" s="31"/>
      <c r="G481" s="31"/>
      <c r="H481" s="31"/>
      <c r="I481" s="31"/>
      <c r="J481" s="31"/>
      <c r="K481" s="31"/>
      <c r="L481" s="269"/>
      <c r="M481" s="269"/>
      <c r="N481" s="269"/>
      <c r="O481" s="282"/>
      <c r="P481" s="269"/>
      <c r="Q481" s="269"/>
      <c r="R481" s="269"/>
      <c r="S481" s="282"/>
      <c r="T481" s="269"/>
      <c r="U481" s="269"/>
      <c r="V481" s="269"/>
      <c r="W481" s="269"/>
      <c r="X481" s="31"/>
    </row>
    <row r="482" spans="4:24" x14ac:dyDescent="0.25">
      <c r="D482" s="31"/>
      <c r="E482" s="31"/>
      <c r="F482" s="31"/>
      <c r="G482" s="31"/>
      <c r="H482" s="31"/>
      <c r="I482" s="31"/>
      <c r="J482" s="31"/>
      <c r="K482" s="31"/>
      <c r="L482" s="269"/>
      <c r="M482" s="269"/>
      <c r="N482" s="269"/>
      <c r="O482" s="282"/>
      <c r="P482" s="269"/>
      <c r="Q482" s="269"/>
      <c r="R482" s="269"/>
      <c r="S482" s="282"/>
      <c r="T482" s="269"/>
      <c r="U482" s="269"/>
      <c r="V482" s="269"/>
      <c r="W482" s="269"/>
      <c r="X482" s="31"/>
    </row>
    <row r="483" spans="4:24" x14ac:dyDescent="0.25">
      <c r="D483" s="31"/>
      <c r="E483" s="31"/>
      <c r="F483" s="31"/>
      <c r="G483" s="31"/>
      <c r="H483" s="31"/>
      <c r="I483" s="31"/>
      <c r="J483" s="31"/>
      <c r="K483" s="31"/>
      <c r="L483" s="269"/>
      <c r="M483" s="269"/>
      <c r="N483" s="269"/>
      <c r="O483" s="282"/>
      <c r="P483" s="269"/>
      <c r="Q483" s="269"/>
      <c r="R483" s="269"/>
      <c r="S483" s="282"/>
      <c r="T483" s="269"/>
      <c r="U483" s="269"/>
      <c r="V483" s="269"/>
      <c r="W483" s="269"/>
      <c r="X483" s="31"/>
    </row>
    <row r="484" spans="4:24" x14ac:dyDescent="0.25">
      <c r="D484" s="31"/>
      <c r="E484" s="31"/>
      <c r="F484" s="31"/>
      <c r="G484" s="31"/>
      <c r="H484" s="31"/>
      <c r="I484" s="31"/>
      <c r="J484" s="31"/>
      <c r="K484" s="31"/>
      <c r="L484" s="269"/>
      <c r="M484" s="269"/>
      <c r="N484" s="269"/>
      <c r="O484" s="282"/>
      <c r="P484" s="269"/>
      <c r="Q484" s="269"/>
      <c r="R484" s="269"/>
      <c r="S484" s="282"/>
      <c r="T484" s="269"/>
      <c r="U484" s="269"/>
      <c r="V484" s="269"/>
      <c r="W484" s="269"/>
      <c r="X484" s="31"/>
    </row>
    <row r="485" spans="4:24" x14ac:dyDescent="0.25">
      <c r="D485" s="31"/>
      <c r="E485" s="31"/>
      <c r="F485" s="31"/>
      <c r="G485" s="31"/>
      <c r="H485" s="31"/>
      <c r="I485" s="31"/>
      <c r="J485" s="31"/>
      <c r="K485" s="31"/>
      <c r="L485" s="269"/>
      <c r="M485" s="269"/>
      <c r="N485" s="269"/>
      <c r="O485" s="282"/>
      <c r="P485" s="269"/>
      <c r="Q485" s="269"/>
      <c r="R485" s="269"/>
      <c r="S485" s="282"/>
      <c r="T485" s="269"/>
      <c r="U485" s="269"/>
      <c r="V485" s="269"/>
      <c r="W485" s="269"/>
      <c r="X485" s="31"/>
    </row>
    <row r="486" spans="4:24" x14ac:dyDescent="0.25">
      <c r="D486" s="31"/>
      <c r="E486" s="31"/>
      <c r="F486" s="31"/>
      <c r="G486" s="31"/>
      <c r="H486" s="31"/>
      <c r="I486" s="31"/>
      <c r="J486" s="31"/>
      <c r="K486" s="31"/>
      <c r="L486" s="269"/>
      <c r="M486" s="269"/>
      <c r="N486" s="269"/>
      <c r="O486" s="282"/>
      <c r="P486" s="269"/>
      <c r="Q486" s="269"/>
      <c r="R486" s="269"/>
      <c r="S486" s="282"/>
      <c r="T486" s="269"/>
      <c r="U486" s="269"/>
      <c r="V486" s="269"/>
      <c r="W486" s="269"/>
      <c r="X486" s="31"/>
    </row>
    <row r="487" spans="4:24" x14ac:dyDescent="0.25">
      <c r="D487" s="31"/>
      <c r="E487" s="31"/>
      <c r="F487" s="31"/>
      <c r="G487" s="31"/>
      <c r="H487" s="31"/>
      <c r="I487" s="31"/>
      <c r="J487" s="31"/>
      <c r="K487" s="31"/>
      <c r="L487" s="269"/>
      <c r="M487" s="269"/>
      <c r="N487" s="269"/>
      <c r="O487" s="282"/>
      <c r="P487" s="269"/>
      <c r="Q487" s="269"/>
      <c r="R487" s="269"/>
      <c r="S487" s="282"/>
      <c r="T487" s="269"/>
      <c r="U487" s="269"/>
      <c r="V487" s="269"/>
      <c r="W487" s="269"/>
      <c r="X487" s="31"/>
    </row>
    <row r="488" spans="4:24" x14ac:dyDescent="0.25">
      <c r="D488" s="31"/>
      <c r="E488" s="31"/>
      <c r="F488" s="31"/>
      <c r="G488" s="31"/>
      <c r="H488" s="31"/>
      <c r="I488" s="31"/>
      <c r="J488" s="31"/>
      <c r="K488" s="31"/>
      <c r="L488" s="269"/>
      <c r="M488" s="269"/>
      <c r="N488" s="269"/>
      <c r="O488" s="282"/>
      <c r="P488" s="269"/>
      <c r="Q488" s="269"/>
      <c r="R488" s="269"/>
      <c r="S488" s="282"/>
      <c r="T488" s="269"/>
      <c r="U488" s="269"/>
      <c r="V488" s="269"/>
      <c r="W488" s="269"/>
      <c r="X488" s="31"/>
    </row>
    <row r="489" spans="4:24" x14ac:dyDescent="0.25">
      <c r="D489" s="31"/>
      <c r="E489" s="31"/>
      <c r="F489" s="31"/>
      <c r="G489" s="31"/>
      <c r="H489" s="31"/>
      <c r="I489" s="31"/>
      <c r="J489" s="31"/>
      <c r="K489" s="31"/>
      <c r="L489" s="269"/>
      <c r="M489" s="269"/>
      <c r="N489" s="269"/>
      <c r="O489" s="282"/>
      <c r="P489" s="269"/>
      <c r="Q489" s="269"/>
      <c r="R489" s="269"/>
      <c r="S489" s="282"/>
      <c r="T489" s="269"/>
      <c r="U489" s="269"/>
      <c r="V489" s="269"/>
      <c r="W489" s="269"/>
      <c r="X489" s="31"/>
    </row>
    <row r="490" spans="4:24" x14ac:dyDescent="0.25">
      <c r="D490" s="31"/>
      <c r="E490" s="31"/>
      <c r="F490" s="31"/>
      <c r="G490" s="31"/>
      <c r="H490" s="31"/>
      <c r="I490" s="31"/>
      <c r="J490" s="31"/>
      <c r="K490" s="31"/>
      <c r="L490" s="269"/>
      <c r="M490" s="269"/>
      <c r="N490" s="269"/>
      <c r="O490" s="282"/>
      <c r="P490" s="269"/>
      <c r="Q490" s="269"/>
      <c r="R490" s="269"/>
      <c r="S490" s="282"/>
      <c r="T490" s="269"/>
      <c r="U490" s="269"/>
      <c r="V490" s="269"/>
      <c r="W490" s="269"/>
      <c r="X490" s="31"/>
    </row>
    <row r="491" spans="4:24" x14ac:dyDescent="0.25">
      <c r="D491" s="31"/>
      <c r="E491" s="31"/>
      <c r="F491" s="31"/>
      <c r="G491" s="31"/>
      <c r="H491" s="31"/>
      <c r="I491" s="31"/>
      <c r="J491" s="31"/>
      <c r="K491" s="31"/>
      <c r="L491" s="269"/>
      <c r="M491" s="269"/>
      <c r="N491" s="269"/>
      <c r="O491" s="282"/>
      <c r="P491" s="269"/>
      <c r="Q491" s="269"/>
      <c r="R491" s="269"/>
      <c r="S491" s="282"/>
      <c r="T491" s="269"/>
      <c r="U491" s="269"/>
      <c r="V491" s="269"/>
      <c r="W491" s="269"/>
      <c r="X491" s="31"/>
    </row>
    <row r="492" spans="4:24" x14ac:dyDescent="0.25">
      <c r="D492" s="31"/>
      <c r="E492" s="31"/>
      <c r="F492" s="31"/>
      <c r="G492" s="31"/>
      <c r="H492" s="31"/>
      <c r="I492" s="31"/>
      <c r="J492" s="31"/>
      <c r="K492" s="31"/>
      <c r="L492" s="269"/>
      <c r="M492" s="269"/>
      <c r="N492" s="269"/>
      <c r="O492" s="282"/>
      <c r="P492" s="269"/>
      <c r="Q492" s="269"/>
      <c r="R492" s="269"/>
      <c r="S492" s="282"/>
      <c r="T492" s="269"/>
      <c r="U492" s="269"/>
      <c r="V492" s="269"/>
      <c r="W492" s="269"/>
      <c r="X492" s="31"/>
    </row>
    <row r="493" spans="4:24" x14ac:dyDescent="0.25">
      <c r="D493" s="31"/>
      <c r="E493" s="31"/>
      <c r="F493" s="31"/>
      <c r="G493" s="31"/>
      <c r="H493" s="31"/>
      <c r="I493" s="31"/>
      <c r="J493" s="31"/>
      <c r="K493" s="31"/>
      <c r="L493" s="269"/>
      <c r="M493" s="269"/>
      <c r="N493" s="269"/>
      <c r="O493" s="282"/>
      <c r="P493" s="269"/>
      <c r="Q493" s="269"/>
      <c r="R493" s="269"/>
      <c r="S493" s="282"/>
      <c r="T493" s="269"/>
      <c r="U493" s="269"/>
      <c r="V493" s="269"/>
      <c r="W493" s="269"/>
      <c r="X493" s="31"/>
    </row>
    <row r="494" spans="4:24" x14ac:dyDescent="0.25">
      <c r="D494" s="31"/>
      <c r="E494" s="31"/>
      <c r="F494" s="31"/>
      <c r="G494" s="31"/>
      <c r="H494" s="31"/>
      <c r="I494" s="31"/>
      <c r="J494" s="31"/>
      <c r="K494" s="31"/>
      <c r="L494" s="269"/>
      <c r="M494" s="269"/>
      <c r="N494" s="269"/>
      <c r="O494" s="282"/>
      <c r="P494" s="269"/>
      <c r="Q494" s="269"/>
      <c r="R494" s="269"/>
      <c r="S494" s="282"/>
      <c r="T494" s="269"/>
      <c r="U494" s="269"/>
      <c r="V494" s="269"/>
      <c r="W494" s="269"/>
      <c r="X494" s="31"/>
    </row>
    <row r="495" spans="4:24" x14ac:dyDescent="0.25">
      <c r="D495" s="31"/>
      <c r="E495" s="31"/>
      <c r="F495" s="31"/>
      <c r="G495" s="31"/>
      <c r="H495" s="31"/>
      <c r="I495" s="31"/>
      <c r="J495" s="31"/>
      <c r="K495" s="31"/>
      <c r="L495" s="269"/>
      <c r="M495" s="269"/>
      <c r="N495" s="269"/>
      <c r="O495" s="282"/>
      <c r="P495" s="269"/>
      <c r="Q495" s="269"/>
      <c r="R495" s="269"/>
      <c r="S495" s="282"/>
      <c r="T495" s="269"/>
      <c r="U495" s="269"/>
      <c r="V495" s="269"/>
      <c r="W495" s="269"/>
      <c r="X495" s="31"/>
    </row>
    <row r="496" spans="4:24" x14ac:dyDescent="0.25">
      <c r="D496" s="31"/>
      <c r="E496" s="31"/>
      <c r="F496" s="31"/>
      <c r="G496" s="31"/>
      <c r="H496" s="31"/>
      <c r="I496" s="31"/>
      <c r="J496" s="31"/>
      <c r="K496" s="31"/>
      <c r="L496" s="269"/>
      <c r="M496" s="269"/>
      <c r="N496" s="269"/>
      <c r="O496" s="282"/>
      <c r="P496" s="269"/>
      <c r="Q496" s="269"/>
      <c r="R496" s="269"/>
      <c r="S496" s="282"/>
      <c r="T496" s="269"/>
      <c r="U496" s="269"/>
      <c r="V496" s="269"/>
      <c r="W496" s="269"/>
      <c r="X496" s="31"/>
    </row>
    <row r="497" spans="4:24" x14ac:dyDescent="0.25">
      <c r="D497" s="31"/>
      <c r="E497" s="31"/>
      <c r="F497" s="31"/>
      <c r="G497" s="31"/>
      <c r="H497" s="31"/>
      <c r="I497" s="31"/>
      <c r="J497" s="31"/>
      <c r="K497" s="31"/>
      <c r="L497" s="269"/>
      <c r="M497" s="269"/>
      <c r="N497" s="269"/>
      <c r="O497" s="282"/>
      <c r="P497" s="269"/>
      <c r="Q497" s="269"/>
      <c r="R497" s="269"/>
      <c r="S497" s="282"/>
      <c r="T497" s="269"/>
      <c r="U497" s="269"/>
      <c r="V497" s="269"/>
      <c r="W497" s="269"/>
      <c r="X497" s="31"/>
    </row>
    <row r="498" spans="4:24" x14ac:dyDescent="0.25">
      <c r="D498" s="31"/>
      <c r="E498" s="31"/>
      <c r="F498" s="31"/>
      <c r="G498" s="31"/>
      <c r="H498" s="31"/>
      <c r="I498" s="31"/>
      <c r="J498" s="31"/>
      <c r="K498" s="31"/>
      <c r="L498" s="269"/>
      <c r="M498" s="269"/>
      <c r="N498" s="269"/>
      <c r="O498" s="282"/>
      <c r="P498" s="269"/>
      <c r="Q498" s="269"/>
      <c r="R498" s="269"/>
      <c r="S498" s="282"/>
      <c r="T498" s="269"/>
      <c r="U498" s="269"/>
      <c r="V498" s="269"/>
      <c r="W498" s="269"/>
      <c r="X498" s="31"/>
    </row>
    <row r="499" spans="4:24" x14ac:dyDescent="0.25">
      <c r="D499" s="31"/>
      <c r="E499" s="31"/>
      <c r="F499" s="31"/>
      <c r="G499" s="31"/>
      <c r="H499" s="31"/>
      <c r="I499" s="31"/>
      <c r="J499" s="31"/>
      <c r="K499" s="31"/>
      <c r="L499" s="269"/>
      <c r="M499" s="269"/>
      <c r="N499" s="269"/>
      <c r="O499" s="282"/>
      <c r="P499" s="269"/>
      <c r="Q499" s="269"/>
      <c r="R499" s="269"/>
      <c r="S499" s="282"/>
      <c r="T499" s="269"/>
      <c r="U499" s="269"/>
      <c r="V499" s="269"/>
      <c r="W499" s="269"/>
      <c r="X499" s="31"/>
    </row>
    <row r="500" spans="4:24" x14ac:dyDescent="0.25">
      <c r="D500" s="31"/>
      <c r="E500" s="31"/>
      <c r="F500" s="31"/>
      <c r="G500" s="31"/>
      <c r="H500" s="31"/>
      <c r="I500" s="31"/>
      <c r="J500" s="31"/>
      <c r="K500" s="31"/>
      <c r="L500" s="269"/>
      <c r="M500" s="269"/>
      <c r="N500" s="269"/>
      <c r="O500" s="282"/>
      <c r="P500" s="269"/>
      <c r="Q500" s="269"/>
      <c r="R500" s="269"/>
      <c r="S500" s="282"/>
      <c r="T500" s="269"/>
      <c r="U500" s="269"/>
      <c r="V500" s="269"/>
      <c r="W500" s="269"/>
      <c r="X500" s="31"/>
    </row>
    <row r="501" spans="4:24" x14ac:dyDescent="0.25">
      <c r="D501" s="31"/>
      <c r="E501" s="31"/>
      <c r="F501" s="31"/>
      <c r="G501" s="31"/>
      <c r="H501" s="31"/>
      <c r="I501" s="31"/>
      <c r="J501" s="31"/>
      <c r="K501" s="31"/>
      <c r="L501" s="269"/>
      <c r="M501" s="269"/>
      <c r="N501" s="269"/>
      <c r="O501" s="282"/>
      <c r="P501" s="269"/>
      <c r="Q501" s="269"/>
      <c r="R501" s="269"/>
      <c r="S501" s="282"/>
      <c r="T501" s="269"/>
      <c r="U501" s="269"/>
      <c r="V501" s="269"/>
      <c r="W501" s="269"/>
      <c r="X501" s="31"/>
    </row>
    <row r="502" spans="4:24" x14ac:dyDescent="0.25">
      <c r="D502" s="31"/>
      <c r="E502" s="31"/>
      <c r="F502" s="31"/>
      <c r="G502" s="31"/>
      <c r="H502" s="31"/>
      <c r="I502" s="31"/>
      <c r="J502" s="31"/>
      <c r="K502" s="31"/>
      <c r="L502" s="269"/>
      <c r="M502" s="269"/>
      <c r="N502" s="269"/>
      <c r="O502" s="282"/>
      <c r="P502" s="269"/>
      <c r="Q502" s="269"/>
      <c r="R502" s="269"/>
      <c r="S502" s="282"/>
      <c r="T502" s="269"/>
      <c r="U502" s="269"/>
      <c r="V502" s="269"/>
      <c r="W502" s="269"/>
      <c r="X502" s="31"/>
    </row>
    <row r="503" spans="4:24" x14ac:dyDescent="0.25">
      <c r="D503" s="31"/>
      <c r="E503" s="31"/>
      <c r="F503" s="31"/>
      <c r="G503" s="31"/>
      <c r="H503" s="31"/>
      <c r="I503" s="31"/>
      <c r="J503" s="31"/>
      <c r="K503" s="31"/>
      <c r="L503" s="269"/>
      <c r="M503" s="269"/>
      <c r="N503" s="269"/>
      <c r="O503" s="282"/>
      <c r="P503" s="269"/>
      <c r="Q503" s="269"/>
      <c r="R503" s="269"/>
      <c r="S503" s="282"/>
      <c r="T503" s="269"/>
      <c r="U503" s="269"/>
      <c r="V503" s="269"/>
      <c r="W503" s="269"/>
      <c r="X503" s="31"/>
    </row>
    <row r="504" spans="4:24" x14ac:dyDescent="0.25">
      <c r="D504" s="31"/>
      <c r="E504" s="31"/>
      <c r="F504" s="31"/>
      <c r="G504" s="31"/>
      <c r="H504" s="31"/>
      <c r="I504" s="31"/>
      <c r="J504" s="31"/>
      <c r="K504" s="31"/>
      <c r="L504" s="269"/>
      <c r="M504" s="269"/>
      <c r="N504" s="269"/>
      <c r="O504" s="282"/>
      <c r="P504" s="269"/>
      <c r="Q504" s="269"/>
      <c r="R504" s="269"/>
      <c r="S504" s="282"/>
      <c r="T504" s="269"/>
      <c r="U504" s="269"/>
      <c r="V504" s="269"/>
      <c r="W504" s="269"/>
      <c r="X504" s="31"/>
    </row>
    <row r="505" spans="4:24" x14ac:dyDescent="0.25">
      <c r="D505" s="31"/>
      <c r="E505" s="31"/>
      <c r="F505" s="31"/>
      <c r="G505" s="31"/>
      <c r="H505" s="31"/>
      <c r="I505" s="31"/>
      <c r="J505" s="31"/>
      <c r="K505" s="31"/>
      <c r="L505" s="269"/>
      <c r="M505" s="269"/>
      <c r="N505" s="269"/>
      <c r="O505" s="282"/>
      <c r="P505" s="269"/>
      <c r="Q505" s="269"/>
      <c r="R505" s="269"/>
      <c r="S505" s="282"/>
      <c r="T505" s="269"/>
      <c r="U505" s="269"/>
      <c r="V505" s="269"/>
      <c r="W505" s="269"/>
      <c r="X505" s="31"/>
    </row>
    <row r="506" spans="4:24" x14ac:dyDescent="0.25">
      <c r="D506" s="31"/>
      <c r="E506" s="31"/>
      <c r="F506" s="31"/>
      <c r="G506" s="31"/>
      <c r="H506" s="31"/>
      <c r="I506" s="31"/>
      <c r="J506" s="31"/>
      <c r="K506" s="31"/>
      <c r="L506" s="269"/>
      <c r="M506" s="269"/>
      <c r="N506" s="269"/>
      <c r="O506" s="282"/>
      <c r="P506" s="269"/>
      <c r="Q506" s="269"/>
      <c r="R506" s="269"/>
      <c r="S506" s="282"/>
      <c r="T506" s="269"/>
      <c r="U506" s="269"/>
      <c r="V506" s="269"/>
      <c r="W506" s="269"/>
      <c r="X506" s="31"/>
    </row>
    <row r="507" spans="4:24" x14ac:dyDescent="0.25">
      <c r="D507" s="31"/>
      <c r="E507" s="31"/>
      <c r="F507" s="31"/>
      <c r="G507" s="31"/>
      <c r="H507" s="31"/>
      <c r="I507" s="31"/>
      <c r="J507" s="31"/>
      <c r="K507" s="31"/>
      <c r="L507" s="269"/>
      <c r="M507" s="269"/>
      <c r="N507" s="269"/>
      <c r="O507" s="282"/>
      <c r="P507" s="269"/>
      <c r="Q507" s="269"/>
      <c r="R507" s="269"/>
      <c r="S507" s="282"/>
      <c r="T507" s="269"/>
      <c r="U507" s="269"/>
      <c r="V507" s="269"/>
      <c r="W507" s="269"/>
      <c r="X507" s="31"/>
    </row>
    <row r="508" spans="4:24" x14ac:dyDescent="0.25">
      <c r="D508" s="31"/>
      <c r="E508" s="31"/>
      <c r="F508" s="31"/>
      <c r="G508" s="31"/>
      <c r="H508" s="31"/>
      <c r="I508" s="31"/>
      <c r="J508" s="31"/>
      <c r="K508" s="31"/>
      <c r="L508" s="269"/>
      <c r="M508" s="269"/>
      <c r="N508" s="269"/>
      <c r="O508" s="282"/>
      <c r="P508" s="269"/>
      <c r="Q508" s="269"/>
      <c r="R508" s="269"/>
      <c r="S508" s="282"/>
      <c r="T508" s="269"/>
      <c r="U508" s="269"/>
      <c r="V508" s="269"/>
      <c r="W508" s="269"/>
      <c r="X508" s="31"/>
    </row>
    <row r="509" spans="4:24" x14ac:dyDescent="0.25">
      <c r="D509" s="31"/>
      <c r="E509" s="31"/>
      <c r="F509" s="31"/>
      <c r="G509" s="31"/>
      <c r="H509" s="31"/>
      <c r="I509" s="31"/>
      <c r="J509" s="31"/>
      <c r="K509" s="31"/>
      <c r="L509" s="269"/>
      <c r="M509" s="269"/>
      <c r="N509" s="269"/>
      <c r="O509" s="282"/>
      <c r="P509" s="269"/>
      <c r="Q509" s="269"/>
      <c r="R509" s="269"/>
      <c r="S509" s="282"/>
      <c r="T509" s="269"/>
      <c r="U509" s="269"/>
      <c r="V509" s="269"/>
      <c r="W509" s="269"/>
      <c r="X509" s="31"/>
    </row>
    <row r="510" spans="4:24" x14ac:dyDescent="0.25">
      <c r="D510" s="31"/>
      <c r="E510" s="31"/>
      <c r="F510" s="31"/>
      <c r="G510" s="31"/>
      <c r="H510" s="31"/>
      <c r="I510" s="31"/>
      <c r="J510" s="31"/>
      <c r="K510" s="31"/>
      <c r="L510" s="269"/>
      <c r="M510" s="269"/>
      <c r="N510" s="269"/>
      <c r="O510" s="282"/>
      <c r="P510" s="269"/>
      <c r="Q510" s="269"/>
      <c r="R510" s="269"/>
      <c r="S510" s="282"/>
      <c r="T510" s="269"/>
      <c r="U510" s="269"/>
      <c r="V510" s="269"/>
      <c r="W510" s="269"/>
      <c r="X510" s="31"/>
    </row>
    <row r="511" spans="4:24" x14ac:dyDescent="0.25">
      <c r="D511" s="31"/>
      <c r="E511" s="31"/>
      <c r="F511" s="31"/>
      <c r="G511" s="31"/>
      <c r="H511" s="31"/>
      <c r="I511" s="31"/>
      <c r="J511" s="31"/>
      <c r="K511" s="31"/>
      <c r="L511" s="269"/>
      <c r="M511" s="269"/>
      <c r="N511" s="269"/>
      <c r="O511" s="282"/>
      <c r="P511" s="269"/>
      <c r="Q511" s="269"/>
      <c r="R511" s="269"/>
      <c r="S511" s="282"/>
      <c r="T511" s="269"/>
      <c r="U511" s="269"/>
      <c r="V511" s="269"/>
      <c r="W511" s="269"/>
      <c r="X511" s="31"/>
    </row>
    <row r="512" spans="4:24" x14ac:dyDescent="0.25">
      <c r="D512" s="31"/>
      <c r="E512" s="31"/>
      <c r="F512" s="31"/>
      <c r="G512" s="31"/>
      <c r="H512" s="31"/>
      <c r="I512" s="31"/>
      <c r="J512" s="31"/>
      <c r="K512" s="31"/>
      <c r="L512" s="269"/>
      <c r="M512" s="269"/>
      <c r="N512" s="269"/>
      <c r="O512" s="282"/>
      <c r="P512" s="269"/>
      <c r="Q512" s="269"/>
      <c r="R512" s="269"/>
      <c r="S512" s="282"/>
      <c r="T512" s="269"/>
      <c r="U512" s="269"/>
      <c r="V512" s="269"/>
      <c r="W512" s="269"/>
      <c r="X512" s="31"/>
    </row>
    <row r="513" spans="4:24" x14ac:dyDescent="0.25">
      <c r="D513" s="31"/>
      <c r="E513" s="31"/>
      <c r="F513" s="31"/>
      <c r="G513" s="31"/>
      <c r="H513" s="31"/>
      <c r="I513" s="31"/>
      <c r="J513" s="31"/>
      <c r="K513" s="31"/>
      <c r="L513" s="269"/>
      <c r="M513" s="269"/>
      <c r="N513" s="269"/>
      <c r="O513" s="282"/>
      <c r="P513" s="269"/>
      <c r="Q513" s="269"/>
      <c r="R513" s="269"/>
      <c r="S513" s="282"/>
      <c r="T513" s="269"/>
      <c r="U513" s="269"/>
      <c r="V513" s="269"/>
      <c r="W513" s="269"/>
      <c r="X513" s="31"/>
    </row>
    <row r="514" spans="4:24" x14ac:dyDescent="0.25">
      <c r="D514" s="31"/>
      <c r="E514" s="31"/>
      <c r="F514" s="31"/>
      <c r="G514" s="31"/>
      <c r="H514" s="31"/>
      <c r="I514" s="31"/>
      <c r="J514" s="31"/>
      <c r="K514" s="31"/>
      <c r="L514" s="269"/>
      <c r="M514" s="269"/>
      <c r="N514" s="269"/>
      <c r="O514" s="282"/>
      <c r="P514" s="269"/>
      <c r="Q514" s="269"/>
      <c r="R514" s="269"/>
      <c r="S514" s="282"/>
      <c r="T514" s="269"/>
      <c r="U514" s="269"/>
      <c r="V514" s="269"/>
      <c r="W514" s="269"/>
      <c r="X514" s="31"/>
    </row>
    <row r="515" spans="4:24" x14ac:dyDescent="0.25">
      <c r="D515" s="31"/>
      <c r="E515" s="31"/>
      <c r="F515" s="31"/>
      <c r="G515" s="31"/>
      <c r="H515" s="31"/>
      <c r="I515" s="31"/>
      <c r="J515" s="31"/>
      <c r="K515" s="31"/>
      <c r="L515" s="269"/>
      <c r="M515" s="269"/>
      <c r="N515" s="269"/>
      <c r="O515" s="282"/>
      <c r="P515" s="269"/>
      <c r="Q515" s="269"/>
      <c r="R515" s="269"/>
      <c r="S515" s="282"/>
      <c r="T515" s="269"/>
      <c r="U515" s="269"/>
      <c r="V515" s="269"/>
      <c r="W515" s="269"/>
      <c r="X515" s="31"/>
    </row>
    <row r="516" spans="4:24" x14ac:dyDescent="0.25">
      <c r="D516" s="31"/>
      <c r="E516" s="31"/>
      <c r="F516" s="31"/>
      <c r="G516" s="31"/>
      <c r="H516" s="31"/>
      <c r="I516" s="31"/>
      <c r="J516" s="31"/>
      <c r="K516" s="31"/>
      <c r="L516" s="269"/>
      <c r="M516" s="269"/>
      <c r="N516" s="269"/>
      <c r="O516" s="282"/>
      <c r="P516" s="269"/>
      <c r="Q516" s="269"/>
      <c r="R516" s="269"/>
      <c r="S516" s="282"/>
      <c r="T516" s="269"/>
      <c r="U516" s="269"/>
      <c r="V516" s="269"/>
      <c r="W516" s="269"/>
      <c r="X516" s="31"/>
    </row>
    <row r="517" spans="4:24" x14ac:dyDescent="0.25">
      <c r="D517" s="31"/>
      <c r="E517" s="31"/>
      <c r="F517" s="31"/>
      <c r="G517" s="31"/>
      <c r="H517" s="31"/>
      <c r="I517" s="31"/>
      <c r="J517" s="31"/>
      <c r="K517" s="31"/>
      <c r="L517" s="269"/>
      <c r="M517" s="269"/>
      <c r="N517" s="269"/>
      <c r="O517" s="282"/>
      <c r="P517" s="269"/>
      <c r="Q517" s="269"/>
      <c r="R517" s="269"/>
      <c r="S517" s="282"/>
      <c r="T517" s="269"/>
      <c r="U517" s="269"/>
      <c r="V517" s="269"/>
      <c r="W517" s="269"/>
      <c r="X517" s="31"/>
    </row>
    <row r="518" spans="4:24" x14ac:dyDescent="0.25">
      <c r="D518" s="31"/>
      <c r="E518" s="31"/>
      <c r="F518" s="31"/>
      <c r="G518" s="31"/>
      <c r="H518" s="31"/>
      <c r="I518" s="31"/>
      <c r="J518" s="31"/>
      <c r="K518" s="31"/>
      <c r="L518" s="269"/>
      <c r="M518" s="269"/>
      <c r="N518" s="269"/>
      <c r="O518" s="282"/>
      <c r="P518" s="269"/>
      <c r="Q518" s="269"/>
      <c r="R518" s="269"/>
      <c r="S518" s="282"/>
      <c r="T518" s="269"/>
      <c r="U518" s="269"/>
      <c r="V518" s="269"/>
      <c r="W518" s="269"/>
      <c r="X518" s="31"/>
    </row>
    <row r="519" spans="4:24" x14ac:dyDescent="0.25">
      <c r="D519" s="31"/>
      <c r="E519" s="31"/>
      <c r="F519" s="31"/>
      <c r="G519" s="31"/>
      <c r="H519" s="31"/>
      <c r="I519" s="31"/>
      <c r="J519" s="31"/>
      <c r="K519" s="31"/>
      <c r="L519" s="269"/>
      <c r="M519" s="269"/>
      <c r="N519" s="269"/>
      <c r="O519" s="282"/>
      <c r="P519" s="269"/>
      <c r="Q519" s="269"/>
      <c r="R519" s="269"/>
      <c r="S519" s="282"/>
      <c r="T519" s="269"/>
      <c r="U519" s="269"/>
      <c r="V519" s="269"/>
      <c r="W519" s="269"/>
      <c r="X519" s="31"/>
    </row>
    <row r="520" spans="4:24" x14ac:dyDescent="0.25">
      <c r="D520" s="31"/>
      <c r="E520" s="31"/>
      <c r="F520" s="31"/>
      <c r="G520" s="31"/>
      <c r="H520" s="31"/>
      <c r="I520" s="31"/>
      <c r="J520" s="31"/>
      <c r="K520" s="31"/>
      <c r="L520" s="269"/>
      <c r="M520" s="269"/>
      <c r="N520" s="269"/>
      <c r="O520" s="282"/>
      <c r="P520" s="269"/>
      <c r="Q520" s="269"/>
      <c r="R520" s="269"/>
      <c r="S520" s="282"/>
      <c r="T520" s="269"/>
      <c r="U520" s="269"/>
      <c r="V520" s="269"/>
      <c r="W520" s="269"/>
      <c r="X520" s="31"/>
    </row>
    <row r="521" spans="4:24" x14ac:dyDescent="0.25">
      <c r="D521" s="31"/>
      <c r="E521" s="31"/>
      <c r="F521" s="31"/>
      <c r="G521" s="31"/>
      <c r="H521" s="31"/>
      <c r="I521" s="31"/>
      <c r="J521" s="31"/>
      <c r="K521" s="31"/>
      <c r="L521" s="269"/>
      <c r="M521" s="269"/>
      <c r="N521" s="269"/>
      <c r="O521" s="282"/>
      <c r="P521" s="269"/>
      <c r="Q521" s="269"/>
      <c r="R521" s="269"/>
      <c r="S521" s="282"/>
      <c r="T521" s="269"/>
      <c r="U521" s="269"/>
      <c r="V521" s="269"/>
      <c r="W521" s="269"/>
      <c r="X521" s="31"/>
    </row>
    <row r="522" spans="4:24" x14ac:dyDescent="0.25">
      <c r="D522" s="31"/>
      <c r="E522" s="31"/>
      <c r="F522" s="31"/>
      <c r="G522" s="31"/>
      <c r="H522" s="31"/>
      <c r="I522" s="31"/>
      <c r="J522" s="31"/>
      <c r="K522" s="31"/>
      <c r="L522" s="269"/>
      <c r="M522" s="269"/>
      <c r="N522" s="269"/>
      <c r="O522" s="282"/>
      <c r="P522" s="269"/>
      <c r="Q522" s="269"/>
      <c r="R522" s="269"/>
      <c r="S522" s="282"/>
      <c r="T522" s="269"/>
      <c r="U522" s="269"/>
      <c r="V522" s="269"/>
      <c r="W522" s="269"/>
      <c r="X522" s="31"/>
    </row>
    <row r="523" spans="4:24" x14ac:dyDescent="0.25">
      <c r="D523" s="31"/>
      <c r="E523" s="31"/>
      <c r="F523" s="31"/>
      <c r="G523" s="31"/>
      <c r="H523" s="31"/>
      <c r="I523" s="31"/>
      <c r="J523" s="31"/>
      <c r="K523" s="31"/>
      <c r="L523" s="269"/>
      <c r="M523" s="269"/>
      <c r="N523" s="269"/>
      <c r="O523" s="282"/>
      <c r="P523" s="269"/>
      <c r="Q523" s="269"/>
      <c r="R523" s="269"/>
      <c r="S523" s="282"/>
      <c r="T523" s="269"/>
      <c r="U523" s="269"/>
      <c r="V523" s="269"/>
      <c r="W523" s="269"/>
      <c r="X523" s="31"/>
    </row>
    <row r="524" spans="4:24" x14ac:dyDescent="0.25">
      <c r="D524" s="31"/>
      <c r="E524" s="31"/>
      <c r="F524" s="31"/>
      <c r="G524" s="31"/>
      <c r="H524" s="31"/>
      <c r="I524" s="31"/>
      <c r="J524" s="31"/>
      <c r="K524" s="31"/>
      <c r="L524" s="269"/>
      <c r="M524" s="269"/>
      <c r="N524" s="269"/>
      <c r="O524" s="282"/>
      <c r="P524" s="269"/>
      <c r="Q524" s="269"/>
      <c r="R524" s="269"/>
      <c r="S524" s="282"/>
      <c r="T524" s="269"/>
      <c r="U524" s="269"/>
      <c r="V524" s="269"/>
      <c r="W524" s="269"/>
      <c r="X524" s="31"/>
    </row>
    <row r="525" spans="4:24" x14ac:dyDescent="0.25">
      <c r="D525" s="31"/>
      <c r="E525" s="31"/>
      <c r="F525" s="31"/>
      <c r="G525" s="31"/>
      <c r="H525" s="31"/>
      <c r="I525" s="31"/>
      <c r="J525" s="31"/>
      <c r="K525" s="31"/>
      <c r="L525" s="269"/>
      <c r="M525" s="269"/>
      <c r="N525" s="269"/>
      <c r="O525" s="282"/>
      <c r="P525" s="269"/>
      <c r="Q525" s="269"/>
      <c r="R525" s="269"/>
      <c r="S525" s="282"/>
      <c r="T525" s="269"/>
      <c r="U525" s="269"/>
      <c r="V525" s="269"/>
      <c r="W525" s="269"/>
      <c r="X525" s="31"/>
    </row>
    <row r="526" spans="4:24" x14ac:dyDescent="0.25">
      <c r="D526" s="31"/>
      <c r="E526" s="31"/>
      <c r="F526" s="31"/>
      <c r="G526" s="31"/>
      <c r="H526" s="31"/>
      <c r="I526" s="31"/>
      <c r="J526" s="31"/>
      <c r="K526" s="31"/>
      <c r="L526" s="269"/>
      <c r="M526" s="269"/>
      <c r="N526" s="269"/>
      <c r="O526" s="282"/>
      <c r="P526" s="269"/>
      <c r="Q526" s="269"/>
      <c r="R526" s="269"/>
      <c r="S526" s="282"/>
      <c r="T526" s="269"/>
      <c r="U526" s="269"/>
      <c r="V526" s="269"/>
      <c r="W526" s="269"/>
      <c r="X526" s="31"/>
    </row>
    <row r="527" spans="4:24" x14ac:dyDescent="0.25">
      <c r="D527" s="31"/>
      <c r="E527" s="31"/>
      <c r="F527" s="31"/>
      <c r="G527" s="31"/>
      <c r="H527" s="31"/>
      <c r="I527" s="31"/>
      <c r="J527" s="31"/>
      <c r="K527" s="31"/>
      <c r="L527" s="269"/>
      <c r="M527" s="269"/>
      <c r="N527" s="269"/>
      <c r="O527" s="282"/>
      <c r="P527" s="269"/>
      <c r="Q527" s="269"/>
      <c r="R527" s="269"/>
      <c r="S527" s="282"/>
      <c r="T527" s="269"/>
      <c r="U527" s="269"/>
      <c r="V527" s="269"/>
      <c r="W527" s="269"/>
      <c r="X527" s="31"/>
    </row>
    <row r="528" spans="4:24" x14ac:dyDescent="0.25">
      <c r="D528" s="31"/>
      <c r="E528" s="31"/>
      <c r="F528" s="31"/>
      <c r="G528" s="31"/>
      <c r="H528" s="31"/>
      <c r="I528" s="31"/>
      <c r="J528" s="31"/>
      <c r="K528" s="31"/>
      <c r="L528" s="269"/>
      <c r="M528" s="269"/>
      <c r="N528" s="269"/>
      <c r="O528" s="282"/>
      <c r="P528" s="269"/>
      <c r="Q528" s="269"/>
      <c r="R528" s="269"/>
      <c r="S528" s="282"/>
      <c r="T528" s="269"/>
      <c r="U528" s="269"/>
      <c r="V528" s="269"/>
      <c r="W528" s="269"/>
      <c r="X528" s="31"/>
    </row>
    <row r="529" spans="4:24" x14ac:dyDescent="0.25">
      <c r="D529" s="31"/>
      <c r="E529" s="31"/>
      <c r="F529" s="31"/>
      <c r="G529" s="31"/>
      <c r="H529" s="31"/>
      <c r="I529" s="31"/>
      <c r="J529" s="31"/>
      <c r="K529" s="31"/>
      <c r="L529" s="269"/>
      <c r="M529" s="269"/>
      <c r="N529" s="269"/>
      <c r="O529" s="282"/>
      <c r="P529" s="269"/>
      <c r="Q529" s="269"/>
      <c r="R529" s="269"/>
      <c r="S529" s="282"/>
      <c r="T529" s="269"/>
      <c r="U529" s="269"/>
      <c r="V529" s="269"/>
      <c r="W529" s="269"/>
      <c r="X529" s="31"/>
    </row>
    <row r="530" spans="4:24" x14ac:dyDescent="0.25">
      <c r="D530" s="31"/>
      <c r="E530" s="31"/>
      <c r="F530" s="31"/>
      <c r="G530" s="31"/>
      <c r="H530" s="31"/>
      <c r="I530" s="31"/>
      <c r="J530" s="31"/>
      <c r="K530" s="31"/>
      <c r="L530" s="269"/>
      <c r="M530" s="269"/>
      <c r="N530" s="269"/>
      <c r="O530" s="282"/>
      <c r="P530" s="269"/>
      <c r="Q530" s="269"/>
      <c r="R530" s="269"/>
      <c r="S530" s="282"/>
      <c r="T530" s="269"/>
      <c r="U530" s="269"/>
      <c r="V530" s="269"/>
      <c r="W530" s="269"/>
      <c r="X530" s="31"/>
    </row>
    <row r="531" spans="4:24" x14ac:dyDescent="0.25">
      <c r="D531" s="31"/>
      <c r="E531" s="31"/>
      <c r="F531" s="31"/>
      <c r="G531" s="31"/>
      <c r="H531" s="31"/>
      <c r="I531" s="31"/>
      <c r="J531" s="31"/>
      <c r="K531" s="31"/>
      <c r="L531" s="269"/>
      <c r="M531" s="269"/>
      <c r="N531" s="269"/>
      <c r="O531" s="282"/>
      <c r="P531" s="269"/>
      <c r="Q531" s="269"/>
      <c r="R531" s="269"/>
      <c r="S531" s="282"/>
      <c r="T531" s="269"/>
      <c r="U531" s="269"/>
      <c r="V531" s="269"/>
      <c r="W531" s="269"/>
      <c r="X531" s="31"/>
    </row>
    <row r="532" spans="4:24" x14ac:dyDescent="0.25">
      <c r="D532" s="31"/>
      <c r="E532" s="31"/>
      <c r="F532" s="31"/>
      <c r="G532" s="31"/>
      <c r="H532" s="31"/>
      <c r="I532" s="31"/>
      <c r="J532" s="31"/>
      <c r="K532" s="31"/>
      <c r="L532" s="269"/>
      <c r="M532" s="269"/>
      <c r="N532" s="269"/>
      <c r="O532" s="282"/>
      <c r="P532" s="269"/>
      <c r="Q532" s="269"/>
      <c r="R532" s="269"/>
      <c r="S532" s="282"/>
      <c r="T532" s="269"/>
      <c r="U532" s="269"/>
      <c r="V532" s="269"/>
      <c r="W532" s="269"/>
      <c r="X532" s="31"/>
    </row>
    <row r="533" spans="4:24" x14ac:dyDescent="0.25">
      <c r="D533" s="31"/>
      <c r="E533" s="31"/>
      <c r="F533" s="31"/>
      <c r="G533" s="31"/>
      <c r="H533" s="31"/>
      <c r="I533" s="31"/>
      <c r="J533" s="31"/>
      <c r="K533" s="31"/>
      <c r="L533" s="269"/>
      <c r="M533" s="269"/>
      <c r="N533" s="269"/>
      <c r="O533" s="282"/>
      <c r="P533" s="269"/>
      <c r="Q533" s="269"/>
      <c r="R533" s="269"/>
      <c r="S533" s="282"/>
      <c r="T533" s="269"/>
      <c r="U533" s="269"/>
      <c r="V533" s="269"/>
      <c r="W533" s="269"/>
      <c r="X533" s="31"/>
    </row>
    <row r="534" spans="4:24" x14ac:dyDescent="0.25">
      <c r="D534" s="31"/>
      <c r="E534" s="31"/>
      <c r="F534" s="31"/>
      <c r="G534" s="31"/>
      <c r="H534" s="31"/>
      <c r="I534" s="31"/>
      <c r="J534" s="31"/>
      <c r="K534" s="31"/>
      <c r="L534" s="269"/>
      <c r="M534" s="269"/>
      <c r="N534" s="269"/>
      <c r="O534" s="282"/>
      <c r="P534" s="269"/>
      <c r="Q534" s="269"/>
      <c r="R534" s="269"/>
      <c r="S534" s="282"/>
      <c r="T534" s="269"/>
      <c r="U534" s="269"/>
      <c r="V534" s="269"/>
      <c r="W534" s="269"/>
      <c r="X534" s="31"/>
    </row>
    <row r="535" spans="4:24" x14ac:dyDescent="0.25">
      <c r="D535" s="31"/>
      <c r="E535" s="31"/>
      <c r="F535" s="31"/>
      <c r="G535" s="31"/>
      <c r="H535" s="31"/>
      <c r="I535" s="31"/>
      <c r="J535" s="31"/>
      <c r="K535" s="31"/>
      <c r="L535" s="269"/>
      <c r="M535" s="269"/>
      <c r="N535" s="269"/>
      <c r="O535" s="282"/>
      <c r="P535" s="269"/>
      <c r="Q535" s="269"/>
      <c r="R535" s="269"/>
      <c r="S535" s="282"/>
      <c r="T535" s="269"/>
      <c r="U535" s="269"/>
      <c r="V535" s="269"/>
      <c r="W535" s="269"/>
      <c r="X535" s="31"/>
    </row>
    <row r="536" spans="4:24" x14ac:dyDescent="0.25">
      <c r="D536" s="31"/>
      <c r="E536" s="31"/>
      <c r="F536" s="31"/>
      <c r="G536" s="31"/>
      <c r="H536" s="31"/>
      <c r="I536" s="31"/>
      <c r="J536" s="31"/>
      <c r="K536" s="31"/>
      <c r="L536" s="269"/>
      <c r="M536" s="269"/>
      <c r="N536" s="269"/>
      <c r="O536" s="282"/>
      <c r="P536" s="269"/>
      <c r="Q536" s="269"/>
      <c r="R536" s="269"/>
      <c r="S536" s="282"/>
      <c r="T536" s="269"/>
      <c r="U536" s="269"/>
      <c r="V536" s="269"/>
      <c r="W536" s="269"/>
      <c r="X536" s="31"/>
    </row>
    <row r="537" spans="4:24" x14ac:dyDescent="0.25">
      <c r="D537" s="31"/>
      <c r="E537" s="31"/>
      <c r="F537" s="31"/>
      <c r="G537" s="31"/>
      <c r="H537" s="31"/>
      <c r="I537" s="31"/>
      <c r="J537" s="31"/>
      <c r="K537" s="31"/>
      <c r="L537" s="269"/>
      <c r="M537" s="269"/>
      <c r="N537" s="269"/>
      <c r="O537" s="282"/>
      <c r="P537" s="269"/>
      <c r="Q537" s="269"/>
      <c r="R537" s="269"/>
      <c r="S537" s="282"/>
      <c r="T537" s="269"/>
      <c r="U537" s="269"/>
      <c r="V537" s="269"/>
      <c r="W537" s="269"/>
      <c r="X537" s="31"/>
    </row>
    <row r="538" spans="4:24" x14ac:dyDescent="0.25">
      <c r="D538" s="31"/>
      <c r="E538" s="31"/>
      <c r="F538" s="31"/>
      <c r="G538" s="31"/>
      <c r="H538" s="31"/>
      <c r="I538" s="31"/>
      <c r="J538" s="31"/>
      <c r="K538" s="31"/>
      <c r="L538" s="269"/>
      <c r="M538" s="269"/>
      <c r="N538" s="269"/>
      <c r="O538" s="282"/>
      <c r="P538" s="269"/>
      <c r="Q538" s="269"/>
      <c r="R538" s="269"/>
      <c r="S538" s="282"/>
      <c r="T538" s="269"/>
      <c r="U538" s="269"/>
      <c r="V538" s="269"/>
      <c r="W538" s="269"/>
      <c r="X538" s="31"/>
    </row>
    <row r="539" spans="4:24" x14ac:dyDescent="0.25">
      <c r="D539" s="31"/>
      <c r="E539" s="31"/>
      <c r="F539" s="31"/>
      <c r="G539" s="31"/>
      <c r="H539" s="31"/>
      <c r="I539" s="31"/>
      <c r="J539" s="31"/>
      <c r="K539" s="31"/>
      <c r="L539" s="269"/>
      <c r="M539" s="269"/>
      <c r="N539" s="269"/>
      <c r="O539" s="282"/>
      <c r="P539" s="269"/>
      <c r="Q539" s="269"/>
      <c r="R539" s="269"/>
      <c r="S539" s="282"/>
      <c r="T539" s="269"/>
      <c r="U539" s="269"/>
      <c r="V539" s="269"/>
      <c r="W539" s="269"/>
      <c r="X539" s="31"/>
    </row>
    <row r="540" spans="4:24" x14ac:dyDescent="0.25">
      <c r="D540" s="31"/>
      <c r="E540" s="31"/>
      <c r="F540" s="31"/>
      <c r="G540" s="31"/>
      <c r="H540" s="31"/>
      <c r="I540" s="31"/>
      <c r="J540" s="31"/>
      <c r="K540" s="31"/>
      <c r="L540" s="269"/>
      <c r="M540" s="269"/>
      <c r="N540" s="269"/>
      <c r="O540" s="282"/>
      <c r="P540" s="269"/>
      <c r="Q540" s="269"/>
      <c r="R540" s="269"/>
      <c r="S540" s="282"/>
      <c r="T540" s="269"/>
      <c r="U540" s="269"/>
      <c r="V540" s="269"/>
      <c r="W540" s="269"/>
      <c r="X540" s="31"/>
    </row>
    <row r="541" spans="4:24" x14ac:dyDescent="0.25">
      <c r="D541" s="31"/>
      <c r="E541" s="31"/>
      <c r="F541" s="31"/>
      <c r="G541" s="31"/>
      <c r="H541" s="31"/>
      <c r="I541" s="31"/>
      <c r="J541" s="31"/>
      <c r="K541" s="31"/>
      <c r="L541" s="269"/>
      <c r="M541" s="269"/>
      <c r="N541" s="269"/>
      <c r="O541" s="282"/>
      <c r="P541" s="269"/>
      <c r="Q541" s="269"/>
      <c r="R541" s="269"/>
      <c r="S541" s="282"/>
      <c r="T541" s="269"/>
      <c r="U541" s="269"/>
      <c r="V541" s="269"/>
      <c r="W541" s="269"/>
      <c r="X541" s="31"/>
    </row>
    <row r="542" spans="4:24" x14ac:dyDescent="0.25">
      <c r="D542" s="31"/>
      <c r="E542" s="31"/>
      <c r="F542" s="31"/>
      <c r="G542" s="31"/>
      <c r="H542" s="31"/>
      <c r="I542" s="31"/>
      <c r="J542" s="31"/>
      <c r="K542" s="31"/>
      <c r="L542" s="269"/>
      <c r="M542" s="269"/>
      <c r="N542" s="269"/>
      <c r="O542" s="282"/>
      <c r="P542" s="269"/>
      <c r="Q542" s="269"/>
      <c r="R542" s="269"/>
      <c r="S542" s="282"/>
      <c r="T542" s="269"/>
      <c r="U542" s="269"/>
      <c r="V542" s="269"/>
      <c r="W542" s="269"/>
      <c r="X542" s="31"/>
    </row>
    <row r="543" spans="4:24" x14ac:dyDescent="0.25">
      <c r="D543" s="31"/>
      <c r="E543" s="31"/>
      <c r="F543" s="31"/>
      <c r="G543" s="31"/>
      <c r="H543" s="31"/>
      <c r="I543" s="31"/>
      <c r="J543" s="31"/>
      <c r="K543" s="31"/>
      <c r="L543" s="269"/>
      <c r="M543" s="269"/>
      <c r="N543" s="269"/>
      <c r="O543" s="282"/>
      <c r="P543" s="269"/>
      <c r="Q543" s="269"/>
      <c r="R543" s="269"/>
      <c r="S543" s="282"/>
      <c r="T543" s="269"/>
      <c r="U543" s="269"/>
      <c r="V543" s="269"/>
      <c r="W543" s="269"/>
      <c r="X543" s="31"/>
    </row>
    <row r="544" spans="4:24" x14ac:dyDescent="0.25">
      <c r="D544" s="31"/>
      <c r="E544" s="31"/>
      <c r="F544" s="31"/>
      <c r="G544" s="31"/>
      <c r="H544" s="31"/>
      <c r="I544" s="31"/>
      <c r="J544" s="31"/>
      <c r="K544" s="31"/>
      <c r="L544" s="269"/>
      <c r="M544" s="269"/>
      <c r="N544" s="269"/>
      <c r="O544" s="282"/>
      <c r="P544" s="269"/>
      <c r="Q544" s="269"/>
      <c r="R544" s="269"/>
      <c r="S544" s="282"/>
      <c r="T544" s="269"/>
      <c r="U544" s="269"/>
      <c r="V544" s="269"/>
      <c r="W544" s="269"/>
      <c r="X544" s="31"/>
    </row>
    <row r="545" spans="4:24" x14ac:dyDescent="0.25">
      <c r="D545" s="31"/>
      <c r="E545" s="31"/>
      <c r="F545" s="31"/>
      <c r="G545" s="31"/>
      <c r="H545" s="31"/>
      <c r="I545" s="31"/>
      <c r="J545" s="31"/>
      <c r="K545" s="31"/>
      <c r="L545" s="269"/>
      <c r="M545" s="269"/>
      <c r="N545" s="269"/>
      <c r="O545" s="282"/>
      <c r="P545" s="269"/>
      <c r="Q545" s="269"/>
      <c r="R545" s="269"/>
      <c r="S545" s="282"/>
      <c r="T545" s="269"/>
      <c r="U545" s="269"/>
      <c r="V545" s="269"/>
      <c r="W545" s="269"/>
      <c r="X545" s="31"/>
    </row>
    <row r="546" spans="4:24" x14ac:dyDescent="0.25">
      <c r="D546" s="31"/>
      <c r="E546" s="31"/>
      <c r="F546" s="31"/>
      <c r="G546" s="31"/>
      <c r="H546" s="31"/>
      <c r="I546" s="31"/>
      <c r="J546" s="31"/>
      <c r="K546" s="31"/>
      <c r="L546" s="269"/>
      <c r="M546" s="269"/>
      <c r="N546" s="269"/>
      <c r="O546" s="282"/>
      <c r="P546" s="269"/>
      <c r="Q546" s="269"/>
      <c r="R546" s="269"/>
      <c r="S546" s="282"/>
      <c r="T546" s="269"/>
      <c r="U546" s="269"/>
      <c r="V546" s="269"/>
      <c r="W546" s="269"/>
      <c r="X546" s="31"/>
    </row>
    <row r="547" spans="4:24" x14ac:dyDescent="0.25">
      <c r="D547" s="31"/>
      <c r="E547" s="31"/>
      <c r="F547" s="31"/>
      <c r="G547" s="31"/>
      <c r="H547" s="31"/>
      <c r="I547" s="31"/>
      <c r="J547" s="31"/>
      <c r="K547" s="31"/>
      <c r="L547" s="269"/>
      <c r="M547" s="269"/>
      <c r="N547" s="269"/>
      <c r="O547" s="282"/>
      <c r="P547" s="269"/>
      <c r="Q547" s="269"/>
      <c r="R547" s="269"/>
      <c r="S547" s="282"/>
      <c r="T547" s="269"/>
      <c r="U547" s="269"/>
      <c r="V547" s="269"/>
      <c r="W547" s="269"/>
      <c r="X547" s="31"/>
    </row>
    <row r="548" spans="4:24" x14ac:dyDescent="0.25">
      <c r="D548" s="31"/>
      <c r="E548" s="31"/>
      <c r="F548" s="31"/>
      <c r="G548" s="31"/>
      <c r="H548" s="31"/>
      <c r="I548" s="31"/>
      <c r="J548" s="31"/>
      <c r="K548" s="31"/>
      <c r="L548" s="269"/>
      <c r="M548" s="269"/>
      <c r="N548" s="269"/>
      <c r="O548" s="282"/>
      <c r="P548" s="269"/>
      <c r="Q548" s="269"/>
      <c r="R548" s="269"/>
      <c r="S548" s="282"/>
      <c r="T548" s="269"/>
      <c r="U548" s="269"/>
      <c r="V548" s="269"/>
      <c r="W548" s="269"/>
      <c r="X548" s="31"/>
    </row>
    <row r="549" spans="4:24" x14ac:dyDescent="0.25">
      <c r="D549" s="31"/>
      <c r="E549" s="31"/>
      <c r="F549" s="31"/>
      <c r="G549" s="31"/>
      <c r="H549" s="31"/>
      <c r="I549" s="31"/>
      <c r="J549" s="31"/>
      <c r="K549" s="31"/>
      <c r="L549" s="269"/>
      <c r="M549" s="269"/>
      <c r="N549" s="269"/>
      <c r="O549" s="282"/>
      <c r="P549" s="269"/>
      <c r="Q549" s="269"/>
      <c r="R549" s="269"/>
      <c r="S549" s="282"/>
      <c r="T549" s="269"/>
      <c r="U549" s="269"/>
      <c r="V549" s="269"/>
      <c r="W549" s="269"/>
      <c r="X549" s="31"/>
    </row>
    <row r="550" spans="4:24" x14ac:dyDescent="0.25">
      <c r="D550" s="31"/>
      <c r="E550" s="31"/>
      <c r="F550" s="31"/>
      <c r="G550" s="31"/>
      <c r="H550" s="31"/>
      <c r="I550" s="31"/>
      <c r="J550" s="31"/>
      <c r="K550" s="31"/>
      <c r="L550" s="269"/>
      <c r="M550" s="269"/>
      <c r="N550" s="269"/>
      <c r="O550" s="282"/>
      <c r="P550" s="269"/>
      <c r="Q550" s="269"/>
      <c r="R550" s="269"/>
      <c r="S550" s="282"/>
      <c r="T550" s="269"/>
      <c r="U550" s="269"/>
      <c r="V550" s="269"/>
      <c r="W550" s="269"/>
      <c r="X550" s="31"/>
    </row>
    <row r="551" spans="4:24" x14ac:dyDescent="0.25">
      <c r="D551" s="31"/>
      <c r="E551" s="31"/>
      <c r="F551" s="31"/>
      <c r="G551" s="31"/>
      <c r="H551" s="31"/>
      <c r="I551" s="31"/>
      <c r="J551" s="31"/>
      <c r="K551" s="31"/>
      <c r="L551" s="269"/>
      <c r="M551" s="269"/>
      <c r="N551" s="269"/>
      <c r="O551" s="282"/>
      <c r="P551" s="269"/>
      <c r="Q551" s="269"/>
      <c r="R551" s="269"/>
      <c r="S551" s="282"/>
      <c r="T551" s="269"/>
      <c r="U551" s="269"/>
      <c r="V551" s="269"/>
      <c r="W551" s="269"/>
      <c r="X551" s="31"/>
    </row>
    <row r="552" spans="4:24" x14ac:dyDescent="0.25">
      <c r="D552" s="31"/>
      <c r="E552" s="31"/>
      <c r="F552" s="31"/>
      <c r="G552" s="31"/>
      <c r="H552" s="31"/>
      <c r="I552" s="31"/>
      <c r="J552" s="31"/>
      <c r="K552" s="31"/>
      <c r="L552" s="269"/>
      <c r="M552" s="269"/>
      <c r="N552" s="269"/>
      <c r="O552" s="282"/>
      <c r="P552" s="269"/>
      <c r="Q552" s="269"/>
      <c r="R552" s="269"/>
      <c r="S552" s="282"/>
      <c r="T552" s="269"/>
      <c r="U552" s="269"/>
      <c r="V552" s="269"/>
      <c r="W552" s="269"/>
      <c r="X552" s="31"/>
    </row>
    <row r="553" spans="4:24" x14ac:dyDescent="0.25">
      <c r="D553" s="31"/>
      <c r="E553" s="31"/>
      <c r="F553" s="31"/>
      <c r="G553" s="31"/>
      <c r="H553" s="31"/>
      <c r="I553" s="31"/>
      <c r="J553" s="31"/>
      <c r="K553" s="31"/>
      <c r="L553" s="269"/>
      <c r="M553" s="269"/>
      <c r="N553" s="269"/>
      <c r="O553" s="282"/>
      <c r="P553" s="269"/>
      <c r="Q553" s="269"/>
      <c r="R553" s="269"/>
      <c r="S553" s="282"/>
      <c r="T553" s="269"/>
      <c r="U553" s="269"/>
      <c r="V553" s="269"/>
      <c r="W553" s="269"/>
      <c r="X553" s="31"/>
    </row>
    <row r="554" spans="4:24" x14ac:dyDescent="0.25">
      <c r="D554" s="31"/>
      <c r="E554" s="31"/>
      <c r="F554" s="31"/>
      <c r="G554" s="31"/>
      <c r="H554" s="31"/>
      <c r="I554" s="31"/>
      <c r="J554" s="31"/>
      <c r="K554" s="31"/>
      <c r="L554" s="269"/>
      <c r="M554" s="269"/>
      <c r="N554" s="269"/>
      <c r="O554" s="282"/>
      <c r="P554" s="269"/>
      <c r="Q554" s="269"/>
      <c r="R554" s="269"/>
      <c r="S554" s="282"/>
      <c r="T554" s="269"/>
      <c r="U554" s="269"/>
      <c r="V554" s="269"/>
      <c r="W554" s="269"/>
      <c r="X554" s="31"/>
    </row>
    <row r="555" spans="4:24" x14ac:dyDescent="0.25">
      <c r="D555" s="31"/>
      <c r="E555" s="31"/>
      <c r="F555" s="31"/>
      <c r="G555" s="31"/>
      <c r="H555" s="31"/>
      <c r="I555" s="31"/>
      <c r="J555" s="31"/>
      <c r="K555" s="31"/>
      <c r="L555" s="269"/>
      <c r="M555" s="269"/>
      <c r="N555" s="269"/>
      <c r="O555" s="282"/>
      <c r="P555" s="269"/>
      <c r="Q555" s="269"/>
      <c r="R555" s="269"/>
      <c r="S555" s="282"/>
      <c r="T555" s="269"/>
      <c r="U555" s="269"/>
      <c r="V555" s="269"/>
      <c r="W555" s="269"/>
      <c r="X555" s="31"/>
    </row>
    <row r="556" spans="4:24" x14ac:dyDescent="0.25">
      <c r="D556" s="31"/>
      <c r="E556" s="31"/>
      <c r="F556" s="31"/>
      <c r="G556" s="31"/>
      <c r="H556" s="31"/>
      <c r="I556" s="31"/>
      <c r="J556" s="31"/>
      <c r="K556" s="31"/>
      <c r="L556" s="269"/>
      <c r="M556" s="269"/>
      <c r="N556" s="269"/>
      <c r="O556" s="282"/>
      <c r="P556" s="269"/>
      <c r="Q556" s="269"/>
      <c r="R556" s="269"/>
      <c r="S556" s="282"/>
      <c r="T556" s="269"/>
      <c r="U556" s="269"/>
      <c r="V556" s="269"/>
      <c r="W556" s="269"/>
      <c r="X556" s="31"/>
    </row>
    <row r="557" spans="4:24" x14ac:dyDescent="0.25">
      <c r="D557" s="31"/>
      <c r="E557" s="31"/>
      <c r="F557" s="31"/>
      <c r="G557" s="31"/>
      <c r="H557" s="31"/>
      <c r="I557" s="31"/>
      <c r="J557" s="31"/>
      <c r="K557" s="31"/>
      <c r="L557" s="269"/>
      <c r="M557" s="269"/>
      <c r="N557" s="269"/>
      <c r="O557" s="282"/>
      <c r="P557" s="269"/>
      <c r="Q557" s="269"/>
      <c r="R557" s="269"/>
      <c r="S557" s="282"/>
      <c r="T557" s="269"/>
      <c r="U557" s="269"/>
      <c r="V557" s="269"/>
      <c r="W557" s="269"/>
      <c r="X557" s="31"/>
    </row>
    <row r="558" spans="4:24" x14ac:dyDescent="0.25">
      <c r="D558" s="31"/>
      <c r="E558" s="31"/>
      <c r="F558" s="31"/>
      <c r="G558" s="31"/>
      <c r="H558" s="31"/>
      <c r="I558" s="31"/>
      <c r="J558" s="31"/>
      <c r="K558" s="31"/>
      <c r="L558" s="269"/>
      <c r="M558" s="269"/>
      <c r="N558" s="269"/>
      <c r="O558" s="282"/>
      <c r="P558" s="269"/>
      <c r="Q558" s="269"/>
      <c r="R558" s="269"/>
      <c r="S558" s="282"/>
      <c r="T558" s="269"/>
      <c r="U558" s="269"/>
      <c r="V558" s="269"/>
      <c r="W558" s="269"/>
      <c r="X558" s="31"/>
    </row>
    <row r="559" spans="4:24" x14ac:dyDescent="0.25">
      <c r="D559" s="31"/>
      <c r="E559" s="31"/>
      <c r="F559" s="31"/>
      <c r="G559" s="31"/>
      <c r="H559" s="31"/>
      <c r="I559" s="31"/>
      <c r="J559" s="31"/>
      <c r="K559" s="31"/>
      <c r="L559" s="269"/>
      <c r="M559" s="269"/>
      <c r="N559" s="269"/>
      <c r="O559" s="282"/>
      <c r="P559" s="269"/>
      <c r="Q559" s="269"/>
      <c r="R559" s="269"/>
      <c r="S559" s="282"/>
      <c r="T559" s="269"/>
      <c r="U559" s="269"/>
      <c r="V559" s="269"/>
      <c r="W559" s="269"/>
      <c r="X559" s="31"/>
    </row>
    <row r="560" spans="4:24" x14ac:dyDescent="0.25">
      <c r="D560" s="31"/>
      <c r="E560" s="31"/>
      <c r="F560" s="31"/>
      <c r="G560" s="31"/>
      <c r="H560" s="31"/>
      <c r="I560" s="31"/>
      <c r="J560" s="31"/>
      <c r="K560" s="31"/>
      <c r="L560" s="269"/>
      <c r="M560" s="269"/>
      <c r="N560" s="269"/>
      <c r="O560" s="282"/>
      <c r="P560" s="269"/>
      <c r="Q560" s="269"/>
      <c r="R560" s="269"/>
      <c r="S560" s="282"/>
      <c r="T560" s="269"/>
      <c r="U560" s="269"/>
      <c r="V560" s="269"/>
      <c r="W560" s="269"/>
      <c r="X560" s="31"/>
    </row>
    <row r="561" spans="4:24" x14ac:dyDescent="0.25">
      <c r="D561" s="31"/>
      <c r="E561" s="31"/>
      <c r="F561" s="31"/>
      <c r="G561" s="31"/>
      <c r="H561" s="31"/>
      <c r="I561" s="31"/>
      <c r="J561" s="31"/>
      <c r="K561" s="31"/>
      <c r="L561" s="269"/>
      <c r="M561" s="269"/>
      <c r="N561" s="269"/>
      <c r="O561" s="282"/>
      <c r="P561" s="269"/>
      <c r="Q561" s="269"/>
      <c r="R561" s="269"/>
      <c r="S561" s="282"/>
      <c r="T561" s="269"/>
      <c r="U561" s="269"/>
      <c r="V561" s="269"/>
      <c r="W561" s="269"/>
      <c r="X561" s="31"/>
    </row>
    <row r="562" spans="4:24" x14ac:dyDescent="0.25">
      <c r="D562" s="31"/>
      <c r="E562" s="31"/>
      <c r="F562" s="31"/>
      <c r="G562" s="31"/>
      <c r="H562" s="31"/>
      <c r="I562" s="31"/>
      <c r="J562" s="31"/>
      <c r="K562" s="31"/>
      <c r="L562" s="269"/>
      <c r="M562" s="269"/>
      <c r="N562" s="269"/>
      <c r="O562" s="282"/>
      <c r="P562" s="269"/>
      <c r="Q562" s="269"/>
      <c r="R562" s="269"/>
      <c r="S562" s="282"/>
      <c r="T562" s="269"/>
      <c r="U562" s="269"/>
      <c r="V562" s="269"/>
      <c r="W562" s="269"/>
      <c r="X562" s="31"/>
    </row>
    <row r="563" spans="4:24" x14ac:dyDescent="0.25">
      <c r="D563" s="31"/>
      <c r="E563" s="31"/>
      <c r="F563" s="31"/>
      <c r="G563" s="31"/>
      <c r="H563" s="31"/>
      <c r="I563" s="31"/>
      <c r="J563" s="31"/>
      <c r="K563" s="31"/>
      <c r="L563" s="269"/>
      <c r="M563" s="269"/>
      <c r="N563" s="269"/>
      <c r="O563" s="282"/>
      <c r="P563" s="269"/>
      <c r="Q563" s="269"/>
      <c r="R563" s="269"/>
      <c r="S563" s="282"/>
      <c r="T563" s="269"/>
      <c r="U563" s="269"/>
      <c r="V563" s="269"/>
      <c r="W563" s="269"/>
      <c r="X563" s="31"/>
    </row>
    <row r="564" spans="4:24" x14ac:dyDescent="0.25">
      <c r="D564" s="31"/>
      <c r="E564" s="31"/>
      <c r="F564" s="31"/>
      <c r="G564" s="31"/>
      <c r="H564" s="31"/>
      <c r="I564" s="31"/>
      <c r="J564" s="31"/>
      <c r="K564" s="31"/>
      <c r="L564" s="269"/>
      <c r="M564" s="269"/>
      <c r="N564" s="269"/>
      <c r="O564" s="282"/>
      <c r="P564" s="269"/>
      <c r="Q564" s="269"/>
      <c r="R564" s="269"/>
      <c r="S564" s="282"/>
      <c r="T564" s="269"/>
      <c r="U564" s="269"/>
      <c r="V564" s="269"/>
      <c r="W564" s="269"/>
      <c r="X564" s="31"/>
    </row>
    <row r="565" spans="4:24" x14ac:dyDescent="0.25">
      <c r="D565" s="31"/>
      <c r="E565" s="31"/>
      <c r="F565" s="31"/>
      <c r="G565" s="31"/>
      <c r="H565" s="31"/>
      <c r="I565" s="31"/>
      <c r="J565" s="31"/>
      <c r="K565" s="31"/>
      <c r="L565" s="269"/>
      <c r="M565" s="269"/>
      <c r="N565" s="269"/>
      <c r="O565" s="282"/>
      <c r="P565" s="269"/>
      <c r="Q565" s="269"/>
      <c r="R565" s="269"/>
      <c r="S565" s="282"/>
      <c r="T565" s="269"/>
      <c r="U565" s="269"/>
      <c r="V565" s="269"/>
      <c r="W565" s="269"/>
      <c r="X565" s="31"/>
    </row>
    <row r="566" spans="4:24" x14ac:dyDescent="0.25">
      <c r="D566" s="31"/>
      <c r="E566" s="31"/>
      <c r="F566" s="31"/>
      <c r="G566" s="31"/>
      <c r="H566" s="31"/>
      <c r="I566" s="31"/>
      <c r="J566" s="31"/>
      <c r="K566" s="31"/>
      <c r="L566" s="269"/>
      <c r="M566" s="269"/>
      <c r="N566" s="269"/>
      <c r="O566" s="282"/>
      <c r="P566" s="269"/>
      <c r="Q566" s="269"/>
      <c r="R566" s="269"/>
      <c r="S566" s="282"/>
      <c r="T566" s="269"/>
      <c r="U566" s="269"/>
      <c r="V566" s="269"/>
      <c r="W566" s="269"/>
      <c r="X566" s="31"/>
    </row>
    <row r="567" spans="4:24" x14ac:dyDescent="0.25">
      <c r="D567" s="31"/>
      <c r="E567" s="31"/>
      <c r="F567" s="31"/>
      <c r="G567" s="31"/>
      <c r="H567" s="31"/>
      <c r="I567" s="31"/>
      <c r="J567" s="31"/>
      <c r="K567" s="31"/>
      <c r="L567" s="269"/>
      <c r="M567" s="269"/>
      <c r="N567" s="269"/>
      <c r="O567" s="282"/>
      <c r="P567" s="269"/>
      <c r="Q567" s="269"/>
      <c r="R567" s="269"/>
      <c r="S567" s="282"/>
      <c r="T567" s="269"/>
      <c r="U567" s="269"/>
      <c r="V567" s="269"/>
      <c r="W567" s="269"/>
      <c r="X567" s="31"/>
    </row>
    <row r="568" spans="4:24" x14ac:dyDescent="0.25">
      <c r="D568" s="31"/>
      <c r="E568" s="31"/>
      <c r="F568" s="31"/>
      <c r="G568" s="31"/>
      <c r="H568" s="31"/>
      <c r="I568" s="31"/>
      <c r="J568" s="31"/>
      <c r="K568" s="31"/>
      <c r="L568" s="269"/>
      <c r="M568" s="269"/>
      <c r="N568" s="269"/>
      <c r="O568" s="282"/>
      <c r="P568" s="269"/>
      <c r="Q568" s="269"/>
      <c r="R568" s="269"/>
      <c r="S568" s="282"/>
      <c r="T568" s="269"/>
      <c r="U568" s="269"/>
      <c r="V568" s="269"/>
      <c r="W568" s="269"/>
      <c r="X568" s="31"/>
    </row>
    <row r="569" spans="4:24" x14ac:dyDescent="0.25">
      <c r="D569" s="31"/>
      <c r="E569" s="31"/>
      <c r="F569" s="31"/>
      <c r="G569" s="31"/>
      <c r="H569" s="31"/>
      <c r="I569" s="31"/>
      <c r="J569" s="31"/>
      <c r="K569" s="31"/>
      <c r="L569" s="269"/>
      <c r="M569" s="269"/>
      <c r="N569" s="269"/>
      <c r="O569" s="282"/>
      <c r="P569" s="269"/>
      <c r="Q569" s="269"/>
      <c r="R569" s="269"/>
      <c r="S569" s="282"/>
      <c r="T569" s="269"/>
      <c r="U569" s="269"/>
      <c r="V569" s="269"/>
      <c r="W569" s="269"/>
      <c r="X569" s="31"/>
    </row>
    <row r="570" spans="4:24" x14ac:dyDescent="0.25">
      <c r="D570" s="31"/>
      <c r="E570" s="31"/>
      <c r="F570" s="31"/>
      <c r="G570" s="31"/>
      <c r="H570" s="31"/>
      <c r="I570" s="31"/>
      <c r="J570" s="31"/>
      <c r="K570" s="31"/>
      <c r="L570" s="269"/>
      <c r="M570" s="269"/>
      <c r="N570" s="269"/>
      <c r="O570" s="282"/>
      <c r="P570" s="269"/>
      <c r="Q570" s="269"/>
      <c r="R570" s="269"/>
      <c r="S570" s="282"/>
      <c r="T570" s="269"/>
      <c r="U570" s="269"/>
      <c r="V570" s="269"/>
      <c r="W570" s="269"/>
      <c r="X570" s="31"/>
    </row>
    <row r="571" spans="4:24" x14ac:dyDescent="0.25">
      <c r="D571" s="31"/>
      <c r="E571" s="31"/>
      <c r="F571" s="31"/>
      <c r="G571" s="31"/>
      <c r="H571" s="31"/>
      <c r="I571" s="31"/>
      <c r="J571" s="31"/>
      <c r="K571" s="31"/>
      <c r="L571" s="269"/>
      <c r="M571" s="269"/>
      <c r="N571" s="269"/>
      <c r="O571" s="282"/>
      <c r="P571" s="269"/>
      <c r="Q571" s="269"/>
      <c r="R571" s="269"/>
      <c r="S571" s="282"/>
      <c r="T571" s="269"/>
      <c r="U571" s="269"/>
      <c r="V571" s="269"/>
      <c r="W571" s="269"/>
      <c r="X571" s="31"/>
    </row>
    <row r="572" spans="4:24" x14ac:dyDescent="0.25">
      <c r="D572" s="31"/>
      <c r="E572" s="31"/>
      <c r="F572" s="31"/>
      <c r="G572" s="31"/>
      <c r="H572" s="31"/>
      <c r="I572" s="31"/>
      <c r="J572" s="31"/>
      <c r="K572" s="31"/>
      <c r="L572" s="269"/>
      <c r="M572" s="269"/>
      <c r="N572" s="269"/>
      <c r="O572" s="282"/>
      <c r="P572" s="269"/>
      <c r="Q572" s="269"/>
      <c r="R572" s="269"/>
      <c r="S572" s="282"/>
      <c r="T572" s="269"/>
      <c r="U572" s="269"/>
      <c r="V572" s="269"/>
      <c r="W572" s="269"/>
      <c r="X572" s="31"/>
    </row>
    <row r="573" spans="4:24" x14ac:dyDescent="0.25">
      <c r="D573" s="31"/>
      <c r="E573" s="31"/>
      <c r="F573" s="31"/>
      <c r="G573" s="31"/>
      <c r="H573" s="31"/>
      <c r="I573" s="31"/>
      <c r="J573" s="31"/>
      <c r="K573" s="31"/>
      <c r="L573" s="269"/>
      <c r="M573" s="269"/>
      <c r="N573" s="269"/>
      <c r="O573" s="282"/>
      <c r="P573" s="269"/>
      <c r="Q573" s="269"/>
      <c r="R573" s="269"/>
      <c r="S573" s="282"/>
      <c r="T573" s="269"/>
      <c r="U573" s="269"/>
      <c r="V573" s="269"/>
      <c r="W573" s="269"/>
      <c r="X573" s="31"/>
    </row>
    <row r="574" spans="4:24" x14ac:dyDescent="0.25">
      <c r="D574" s="31"/>
      <c r="E574" s="31"/>
      <c r="F574" s="31"/>
      <c r="G574" s="31"/>
      <c r="H574" s="31"/>
      <c r="I574" s="31"/>
      <c r="J574" s="31"/>
      <c r="K574" s="31"/>
      <c r="L574" s="269"/>
      <c r="M574" s="269"/>
      <c r="N574" s="269"/>
      <c r="O574" s="282"/>
      <c r="P574" s="269"/>
      <c r="Q574" s="269"/>
      <c r="R574" s="269"/>
      <c r="S574" s="282"/>
      <c r="T574" s="269"/>
      <c r="U574" s="269"/>
      <c r="V574" s="269"/>
      <c r="W574" s="269"/>
      <c r="X574" s="31"/>
    </row>
    <row r="575" spans="4:24" x14ac:dyDescent="0.25">
      <c r="D575" s="31"/>
      <c r="E575" s="31"/>
      <c r="F575" s="31"/>
      <c r="G575" s="31"/>
      <c r="H575" s="31"/>
      <c r="I575" s="31"/>
      <c r="J575" s="31"/>
      <c r="K575" s="31"/>
      <c r="L575" s="269"/>
      <c r="M575" s="269"/>
      <c r="N575" s="269"/>
      <c r="O575" s="282"/>
      <c r="P575" s="269"/>
      <c r="Q575" s="269"/>
      <c r="R575" s="269"/>
      <c r="S575" s="282"/>
      <c r="T575" s="269"/>
      <c r="U575" s="269"/>
      <c r="V575" s="269"/>
      <c r="W575" s="269"/>
      <c r="X575" s="31"/>
    </row>
    <row r="576" spans="4:24" x14ac:dyDescent="0.25">
      <c r="D576" s="31"/>
      <c r="E576" s="31"/>
      <c r="F576" s="31"/>
      <c r="G576" s="31"/>
      <c r="H576" s="31"/>
      <c r="I576" s="31"/>
      <c r="J576" s="31"/>
      <c r="K576" s="31"/>
      <c r="L576" s="269"/>
      <c r="M576" s="269"/>
      <c r="N576" s="269"/>
      <c r="O576" s="282"/>
      <c r="P576" s="269"/>
      <c r="Q576" s="269"/>
      <c r="R576" s="269"/>
      <c r="S576" s="282"/>
      <c r="T576" s="269"/>
      <c r="U576" s="269"/>
      <c r="V576" s="269"/>
      <c r="W576" s="269"/>
      <c r="X576" s="31"/>
    </row>
    <row r="577" spans="4:24" x14ac:dyDescent="0.25">
      <c r="D577" s="31"/>
      <c r="E577" s="31"/>
      <c r="F577" s="31"/>
      <c r="G577" s="31"/>
      <c r="H577" s="31"/>
      <c r="I577" s="31"/>
      <c r="J577" s="31"/>
      <c r="K577" s="31"/>
      <c r="L577" s="269"/>
      <c r="M577" s="269"/>
      <c r="N577" s="269"/>
      <c r="O577" s="282"/>
      <c r="P577" s="269"/>
      <c r="Q577" s="269"/>
      <c r="R577" s="269"/>
      <c r="S577" s="282"/>
      <c r="T577" s="269"/>
      <c r="U577" s="269"/>
      <c r="V577" s="269"/>
      <c r="W577" s="269"/>
      <c r="X577" s="31"/>
    </row>
    <row r="578" spans="4:24" x14ac:dyDescent="0.25">
      <c r="D578" s="31"/>
      <c r="E578" s="31"/>
      <c r="F578" s="31"/>
      <c r="G578" s="31"/>
      <c r="H578" s="31"/>
      <c r="I578" s="31"/>
      <c r="J578" s="31"/>
      <c r="K578" s="31"/>
      <c r="L578" s="269"/>
      <c r="M578" s="269"/>
      <c r="N578" s="269"/>
      <c r="O578" s="282"/>
      <c r="P578" s="269"/>
      <c r="Q578" s="269"/>
      <c r="R578" s="269"/>
      <c r="S578" s="282"/>
      <c r="T578" s="269"/>
      <c r="U578" s="269"/>
      <c r="V578" s="269"/>
      <c r="W578" s="269"/>
      <c r="X578" s="31"/>
    </row>
    <row r="579" spans="4:24" x14ac:dyDescent="0.25">
      <c r="D579" s="31"/>
      <c r="E579" s="31"/>
      <c r="F579" s="31"/>
      <c r="G579" s="31"/>
      <c r="H579" s="31"/>
      <c r="I579" s="31"/>
      <c r="J579" s="31"/>
      <c r="K579" s="31"/>
      <c r="L579" s="269"/>
      <c r="M579" s="269"/>
      <c r="N579" s="269"/>
      <c r="O579" s="282"/>
      <c r="P579" s="269"/>
      <c r="Q579" s="269"/>
      <c r="R579" s="269"/>
      <c r="S579" s="282"/>
      <c r="T579" s="269"/>
      <c r="U579" s="269"/>
      <c r="V579" s="269"/>
      <c r="W579" s="269"/>
      <c r="X579" s="31"/>
    </row>
    <row r="580" spans="4:24" x14ac:dyDescent="0.25">
      <c r="D580" s="31"/>
      <c r="E580" s="31"/>
      <c r="F580" s="31"/>
      <c r="G580" s="31"/>
      <c r="H580" s="31"/>
      <c r="I580" s="31"/>
      <c r="J580" s="31"/>
      <c r="K580" s="31"/>
      <c r="L580" s="269"/>
      <c r="M580" s="269"/>
      <c r="N580" s="269"/>
      <c r="O580" s="282"/>
      <c r="P580" s="269"/>
      <c r="Q580" s="269"/>
      <c r="R580" s="269"/>
      <c r="S580" s="282"/>
      <c r="T580" s="269"/>
      <c r="U580" s="269"/>
      <c r="V580" s="269"/>
      <c r="W580" s="269"/>
      <c r="X580" s="31"/>
    </row>
    <row r="581" spans="4:24" x14ac:dyDescent="0.25">
      <c r="D581" s="31"/>
      <c r="E581" s="31"/>
      <c r="F581" s="31"/>
      <c r="G581" s="31"/>
      <c r="H581" s="31"/>
      <c r="I581" s="31"/>
      <c r="J581" s="31"/>
      <c r="K581" s="31"/>
      <c r="L581" s="269"/>
      <c r="M581" s="269"/>
      <c r="N581" s="269"/>
      <c r="O581" s="282"/>
      <c r="P581" s="269"/>
      <c r="Q581" s="269"/>
      <c r="R581" s="269"/>
      <c r="S581" s="282"/>
      <c r="T581" s="269"/>
      <c r="U581" s="269"/>
      <c r="V581" s="269"/>
      <c r="W581" s="269"/>
      <c r="X581" s="31"/>
    </row>
    <row r="582" spans="4:24" x14ac:dyDescent="0.25">
      <c r="D582" s="31"/>
      <c r="E582" s="31"/>
      <c r="F582" s="31"/>
      <c r="G582" s="31"/>
      <c r="H582" s="31"/>
      <c r="I582" s="31"/>
      <c r="J582" s="31"/>
      <c r="K582" s="31"/>
      <c r="L582" s="269"/>
      <c r="M582" s="269"/>
      <c r="N582" s="269"/>
      <c r="O582" s="282"/>
      <c r="P582" s="269"/>
      <c r="Q582" s="269"/>
      <c r="R582" s="269"/>
      <c r="S582" s="282"/>
      <c r="T582" s="269"/>
      <c r="U582" s="269"/>
      <c r="V582" s="269"/>
      <c r="W582" s="269"/>
      <c r="X582" s="31"/>
    </row>
    <row r="583" spans="4:24" x14ac:dyDescent="0.25">
      <c r="D583" s="31"/>
      <c r="E583" s="31"/>
      <c r="F583" s="31"/>
      <c r="G583" s="31"/>
      <c r="H583" s="31"/>
      <c r="I583" s="31"/>
      <c r="J583" s="31"/>
      <c r="K583" s="31"/>
      <c r="L583" s="269"/>
      <c r="M583" s="269"/>
      <c r="N583" s="269"/>
      <c r="O583" s="282"/>
      <c r="P583" s="269"/>
      <c r="Q583" s="269"/>
      <c r="R583" s="269"/>
      <c r="S583" s="282"/>
      <c r="T583" s="269"/>
      <c r="U583" s="269"/>
      <c r="V583" s="269"/>
      <c r="W583" s="269"/>
      <c r="X583" s="31"/>
    </row>
    <row r="584" spans="4:24" x14ac:dyDescent="0.25">
      <c r="D584" s="31"/>
      <c r="E584" s="31"/>
      <c r="F584" s="31"/>
      <c r="G584" s="31"/>
      <c r="H584" s="31"/>
      <c r="I584" s="31"/>
      <c r="J584" s="31"/>
      <c r="K584" s="31"/>
      <c r="L584" s="269"/>
      <c r="M584" s="269"/>
      <c r="N584" s="269"/>
      <c r="O584" s="282"/>
      <c r="P584" s="269"/>
      <c r="Q584" s="269"/>
      <c r="R584" s="269"/>
      <c r="S584" s="282"/>
      <c r="T584" s="269"/>
      <c r="U584" s="269"/>
      <c r="V584" s="269"/>
      <c r="W584" s="269"/>
      <c r="X584" s="31"/>
    </row>
    <row r="585" spans="4:24" x14ac:dyDescent="0.25">
      <c r="D585" s="31"/>
      <c r="E585" s="31"/>
      <c r="F585" s="31"/>
      <c r="G585" s="31"/>
      <c r="H585" s="31"/>
      <c r="I585" s="31"/>
      <c r="J585" s="31"/>
      <c r="K585" s="31"/>
      <c r="L585" s="269"/>
      <c r="M585" s="269"/>
      <c r="N585" s="269"/>
      <c r="O585" s="282"/>
      <c r="P585" s="269"/>
      <c r="Q585" s="269"/>
      <c r="R585" s="269"/>
      <c r="S585" s="282"/>
      <c r="T585" s="269"/>
      <c r="U585" s="269"/>
      <c r="V585" s="269"/>
      <c r="W585" s="269"/>
      <c r="X585" s="31"/>
    </row>
    <row r="586" spans="4:24" x14ac:dyDescent="0.25">
      <c r="D586" s="31"/>
      <c r="E586" s="31"/>
      <c r="F586" s="31"/>
      <c r="G586" s="31"/>
      <c r="H586" s="31"/>
      <c r="I586" s="31"/>
      <c r="J586" s="31"/>
      <c r="K586" s="31"/>
      <c r="L586" s="269"/>
      <c r="M586" s="269"/>
      <c r="N586" s="269"/>
      <c r="O586" s="282"/>
      <c r="P586" s="269"/>
      <c r="Q586" s="269"/>
      <c r="R586" s="269"/>
      <c r="S586" s="282"/>
      <c r="T586" s="269"/>
      <c r="U586" s="269"/>
      <c r="V586" s="269"/>
      <c r="W586" s="269"/>
      <c r="X586" s="31"/>
    </row>
    <row r="587" spans="4:24" x14ac:dyDescent="0.25">
      <c r="D587" s="31"/>
      <c r="E587" s="31"/>
      <c r="F587" s="31"/>
      <c r="G587" s="31"/>
      <c r="H587" s="31"/>
      <c r="I587" s="31"/>
      <c r="J587" s="31"/>
      <c r="K587" s="31"/>
      <c r="L587" s="269"/>
      <c r="M587" s="269"/>
      <c r="N587" s="269"/>
      <c r="O587" s="282"/>
      <c r="P587" s="269"/>
      <c r="Q587" s="269"/>
      <c r="R587" s="269"/>
      <c r="S587" s="282"/>
      <c r="T587" s="269"/>
      <c r="U587" s="269"/>
      <c r="V587" s="269"/>
      <c r="W587" s="269"/>
      <c r="X587" s="31"/>
    </row>
    <row r="588" spans="4:24" x14ac:dyDescent="0.25">
      <c r="D588" s="31"/>
      <c r="E588" s="31"/>
      <c r="F588" s="31"/>
      <c r="G588" s="31"/>
      <c r="H588" s="31"/>
      <c r="I588" s="31"/>
      <c r="J588" s="31"/>
      <c r="K588" s="31"/>
      <c r="L588" s="269"/>
      <c r="M588" s="269"/>
      <c r="N588" s="269"/>
      <c r="O588" s="282"/>
      <c r="P588" s="269"/>
      <c r="Q588" s="269"/>
      <c r="R588" s="269"/>
      <c r="S588" s="282"/>
      <c r="T588" s="269"/>
      <c r="U588" s="269"/>
      <c r="V588" s="269"/>
      <c r="W588" s="269"/>
      <c r="X588" s="31"/>
    </row>
    <row r="589" spans="4:24" x14ac:dyDescent="0.25">
      <c r="D589" s="31"/>
      <c r="E589" s="31"/>
      <c r="F589" s="31"/>
      <c r="G589" s="31"/>
      <c r="H589" s="31"/>
      <c r="I589" s="31"/>
      <c r="J589" s="31"/>
      <c r="K589" s="31"/>
      <c r="L589" s="269"/>
      <c r="M589" s="269"/>
      <c r="N589" s="269"/>
      <c r="O589" s="282"/>
      <c r="P589" s="269"/>
      <c r="Q589" s="269"/>
      <c r="R589" s="269"/>
      <c r="S589" s="282"/>
      <c r="T589" s="269"/>
      <c r="U589" s="269"/>
      <c r="V589" s="269"/>
      <c r="W589" s="269"/>
      <c r="X589" s="31"/>
    </row>
    <row r="590" spans="4:24" x14ac:dyDescent="0.25">
      <c r="D590" s="31"/>
      <c r="E590" s="31"/>
      <c r="F590" s="31"/>
      <c r="G590" s="31"/>
      <c r="H590" s="31"/>
      <c r="I590" s="31"/>
      <c r="J590" s="31"/>
      <c r="K590" s="31"/>
      <c r="L590" s="269"/>
      <c r="M590" s="269"/>
      <c r="N590" s="269"/>
      <c r="O590" s="282"/>
      <c r="P590" s="269"/>
      <c r="Q590" s="269"/>
      <c r="R590" s="269"/>
      <c r="S590" s="282"/>
      <c r="T590" s="269"/>
      <c r="U590" s="269"/>
      <c r="V590" s="269"/>
      <c r="W590" s="269"/>
      <c r="X590" s="31"/>
    </row>
    <row r="591" spans="4:24" x14ac:dyDescent="0.25">
      <c r="D591" s="31"/>
      <c r="E591" s="31"/>
      <c r="F591" s="31"/>
      <c r="G591" s="31"/>
      <c r="H591" s="31"/>
      <c r="I591" s="31"/>
      <c r="J591" s="31"/>
      <c r="K591" s="31"/>
      <c r="L591" s="269"/>
      <c r="M591" s="269"/>
      <c r="N591" s="269"/>
      <c r="O591" s="282"/>
      <c r="P591" s="269"/>
      <c r="Q591" s="269"/>
      <c r="R591" s="269"/>
      <c r="S591" s="282"/>
      <c r="T591" s="269"/>
      <c r="U591" s="269"/>
      <c r="V591" s="269"/>
      <c r="W591" s="269"/>
      <c r="X591" s="31"/>
    </row>
    <row r="592" spans="4:24" x14ac:dyDescent="0.25">
      <c r="D592" s="31"/>
      <c r="E592" s="31"/>
      <c r="F592" s="31"/>
      <c r="G592" s="31"/>
      <c r="H592" s="31"/>
      <c r="I592" s="31"/>
      <c r="J592" s="31"/>
      <c r="K592" s="31"/>
      <c r="L592" s="269"/>
      <c r="M592" s="269"/>
      <c r="N592" s="269"/>
      <c r="O592" s="282"/>
      <c r="P592" s="269"/>
      <c r="Q592" s="269"/>
      <c r="R592" s="269"/>
      <c r="S592" s="282"/>
      <c r="T592" s="269"/>
      <c r="U592" s="269"/>
      <c r="V592" s="269"/>
      <c r="W592" s="269"/>
      <c r="X592" s="31"/>
    </row>
    <row r="593" spans="4:24" x14ac:dyDescent="0.25">
      <c r="D593" s="31"/>
      <c r="E593" s="31"/>
      <c r="F593" s="31"/>
      <c r="G593" s="31"/>
      <c r="H593" s="31"/>
      <c r="I593" s="31"/>
      <c r="J593" s="31"/>
      <c r="K593" s="31"/>
      <c r="L593" s="269"/>
      <c r="M593" s="269"/>
      <c r="N593" s="269"/>
      <c r="O593" s="282"/>
      <c r="P593" s="269"/>
      <c r="Q593" s="269"/>
      <c r="R593" s="269"/>
      <c r="S593" s="282"/>
      <c r="T593" s="269"/>
      <c r="U593" s="269"/>
      <c r="V593" s="269"/>
      <c r="W593" s="269"/>
      <c r="X593" s="31"/>
    </row>
    <row r="594" spans="4:24" x14ac:dyDescent="0.25">
      <c r="D594" s="31"/>
      <c r="E594" s="31"/>
      <c r="F594" s="31"/>
      <c r="G594" s="31"/>
      <c r="H594" s="31"/>
      <c r="I594" s="31"/>
      <c r="J594" s="31"/>
      <c r="K594" s="31"/>
      <c r="L594" s="269"/>
      <c r="M594" s="269"/>
      <c r="N594" s="269"/>
      <c r="O594" s="282"/>
      <c r="P594" s="269"/>
      <c r="Q594" s="269"/>
      <c r="R594" s="269"/>
      <c r="S594" s="282"/>
      <c r="T594" s="269"/>
      <c r="U594" s="269"/>
      <c r="V594" s="269"/>
      <c r="W594" s="269"/>
      <c r="X594" s="31"/>
    </row>
    <row r="595" spans="4:24" x14ac:dyDescent="0.25">
      <c r="D595" s="31"/>
      <c r="E595" s="31"/>
      <c r="F595" s="31"/>
      <c r="G595" s="31"/>
      <c r="H595" s="31"/>
      <c r="I595" s="31"/>
      <c r="J595" s="31"/>
      <c r="K595" s="31"/>
      <c r="L595" s="269"/>
      <c r="M595" s="269"/>
      <c r="N595" s="269"/>
      <c r="O595" s="282"/>
      <c r="P595" s="269"/>
      <c r="Q595" s="269"/>
      <c r="R595" s="269"/>
      <c r="S595" s="282"/>
      <c r="T595" s="269"/>
      <c r="U595" s="269"/>
      <c r="V595" s="269"/>
      <c r="W595" s="269"/>
      <c r="X595" s="31"/>
    </row>
    <row r="596" spans="4:24" x14ac:dyDescent="0.25">
      <c r="D596" s="31"/>
      <c r="E596" s="31"/>
      <c r="F596" s="31"/>
      <c r="G596" s="31"/>
      <c r="H596" s="31"/>
      <c r="I596" s="31"/>
      <c r="J596" s="31"/>
      <c r="K596" s="31"/>
      <c r="L596" s="269"/>
      <c r="M596" s="269"/>
      <c r="N596" s="269"/>
      <c r="O596" s="282"/>
      <c r="P596" s="269"/>
      <c r="Q596" s="269"/>
      <c r="R596" s="269"/>
      <c r="S596" s="282"/>
      <c r="T596" s="269"/>
      <c r="U596" s="269"/>
      <c r="V596" s="269"/>
      <c r="W596" s="269"/>
      <c r="X596" s="31"/>
    </row>
    <row r="597" spans="4:24" x14ac:dyDescent="0.25">
      <c r="D597" s="31"/>
      <c r="E597" s="31"/>
      <c r="F597" s="31"/>
      <c r="G597" s="31"/>
      <c r="H597" s="31"/>
      <c r="I597" s="31"/>
      <c r="J597" s="31"/>
      <c r="K597" s="31"/>
      <c r="L597" s="269"/>
      <c r="M597" s="269"/>
      <c r="N597" s="269"/>
      <c r="O597" s="282"/>
      <c r="P597" s="269"/>
      <c r="Q597" s="269"/>
      <c r="R597" s="269"/>
      <c r="S597" s="282"/>
      <c r="T597" s="269"/>
      <c r="U597" s="269"/>
      <c r="V597" s="269"/>
      <c r="W597" s="269"/>
      <c r="X597" s="31"/>
    </row>
    <row r="598" spans="4:24" x14ac:dyDescent="0.25">
      <c r="D598" s="31"/>
      <c r="E598" s="31"/>
      <c r="F598" s="31"/>
      <c r="G598" s="31"/>
      <c r="H598" s="31"/>
      <c r="I598" s="31"/>
      <c r="J598" s="31"/>
      <c r="K598" s="31"/>
      <c r="L598" s="269"/>
      <c r="M598" s="269"/>
      <c r="N598" s="269"/>
      <c r="O598" s="282"/>
      <c r="P598" s="269"/>
      <c r="Q598" s="269"/>
      <c r="R598" s="269"/>
      <c r="S598" s="282"/>
      <c r="T598" s="269"/>
      <c r="U598" s="269"/>
      <c r="V598" s="269"/>
      <c r="W598" s="269"/>
      <c r="X598" s="31"/>
    </row>
    <row r="599" spans="4:24" x14ac:dyDescent="0.25">
      <c r="D599" s="31"/>
      <c r="E599" s="31"/>
      <c r="F599" s="31"/>
      <c r="G599" s="31"/>
      <c r="H599" s="31"/>
      <c r="I599" s="31"/>
      <c r="J599" s="31"/>
      <c r="K599" s="31"/>
      <c r="L599" s="269"/>
      <c r="M599" s="269"/>
      <c r="N599" s="269"/>
      <c r="O599" s="282"/>
      <c r="P599" s="269"/>
      <c r="Q599" s="269"/>
      <c r="R599" s="269"/>
      <c r="S599" s="282"/>
      <c r="T599" s="269"/>
      <c r="U599" s="269"/>
      <c r="V599" s="269"/>
      <c r="W599" s="269"/>
      <c r="X599" s="31"/>
    </row>
    <row r="600" spans="4:24" x14ac:dyDescent="0.25">
      <c r="D600" s="31"/>
      <c r="E600" s="31"/>
      <c r="F600" s="31"/>
      <c r="G600" s="31"/>
      <c r="H600" s="31"/>
      <c r="I600" s="31"/>
      <c r="J600" s="31"/>
      <c r="K600" s="31"/>
      <c r="L600" s="269"/>
      <c r="M600" s="269"/>
      <c r="N600" s="269"/>
      <c r="O600" s="282"/>
      <c r="P600" s="269"/>
      <c r="Q600" s="269"/>
      <c r="R600" s="269"/>
      <c r="S600" s="282"/>
      <c r="T600" s="269"/>
      <c r="U600" s="269"/>
      <c r="V600" s="269"/>
      <c r="W600" s="269"/>
      <c r="X600" s="31"/>
    </row>
    <row r="601" spans="4:24" x14ac:dyDescent="0.25">
      <c r="D601" s="31"/>
      <c r="E601" s="31"/>
      <c r="F601" s="31"/>
      <c r="G601" s="31"/>
      <c r="H601" s="31"/>
      <c r="I601" s="31"/>
      <c r="J601" s="31"/>
      <c r="K601" s="31"/>
      <c r="L601" s="269"/>
      <c r="M601" s="269"/>
      <c r="N601" s="269"/>
      <c r="O601" s="282"/>
      <c r="P601" s="269"/>
      <c r="Q601" s="269"/>
      <c r="R601" s="269"/>
      <c r="S601" s="282"/>
      <c r="T601" s="269"/>
      <c r="U601" s="269"/>
      <c r="V601" s="269"/>
      <c r="W601" s="269"/>
      <c r="X601" s="31"/>
    </row>
    <row r="602" spans="4:24" x14ac:dyDescent="0.25">
      <c r="D602" s="31"/>
      <c r="E602" s="31"/>
      <c r="F602" s="31"/>
      <c r="G602" s="31"/>
      <c r="H602" s="31"/>
      <c r="I602" s="31"/>
      <c r="J602" s="31"/>
      <c r="K602" s="31"/>
      <c r="L602" s="269"/>
      <c r="M602" s="269"/>
      <c r="N602" s="269"/>
      <c r="O602" s="282"/>
      <c r="P602" s="269"/>
      <c r="Q602" s="269"/>
      <c r="R602" s="269"/>
      <c r="S602" s="282"/>
      <c r="T602" s="269"/>
      <c r="U602" s="269"/>
      <c r="V602" s="269"/>
      <c r="W602" s="269"/>
      <c r="X602" s="31"/>
    </row>
    <row r="603" spans="4:24" x14ac:dyDescent="0.25">
      <c r="D603" s="31"/>
      <c r="E603" s="31"/>
      <c r="F603" s="31"/>
      <c r="G603" s="31"/>
      <c r="H603" s="31"/>
      <c r="I603" s="31"/>
      <c r="J603" s="31"/>
      <c r="K603" s="31"/>
      <c r="L603" s="269"/>
      <c r="M603" s="269"/>
      <c r="N603" s="269"/>
      <c r="O603" s="282"/>
      <c r="P603" s="269"/>
      <c r="Q603" s="269"/>
      <c r="R603" s="269"/>
      <c r="S603" s="282"/>
      <c r="T603" s="269"/>
      <c r="U603" s="269"/>
      <c r="V603" s="269"/>
      <c r="W603" s="269"/>
      <c r="X603" s="31"/>
    </row>
    <row r="604" spans="4:24" x14ac:dyDescent="0.25">
      <c r="D604" s="31"/>
      <c r="E604" s="31"/>
      <c r="F604" s="31"/>
      <c r="G604" s="31"/>
      <c r="H604" s="31"/>
      <c r="I604" s="31"/>
      <c r="J604" s="31"/>
      <c r="K604" s="31"/>
      <c r="L604" s="269"/>
      <c r="M604" s="269"/>
      <c r="N604" s="269"/>
      <c r="O604" s="282"/>
      <c r="P604" s="269"/>
      <c r="Q604" s="269"/>
      <c r="R604" s="269"/>
      <c r="S604" s="282"/>
      <c r="T604" s="269"/>
      <c r="U604" s="269"/>
      <c r="V604" s="269"/>
      <c r="W604" s="269"/>
      <c r="X604" s="31"/>
    </row>
    <row r="605" spans="4:24" x14ac:dyDescent="0.25">
      <c r="D605" s="31"/>
      <c r="E605" s="31"/>
      <c r="F605" s="31"/>
      <c r="G605" s="31"/>
      <c r="H605" s="31"/>
      <c r="I605" s="31"/>
      <c r="J605" s="31"/>
      <c r="K605" s="31"/>
      <c r="L605" s="269"/>
      <c r="M605" s="269"/>
      <c r="N605" s="269"/>
      <c r="O605" s="282"/>
      <c r="P605" s="269"/>
      <c r="Q605" s="269"/>
      <c r="R605" s="269"/>
      <c r="S605" s="282"/>
      <c r="T605" s="269"/>
      <c r="U605" s="269"/>
      <c r="V605" s="269"/>
      <c r="W605" s="269"/>
      <c r="X605" s="31"/>
    </row>
    <row r="606" spans="4:24" x14ac:dyDescent="0.25">
      <c r="D606" s="31"/>
      <c r="E606" s="31"/>
      <c r="F606" s="31"/>
      <c r="G606" s="31"/>
      <c r="H606" s="31"/>
      <c r="I606" s="31"/>
      <c r="J606" s="31"/>
      <c r="K606" s="31"/>
      <c r="L606" s="269"/>
      <c r="M606" s="269"/>
      <c r="N606" s="269"/>
      <c r="O606" s="282"/>
      <c r="P606" s="269"/>
      <c r="Q606" s="269"/>
      <c r="R606" s="269"/>
      <c r="S606" s="282"/>
      <c r="T606" s="269"/>
      <c r="U606" s="269"/>
      <c r="V606" s="269"/>
      <c r="W606" s="269"/>
      <c r="X606" s="31"/>
    </row>
    <row r="607" spans="4:24" x14ac:dyDescent="0.25">
      <c r="D607" s="31"/>
      <c r="E607" s="31"/>
      <c r="F607" s="31"/>
      <c r="G607" s="31"/>
      <c r="H607" s="31"/>
      <c r="I607" s="31"/>
      <c r="J607" s="31"/>
      <c r="K607" s="31"/>
      <c r="L607" s="269"/>
      <c r="M607" s="269"/>
      <c r="N607" s="269"/>
      <c r="O607" s="282"/>
      <c r="P607" s="269"/>
      <c r="Q607" s="269"/>
      <c r="R607" s="269"/>
      <c r="S607" s="282"/>
      <c r="T607" s="269"/>
      <c r="U607" s="269"/>
      <c r="V607" s="269"/>
      <c r="W607" s="269"/>
      <c r="X607" s="31"/>
    </row>
    <row r="608" spans="4:24" x14ac:dyDescent="0.25">
      <c r="D608" s="31"/>
      <c r="E608" s="31"/>
      <c r="F608" s="31"/>
      <c r="G608" s="31"/>
      <c r="H608" s="31"/>
      <c r="I608" s="31"/>
      <c r="J608" s="31"/>
      <c r="K608" s="31"/>
      <c r="L608" s="269"/>
      <c r="M608" s="269"/>
      <c r="N608" s="269"/>
      <c r="O608" s="282"/>
      <c r="P608" s="269"/>
      <c r="Q608" s="269"/>
      <c r="R608" s="269"/>
      <c r="S608" s="282"/>
      <c r="T608" s="269"/>
      <c r="U608" s="269"/>
      <c r="V608" s="269"/>
      <c r="W608" s="269"/>
      <c r="X608" s="31"/>
    </row>
    <row r="609" spans="4:24" x14ac:dyDescent="0.25">
      <c r="D609" s="31"/>
      <c r="E609" s="31"/>
      <c r="F609" s="31"/>
      <c r="G609" s="31"/>
      <c r="H609" s="31"/>
      <c r="I609" s="31"/>
      <c r="J609" s="31"/>
      <c r="K609" s="31"/>
      <c r="L609" s="269"/>
      <c r="M609" s="269"/>
      <c r="N609" s="269"/>
      <c r="O609" s="282"/>
      <c r="P609" s="269"/>
      <c r="Q609" s="269"/>
      <c r="R609" s="269"/>
      <c r="S609" s="282"/>
      <c r="T609" s="269"/>
      <c r="U609" s="269"/>
      <c r="V609" s="269"/>
      <c r="W609" s="269"/>
      <c r="X609" s="31"/>
    </row>
    <row r="610" spans="4:24" x14ac:dyDescent="0.25">
      <c r="D610" s="31"/>
      <c r="E610" s="31"/>
      <c r="F610" s="31"/>
      <c r="G610" s="31"/>
      <c r="H610" s="31"/>
      <c r="I610" s="31"/>
      <c r="J610" s="31"/>
      <c r="K610" s="31"/>
      <c r="L610" s="269"/>
      <c r="M610" s="269"/>
      <c r="N610" s="269"/>
      <c r="O610" s="282"/>
      <c r="P610" s="269"/>
      <c r="Q610" s="269"/>
      <c r="R610" s="269"/>
      <c r="S610" s="282"/>
      <c r="T610" s="269"/>
      <c r="U610" s="269"/>
      <c r="V610" s="269"/>
      <c r="W610" s="269"/>
      <c r="X610" s="31"/>
    </row>
    <row r="611" spans="4:24" x14ac:dyDescent="0.25">
      <c r="D611" s="31"/>
      <c r="E611" s="31"/>
      <c r="F611" s="31"/>
      <c r="G611" s="31"/>
      <c r="H611" s="31"/>
      <c r="I611" s="31"/>
      <c r="J611" s="31"/>
      <c r="K611" s="31"/>
      <c r="L611" s="269"/>
      <c r="M611" s="269"/>
      <c r="N611" s="269"/>
      <c r="O611" s="282"/>
      <c r="P611" s="269"/>
      <c r="Q611" s="269"/>
      <c r="R611" s="269"/>
      <c r="S611" s="282"/>
      <c r="T611" s="269"/>
      <c r="U611" s="269"/>
      <c r="V611" s="269"/>
      <c r="W611" s="269"/>
      <c r="X611" s="31"/>
    </row>
    <row r="612" spans="4:24" x14ac:dyDescent="0.25">
      <c r="D612" s="31"/>
      <c r="E612" s="31"/>
      <c r="F612" s="31"/>
      <c r="G612" s="31"/>
      <c r="H612" s="31"/>
      <c r="I612" s="31"/>
      <c r="J612" s="31"/>
      <c r="K612" s="31"/>
      <c r="L612" s="269"/>
      <c r="M612" s="269"/>
      <c r="N612" s="269"/>
      <c r="O612" s="282"/>
      <c r="P612" s="269"/>
      <c r="Q612" s="269"/>
      <c r="R612" s="269"/>
      <c r="S612" s="282"/>
      <c r="T612" s="269"/>
      <c r="U612" s="269"/>
      <c r="V612" s="269"/>
      <c r="W612" s="269"/>
      <c r="X612" s="31"/>
    </row>
    <row r="613" spans="4:24" x14ac:dyDescent="0.25">
      <c r="D613" s="31"/>
      <c r="E613" s="31"/>
      <c r="F613" s="31"/>
      <c r="G613" s="31"/>
      <c r="H613" s="31"/>
      <c r="I613" s="31"/>
      <c r="J613" s="31"/>
      <c r="K613" s="31"/>
      <c r="L613" s="269"/>
      <c r="M613" s="269"/>
      <c r="N613" s="269"/>
      <c r="O613" s="282"/>
      <c r="P613" s="269"/>
      <c r="Q613" s="269"/>
      <c r="R613" s="269"/>
      <c r="S613" s="282"/>
      <c r="T613" s="269"/>
      <c r="U613" s="269"/>
      <c r="V613" s="269"/>
      <c r="W613" s="269"/>
      <c r="X613" s="31"/>
    </row>
    <row r="614" spans="4:24" x14ac:dyDescent="0.25">
      <c r="D614" s="31"/>
      <c r="E614" s="31"/>
      <c r="F614" s="31"/>
      <c r="G614" s="31"/>
      <c r="H614" s="31"/>
      <c r="I614" s="31"/>
      <c r="J614" s="31"/>
      <c r="K614" s="31"/>
      <c r="L614" s="269"/>
      <c r="M614" s="269"/>
      <c r="N614" s="269"/>
      <c r="O614" s="282"/>
      <c r="P614" s="269"/>
      <c r="Q614" s="269"/>
      <c r="R614" s="269"/>
      <c r="S614" s="282"/>
      <c r="T614" s="269"/>
      <c r="U614" s="269"/>
      <c r="V614" s="269"/>
      <c r="W614" s="269"/>
      <c r="X614" s="31"/>
    </row>
    <row r="615" spans="4:24" x14ac:dyDescent="0.25">
      <c r="D615" s="31"/>
      <c r="E615" s="31"/>
      <c r="F615" s="31"/>
      <c r="G615" s="31"/>
      <c r="H615" s="31"/>
      <c r="I615" s="31"/>
      <c r="J615" s="31"/>
      <c r="K615" s="31"/>
      <c r="L615" s="269"/>
      <c r="M615" s="269"/>
      <c r="N615" s="269"/>
      <c r="O615" s="282"/>
      <c r="P615" s="269"/>
      <c r="Q615" s="269"/>
      <c r="R615" s="269"/>
      <c r="S615" s="282"/>
      <c r="T615" s="269"/>
      <c r="U615" s="269"/>
      <c r="V615" s="269"/>
      <c r="W615" s="269"/>
      <c r="X615" s="31"/>
    </row>
    <row r="616" spans="4:24" x14ac:dyDescent="0.25">
      <c r="D616" s="31"/>
      <c r="E616" s="31"/>
      <c r="F616" s="31"/>
      <c r="G616" s="31"/>
      <c r="H616" s="31"/>
      <c r="I616" s="31"/>
      <c r="J616" s="31"/>
      <c r="K616" s="31"/>
      <c r="L616" s="269"/>
      <c r="M616" s="269"/>
      <c r="N616" s="269"/>
      <c r="O616" s="282"/>
      <c r="P616" s="269"/>
      <c r="Q616" s="269"/>
      <c r="R616" s="269"/>
      <c r="S616" s="282"/>
      <c r="T616" s="269"/>
      <c r="U616" s="269"/>
      <c r="V616" s="269"/>
      <c r="W616" s="269"/>
      <c r="X616" s="31"/>
    </row>
    <row r="617" spans="4:24" x14ac:dyDescent="0.25">
      <c r="D617" s="31"/>
      <c r="E617" s="31"/>
      <c r="F617" s="31"/>
      <c r="G617" s="31"/>
      <c r="H617" s="31"/>
      <c r="I617" s="31"/>
      <c r="J617" s="31"/>
      <c r="K617" s="31"/>
      <c r="L617" s="269"/>
      <c r="M617" s="269"/>
      <c r="N617" s="269"/>
      <c r="O617" s="282"/>
      <c r="P617" s="269"/>
      <c r="Q617" s="269"/>
      <c r="R617" s="269"/>
      <c r="S617" s="282"/>
      <c r="T617" s="269"/>
      <c r="U617" s="269"/>
      <c r="V617" s="269"/>
      <c r="W617" s="269"/>
      <c r="X617" s="31"/>
    </row>
    <row r="618" spans="4:24" x14ac:dyDescent="0.25">
      <c r="D618" s="31"/>
      <c r="E618" s="31"/>
      <c r="F618" s="31"/>
      <c r="G618" s="31"/>
      <c r="H618" s="31"/>
      <c r="I618" s="31"/>
      <c r="J618" s="31"/>
      <c r="K618" s="31"/>
      <c r="L618" s="269"/>
      <c r="M618" s="269"/>
      <c r="N618" s="269"/>
      <c r="O618" s="282"/>
      <c r="P618" s="269"/>
      <c r="Q618" s="269"/>
      <c r="R618" s="269"/>
      <c r="S618" s="282"/>
      <c r="T618" s="269"/>
      <c r="U618" s="269"/>
      <c r="V618" s="269"/>
      <c r="W618" s="269"/>
      <c r="X618" s="31"/>
    </row>
    <row r="619" spans="4:24" x14ac:dyDescent="0.25">
      <c r="D619" s="31"/>
      <c r="E619" s="31"/>
      <c r="F619" s="31"/>
      <c r="G619" s="31"/>
      <c r="H619" s="31"/>
      <c r="I619" s="31"/>
      <c r="J619" s="31"/>
      <c r="K619" s="31"/>
      <c r="L619" s="269"/>
      <c r="M619" s="269"/>
      <c r="N619" s="269"/>
      <c r="O619" s="282"/>
      <c r="P619" s="269"/>
      <c r="Q619" s="269"/>
      <c r="R619" s="269"/>
      <c r="S619" s="282"/>
      <c r="T619" s="269"/>
      <c r="U619" s="269"/>
      <c r="V619" s="269"/>
      <c r="W619" s="269"/>
      <c r="X619" s="31"/>
    </row>
    <row r="620" spans="4:24" x14ac:dyDescent="0.25">
      <c r="D620" s="31"/>
      <c r="E620" s="31"/>
      <c r="F620" s="31"/>
      <c r="G620" s="31"/>
      <c r="H620" s="31"/>
      <c r="I620" s="31"/>
      <c r="J620" s="31"/>
      <c r="K620" s="31"/>
      <c r="L620" s="269"/>
      <c r="M620" s="269"/>
      <c r="N620" s="269"/>
      <c r="O620" s="282"/>
      <c r="P620" s="269"/>
      <c r="Q620" s="269"/>
      <c r="R620" s="269"/>
      <c r="S620" s="282"/>
      <c r="T620" s="269"/>
      <c r="U620" s="269"/>
      <c r="V620" s="269"/>
      <c r="W620" s="269"/>
      <c r="X620" s="31"/>
    </row>
    <row r="621" spans="4:24" x14ac:dyDescent="0.25">
      <c r="D621" s="31"/>
      <c r="E621" s="31"/>
      <c r="F621" s="31"/>
      <c r="G621" s="31"/>
      <c r="H621" s="31"/>
      <c r="I621" s="31"/>
      <c r="J621" s="31"/>
      <c r="K621" s="31"/>
      <c r="L621" s="269"/>
      <c r="M621" s="269"/>
      <c r="N621" s="269"/>
      <c r="O621" s="282"/>
      <c r="P621" s="269"/>
      <c r="Q621" s="269"/>
      <c r="R621" s="269"/>
      <c r="S621" s="282"/>
      <c r="T621" s="269"/>
      <c r="U621" s="269"/>
      <c r="V621" s="269"/>
      <c r="W621" s="269"/>
      <c r="X621" s="31"/>
    </row>
    <row r="622" spans="4:24" x14ac:dyDescent="0.25">
      <c r="D622" s="31"/>
      <c r="E622" s="31"/>
      <c r="F622" s="31"/>
      <c r="G622" s="31"/>
      <c r="H622" s="31"/>
      <c r="I622" s="31"/>
      <c r="J622" s="31"/>
      <c r="K622" s="31"/>
      <c r="L622" s="269"/>
      <c r="M622" s="269"/>
      <c r="N622" s="269"/>
      <c r="O622" s="282"/>
      <c r="P622" s="269"/>
      <c r="Q622" s="269"/>
      <c r="R622" s="269"/>
      <c r="S622" s="282"/>
      <c r="T622" s="269"/>
      <c r="U622" s="269"/>
      <c r="V622" s="269"/>
      <c r="W622" s="269"/>
      <c r="X622" s="31"/>
    </row>
    <row r="623" spans="4:24" x14ac:dyDescent="0.25">
      <c r="D623" s="31"/>
      <c r="E623" s="31"/>
      <c r="F623" s="31"/>
      <c r="G623" s="31"/>
      <c r="H623" s="31"/>
      <c r="I623" s="31"/>
      <c r="J623" s="31"/>
      <c r="K623" s="31"/>
      <c r="L623" s="269"/>
      <c r="M623" s="269"/>
      <c r="N623" s="269"/>
      <c r="O623" s="282"/>
      <c r="P623" s="269"/>
      <c r="Q623" s="269"/>
      <c r="R623" s="269"/>
      <c r="S623" s="282"/>
      <c r="T623" s="269"/>
      <c r="U623" s="269"/>
      <c r="V623" s="269"/>
      <c r="W623" s="269"/>
      <c r="X623" s="31"/>
    </row>
    <row r="624" spans="4:24" x14ac:dyDescent="0.25">
      <c r="D624" s="31"/>
      <c r="E624" s="31"/>
      <c r="F624" s="31"/>
      <c r="G624" s="31"/>
      <c r="H624" s="31"/>
      <c r="I624" s="31"/>
      <c r="J624" s="31"/>
      <c r="K624" s="31"/>
      <c r="L624" s="269"/>
      <c r="M624" s="269"/>
      <c r="N624" s="269"/>
      <c r="O624" s="282"/>
      <c r="P624" s="269"/>
      <c r="Q624" s="269"/>
      <c r="R624" s="269"/>
      <c r="S624" s="282"/>
      <c r="T624" s="269"/>
      <c r="U624" s="269"/>
      <c r="V624" s="269"/>
      <c r="W624" s="269"/>
      <c r="X624" s="31"/>
    </row>
    <row r="625" spans="4:24" x14ac:dyDescent="0.25">
      <c r="D625" s="31"/>
      <c r="E625" s="31"/>
      <c r="F625" s="31"/>
      <c r="G625" s="31"/>
      <c r="H625" s="31"/>
      <c r="I625" s="31"/>
      <c r="J625" s="31"/>
      <c r="K625" s="31"/>
      <c r="L625" s="269"/>
      <c r="M625" s="269"/>
      <c r="N625" s="269"/>
      <c r="O625" s="282"/>
      <c r="P625" s="269"/>
      <c r="Q625" s="269"/>
      <c r="R625" s="269"/>
      <c r="S625" s="282"/>
      <c r="T625" s="269"/>
      <c r="U625" s="269"/>
      <c r="V625" s="269"/>
      <c r="W625" s="269"/>
      <c r="X625" s="31"/>
    </row>
    <row r="626" spans="4:24" x14ac:dyDescent="0.25">
      <c r="D626" s="31"/>
      <c r="E626" s="31"/>
      <c r="F626" s="31"/>
      <c r="G626" s="31"/>
      <c r="H626" s="31"/>
      <c r="I626" s="31"/>
      <c r="J626" s="31"/>
      <c r="K626" s="31"/>
      <c r="L626" s="269"/>
      <c r="M626" s="269"/>
      <c r="N626" s="269"/>
      <c r="O626" s="282"/>
      <c r="P626" s="269"/>
      <c r="Q626" s="269"/>
      <c r="R626" s="269"/>
      <c r="S626" s="282"/>
      <c r="T626" s="269"/>
      <c r="U626" s="269"/>
      <c r="V626" s="269"/>
      <c r="W626" s="269"/>
      <c r="X626" s="31"/>
    </row>
    <row r="627" spans="4:24" x14ac:dyDescent="0.25">
      <c r="D627" s="31"/>
      <c r="E627" s="31"/>
      <c r="F627" s="31"/>
      <c r="G627" s="31"/>
      <c r="H627" s="31"/>
      <c r="I627" s="31"/>
      <c r="J627" s="31"/>
      <c r="K627" s="31"/>
      <c r="L627" s="269"/>
      <c r="M627" s="269"/>
      <c r="N627" s="269"/>
      <c r="O627" s="282"/>
      <c r="P627" s="269"/>
      <c r="Q627" s="269"/>
      <c r="R627" s="269"/>
      <c r="S627" s="282"/>
      <c r="T627" s="269"/>
      <c r="U627" s="269"/>
      <c r="V627" s="269"/>
      <c r="W627" s="269"/>
      <c r="X627" s="31"/>
    </row>
    <row r="628" spans="4:24" x14ac:dyDescent="0.25">
      <c r="D628" s="31"/>
      <c r="E628" s="31"/>
      <c r="F628" s="31"/>
      <c r="G628" s="31"/>
      <c r="H628" s="31"/>
      <c r="I628" s="31"/>
      <c r="J628" s="31"/>
      <c r="K628" s="31"/>
      <c r="L628" s="269"/>
      <c r="M628" s="269"/>
      <c r="N628" s="269"/>
      <c r="O628" s="282"/>
      <c r="P628" s="269"/>
      <c r="Q628" s="269"/>
      <c r="R628" s="269"/>
      <c r="S628" s="282"/>
      <c r="T628" s="269"/>
      <c r="U628" s="269"/>
      <c r="V628" s="269"/>
      <c r="W628" s="269"/>
      <c r="X628" s="31"/>
    </row>
    <row r="629" spans="4:24" x14ac:dyDescent="0.25">
      <c r="D629" s="31"/>
      <c r="E629" s="31"/>
      <c r="F629" s="31"/>
      <c r="G629" s="31"/>
      <c r="H629" s="31"/>
      <c r="I629" s="31"/>
      <c r="J629" s="31"/>
      <c r="K629" s="31"/>
      <c r="L629" s="269"/>
      <c r="M629" s="269"/>
      <c r="N629" s="269"/>
      <c r="O629" s="282"/>
      <c r="P629" s="269"/>
      <c r="Q629" s="269"/>
      <c r="R629" s="269"/>
      <c r="S629" s="282"/>
      <c r="T629" s="269"/>
      <c r="U629" s="269"/>
      <c r="V629" s="269"/>
      <c r="W629" s="269"/>
      <c r="X629" s="31"/>
    </row>
    <row r="630" spans="4:24" x14ac:dyDescent="0.25">
      <c r="D630" s="31"/>
      <c r="E630" s="31"/>
      <c r="F630" s="31"/>
      <c r="G630" s="31"/>
      <c r="H630" s="31"/>
      <c r="I630" s="31"/>
      <c r="J630" s="31"/>
      <c r="K630" s="31"/>
      <c r="L630" s="269"/>
      <c r="M630" s="269"/>
      <c r="N630" s="269"/>
      <c r="O630" s="282"/>
      <c r="P630" s="269"/>
      <c r="Q630" s="269"/>
      <c r="R630" s="269"/>
      <c r="S630" s="282"/>
      <c r="T630" s="269"/>
      <c r="U630" s="269"/>
      <c r="V630" s="269"/>
      <c r="W630" s="269"/>
      <c r="X630" s="31"/>
    </row>
    <row r="631" spans="4:24" x14ac:dyDescent="0.25">
      <c r="D631" s="31"/>
      <c r="E631" s="31"/>
      <c r="F631" s="31"/>
      <c r="G631" s="31"/>
      <c r="H631" s="31"/>
      <c r="I631" s="31"/>
      <c r="J631" s="31"/>
      <c r="K631" s="31"/>
      <c r="L631" s="269"/>
      <c r="M631" s="269"/>
      <c r="N631" s="269"/>
      <c r="O631" s="282"/>
      <c r="P631" s="269"/>
      <c r="Q631" s="269"/>
      <c r="R631" s="269"/>
      <c r="S631" s="282"/>
      <c r="T631" s="269"/>
      <c r="U631" s="269"/>
      <c r="V631" s="269"/>
      <c r="W631" s="269"/>
      <c r="X631" s="31"/>
    </row>
    <row r="632" spans="4:24" x14ac:dyDescent="0.25">
      <c r="D632" s="31"/>
      <c r="E632" s="31"/>
      <c r="F632" s="31"/>
      <c r="G632" s="31"/>
      <c r="H632" s="31"/>
      <c r="I632" s="31"/>
      <c r="J632" s="31"/>
      <c r="K632" s="31"/>
      <c r="L632" s="269"/>
      <c r="M632" s="269"/>
      <c r="N632" s="269"/>
      <c r="O632" s="282"/>
      <c r="P632" s="269"/>
      <c r="Q632" s="269"/>
      <c r="R632" s="269"/>
      <c r="S632" s="282"/>
      <c r="T632" s="269"/>
      <c r="U632" s="269"/>
      <c r="V632" s="269"/>
      <c r="W632" s="269"/>
      <c r="X632" s="31"/>
    </row>
    <row r="633" spans="4:24" x14ac:dyDescent="0.25">
      <c r="D633" s="31"/>
      <c r="E633" s="31"/>
      <c r="F633" s="31"/>
      <c r="G633" s="31"/>
      <c r="H633" s="31"/>
      <c r="I633" s="31"/>
      <c r="J633" s="31"/>
      <c r="K633" s="31"/>
      <c r="L633" s="269"/>
      <c r="M633" s="269"/>
      <c r="N633" s="269"/>
      <c r="O633" s="282"/>
      <c r="P633" s="269"/>
      <c r="Q633" s="269"/>
      <c r="R633" s="269"/>
      <c r="S633" s="282"/>
      <c r="T633" s="269"/>
      <c r="U633" s="269"/>
      <c r="V633" s="269"/>
      <c r="W633" s="269"/>
      <c r="X633" s="31"/>
    </row>
    <row r="634" spans="4:24" x14ac:dyDescent="0.25">
      <c r="D634" s="31"/>
      <c r="E634" s="31"/>
      <c r="F634" s="31"/>
      <c r="G634" s="31"/>
      <c r="H634" s="31"/>
      <c r="I634" s="31"/>
      <c r="J634" s="31"/>
      <c r="K634" s="31"/>
      <c r="L634" s="269"/>
      <c r="M634" s="269"/>
      <c r="N634" s="269"/>
      <c r="O634" s="282"/>
      <c r="P634" s="269"/>
      <c r="Q634" s="269"/>
      <c r="R634" s="269"/>
      <c r="S634" s="282"/>
      <c r="T634" s="269"/>
      <c r="U634" s="269"/>
      <c r="V634" s="269"/>
      <c r="W634" s="269"/>
      <c r="X634" s="31"/>
    </row>
    <row r="635" spans="4:24" x14ac:dyDescent="0.25">
      <c r="D635" s="31"/>
      <c r="E635" s="31"/>
      <c r="F635" s="31"/>
      <c r="G635" s="31"/>
      <c r="H635" s="31"/>
      <c r="I635" s="31"/>
      <c r="J635" s="31"/>
      <c r="K635" s="31"/>
      <c r="L635" s="269"/>
      <c r="M635" s="269"/>
      <c r="N635" s="269"/>
      <c r="O635" s="282"/>
      <c r="P635" s="269"/>
      <c r="Q635" s="269"/>
      <c r="R635" s="269"/>
      <c r="S635" s="282"/>
      <c r="T635" s="269"/>
      <c r="U635" s="269"/>
      <c r="V635" s="269"/>
      <c r="W635" s="269"/>
      <c r="X635" s="31"/>
    </row>
    <row r="636" spans="4:24" x14ac:dyDescent="0.25">
      <c r="D636" s="31"/>
      <c r="E636" s="31"/>
      <c r="F636" s="31"/>
      <c r="G636" s="31"/>
      <c r="H636" s="31"/>
      <c r="I636" s="31"/>
      <c r="J636" s="31"/>
      <c r="K636" s="31"/>
      <c r="L636" s="269"/>
      <c r="M636" s="269"/>
      <c r="N636" s="269"/>
      <c r="O636" s="282"/>
      <c r="P636" s="269"/>
      <c r="Q636" s="269"/>
      <c r="R636" s="269"/>
      <c r="S636" s="282"/>
      <c r="T636" s="269"/>
      <c r="U636" s="269"/>
      <c r="V636" s="269"/>
      <c r="W636" s="269"/>
      <c r="X636" s="31"/>
    </row>
    <row r="637" spans="4:24" x14ac:dyDescent="0.25">
      <c r="D637" s="31"/>
      <c r="E637" s="31"/>
      <c r="F637" s="31"/>
      <c r="G637" s="31"/>
      <c r="H637" s="31"/>
      <c r="I637" s="31"/>
      <c r="J637" s="31"/>
      <c r="K637" s="31"/>
      <c r="L637" s="269"/>
      <c r="M637" s="269"/>
      <c r="N637" s="269"/>
      <c r="O637" s="282"/>
      <c r="P637" s="269"/>
      <c r="Q637" s="269"/>
      <c r="R637" s="269"/>
      <c r="S637" s="282"/>
      <c r="T637" s="269"/>
      <c r="U637" s="269"/>
      <c r="V637" s="269"/>
      <c r="W637" s="269"/>
      <c r="X637" s="31"/>
    </row>
    <row r="638" spans="4:24" x14ac:dyDescent="0.25">
      <c r="D638" s="31"/>
      <c r="E638" s="31"/>
      <c r="F638" s="31"/>
      <c r="G638" s="31"/>
      <c r="H638" s="31"/>
      <c r="I638" s="31"/>
      <c r="J638" s="31"/>
      <c r="K638" s="31"/>
      <c r="L638" s="269"/>
      <c r="M638" s="269"/>
      <c r="N638" s="269"/>
      <c r="O638" s="282"/>
      <c r="P638" s="269"/>
      <c r="Q638" s="269"/>
      <c r="R638" s="269"/>
      <c r="S638" s="282"/>
      <c r="T638" s="269"/>
      <c r="U638" s="269"/>
      <c r="V638" s="269"/>
      <c r="W638" s="269"/>
      <c r="X638" s="31"/>
    </row>
    <row r="639" spans="4:24" x14ac:dyDescent="0.25">
      <c r="D639" s="31"/>
      <c r="E639" s="31"/>
      <c r="F639" s="31"/>
      <c r="G639" s="31"/>
      <c r="H639" s="31"/>
      <c r="I639" s="31"/>
      <c r="J639" s="31"/>
      <c r="K639" s="31"/>
      <c r="L639" s="269"/>
      <c r="M639" s="269"/>
      <c r="N639" s="269"/>
      <c r="O639" s="282"/>
      <c r="P639" s="269"/>
      <c r="Q639" s="269"/>
      <c r="R639" s="269"/>
      <c r="S639" s="282"/>
      <c r="T639" s="269"/>
      <c r="U639" s="269"/>
      <c r="V639" s="269"/>
      <c r="W639" s="269"/>
      <c r="X639" s="31"/>
    </row>
    <row r="640" spans="4:24" x14ac:dyDescent="0.25">
      <c r="D640" s="31"/>
      <c r="E640" s="31"/>
      <c r="F640" s="31"/>
      <c r="G640" s="31"/>
      <c r="H640" s="31"/>
      <c r="I640" s="31"/>
      <c r="J640" s="31"/>
      <c r="K640" s="31"/>
      <c r="L640" s="269"/>
      <c r="M640" s="269"/>
      <c r="N640" s="269"/>
      <c r="O640" s="282"/>
      <c r="P640" s="269"/>
      <c r="Q640" s="269"/>
      <c r="R640" s="269"/>
      <c r="S640" s="282"/>
      <c r="T640" s="269"/>
      <c r="U640" s="269"/>
      <c r="V640" s="269"/>
      <c r="W640" s="269"/>
      <c r="X640" s="31"/>
    </row>
    <row r="641" spans="4:24" x14ac:dyDescent="0.25">
      <c r="D641" s="31"/>
      <c r="E641" s="31"/>
      <c r="F641" s="31"/>
      <c r="G641" s="31"/>
      <c r="H641" s="31"/>
      <c r="I641" s="31"/>
      <c r="J641" s="31"/>
      <c r="K641" s="31"/>
      <c r="L641" s="269"/>
      <c r="M641" s="269"/>
      <c r="N641" s="269"/>
      <c r="O641" s="282"/>
      <c r="P641" s="269"/>
      <c r="Q641" s="269"/>
      <c r="R641" s="269"/>
      <c r="S641" s="282"/>
      <c r="T641" s="269"/>
      <c r="U641" s="269"/>
      <c r="V641" s="269"/>
      <c r="W641" s="269"/>
      <c r="X641" s="31"/>
    </row>
    <row r="642" spans="4:24" x14ac:dyDescent="0.25">
      <c r="D642" s="31"/>
      <c r="E642" s="31"/>
      <c r="F642" s="31"/>
      <c r="G642" s="31"/>
      <c r="H642" s="31"/>
      <c r="I642" s="31"/>
      <c r="J642" s="31"/>
      <c r="K642" s="31"/>
      <c r="L642" s="269"/>
      <c r="M642" s="269"/>
      <c r="N642" s="269"/>
      <c r="O642" s="282"/>
      <c r="P642" s="269"/>
      <c r="Q642" s="269"/>
      <c r="R642" s="269"/>
      <c r="S642" s="282"/>
      <c r="T642" s="269"/>
      <c r="U642" s="269"/>
      <c r="V642" s="269"/>
      <c r="W642" s="269"/>
      <c r="X642" s="31"/>
    </row>
    <row r="643" spans="4:24" x14ac:dyDescent="0.25">
      <c r="D643" s="31"/>
      <c r="E643" s="31"/>
      <c r="F643" s="31"/>
      <c r="G643" s="31"/>
      <c r="H643" s="31"/>
      <c r="I643" s="31"/>
      <c r="J643" s="31"/>
      <c r="K643" s="31"/>
      <c r="L643" s="269"/>
      <c r="M643" s="269"/>
      <c r="N643" s="269"/>
      <c r="O643" s="282"/>
      <c r="P643" s="269"/>
      <c r="Q643" s="269"/>
      <c r="R643" s="269"/>
      <c r="S643" s="282"/>
      <c r="T643" s="269"/>
      <c r="U643" s="269"/>
      <c r="V643" s="269"/>
      <c r="W643" s="269"/>
      <c r="X643" s="31"/>
    </row>
    <row r="644" spans="4:24" x14ac:dyDescent="0.25">
      <c r="D644" s="31"/>
      <c r="E644" s="31"/>
      <c r="F644" s="31"/>
      <c r="G644" s="31"/>
      <c r="H644" s="31"/>
      <c r="I644" s="31"/>
      <c r="J644" s="31"/>
      <c r="K644" s="31"/>
      <c r="L644" s="269"/>
      <c r="M644" s="269"/>
      <c r="N644" s="269"/>
      <c r="O644" s="282"/>
      <c r="P644" s="269"/>
      <c r="Q644" s="269"/>
      <c r="R644" s="269"/>
      <c r="S644" s="282"/>
      <c r="T644" s="269"/>
      <c r="U644" s="269"/>
      <c r="V644" s="269"/>
      <c r="W644" s="269"/>
      <c r="X644" s="31"/>
    </row>
    <row r="645" spans="4:24" x14ac:dyDescent="0.25">
      <c r="D645" s="31"/>
      <c r="E645" s="31"/>
      <c r="F645" s="31"/>
      <c r="G645" s="31"/>
      <c r="H645" s="31"/>
      <c r="I645" s="31"/>
      <c r="J645" s="31"/>
      <c r="K645" s="31"/>
      <c r="L645" s="269"/>
      <c r="M645" s="269"/>
      <c r="N645" s="269"/>
      <c r="O645" s="282"/>
      <c r="P645" s="269"/>
      <c r="Q645" s="269"/>
      <c r="R645" s="269"/>
      <c r="S645" s="282"/>
      <c r="T645" s="269"/>
      <c r="U645" s="269"/>
      <c r="V645" s="269"/>
      <c r="W645" s="269"/>
      <c r="X645" s="31"/>
    </row>
    <row r="646" spans="4:24" x14ac:dyDescent="0.25">
      <c r="D646" s="31"/>
      <c r="E646" s="31"/>
      <c r="F646" s="31"/>
      <c r="G646" s="31"/>
      <c r="H646" s="31"/>
      <c r="I646" s="31"/>
      <c r="J646" s="31"/>
      <c r="K646" s="31"/>
      <c r="L646" s="269"/>
      <c r="M646" s="269"/>
      <c r="N646" s="269"/>
      <c r="O646" s="282"/>
      <c r="P646" s="269"/>
      <c r="Q646" s="269"/>
      <c r="R646" s="269"/>
      <c r="S646" s="282"/>
      <c r="T646" s="269"/>
      <c r="U646" s="269"/>
      <c r="V646" s="269"/>
      <c r="W646" s="269"/>
      <c r="X646" s="31"/>
    </row>
    <row r="647" spans="4:24" x14ac:dyDescent="0.25">
      <c r="D647" s="31"/>
      <c r="E647" s="31"/>
      <c r="F647" s="31"/>
      <c r="G647" s="31"/>
      <c r="H647" s="31"/>
      <c r="I647" s="31"/>
      <c r="J647" s="31"/>
      <c r="K647" s="31"/>
      <c r="L647" s="269"/>
      <c r="M647" s="269"/>
      <c r="N647" s="269"/>
      <c r="O647" s="282"/>
      <c r="P647" s="269"/>
      <c r="Q647" s="269"/>
      <c r="R647" s="269"/>
      <c r="S647" s="282"/>
      <c r="T647" s="269"/>
      <c r="U647" s="269"/>
      <c r="V647" s="269"/>
      <c r="W647" s="269"/>
      <c r="X647" s="31"/>
    </row>
    <row r="648" spans="4:24" x14ac:dyDescent="0.25">
      <c r="D648" s="31"/>
      <c r="E648" s="31"/>
      <c r="F648" s="31"/>
      <c r="G648" s="31"/>
      <c r="H648" s="31"/>
      <c r="I648" s="31"/>
      <c r="J648" s="31"/>
      <c r="K648" s="31"/>
      <c r="L648" s="269"/>
      <c r="M648" s="269"/>
      <c r="N648" s="269"/>
      <c r="O648" s="282"/>
      <c r="P648" s="269"/>
      <c r="Q648" s="269"/>
      <c r="R648" s="269"/>
      <c r="S648" s="282"/>
      <c r="T648" s="269"/>
      <c r="U648" s="269"/>
      <c r="V648" s="269"/>
      <c r="W648" s="269"/>
      <c r="X648" s="31"/>
    </row>
    <row r="649" spans="4:24" x14ac:dyDescent="0.25">
      <c r="D649" s="31"/>
      <c r="E649" s="31"/>
      <c r="F649" s="31"/>
      <c r="G649" s="31"/>
      <c r="H649" s="31"/>
      <c r="I649" s="31"/>
      <c r="J649" s="31"/>
      <c r="K649" s="31"/>
      <c r="L649" s="269"/>
      <c r="M649" s="269"/>
      <c r="N649" s="269"/>
      <c r="O649" s="282"/>
      <c r="P649" s="269"/>
      <c r="Q649" s="269"/>
      <c r="R649" s="269"/>
      <c r="S649" s="282"/>
      <c r="T649" s="269"/>
      <c r="U649" s="269"/>
      <c r="V649" s="269"/>
      <c r="W649" s="269"/>
      <c r="X649" s="31"/>
    </row>
    <row r="650" spans="4:24" x14ac:dyDescent="0.25">
      <c r="D650" s="31"/>
      <c r="E650" s="31"/>
      <c r="F650" s="31"/>
      <c r="G650" s="31"/>
      <c r="H650" s="31"/>
      <c r="I650" s="31"/>
      <c r="J650" s="31"/>
      <c r="K650" s="31"/>
      <c r="L650" s="269"/>
      <c r="M650" s="269"/>
      <c r="N650" s="269"/>
      <c r="O650" s="282"/>
      <c r="P650" s="269"/>
      <c r="Q650" s="269"/>
      <c r="R650" s="269"/>
      <c r="S650" s="282"/>
      <c r="T650" s="269"/>
      <c r="U650" s="269"/>
      <c r="V650" s="269"/>
      <c r="W650" s="269"/>
      <c r="X650" s="31"/>
    </row>
    <row r="651" spans="4:24" x14ac:dyDescent="0.25">
      <c r="D651" s="31"/>
      <c r="E651" s="31"/>
      <c r="F651" s="31"/>
      <c r="G651" s="31"/>
      <c r="H651" s="31"/>
      <c r="I651" s="31"/>
      <c r="J651" s="31"/>
      <c r="K651" s="31"/>
      <c r="L651" s="269"/>
      <c r="M651" s="269"/>
      <c r="N651" s="269"/>
      <c r="O651" s="282"/>
      <c r="P651" s="269"/>
      <c r="Q651" s="269"/>
      <c r="R651" s="269"/>
      <c r="S651" s="282"/>
      <c r="T651" s="269"/>
      <c r="U651" s="269"/>
      <c r="V651" s="269"/>
      <c r="W651" s="269"/>
      <c r="X651" s="31"/>
    </row>
    <row r="652" spans="4:24" x14ac:dyDescent="0.25">
      <c r="D652" s="31"/>
      <c r="E652" s="31"/>
      <c r="F652" s="31"/>
      <c r="G652" s="31"/>
      <c r="H652" s="31"/>
      <c r="I652" s="31"/>
      <c r="J652" s="31"/>
      <c r="K652" s="31"/>
      <c r="L652" s="269"/>
      <c r="M652" s="269"/>
      <c r="N652" s="269"/>
      <c r="O652" s="282"/>
      <c r="P652" s="269"/>
      <c r="Q652" s="269"/>
      <c r="R652" s="269"/>
      <c r="S652" s="282"/>
      <c r="T652" s="269"/>
      <c r="U652" s="269"/>
      <c r="V652" s="269"/>
      <c r="W652" s="269"/>
      <c r="X652" s="31"/>
    </row>
    <row r="653" spans="4:24" x14ac:dyDescent="0.25">
      <c r="D653" s="31"/>
      <c r="E653" s="31"/>
      <c r="F653" s="31"/>
      <c r="G653" s="31"/>
      <c r="H653" s="31"/>
      <c r="I653" s="31"/>
      <c r="J653" s="31"/>
      <c r="K653" s="31"/>
      <c r="L653" s="269"/>
      <c r="M653" s="269"/>
      <c r="N653" s="269"/>
      <c r="O653" s="282"/>
      <c r="P653" s="269"/>
      <c r="Q653" s="269"/>
      <c r="R653" s="269"/>
      <c r="S653" s="282"/>
      <c r="T653" s="269"/>
      <c r="U653" s="269"/>
      <c r="V653" s="269"/>
      <c r="W653" s="269"/>
      <c r="X653" s="31"/>
    </row>
    <row r="654" spans="4:24" x14ac:dyDescent="0.25">
      <c r="D654" s="31"/>
      <c r="E654" s="31"/>
      <c r="F654" s="31"/>
      <c r="G654" s="31"/>
      <c r="H654" s="31"/>
      <c r="I654" s="31"/>
      <c r="J654" s="31"/>
      <c r="K654" s="31"/>
      <c r="L654" s="269"/>
      <c r="M654" s="269"/>
      <c r="N654" s="269"/>
      <c r="O654" s="282"/>
      <c r="P654" s="269"/>
      <c r="Q654" s="269"/>
      <c r="R654" s="269"/>
      <c r="S654" s="282"/>
      <c r="T654" s="269"/>
      <c r="U654" s="269"/>
      <c r="V654" s="269"/>
      <c r="W654" s="269"/>
      <c r="X654" s="31"/>
    </row>
    <row r="655" spans="4:24" x14ac:dyDescent="0.25">
      <c r="D655" s="31"/>
      <c r="E655" s="31"/>
      <c r="F655" s="31"/>
      <c r="G655" s="31"/>
      <c r="H655" s="31"/>
      <c r="I655" s="31"/>
      <c r="J655" s="31"/>
      <c r="K655" s="31"/>
      <c r="L655" s="269"/>
      <c r="M655" s="269"/>
      <c r="N655" s="269"/>
      <c r="O655" s="282"/>
      <c r="P655" s="269"/>
      <c r="Q655" s="269"/>
      <c r="R655" s="269"/>
      <c r="S655" s="282"/>
      <c r="T655" s="269"/>
      <c r="U655" s="269"/>
      <c r="V655" s="269"/>
      <c r="W655" s="269"/>
      <c r="X655" s="31"/>
    </row>
    <row r="656" spans="4:24" x14ac:dyDescent="0.25">
      <c r="D656" s="31"/>
      <c r="E656" s="31"/>
      <c r="F656" s="31"/>
      <c r="G656" s="31"/>
      <c r="H656" s="31"/>
      <c r="I656" s="31"/>
      <c r="J656" s="31"/>
      <c r="K656" s="31"/>
      <c r="L656" s="269"/>
      <c r="M656" s="269"/>
      <c r="N656" s="269"/>
      <c r="O656" s="282"/>
      <c r="P656" s="269"/>
      <c r="Q656" s="269"/>
      <c r="R656" s="269"/>
      <c r="S656" s="282"/>
      <c r="T656" s="269"/>
      <c r="U656" s="269"/>
      <c r="V656" s="269"/>
      <c r="W656" s="269"/>
      <c r="X656" s="31"/>
    </row>
    <row r="657" spans="4:24" x14ac:dyDescent="0.25">
      <c r="D657" s="31"/>
      <c r="E657" s="31"/>
      <c r="F657" s="31"/>
      <c r="G657" s="31"/>
      <c r="H657" s="31"/>
      <c r="I657" s="31"/>
      <c r="J657" s="31"/>
      <c r="K657" s="31"/>
      <c r="L657" s="269"/>
      <c r="M657" s="269"/>
      <c r="N657" s="269"/>
      <c r="O657" s="282"/>
      <c r="P657" s="269"/>
      <c r="Q657" s="269"/>
      <c r="R657" s="269"/>
      <c r="S657" s="282"/>
      <c r="T657" s="269"/>
      <c r="U657" s="269"/>
      <c r="V657" s="269"/>
      <c r="W657" s="269"/>
      <c r="X657" s="31"/>
    </row>
    <row r="658" spans="4:24" x14ac:dyDescent="0.25">
      <c r="D658" s="31"/>
      <c r="E658" s="31"/>
      <c r="F658" s="31"/>
      <c r="G658" s="31"/>
      <c r="H658" s="31"/>
      <c r="I658" s="31"/>
      <c r="J658" s="31"/>
      <c r="K658" s="31"/>
      <c r="L658" s="269"/>
      <c r="M658" s="269"/>
      <c r="N658" s="269"/>
      <c r="O658" s="282"/>
      <c r="P658" s="269"/>
      <c r="Q658" s="269"/>
      <c r="R658" s="269"/>
      <c r="S658" s="282"/>
      <c r="T658" s="269"/>
      <c r="U658" s="269"/>
      <c r="V658" s="269"/>
      <c r="W658" s="269"/>
      <c r="X658" s="31"/>
    </row>
    <row r="659" spans="4:24" x14ac:dyDescent="0.25">
      <c r="D659" s="31"/>
      <c r="E659" s="31"/>
      <c r="F659" s="31"/>
      <c r="G659" s="31"/>
      <c r="H659" s="31"/>
      <c r="I659" s="31"/>
      <c r="J659" s="31"/>
      <c r="K659" s="31"/>
      <c r="L659" s="269"/>
      <c r="M659" s="269"/>
      <c r="N659" s="269"/>
      <c r="O659" s="282"/>
      <c r="P659" s="269"/>
      <c r="Q659" s="269"/>
      <c r="R659" s="269"/>
      <c r="S659" s="282"/>
      <c r="T659" s="269"/>
      <c r="U659" s="269"/>
      <c r="V659" s="269"/>
      <c r="W659" s="269"/>
      <c r="X659" s="31"/>
    </row>
    <row r="660" spans="4:24" x14ac:dyDescent="0.25">
      <c r="D660" s="31"/>
      <c r="E660" s="31"/>
      <c r="F660" s="31"/>
      <c r="G660" s="31"/>
      <c r="H660" s="31"/>
      <c r="I660" s="31"/>
      <c r="J660" s="31"/>
      <c r="K660" s="31"/>
      <c r="L660" s="269"/>
      <c r="M660" s="269"/>
      <c r="N660" s="269"/>
      <c r="O660" s="282"/>
      <c r="P660" s="269"/>
      <c r="Q660" s="269"/>
      <c r="R660" s="269"/>
      <c r="S660" s="282"/>
      <c r="T660" s="269"/>
      <c r="U660" s="269"/>
      <c r="V660" s="269"/>
      <c r="W660" s="269"/>
      <c r="X660" s="31"/>
    </row>
    <row r="661" spans="4:24" x14ac:dyDescent="0.25">
      <c r="D661" s="31"/>
      <c r="E661" s="31"/>
      <c r="F661" s="31"/>
      <c r="G661" s="31"/>
      <c r="H661" s="31"/>
      <c r="I661" s="31"/>
      <c r="J661" s="31"/>
      <c r="K661" s="31"/>
      <c r="L661" s="269"/>
      <c r="M661" s="269"/>
      <c r="N661" s="269"/>
      <c r="O661" s="282"/>
      <c r="P661" s="269"/>
      <c r="Q661" s="269"/>
      <c r="R661" s="269"/>
      <c r="S661" s="282"/>
      <c r="T661" s="269"/>
      <c r="U661" s="269"/>
      <c r="V661" s="269"/>
      <c r="W661" s="269"/>
      <c r="X661" s="31"/>
    </row>
    <row r="662" spans="4:24" x14ac:dyDescent="0.25">
      <c r="D662" s="31"/>
      <c r="E662" s="31"/>
      <c r="F662" s="31"/>
      <c r="G662" s="31"/>
      <c r="H662" s="31"/>
      <c r="I662" s="31"/>
      <c r="J662" s="31"/>
      <c r="K662" s="31"/>
      <c r="L662" s="269"/>
      <c r="M662" s="269"/>
      <c r="N662" s="269"/>
      <c r="O662" s="282"/>
      <c r="P662" s="269"/>
      <c r="Q662" s="269"/>
      <c r="R662" s="269"/>
      <c r="S662" s="282"/>
      <c r="T662" s="269"/>
      <c r="U662" s="269"/>
      <c r="V662" s="269"/>
      <c r="W662" s="269"/>
      <c r="X662" s="31"/>
    </row>
    <row r="663" spans="4:24" x14ac:dyDescent="0.25">
      <c r="D663" s="31"/>
      <c r="E663" s="31"/>
      <c r="F663" s="31"/>
      <c r="G663" s="31"/>
      <c r="H663" s="31"/>
      <c r="I663" s="31"/>
      <c r="J663" s="31"/>
      <c r="K663" s="31"/>
      <c r="L663" s="269"/>
      <c r="M663" s="269"/>
      <c r="N663" s="269"/>
      <c r="O663" s="282"/>
      <c r="P663" s="269"/>
      <c r="Q663" s="269"/>
      <c r="R663" s="269"/>
      <c r="S663" s="282"/>
      <c r="T663" s="269"/>
      <c r="U663" s="269"/>
      <c r="V663" s="269"/>
      <c r="W663" s="269"/>
      <c r="X663" s="31"/>
    </row>
    <row r="664" spans="4:24" x14ac:dyDescent="0.25">
      <c r="D664" s="31"/>
      <c r="E664" s="31"/>
      <c r="F664" s="31"/>
      <c r="G664" s="31"/>
      <c r="H664" s="31"/>
      <c r="I664" s="31"/>
      <c r="J664" s="31"/>
      <c r="K664" s="31"/>
      <c r="L664" s="269"/>
      <c r="M664" s="269"/>
      <c r="N664" s="269"/>
      <c r="O664" s="282"/>
      <c r="P664" s="269"/>
      <c r="Q664" s="269"/>
      <c r="R664" s="269"/>
      <c r="S664" s="282"/>
      <c r="T664" s="269"/>
      <c r="U664" s="269"/>
      <c r="V664" s="269"/>
      <c r="W664" s="269"/>
      <c r="X664" s="31"/>
    </row>
    <row r="665" spans="4:24" x14ac:dyDescent="0.25">
      <c r="D665" s="31"/>
      <c r="E665" s="31"/>
      <c r="F665" s="31"/>
      <c r="G665" s="31"/>
      <c r="H665" s="31"/>
      <c r="I665" s="31"/>
      <c r="J665" s="31"/>
      <c r="K665" s="31"/>
      <c r="L665" s="269"/>
      <c r="M665" s="269"/>
      <c r="N665" s="269"/>
      <c r="O665" s="282"/>
      <c r="P665" s="269"/>
      <c r="Q665" s="269"/>
      <c r="R665" s="269"/>
      <c r="S665" s="282"/>
      <c r="T665" s="269"/>
      <c r="U665" s="269"/>
      <c r="V665" s="269"/>
      <c r="W665" s="269"/>
      <c r="X665" s="31"/>
    </row>
    <row r="666" spans="4:24" x14ac:dyDescent="0.25">
      <c r="D666" s="31"/>
      <c r="E666" s="31"/>
      <c r="F666" s="31"/>
      <c r="G666" s="31"/>
      <c r="H666" s="31"/>
      <c r="I666" s="31"/>
      <c r="J666" s="31"/>
      <c r="K666" s="31"/>
      <c r="L666" s="269"/>
      <c r="M666" s="269"/>
      <c r="N666" s="269"/>
      <c r="O666" s="282"/>
      <c r="P666" s="269"/>
      <c r="Q666" s="269"/>
      <c r="R666" s="269"/>
      <c r="S666" s="282"/>
      <c r="T666" s="269"/>
      <c r="U666" s="269"/>
      <c r="V666" s="269"/>
      <c r="W666" s="269"/>
      <c r="X666" s="31"/>
    </row>
    <row r="667" spans="4:24" x14ac:dyDescent="0.25">
      <c r="D667" s="31"/>
      <c r="E667" s="31"/>
      <c r="F667" s="31"/>
      <c r="G667" s="31"/>
      <c r="H667" s="31"/>
      <c r="I667" s="31"/>
      <c r="J667" s="31"/>
      <c r="K667" s="31"/>
      <c r="L667" s="269"/>
      <c r="M667" s="269"/>
      <c r="N667" s="269"/>
      <c r="O667" s="282"/>
      <c r="P667" s="269"/>
      <c r="Q667" s="269"/>
      <c r="R667" s="269"/>
      <c r="S667" s="282"/>
      <c r="T667" s="269"/>
      <c r="U667" s="269"/>
      <c r="V667" s="269"/>
      <c r="W667" s="269"/>
      <c r="X667" s="31"/>
    </row>
    <row r="668" spans="4:24" x14ac:dyDescent="0.25">
      <c r="D668" s="31"/>
      <c r="E668" s="31"/>
      <c r="F668" s="31"/>
      <c r="G668" s="31"/>
      <c r="H668" s="31"/>
      <c r="I668" s="31"/>
      <c r="J668" s="31"/>
      <c r="K668" s="31"/>
      <c r="L668" s="269"/>
      <c r="M668" s="269"/>
      <c r="N668" s="269"/>
      <c r="O668" s="282"/>
      <c r="P668" s="269"/>
      <c r="Q668" s="269"/>
      <c r="R668" s="269"/>
      <c r="S668" s="282"/>
      <c r="T668" s="269"/>
      <c r="U668" s="269"/>
      <c r="V668" s="269"/>
      <c r="W668" s="269"/>
      <c r="X668" s="31"/>
    </row>
    <row r="669" spans="4:24" x14ac:dyDescent="0.25">
      <c r="D669" s="31"/>
      <c r="E669" s="31"/>
      <c r="F669" s="31"/>
      <c r="G669" s="31"/>
      <c r="H669" s="31"/>
      <c r="I669" s="31"/>
      <c r="J669" s="31"/>
      <c r="K669" s="31"/>
      <c r="L669" s="269"/>
      <c r="M669" s="269"/>
      <c r="N669" s="269"/>
      <c r="O669" s="282"/>
      <c r="P669" s="269"/>
      <c r="Q669" s="269"/>
      <c r="R669" s="269"/>
      <c r="S669" s="282"/>
      <c r="T669" s="269"/>
      <c r="U669" s="269"/>
      <c r="V669" s="269"/>
      <c r="W669" s="269"/>
      <c r="X669" s="31"/>
    </row>
    <row r="670" spans="4:24" x14ac:dyDescent="0.25">
      <c r="D670" s="31"/>
      <c r="E670" s="31"/>
      <c r="F670" s="31"/>
      <c r="G670" s="31"/>
      <c r="H670" s="31"/>
      <c r="I670" s="31"/>
      <c r="J670" s="31"/>
      <c r="K670" s="31"/>
      <c r="L670" s="269"/>
      <c r="M670" s="269"/>
      <c r="N670" s="269"/>
      <c r="O670" s="282"/>
      <c r="P670" s="269"/>
      <c r="Q670" s="269"/>
      <c r="R670" s="269"/>
      <c r="S670" s="282"/>
      <c r="T670" s="269"/>
      <c r="U670" s="269"/>
      <c r="V670" s="269"/>
      <c r="W670" s="269"/>
      <c r="X670" s="31"/>
    </row>
    <row r="671" spans="4:24" x14ac:dyDescent="0.25">
      <c r="D671" s="31"/>
      <c r="E671" s="31"/>
      <c r="F671" s="31"/>
      <c r="G671" s="31"/>
      <c r="H671" s="31"/>
      <c r="I671" s="31"/>
      <c r="J671" s="31"/>
      <c r="K671" s="31"/>
      <c r="L671" s="269"/>
      <c r="M671" s="269"/>
      <c r="N671" s="269"/>
      <c r="O671" s="282"/>
      <c r="P671" s="269"/>
      <c r="Q671" s="269"/>
      <c r="R671" s="269"/>
      <c r="S671" s="282"/>
      <c r="T671" s="269"/>
      <c r="U671" s="269"/>
      <c r="V671" s="269"/>
      <c r="W671" s="269"/>
      <c r="X671" s="31"/>
    </row>
    <row r="672" spans="4:24" x14ac:dyDescent="0.25">
      <c r="D672" s="31"/>
      <c r="E672" s="31"/>
      <c r="F672" s="31"/>
      <c r="G672" s="31"/>
      <c r="H672" s="31"/>
      <c r="I672" s="31"/>
      <c r="J672" s="31"/>
      <c r="K672" s="31"/>
      <c r="L672" s="269"/>
      <c r="M672" s="269"/>
      <c r="N672" s="269"/>
      <c r="O672" s="282"/>
      <c r="P672" s="269"/>
      <c r="Q672" s="269"/>
      <c r="R672" s="269"/>
      <c r="S672" s="282"/>
      <c r="T672" s="269"/>
      <c r="U672" s="269"/>
      <c r="V672" s="269"/>
      <c r="W672" s="269"/>
      <c r="X672" s="31"/>
    </row>
    <row r="673" spans="4:24" x14ac:dyDescent="0.25">
      <c r="D673" s="31"/>
      <c r="E673" s="31"/>
      <c r="F673" s="31"/>
      <c r="G673" s="31"/>
      <c r="H673" s="31"/>
      <c r="I673" s="31"/>
      <c r="J673" s="31"/>
      <c r="K673" s="31"/>
      <c r="L673" s="269"/>
      <c r="M673" s="269"/>
      <c r="N673" s="269"/>
      <c r="O673" s="282"/>
      <c r="P673" s="269"/>
      <c r="Q673" s="269"/>
      <c r="R673" s="269"/>
      <c r="S673" s="282"/>
      <c r="T673" s="269"/>
      <c r="U673" s="269"/>
      <c r="V673" s="269"/>
      <c r="W673" s="269"/>
      <c r="X673" s="31"/>
    </row>
    <row r="674" spans="4:24" x14ac:dyDescent="0.25">
      <c r="D674" s="31"/>
      <c r="E674" s="31"/>
      <c r="F674" s="31"/>
      <c r="G674" s="31"/>
      <c r="H674" s="31"/>
      <c r="I674" s="31"/>
      <c r="J674" s="31"/>
      <c r="K674" s="31"/>
      <c r="L674" s="269"/>
      <c r="M674" s="269"/>
      <c r="N674" s="269"/>
      <c r="O674" s="282"/>
      <c r="P674" s="269"/>
      <c r="Q674" s="269"/>
      <c r="R674" s="269"/>
      <c r="S674" s="282"/>
      <c r="T674" s="269"/>
      <c r="U674" s="269"/>
      <c r="V674" s="269"/>
      <c r="W674" s="269"/>
      <c r="X674" s="31"/>
    </row>
    <row r="675" spans="4:24" x14ac:dyDescent="0.25">
      <c r="D675" s="31"/>
      <c r="E675" s="31"/>
      <c r="F675" s="31"/>
      <c r="G675" s="31"/>
      <c r="H675" s="31"/>
      <c r="I675" s="31"/>
      <c r="J675" s="31"/>
      <c r="K675" s="31"/>
      <c r="L675" s="269"/>
      <c r="M675" s="269"/>
      <c r="N675" s="269"/>
      <c r="O675" s="282"/>
      <c r="P675" s="269"/>
      <c r="Q675" s="269"/>
      <c r="R675" s="269"/>
      <c r="S675" s="282"/>
      <c r="T675" s="269"/>
      <c r="U675" s="269"/>
      <c r="V675" s="269"/>
      <c r="W675" s="269"/>
      <c r="X675" s="31"/>
    </row>
    <row r="676" spans="4:24" x14ac:dyDescent="0.25">
      <c r="D676" s="31"/>
      <c r="E676" s="31"/>
      <c r="F676" s="31"/>
      <c r="G676" s="31"/>
      <c r="H676" s="31"/>
      <c r="I676" s="31"/>
      <c r="J676" s="31"/>
      <c r="K676" s="31"/>
      <c r="L676" s="269"/>
      <c r="M676" s="269"/>
      <c r="N676" s="269"/>
      <c r="O676" s="282"/>
      <c r="P676" s="269"/>
      <c r="Q676" s="269"/>
      <c r="R676" s="269"/>
      <c r="S676" s="282"/>
      <c r="T676" s="269"/>
      <c r="U676" s="269"/>
      <c r="V676" s="269"/>
      <c r="W676" s="269"/>
      <c r="X676" s="31"/>
    </row>
    <row r="677" spans="4:24" x14ac:dyDescent="0.25">
      <c r="D677" s="31"/>
      <c r="E677" s="31"/>
      <c r="F677" s="31"/>
      <c r="G677" s="31"/>
      <c r="H677" s="31"/>
      <c r="I677" s="31"/>
      <c r="J677" s="31"/>
      <c r="K677" s="31"/>
      <c r="L677" s="269"/>
      <c r="M677" s="269"/>
      <c r="N677" s="269"/>
      <c r="O677" s="282"/>
      <c r="P677" s="269"/>
      <c r="Q677" s="269"/>
      <c r="R677" s="269"/>
      <c r="S677" s="282"/>
      <c r="T677" s="269"/>
      <c r="U677" s="269"/>
      <c r="V677" s="269"/>
      <c r="W677" s="269"/>
      <c r="X677" s="31"/>
    </row>
    <row r="678" spans="4:24" x14ac:dyDescent="0.25">
      <c r="D678" s="31"/>
      <c r="E678" s="31"/>
      <c r="F678" s="31"/>
      <c r="G678" s="31"/>
      <c r="H678" s="31"/>
      <c r="I678" s="31"/>
      <c r="J678" s="31"/>
      <c r="K678" s="31"/>
      <c r="L678" s="269"/>
      <c r="M678" s="269"/>
      <c r="N678" s="269"/>
      <c r="O678" s="282"/>
      <c r="P678" s="269"/>
      <c r="Q678" s="269"/>
      <c r="R678" s="269"/>
      <c r="S678" s="282"/>
      <c r="T678" s="269"/>
      <c r="U678" s="269"/>
      <c r="V678" s="269"/>
      <c r="W678" s="269"/>
      <c r="X678" s="31"/>
    </row>
    <row r="679" spans="4:24" x14ac:dyDescent="0.25">
      <c r="D679" s="31"/>
      <c r="E679" s="31"/>
      <c r="F679" s="31"/>
      <c r="G679" s="31"/>
      <c r="H679" s="31"/>
      <c r="I679" s="31"/>
      <c r="J679" s="31"/>
      <c r="K679" s="31"/>
      <c r="L679" s="269"/>
      <c r="M679" s="269"/>
      <c r="N679" s="269"/>
      <c r="O679" s="282"/>
      <c r="P679" s="269"/>
      <c r="Q679" s="269"/>
      <c r="R679" s="269"/>
      <c r="S679" s="282"/>
      <c r="T679" s="269"/>
      <c r="U679" s="269"/>
      <c r="V679" s="269"/>
      <c r="W679" s="269"/>
      <c r="X679" s="31"/>
    </row>
    <row r="680" spans="4:24" x14ac:dyDescent="0.25">
      <c r="D680" s="31"/>
      <c r="E680" s="31"/>
      <c r="F680" s="31"/>
      <c r="G680" s="31"/>
      <c r="H680" s="31"/>
      <c r="I680" s="31"/>
      <c r="J680" s="31"/>
      <c r="K680" s="31"/>
      <c r="L680" s="269"/>
      <c r="M680" s="269"/>
      <c r="N680" s="269"/>
      <c r="O680" s="282"/>
      <c r="P680" s="269"/>
      <c r="Q680" s="269"/>
      <c r="R680" s="269"/>
      <c r="S680" s="282"/>
      <c r="T680" s="269"/>
      <c r="U680" s="269"/>
      <c r="V680" s="269"/>
      <c r="W680" s="269"/>
      <c r="X680" s="31"/>
    </row>
    <row r="681" spans="4:24" x14ac:dyDescent="0.25">
      <c r="D681" s="31"/>
      <c r="E681" s="31"/>
      <c r="F681" s="31"/>
      <c r="G681" s="31"/>
      <c r="H681" s="31"/>
      <c r="I681" s="31"/>
      <c r="J681" s="31"/>
      <c r="K681" s="31"/>
      <c r="L681" s="269"/>
      <c r="M681" s="269"/>
      <c r="N681" s="269"/>
      <c r="O681" s="282"/>
      <c r="P681" s="269"/>
      <c r="Q681" s="269"/>
      <c r="R681" s="269"/>
      <c r="S681" s="282"/>
      <c r="T681" s="269"/>
      <c r="U681" s="269"/>
      <c r="V681" s="269"/>
      <c r="W681" s="269"/>
      <c r="X681" s="31"/>
    </row>
    <row r="682" spans="4:24" x14ac:dyDescent="0.25">
      <c r="D682" s="31"/>
      <c r="E682" s="31"/>
      <c r="F682" s="31"/>
      <c r="G682" s="31"/>
      <c r="H682" s="31"/>
      <c r="I682" s="31"/>
      <c r="J682" s="31"/>
      <c r="K682" s="31"/>
      <c r="L682" s="269"/>
      <c r="M682" s="269"/>
      <c r="N682" s="269"/>
      <c r="O682" s="282"/>
      <c r="P682" s="269"/>
      <c r="Q682" s="269"/>
      <c r="R682" s="269"/>
      <c r="S682" s="282"/>
      <c r="T682" s="269"/>
      <c r="U682" s="269"/>
      <c r="V682" s="269"/>
      <c r="W682" s="269"/>
      <c r="X682" s="31"/>
    </row>
    <row r="683" spans="4:24" x14ac:dyDescent="0.25">
      <c r="D683" s="31"/>
      <c r="E683" s="31"/>
      <c r="F683" s="31"/>
      <c r="G683" s="31"/>
      <c r="H683" s="31"/>
      <c r="I683" s="31"/>
      <c r="J683" s="31"/>
      <c r="K683" s="31"/>
      <c r="L683" s="269"/>
      <c r="M683" s="269"/>
      <c r="N683" s="269"/>
      <c r="O683" s="282"/>
      <c r="P683" s="269"/>
      <c r="Q683" s="269"/>
      <c r="R683" s="269"/>
      <c r="S683" s="282"/>
      <c r="T683" s="269"/>
      <c r="U683" s="269"/>
      <c r="V683" s="269"/>
      <c r="W683" s="269"/>
      <c r="X683" s="31"/>
    </row>
    <row r="684" spans="4:24" x14ac:dyDescent="0.25">
      <c r="D684" s="31"/>
      <c r="E684" s="31"/>
      <c r="F684" s="31"/>
      <c r="G684" s="31"/>
      <c r="H684" s="31"/>
      <c r="I684" s="31"/>
      <c r="J684" s="31"/>
      <c r="K684" s="31"/>
      <c r="L684" s="269"/>
      <c r="M684" s="269"/>
      <c r="N684" s="269"/>
      <c r="O684" s="282"/>
      <c r="P684" s="269"/>
      <c r="Q684" s="269"/>
      <c r="R684" s="269"/>
      <c r="S684" s="282"/>
      <c r="T684" s="269"/>
      <c r="U684" s="269"/>
      <c r="V684" s="269"/>
      <c r="W684" s="269"/>
      <c r="X684" s="31"/>
    </row>
    <row r="685" spans="4:24" x14ac:dyDescent="0.25">
      <c r="D685" s="31"/>
      <c r="E685" s="31"/>
      <c r="F685" s="31"/>
      <c r="G685" s="31"/>
      <c r="H685" s="31"/>
      <c r="I685" s="31"/>
      <c r="J685" s="31"/>
      <c r="K685" s="31"/>
      <c r="L685" s="269"/>
      <c r="M685" s="269"/>
      <c r="N685" s="269"/>
      <c r="O685" s="282"/>
      <c r="P685" s="269"/>
      <c r="Q685" s="269"/>
      <c r="R685" s="269"/>
      <c r="S685" s="282"/>
      <c r="T685" s="269"/>
      <c r="U685" s="269"/>
      <c r="V685" s="269"/>
      <c r="W685" s="269"/>
      <c r="X685" s="31"/>
    </row>
    <row r="686" spans="4:24" x14ac:dyDescent="0.25">
      <c r="D686" s="31"/>
      <c r="E686" s="31"/>
      <c r="F686" s="31"/>
      <c r="G686" s="31"/>
      <c r="H686" s="31"/>
      <c r="I686" s="31"/>
      <c r="J686" s="31"/>
      <c r="K686" s="31"/>
      <c r="L686" s="269"/>
      <c r="M686" s="269"/>
      <c r="N686" s="269"/>
      <c r="O686" s="282"/>
      <c r="P686" s="269"/>
      <c r="Q686" s="269"/>
      <c r="R686" s="269"/>
      <c r="S686" s="282"/>
      <c r="T686" s="269"/>
      <c r="U686" s="269"/>
      <c r="V686" s="269"/>
      <c r="W686" s="269"/>
      <c r="X686" s="31"/>
    </row>
    <row r="687" spans="4:24" x14ac:dyDescent="0.25">
      <c r="D687" s="31"/>
      <c r="E687" s="31"/>
      <c r="F687" s="31"/>
      <c r="G687" s="31"/>
      <c r="H687" s="31"/>
      <c r="I687" s="31"/>
      <c r="J687" s="31"/>
      <c r="K687" s="31"/>
      <c r="L687" s="269"/>
      <c r="M687" s="269"/>
      <c r="N687" s="269"/>
      <c r="O687" s="282"/>
      <c r="P687" s="269"/>
      <c r="Q687" s="269"/>
      <c r="R687" s="269"/>
      <c r="S687" s="282"/>
      <c r="T687" s="269"/>
      <c r="U687" s="269"/>
      <c r="V687" s="269"/>
      <c r="W687" s="269"/>
      <c r="X687" s="31"/>
    </row>
    <row r="688" spans="4:24" x14ac:dyDescent="0.25">
      <c r="D688" s="31"/>
      <c r="E688" s="31"/>
      <c r="F688" s="31"/>
      <c r="G688" s="31"/>
      <c r="H688" s="31"/>
      <c r="I688" s="31"/>
      <c r="J688" s="31"/>
      <c r="K688" s="31"/>
      <c r="L688" s="269"/>
      <c r="M688" s="269"/>
      <c r="N688" s="269"/>
      <c r="O688" s="282"/>
      <c r="P688" s="269"/>
      <c r="Q688" s="269"/>
      <c r="R688" s="269"/>
      <c r="S688" s="282"/>
      <c r="T688" s="269"/>
      <c r="U688" s="269"/>
      <c r="V688" s="269"/>
      <c r="W688" s="269"/>
      <c r="X688" s="31"/>
    </row>
    <row r="689" spans="4:24" x14ac:dyDescent="0.25">
      <c r="D689" s="31"/>
      <c r="E689" s="31"/>
      <c r="F689" s="31"/>
      <c r="G689" s="31"/>
      <c r="H689" s="31"/>
      <c r="I689" s="31"/>
      <c r="J689" s="31"/>
      <c r="K689" s="31"/>
      <c r="L689" s="269"/>
      <c r="M689" s="269"/>
      <c r="N689" s="269"/>
      <c r="O689" s="282"/>
      <c r="P689" s="269"/>
      <c r="Q689" s="269"/>
      <c r="R689" s="269"/>
      <c r="S689" s="282"/>
      <c r="T689" s="269"/>
      <c r="U689" s="269"/>
      <c r="V689" s="269"/>
      <c r="W689" s="269"/>
      <c r="X689" s="31"/>
    </row>
    <row r="690" spans="4:24" x14ac:dyDescent="0.25">
      <c r="D690" s="31"/>
      <c r="E690" s="31"/>
      <c r="F690" s="31"/>
      <c r="G690" s="31"/>
      <c r="H690" s="31"/>
      <c r="I690" s="31"/>
      <c r="J690" s="31"/>
      <c r="K690" s="31"/>
      <c r="L690" s="269"/>
      <c r="M690" s="269"/>
      <c r="N690" s="269"/>
      <c r="O690" s="282"/>
      <c r="P690" s="269"/>
      <c r="Q690" s="269"/>
      <c r="R690" s="269"/>
      <c r="S690" s="282"/>
      <c r="T690" s="269"/>
      <c r="U690" s="269"/>
      <c r="V690" s="269"/>
      <c r="W690" s="269"/>
      <c r="X690" s="31"/>
    </row>
    <row r="691" spans="4:24" x14ac:dyDescent="0.25">
      <c r="D691" s="31"/>
      <c r="E691" s="31"/>
      <c r="F691" s="31"/>
      <c r="G691" s="31"/>
      <c r="H691" s="31"/>
      <c r="I691" s="31"/>
      <c r="J691" s="31"/>
      <c r="K691" s="31"/>
      <c r="L691" s="269"/>
      <c r="M691" s="269"/>
      <c r="N691" s="269"/>
      <c r="O691" s="282"/>
      <c r="P691" s="269"/>
      <c r="Q691" s="269"/>
      <c r="R691" s="269"/>
      <c r="S691" s="282"/>
      <c r="T691" s="269"/>
      <c r="U691" s="269"/>
      <c r="V691" s="269"/>
      <c r="W691" s="269"/>
      <c r="X691" s="31"/>
    </row>
    <row r="692" spans="4:24" x14ac:dyDescent="0.25">
      <c r="D692" s="31"/>
      <c r="E692" s="31"/>
      <c r="F692" s="31"/>
      <c r="G692" s="31"/>
      <c r="H692" s="31"/>
      <c r="I692" s="31"/>
      <c r="J692" s="31"/>
      <c r="K692" s="31"/>
      <c r="L692" s="269"/>
      <c r="M692" s="269"/>
      <c r="N692" s="269"/>
      <c r="O692" s="282"/>
      <c r="P692" s="269"/>
      <c r="Q692" s="269"/>
      <c r="R692" s="269"/>
      <c r="S692" s="282"/>
      <c r="T692" s="269"/>
      <c r="U692" s="269"/>
      <c r="V692" s="269"/>
      <c r="W692" s="269"/>
      <c r="X692" s="31"/>
    </row>
    <row r="693" spans="4:24" x14ac:dyDescent="0.25">
      <c r="D693" s="31"/>
      <c r="E693" s="31"/>
      <c r="F693" s="31"/>
      <c r="G693" s="31"/>
      <c r="H693" s="31"/>
      <c r="I693" s="31"/>
      <c r="J693" s="31"/>
      <c r="K693" s="31"/>
      <c r="L693" s="269"/>
      <c r="M693" s="269"/>
      <c r="N693" s="269"/>
      <c r="O693" s="282"/>
      <c r="P693" s="269"/>
      <c r="Q693" s="269"/>
      <c r="R693" s="269"/>
      <c r="S693" s="282"/>
      <c r="T693" s="269"/>
      <c r="U693" s="269"/>
      <c r="V693" s="269"/>
      <c r="W693" s="269"/>
      <c r="X693" s="31"/>
    </row>
    <row r="694" spans="4:24" x14ac:dyDescent="0.25">
      <c r="D694" s="31"/>
      <c r="E694" s="31"/>
      <c r="F694" s="31"/>
      <c r="G694" s="31"/>
      <c r="H694" s="31"/>
      <c r="I694" s="31"/>
      <c r="J694" s="31"/>
      <c r="K694" s="31"/>
      <c r="L694" s="269"/>
      <c r="M694" s="269"/>
      <c r="N694" s="269"/>
      <c r="O694" s="282"/>
      <c r="P694" s="269"/>
      <c r="Q694" s="269"/>
      <c r="R694" s="269"/>
      <c r="S694" s="282"/>
      <c r="T694" s="269"/>
      <c r="U694" s="269"/>
      <c r="V694" s="269"/>
      <c r="W694" s="269"/>
      <c r="X694" s="31"/>
    </row>
    <row r="695" spans="4:24" x14ac:dyDescent="0.25">
      <c r="D695" s="31"/>
      <c r="E695" s="31"/>
      <c r="F695" s="31"/>
      <c r="G695" s="31"/>
      <c r="H695" s="31"/>
      <c r="I695" s="31"/>
      <c r="J695" s="31"/>
      <c r="K695" s="31"/>
      <c r="L695" s="269"/>
      <c r="M695" s="269"/>
      <c r="N695" s="269"/>
      <c r="O695" s="282"/>
      <c r="P695" s="269"/>
      <c r="Q695" s="269"/>
      <c r="R695" s="269"/>
      <c r="S695" s="282"/>
      <c r="T695" s="269"/>
      <c r="U695" s="269"/>
      <c r="V695" s="269"/>
      <c r="W695" s="269"/>
      <c r="X695" s="31"/>
    </row>
    <row r="696" spans="4:24" x14ac:dyDescent="0.25">
      <c r="D696" s="31"/>
      <c r="E696" s="31"/>
      <c r="F696" s="31"/>
      <c r="G696" s="31"/>
      <c r="H696" s="31"/>
      <c r="I696" s="31"/>
      <c r="J696" s="31"/>
      <c r="K696" s="31"/>
      <c r="L696" s="269"/>
      <c r="M696" s="269"/>
      <c r="N696" s="269"/>
      <c r="O696" s="282"/>
      <c r="P696" s="269"/>
      <c r="Q696" s="269"/>
      <c r="R696" s="269"/>
      <c r="S696" s="282"/>
      <c r="T696" s="269"/>
      <c r="U696" s="269"/>
      <c r="V696" s="269"/>
      <c r="W696" s="269"/>
      <c r="X696" s="31"/>
    </row>
    <row r="697" spans="4:24" x14ac:dyDescent="0.25">
      <c r="D697" s="31"/>
      <c r="E697" s="31"/>
      <c r="F697" s="31"/>
      <c r="G697" s="31"/>
      <c r="H697" s="31"/>
      <c r="I697" s="31"/>
      <c r="J697" s="31"/>
      <c r="K697" s="31"/>
      <c r="L697" s="269"/>
      <c r="M697" s="269"/>
      <c r="N697" s="269"/>
      <c r="O697" s="282"/>
      <c r="P697" s="269"/>
      <c r="Q697" s="269"/>
      <c r="R697" s="269"/>
      <c r="S697" s="282"/>
      <c r="T697" s="269"/>
      <c r="U697" s="269"/>
      <c r="V697" s="269"/>
      <c r="W697" s="269"/>
      <c r="X697" s="31"/>
    </row>
    <row r="698" spans="4:24" x14ac:dyDescent="0.25">
      <c r="D698" s="31"/>
      <c r="E698" s="31"/>
      <c r="F698" s="31"/>
      <c r="G698" s="31"/>
      <c r="H698" s="31"/>
      <c r="I698" s="31"/>
      <c r="J698" s="31"/>
      <c r="K698" s="31"/>
      <c r="L698" s="269"/>
      <c r="M698" s="269"/>
      <c r="N698" s="269"/>
      <c r="O698" s="282"/>
      <c r="P698" s="269"/>
      <c r="Q698" s="269"/>
      <c r="R698" s="269"/>
      <c r="S698" s="282"/>
      <c r="T698" s="269"/>
      <c r="U698" s="269"/>
      <c r="V698" s="269"/>
      <c r="W698" s="269"/>
      <c r="X698" s="31"/>
    </row>
    <row r="699" spans="4:24" x14ac:dyDescent="0.25">
      <c r="D699" s="31"/>
      <c r="E699" s="31"/>
      <c r="F699" s="31"/>
      <c r="G699" s="31"/>
      <c r="H699" s="31"/>
      <c r="I699" s="31"/>
      <c r="J699" s="31"/>
      <c r="K699" s="31"/>
      <c r="L699" s="269"/>
      <c r="M699" s="269"/>
      <c r="N699" s="269"/>
      <c r="O699" s="282"/>
      <c r="P699" s="269"/>
      <c r="Q699" s="269"/>
      <c r="R699" s="269"/>
      <c r="S699" s="282"/>
      <c r="T699" s="269"/>
      <c r="U699" s="269"/>
      <c r="V699" s="269"/>
      <c r="W699" s="269"/>
      <c r="X699" s="31"/>
    </row>
    <row r="700" spans="4:24" x14ac:dyDescent="0.25">
      <c r="D700" s="31"/>
      <c r="E700" s="31"/>
      <c r="F700" s="31"/>
      <c r="G700" s="31"/>
      <c r="H700" s="31"/>
      <c r="I700" s="31"/>
      <c r="J700" s="31"/>
      <c r="K700" s="31"/>
      <c r="L700" s="269"/>
      <c r="M700" s="269"/>
      <c r="N700" s="269"/>
      <c r="O700" s="282"/>
      <c r="P700" s="269"/>
      <c r="Q700" s="269"/>
      <c r="R700" s="269"/>
      <c r="S700" s="282"/>
      <c r="T700" s="269"/>
      <c r="U700" s="269"/>
      <c r="V700" s="269"/>
      <c r="W700" s="269"/>
      <c r="X700" s="31"/>
    </row>
    <row r="701" spans="4:24" x14ac:dyDescent="0.25">
      <c r="D701" s="31"/>
      <c r="E701" s="31"/>
      <c r="F701" s="31"/>
      <c r="G701" s="31"/>
      <c r="H701" s="31"/>
      <c r="I701" s="31"/>
      <c r="J701" s="31"/>
      <c r="K701" s="31"/>
      <c r="L701" s="269"/>
      <c r="M701" s="269"/>
      <c r="N701" s="269"/>
      <c r="O701" s="282"/>
      <c r="P701" s="269"/>
      <c r="Q701" s="269"/>
      <c r="R701" s="269"/>
      <c r="S701" s="282"/>
      <c r="T701" s="269"/>
      <c r="U701" s="269"/>
      <c r="V701" s="269"/>
      <c r="W701" s="269"/>
      <c r="X701" s="31"/>
    </row>
    <row r="702" spans="4:24" x14ac:dyDescent="0.25">
      <c r="D702" s="31"/>
      <c r="E702" s="31"/>
      <c r="F702" s="31"/>
      <c r="G702" s="31"/>
      <c r="H702" s="31"/>
      <c r="I702" s="31"/>
      <c r="J702" s="31"/>
      <c r="K702" s="31"/>
      <c r="L702" s="269"/>
      <c r="M702" s="269"/>
      <c r="N702" s="269"/>
      <c r="O702" s="282"/>
      <c r="P702" s="269"/>
      <c r="Q702" s="269"/>
      <c r="R702" s="269"/>
      <c r="S702" s="282"/>
      <c r="T702" s="269"/>
      <c r="U702" s="269"/>
      <c r="V702" s="269"/>
      <c r="W702" s="269"/>
      <c r="X702" s="31"/>
    </row>
    <row r="703" spans="4:24" x14ac:dyDescent="0.25">
      <c r="D703" s="31"/>
      <c r="E703" s="31"/>
      <c r="F703" s="31"/>
      <c r="G703" s="31"/>
      <c r="H703" s="31"/>
      <c r="I703" s="31"/>
      <c r="J703" s="31"/>
      <c r="K703" s="31"/>
      <c r="L703" s="269"/>
      <c r="M703" s="269"/>
      <c r="N703" s="269"/>
      <c r="O703" s="282"/>
      <c r="P703" s="269"/>
      <c r="Q703" s="269"/>
      <c r="R703" s="269"/>
      <c r="S703" s="282"/>
      <c r="T703" s="269"/>
      <c r="U703" s="269"/>
      <c r="V703" s="269"/>
      <c r="W703" s="269"/>
      <c r="X703" s="31"/>
    </row>
    <row r="704" spans="4:24" x14ac:dyDescent="0.25">
      <c r="D704" s="31"/>
      <c r="E704" s="31"/>
      <c r="F704" s="31"/>
      <c r="G704" s="31"/>
      <c r="H704" s="31"/>
      <c r="I704" s="31"/>
      <c r="J704" s="31"/>
      <c r="K704" s="31"/>
      <c r="L704" s="269"/>
      <c r="M704" s="269"/>
      <c r="N704" s="269"/>
      <c r="O704" s="282"/>
      <c r="P704" s="269"/>
      <c r="Q704" s="269"/>
      <c r="R704" s="269"/>
      <c r="S704" s="282"/>
      <c r="T704" s="269"/>
      <c r="U704" s="269"/>
      <c r="V704" s="269"/>
      <c r="W704" s="269"/>
      <c r="X704" s="31"/>
    </row>
    <row r="705" spans="4:24" x14ac:dyDescent="0.25">
      <c r="D705" s="31"/>
      <c r="E705" s="31"/>
      <c r="F705" s="31"/>
      <c r="G705" s="31"/>
      <c r="H705" s="31"/>
      <c r="I705" s="31"/>
      <c r="J705" s="31"/>
      <c r="K705" s="31"/>
      <c r="L705" s="269"/>
      <c r="M705" s="269"/>
      <c r="N705" s="269"/>
      <c r="O705" s="282"/>
      <c r="P705" s="269"/>
      <c r="Q705" s="269"/>
      <c r="R705" s="269"/>
      <c r="S705" s="282"/>
      <c r="T705" s="269"/>
      <c r="U705" s="269"/>
      <c r="V705" s="269"/>
      <c r="W705" s="269"/>
      <c r="X705" s="31"/>
    </row>
    <row r="706" spans="4:24" x14ac:dyDescent="0.25">
      <c r="D706" s="31"/>
      <c r="E706" s="31"/>
      <c r="F706" s="31"/>
      <c r="G706" s="31"/>
      <c r="H706" s="31"/>
      <c r="I706" s="31"/>
      <c r="J706" s="31"/>
      <c r="K706" s="31"/>
      <c r="L706" s="269"/>
      <c r="M706" s="269"/>
      <c r="N706" s="269"/>
      <c r="O706" s="282"/>
      <c r="P706" s="269"/>
      <c r="Q706" s="269"/>
      <c r="R706" s="269"/>
      <c r="S706" s="282"/>
      <c r="T706" s="269"/>
      <c r="U706" s="269"/>
      <c r="V706" s="269"/>
      <c r="W706" s="269"/>
      <c r="X706" s="31"/>
    </row>
    <row r="707" spans="4:24" x14ac:dyDescent="0.25">
      <c r="D707" s="31"/>
      <c r="E707" s="31"/>
      <c r="F707" s="31"/>
      <c r="G707" s="31"/>
      <c r="H707" s="31"/>
      <c r="I707" s="31"/>
      <c r="J707" s="31"/>
      <c r="K707" s="31"/>
      <c r="L707" s="269"/>
      <c r="M707" s="269"/>
      <c r="N707" s="269"/>
      <c r="O707" s="282"/>
      <c r="P707" s="269"/>
      <c r="Q707" s="269"/>
      <c r="R707" s="269"/>
      <c r="S707" s="282"/>
      <c r="T707" s="269"/>
      <c r="U707" s="269"/>
      <c r="V707" s="269"/>
      <c r="W707" s="269"/>
      <c r="X707" s="31"/>
    </row>
    <row r="708" spans="4:24" x14ac:dyDescent="0.25">
      <c r="D708" s="31"/>
      <c r="E708" s="31"/>
      <c r="F708" s="31"/>
      <c r="G708" s="31"/>
      <c r="H708" s="31"/>
      <c r="I708" s="31"/>
      <c r="J708" s="31"/>
      <c r="K708" s="31"/>
      <c r="L708" s="269"/>
      <c r="M708" s="269"/>
      <c r="N708" s="269"/>
      <c r="O708" s="282"/>
      <c r="P708" s="269"/>
      <c r="Q708" s="269"/>
      <c r="R708" s="269"/>
      <c r="S708" s="282"/>
      <c r="T708" s="269"/>
      <c r="U708" s="269"/>
      <c r="V708" s="269"/>
      <c r="W708" s="269"/>
      <c r="X708" s="31"/>
    </row>
    <row r="709" spans="4:24" x14ac:dyDescent="0.25">
      <c r="D709" s="31"/>
      <c r="E709" s="31"/>
      <c r="F709" s="31"/>
      <c r="G709" s="31"/>
      <c r="H709" s="31"/>
      <c r="I709" s="31"/>
      <c r="J709" s="31"/>
      <c r="K709" s="31"/>
      <c r="L709" s="269"/>
      <c r="M709" s="269"/>
      <c r="N709" s="269"/>
      <c r="O709" s="282"/>
      <c r="P709" s="269"/>
      <c r="Q709" s="269"/>
      <c r="R709" s="269"/>
      <c r="S709" s="282"/>
      <c r="T709" s="269"/>
      <c r="U709" s="269"/>
      <c r="V709" s="269"/>
      <c r="W709" s="269"/>
      <c r="X709" s="31"/>
    </row>
    <row r="710" spans="4:24" x14ac:dyDescent="0.25">
      <c r="D710" s="31"/>
      <c r="E710" s="31"/>
      <c r="F710" s="31"/>
      <c r="G710" s="31"/>
      <c r="H710" s="31"/>
      <c r="I710" s="31"/>
      <c r="J710" s="31"/>
      <c r="K710" s="31"/>
      <c r="L710" s="269"/>
      <c r="M710" s="269"/>
      <c r="N710" s="269"/>
      <c r="O710" s="282"/>
      <c r="P710" s="269"/>
      <c r="Q710" s="269"/>
      <c r="R710" s="269"/>
      <c r="S710" s="282"/>
      <c r="T710" s="269"/>
      <c r="U710" s="269"/>
      <c r="V710" s="269"/>
      <c r="W710" s="269"/>
      <c r="X710" s="31"/>
    </row>
    <row r="711" spans="4:24" x14ac:dyDescent="0.25">
      <c r="D711" s="31"/>
      <c r="E711" s="31"/>
      <c r="F711" s="31"/>
      <c r="G711" s="31"/>
      <c r="H711" s="31"/>
      <c r="I711" s="31"/>
      <c r="J711" s="31"/>
      <c r="K711" s="31"/>
      <c r="L711" s="269"/>
      <c r="M711" s="269"/>
      <c r="N711" s="269"/>
      <c r="O711" s="282"/>
      <c r="P711" s="269"/>
      <c r="Q711" s="269"/>
      <c r="R711" s="269"/>
      <c r="S711" s="282"/>
      <c r="T711" s="269"/>
      <c r="U711" s="269"/>
      <c r="V711" s="269"/>
      <c r="W711" s="269"/>
      <c r="X711" s="31"/>
    </row>
    <row r="712" spans="4:24" x14ac:dyDescent="0.25">
      <c r="D712" s="31"/>
      <c r="E712" s="31"/>
      <c r="F712" s="31"/>
      <c r="G712" s="31"/>
      <c r="H712" s="31"/>
      <c r="I712" s="31"/>
      <c r="J712" s="31"/>
      <c r="K712" s="31"/>
      <c r="L712" s="269"/>
      <c r="M712" s="269"/>
      <c r="N712" s="269"/>
      <c r="O712" s="282"/>
      <c r="P712" s="269"/>
      <c r="Q712" s="269"/>
      <c r="R712" s="269"/>
      <c r="S712" s="282"/>
      <c r="T712" s="269"/>
      <c r="U712" s="269"/>
      <c r="V712" s="269"/>
      <c r="W712" s="269"/>
      <c r="X712" s="31"/>
    </row>
    <row r="713" spans="4:24" x14ac:dyDescent="0.25">
      <c r="D713" s="31"/>
      <c r="E713" s="31"/>
      <c r="F713" s="31"/>
      <c r="G713" s="31"/>
      <c r="H713" s="31"/>
      <c r="I713" s="31"/>
      <c r="J713" s="31"/>
      <c r="K713" s="31"/>
      <c r="L713" s="269"/>
      <c r="M713" s="269"/>
      <c r="N713" s="269"/>
      <c r="O713" s="282"/>
      <c r="P713" s="269"/>
      <c r="Q713" s="269"/>
      <c r="R713" s="269"/>
      <c r="S713" s="282"/>
      <c r="T713" s="269"/>
      <c r="U713" s="269"/>
      <c r="V713" s="269"/>
      <c r="W713" s="269"/>
      <c r="X713" s="31"/>
    </row>
    <row r="714" spans="4:24" x14ac:dyDescent="0.25">
      <c r="D714" s="31"/>
      <c r="E714" s="31"/>
      <c r="F714" s="31"/>
      <c r="G714" s="31"/>
      <c r="H714" s="31"/>
      <c r="I714" s="31"/>
      <c r="J714" s="31"/>
      <c r="K714" s="31"/>
      <c r="L714" s="269"/>
      <c r="M714" s="269"/>
      <c r="N714" s="269"/>
      <c r="O714" s="282"/>
      <c r="P714" s="269"/>
      <c r="Q714" s="269"/>
      <c r="R714" s="269"/>
      <c r="S714" s="282"/>
      <c r="T714" s="269"/>
      <c r="U714" s="269"/>
      <c r="V714" s="269"/>
      <c r="W714" s="269"/>
      <c r="X714" s="31"/>
    </row>
    <row r="715" spans="4:24" x14ac:dyDescent="0.25">
      <c r="D715" s="31"/>
      <c r="E715" s="31"/>
      <c r="F715" s="31"/>
      <c r="G715" s="31"/>
      <c r="H715" s="31"/>
      <c r="I715" s="31"/>
      <c r="J715" s="31"/>
      <c r="K715" s="31"/>
      <c r="L715" s="269"/>
      <c r="M715" s="269"/>
      <c r="N715" s="269"/>
      <c r="O715" s="282"/>
      <c r="P715" s="269"/>
      <c r="Q715" s="269"/>
      <c r="R715" s="269"/>
      <c r="S715" s="282"/>
      <c r="T715" s="269"/>
      <c r="U715" s="269"/>
      <c r="V715" s="269"/>
      <c r="W715" s="269"/>
      <c r="X715" s="31"/>
    </row>
    <row r="716" spans="4:24" x14ac:dyDescent="0.25">
      <c r="D716" s="31"/>
      <c r="E716" s="31"/>
      <c r="F716" s="31"/>
      <c r="G716" s="31"/>
      <c r="H716" s="31"/>
      <c r="I716" s="31"/>
      <c r="J716" s="31"/>
      <c r="K716" s="31"/>
      <c r="L716" s="269"/>
      <c r="M716" s="269"/>
      <c r="N716" s="269"/>
      <c r="O716" s="282"/>
      <c r="P716" s="269"/>
      <c r="Q716" s="269"/>
      <c r="R716" s="269"/>
      <c r="S716" s="282"/>
      <c r="T716" s="269"/>
      <c r="U716" s="269"/>
      <c r="V716" s="269"/>
      <c r="W716" s="269"/>
      <c r="X716" s="31"/>
    </row>
    <row r="717" spans="4:24" x14ac:dyDescent="0.25">
      <c r="D717" s="31"/>
      <c r="E717" s="31"/>
      <c r="F717" s="31"/>
      <c r="G717" s="31"/>
      <c r="H717" s="31"/>
      <c r="I717" s="31"/>
      <c r="J717" s="31"/>
      <c r="K717" s="31"/>
      <c r="L717" s="269"/>
      <c r="M717" s="269"/>
      <c r="N717" s="269"/>
      <c r="O717" s="282"/>
      <c r="P717" s="269"/>
      <c r="Q717" s="269"/>
      <c r="R717" s="269"/>
      <c r="S717" s="282"/>
      <c r="T717" s="269"/>
      <c r="U717" s="269"/>
      <c r="V717" s="269"/>
      <c r="W717" s="269"/>
      <c r="X717" s="31"/>
    </row>
    <row r="718" spans="4:24" x14ac:dyDescent="0.25">
      <c r="D718" s="31"/>
      <c r="E718" s="31"/>
      <c r="F718" s="31"/>
      <c r="G718" s="31"/>
      <c r="H718" s="31"/>
      <c r="I718" s="31"/>
      <c r="J718" s="31"/>
      <c r="K718" s="31"/>
      <c r="L718" s="269"/>
      <c r="M718" s="269"/>
      <c r="N718" s="269"/>
      <c r="O718" s="282"/>
      <c r="P718" s="269"/>
      <c r="Q718" s="269"/>
      <c r="R718" s="269"/>
      <c r="S718" s="282"/>
      <c r="T718" s="269"/>
      <c r="U718" s="269"/>
      <c r="V718" s="269"/>
      <c r="W718" s="269"/>
      <c r="X718" s="31"/>
    </row>
    <row r="719" spans="4:24" x14ac:dyDescent="0.25">
      <c r="D719" s="31"/>
      <c r="E719" s="31"/>
      <c r="F719" s="31"/>
      <c r="G719" s="31"/>
      <c r="H719" s="31"/>
      <c r="I719" s="31"/>
      <c r="J719" s="31"/>
      <c r="K719" s="31"/>
      <c r="L719" s="269"/>
      <c r="M719" s="269"/>
      <c r="N719" s="269"/>
      <c r="O719" s="282"/>
      <c r="P719" s="269"/>
      <c r="Q719" s="269"/>
      <c r="R719" s="269"/>
      <c r="S719" s="282"/>
      <c r="T719" s="269"/>
      <c r="U719" s="269"/>
      <c r="V719" s="269"/>
      <c r="W719" s="269"/>
      <c r="X719" s="31"/>
    </row>
    <row r="720" spans="4:24" x14ac:dyDescent="0.25">
      <c r="D720" s="31"/>
      <c r="E720" s="31"/>
      <c r="F720" s="31"/>
      <c r="G720" s="31"/>
      <c r="H720" s="31"/>
      <c r="I720" s="31"/>
      <c r="J720" s="31"/>
      <c r="K720" s="31"/>
      <c r="L720" s="269"/>
      <c r="M720" s="269"/>
      <c r="N720" s="269"/>
      <c r="O720" s="282"/>
      <c r="P720" s="269"/>
      <c r="Q720" s="269"/>
      <c r="R720" s="269"/>
      <c r="S720" s="282"/>
      <c r="T720" s="269"/>
      <c r="U720" s="269"/>
      <c r="V720" s="269"/>
      <c r="W720" s="269"/>
      <c r="X720" s="31"/>
    </row>
    <row r="721" spans="4:24" x14ac:dyDescent="0.25">
      <c r="D721" s="31"/>
      <c r="E721" s="31"/>
      <c r="F721" s="31"/>
      <c r="G721" s="31"/>
      <c r="H721" s="31"/>
      <c r="I721" s="31"/>
      <c r="J721" s="31"/>
      <c r="K721" s="31"/>
      <c r="L721" s="269"/>
      <c r="M721" s="269"/>
      <c r="N721" s="269"/>
      <c r="O721" s="282"/>
      <c r="P721" s="269"/>
      <c r="Q721" s="269"/>
      <c r="R721" s="269"/>
      <c r="S721" s="282"/>
      <c r="T721" s="269"/>
      <c r="U721" s="269"/>
      <c r="V721" s="269"/>
      <c r="W721" s="269"/>
      <c r="X721" s="31"/>
    </row>
    <row r="722" spans="4:24" x14ac:dyDescent="0.25">
      <c r="D722" s="31"/>
      <c r="E722" s="31"/>
      <c r="F722" s="31"/>
      <c r="G722" s="31"/>
      <c r="H722" s="31"/>
      <c r="I722" s="31"/>
      <c r="J722" s="31"/>
      <c r="K722" s="31"/>
      <c r="L722" s="269"/>
      <c r="M722" s="269"/>
      <c r="N722" s="269"/>
      <c r="O722" s="282"/>
      <c r="P722" s="269"/>
      <c r="Q722" s="269"/>
      <c r="R722" s="269"/>
      <c r="S722" s="282"/>
      <c r="T722" s="269"/>
      <c r="U722" s="269"/>
      <c r="V722" s="269"/>
      <c r="W722" s="269"/>
      <c r="X722" s="31"/>
    </row>
    <row r="723" spans="4:24" x14ac:dyDescent="0.25">
      <c r="D723" s="31"/>
      <c r="E723" s="31"/>
      <c r="F723" s="31"/>
      <c r="G723" s="31"/>
      <c r="H723" s="31"/>
      <c r="I723" s="31"/>
      <c r="J723" s="31"/>
      <c r="K723" s="31"/>
      <c r="L723" s="269"/>
      <c r="M723" s="269"/>
      <c r="N723" s="269"/>
      <c r="O723" s="282"/>
      <c r="P723" s="269"/>
      <c r="Q723" s="269"/>
      <c r="R723" s="269"/>
      <c r="S723" s="282"/>
      <c r="T723" s="269"/>
      <c r="U723" s="269"/>
      <c r="V723" s="269"/>
      <c r="W723" s="269"/>
      <c r="X723" s="31"/>
    </row>
    <row r="724" spans="4:24" x14ac:dyDescent="0.25">
      <c r="D724" s="31"/>
      <c r="E724" s="31"/>
      <c r="F724" s="31"/>
      <c r="G724" s="31"/>
      <c r="H724" s="31"/>
      <c r="I724" s="31"/>
      <c r="J724" s="31"/>
      <c r="K724" s="31"/>
      <c r="L724" s="269"/>
      <c r="M724" s="269"/>
      <c r="N724" s="269"/>
      <c r="O724" s="282"/>
      <c r="P724" s="269"/>
      <c r="Q724" s="269"/>
      <c r="R724" s="269"/>
      <c r="S724" s="282"/>
      <c r="T724" s="269"/>
      <c r="U724" s="269"/>
      <c r="V724" s="269"/>
      <c r="W724" s="269"/>
      <c r="X724" s="31"/>
    </row>
    <row r="725" spans="4:24" x14ac:dyDescent="0.25">
      <c r="D725" s="31"/>
      <c r="E725" s="31"/>
      <c r="F725" s="31"/>
      <c r="G725" s="31"/>
      <c r="H725" s="31"/>
      <c r="I725" s="31"/>
      <c r="J725" s="31"/>
      <c r="K725" s="31"/>
      <c r="L725" s="269"/>
      <c r="M725" s="269"/>
      <c r="N725" s="269"/>
      <c r="O725" s="282"/>
      <c r="P725" s="269"/>
      <c r="Q725" s="269"/>
      <c r="R725" s="269"/>
      <c r="S725" s="282"/>
      <c r="T725" s="269"/>
      <c r="U725" s="269"/>
      <c r="V725" s="269"/>
      <c r="W725" s="269"/>
      <c r="X725" s="31"/>
    </row>
    <row r="726" spans="4:24" x14ac:dyDescent="0.25">
      <c r="D726" s="31"/>
      <c r="E726" s="31"/>
      <c r="F726" s="31"/>
      <c r="G726" s="31"/>
      <c r="H726" s="31"/>
      <c r="I726" s="31"/>
      <c r="J726" s="31"/>
      <c r="K726" s="31"/>
      <c r="L726" s="269"/>
      <c r="M726" s="269"/>
      <c r="N726" s="269"/>
      <c r="O726" s="282"/>
      <c r="P726" s="269"/>
      <c r="Q726" s="269"/>
      <c r="R726" s="269"/>
      <c r="S726" s="282"/>
      <c r="T726" s="269"/>
      <c r="U726" s="269"/>
      <c r="V726" s="269"/>
      <c r="W726" s="269"/>
      <c r="X726" s="31"/>
    </row>
    <row r="727" spans="4:24" x14ac:dyDescent="0.25">
      <c r="D727" s="31"/>
      <c r="E727" s="31"/>
      <c r="F727" s="31"/>
      <c r="G727" s="31"/>
      <c r="H727" s="31"/>
      <c r="I727" s="31"/>
      <c r="J727" s="31"/>
      <c r="K727" s="31"/>
      <c r="L727" s="269"/>
      <c r="M727" s="269"/>
      <c r="N727" s="269"/>
      <c r="O727" s="282"/>
      <c r="P727" s="269"/>
      <c r="Q727" s="269"/>
      <c r="R727" s="269"/>
      <c r="S727" s="282"/>
      <c r="T727" s="269"/>
      <c r="U727" s="269"/>
      <c r="V727" s="269"/>
      <c r="W727" s="269"/>
      <c r="X727" s="31"/>
    </row>
    <row r="728" spans="4:24" x14ac:dyDescent="0.25">
      <c r="D728" s="31"/>
      <c r="E728" s="31"/>
      <c r="F728" s="31"/>
      <c r="G728" s="31"/>
      <c r="H728" s="31"/>
      <c r="I728" s="31"/>
      <c r="J728" s="31"/>
      <c r="K728" s="31"/>
      <c r="L728" s="269"/>
      <c r="M728" s="269"/>
      <c r="N728" s="269"/>
      <c r="O728" s="282"/>
      <c r="P728" s="269"/>
      <c r="Q728" s="269"/>
      <c r="R728" s="269"/>
      <c r="S728" s="282"/>
      <c r="T728" s="269"/>
      <c r="U728" s="269"/>
      <c r="V728" s="269"/>
      <c r="W728" s="269"/>
      <c r="X728" s="31"/>
    </row>
    <row r="729" spans="4:24" x14ac:dyDescent="0.25">
      <c r="D729" s="31"/>
      <c r="E729" s="31"/>
      <c r="F729" s="31"/>
      <c r="G729" s="31"/>
      <c r="H729" s="31"/>
      <c r="I729" s="31"/>
      <c r="J729" s="31"/>
      <c r="K729" s="31"/>
      <c r="L729" s="269"/>
      <c r="M729" s="269"/>
      <c r="N729" s="269"/>
      <c r="O729" s="282"/>
      <c r="P729" s="269"/>
      <c r="Q729" s="269"/>
      <c r="R729" s="269"/>
      <c r="S729" s="282"/>
      <c r="T729" s="269"/>
      <c r="U729" s="269"/>
      <c r="V729" s="269"/>
      <c r="W729" s="269"/>
      <c r="X729" s="31"/>
    </row>
    <row r="730" spans="4:24" x14ac:dyDescent="0.25">
      <c r="D730" s="31"/>
      <c r="E730" s="31"/>
      <c r="F730" s="31"/>
      <c r="G730" s="31"/>
      <c r="H730" s="31"/>
      <c r="I730" s="31"/>
      <c r="J730" s="31"/>
      <c r="K730" s="31"/>
      <c r="L730" s="269"/>
      <c r="M730" s="269"/>
      <c r="N730" s="269"/>
      <c r="O730" s="282"/>
      <c r="P730" s="269"/>
      <c r="Q730" s="269"/>
      <c r="R730" s="269"/>
      <c r="S730" s="282"/>
      <c r="T730" s="269"/>
      <c r="U730" s="269"/>
      <c r="V730" s="269"/>
      <c r="W730" s="269"/>
      <c r="X730" s="31"/>
    </row>
    <row r="731" spans="4:24" x14ac:dyDescent="0.25">
      <c r="D731" s="31"/>
      <c r="E731" s="31"/>
      <c r="F731" s="31"/>
      <c r="G731" s="31"/>
      <c r="H731" s="31"/>
      <c r="I731" s="31"/>
      <c r="J731" s="31"/>
      <c r="K731" s="31"/>
      <c r="L731" s="269"/>
      <c r="M731" s="269"/>
      <c r="N731" s="269"/>
      <c r="O731" s="282"/>
      <c r="P731" s="269"/>
      <c r="Q731" s="269"/>
      <c r="R731" s="269"/>
      <c r="S731" s="282"/>
      <c r="T731" s="269"/>
      <c r="U731" s="269"/>
      <c r="V731" s="269"/>
      <c r="W731" s="269"/>
      <c r="X731" s="31"/>
    </row>
    <row r="732" spans="4:24" x14ac:dyDescent="0.25">
      <c r="D732" s="31"/>
      <c r="E732" s="31"/>
      <c r="F732" s="31"/>
      <c r="G732" s="31"/>
      <c r="H732" s="31"/>
      <c r="I732" s="31"/>
      <c r="J732" s="31"/>
      <c r="K732" s="31"/>
      <c r="L732" s="269"/>
      <c r="M732" s="269"/>
      <c r="N732" s="269"/>
      <c r="O732" s="282"/>
      <c r="P732" s="269"/>
      <c r="Q732" s="269"/>
      <c r="R732" s="269"/>
      <c r="S732" s="282"/>
      <c r="T732" s="269"/>
      <c r="U732" s="269"/>
      <c r="V732" s="269"/>
      <c r="W732" s="269"/>
      <c r="X732" s="31"/>
    </row>
    <row r="733" spans="4:24" x14ac:dyDescent="0.25">
      <c r="D733" s="31"/>
      <c r="E733" s="31"/>
      <c r="F733" s="31"/>
      <c r="G733" s="31"/>
      <c r="H733" s="31"/>
      <c r="I733" s="31"/>
      <c r="J733" s="31"/>
      <c r="K733" s="31"/>
      <c r="L733" s="269"/>
      <c r="M733" s="269"/>
      <c r="N733" s="269"/>
      <c r="O733" s="282"/>
      <c r="P733" s="269"/>
      <c r="Q733" s="269"/>
      <c r="R733" s="269"/>
      <c r="S733" s="282"/>
      <c r="T733" s="269"/>
      <c r="U733" s="269"/>
      <c r="V733" s="269"/>
      <c r="W733" s="269"/>
      <c r="X733" s="31"/>
    </row>
    <row r="734" spans="4:24" x14ac:dyDescent="0.25">
      <c r="D734" s="31"/>
      <c r="E734" s="31"/>
      <c r="F734" s="31"/>
      <c r="G734" s="31"/>
      <c r="H734" s="31"/>
      <c r="I734" s="31"/>
      <c r="J734" s="31"/>
      <c r="K734" s="31"/>
      <c r="L734" s="269"/>
      <c r="M734" s="269"/>
      <c r="N734" s="269"/>
      <c r="O734" s="282"/>
      <c r="P734" s="269"/>
      <c r="Q734" s="269"/>
      <c r="R734" s="269"/>
      <c r="S734" s="282"/>
      <c r="T734" s="269"/>
      <c r="U734" s="269"/>
      <c r="V734" s="269"/>
      <c r="W734" s="269"/>
      <c r="X734" s="31"/>
    </row>
    <row r="735" spans="4:24" x14ac:dyDescent="0.25">
      <c r="D735" s="31"/>
      <c r="E735" s="31"/>
      <c r="F735" s="31"/>
      <c r="G735" s="31"/>
      <c r="H735" s="31"/>
      <c r="I735" s="31"/>
      <c r="J735" s="31"/>
      <c r="K735" s="31"/>
      <c r="L735" s="269"/>
      <c r="M735" s="269"/>
      <c r="N735" s="269"/>
      <c r="O735" s="282"/>
      <c r="P735" s="269"/>
      <c r="Q735" s="269"/>
      <c r="R735" s="269"/>
      <c r="S735" s="282"/>
      <c r="T735" s="269"/>
      <c r="U735" s="269"/>
      <c r="V735" s="269"/>
      <c r="W735" s="269"/>
      <c r="X735" s="31"/>
    </row>
    <row r="736" spans="4:24" x14ac:dyDescent="0.25">
      <c r="D736" s="31"/>
      <c r="E736" s="31"/>
      <c r="F736" s="31"/>
      <c r="G736" s="31"/>
      <c r="H736" s="31"/>
      <c r="I736" s="31"/>
      <c r="J736" s="31"/>
      <c r="K736" s="31"/>
      <c r="L736" s="269"/>
      <c r="M736" s="269"/>
      <c r="N736" s="269"/>
      <c r="O736" s="282"/>
      <c r="P736" s="269"/>
      <c r="Q736" s="269"/>
      <c r="R736" s="269"/>
      <c r="S736" s="282"/>
      <c r="T736" s="269"/>
      <c r="U736" s="269"/>
      <c r="V736" s="269"/>
      <c r="W736" s="269"/>
      <c r="X736" s="31"/>
    </row>
    <row r="737" spans="4:24" x14ac:dyDescent="0.25">
      <c r="D737" s="31"/>
      <c r="E737" s="31"/>
      <c r="F737" s="31"/>
      <c r="G737" s="31"/>
      <c r="H737" s="31"/>
      <c r="I737" s="31"/>
      <c r="J737" s="31"/>
      <c r="K737" s="31"/>
      <c r="L737" s="269"/>
      <c r="M737" s="269"/>
      <c r="N737" s="269"/>
      <c r="O737" s="282"/>
      <c r="P737" s="269"/>
      <c r="Q737" s="269"/>
      <c r="R737" s="269"/>
      <c r="S737" s="282"/>
      <c r="T737" s="269"/>
      <c r="U737" s="269"/>
      <c r="V737" s="269"/>
      <c r="W737" s="269"/>
      <c r="X737" s="31"/>
    </row>
    <row r="738" spans="4:24" x14ac:dyDescent="0.25">
      <c r="D738" s="31"/>
      <c r="E738" s="31"/>
      <c r="F738" s="31"/>
      <c r="G738" s="31"/>
      <c r="H738" s="31"/>
      <c r="I738" s="31"/>
      <c r="J738" s="31"/>
      <c r="K738" s="31"/>
      <c r="L738" s="269"/>
      <c r="M738" s="269"/>
      <c r="N738" s="269"/>
      <c r="O738" s="282"/>
      <c r="P738" s="269"/>
      <c r="Q738" s="269"/>
      <c r="R738" s="269"/>
      <c r="S738" s="282"/>
      <c r="T738" s="269"/>
      <c r="U738" s="269"/>
      <c r="V738" s="269"/>
      <c r="W738" s="269"/>
      <c r="X738" s="31"/>
    </row>
    <row r="739" spans="4:24" x14ac:dyDescent="0.25">
      <c r="D739" s="31"/>
      <c r="E739" s="31"/>
      <c r="F739" s="31"/>
      <c r="G739" s="31"/>
      <c r="H739" s="31"/>
      <c r="I739" s="31"/>
      <c r="J739" s="31"/>
      <c r="K739" s="31"/>
      <c r="L739" s="269"/>
      <c r="M739" s="269"/>
      <c r="N739" s="269"/>
      <c r="O739" s="282"/>
      <c r="P739" s="269"/>
      <c r="Q739" s="269"/>
      <c r="R739" s="269"/>
      <c r="S739" s="282"/>
      <c r="T739" s="269"/>
      <c r="U739" s="269"/>
      <c r="V739" s="269"/>
      <c r="W739" s="269"/>
      <c r="X739" s="31"/>
    </row>
    <row r="740" spans="4:24" x14ac:dyDescent="0.25">
      <c r="D740" s="31"/>
      <c r="E740" s="31"/>
      <c r="F740" s="31"/>
      <c r="G740" s="31"/>
      <c r="H740" s="31"/>
      <c r="I740" s="31"/>
      <c r="J740" s="31"/>
      <c r="K740" s="31"/>
      <c r="L740" s="269"/>
      <c r="M740" s="269"/>
      <c r="N740" s="269"/>
      <c r="O740" s="282"/>
      <c r="P740" s="269"/>
      <c r="Q740" s="269"/>
      <c r="R740" s="269"/>
      <c r="S740" s="282"/>
      <c r="T740" s="269"/>
      <c r="U740" s="269"/>
      <c r="V740" s="269"/>
      <c r="W740" s="269"/>
      <c r="X740" s="31"/>
    </row>
    <row r="741" spans="4:24" x14ac:dyDescent="0.25">
      <c r="D741" s="31"/>
      <c r="E741" s="31"/>
      <c r="F741" s="31"/>
      <c r="G741" s="31"/>
      <c r="H741" s="31"/>
      <c r="I741" s="31"/>
      <c r="J741" s="31"/>
      <c r="K741" s="31"/>
      <c r="L741" s="269"/>
      <c r="M741" s="269"/>
      <c r="N741" s="269"/>
      <c r="O741" s="282"/>
      <c r="P741" s="269"/>
      <c r="Q741" s="269"/>
      <c r="R741" s="269"/>
      <c r="S741" s="282"/>
      <c r="T741" s="269"/>
      <c r="U741" s="269"/>
      <c r="V741" s="269"/>
      <c r="W741" s="269"/>
      <c r="X741" s="31"/>
    </row>
    <row r="742" spans="4:24" x14ac:dyDescent="0.25">
      <c r="D742" s="31"/>
      <c r="E742" s="31"/>
      <c r="F742" s="31"/>
      <c r="G742" s="31"/>
      <c r="H742" s="31"/>
      <c r="I742" s="31"/>
      <c r="J742" s="31"/>
      <c r="K742" s="31"/>
      <c r="L742" s="269"/>
      <c r="M742" s="269"/>
      <c r="N742" s="269"/>
      <c r="O742" s="282"/>
      <c r="P742" s="269"/>
      <c r="Q742" s="269"/>
      <c r="R742" s="269"/>
      <c r="S742" s="282"/>
      <c r="T742" s="269"/>
      <c r="U742" s="269"/>
      <c r="V742" s="269"/>
      <c r="W742" s="269"/>
      <c r="X742" s="31"/>
    </row>
    <row r="743" spans="4:24" x14ac:dyDescent="0.25">
      <c r="D743" s="31"/>
      <c r="E743" s="31"/>
      <c r="F743" s="31"/>
      <c r="G743" s="31"/>
      <c r="H743" s="31"/>
      <c r="I743" s="31"/>
      <c r="J743" s="31"/>
      <c r="K743" s="31"/>
      <c r="L743" s="269"/>
      <c r="M743" s="269"/>
      <c r="N743" s="269"/>
      <c r="O743" s="282"/>
      <c r="P743" s="269"/>
      <c r="Q743" s="269"/>
      <c r="R743" s="269"/>
      <c r="S743" s="282"/>
      <c r="T743" s="269"/>
      <c r="U743" s="269"/>
      <c r="V743" s="269"/>
      <c r="W743" s="269"/>
      <c r="X743" s="31"/>
    </row>
    <row r="744" spans="4:24" x14ac:dyDescent="0.25">
      <c r="D744" s="31"/>
      <c r="E744" s="31"/>
      <c r="F744" s="31"/>
      <c r="G744" s="31"/>
      <c r="H744" s="31"/>
      <c r="I744" s="31"/>
      <c r="J744" s="31"/>
      <c r="K744" s="31"/>
      <c r="L744" s="269"/>
      <c r="M744" s="269"/>
      <c r="N744" s="269"/>
      <c r="O744" s="282"/>
      <c r="P744" s="269"/>
      <c r="Q744" s="269"/>
      <c r="R744" s="269"/>
      <c r="S744" s="282"/>
      <c r="T744" s="269"/>
      <c r="U744" s="269"/>
      <c r="V744" s="269"/>
      <c r="W744" s="269"/>
      <c r="X744" s="31"/>
    </row>
    <row r="745" spans="4:24" x14ac:dyDescent="0.25">
      <c r="D745" s="31"/>
      <c r="E745" s="31"/>
      <c r="F745" s="31"/>
      <c r="G745" s="31"/>
      <c r="H745" s="31"/>
      <c r="I745" s="31"/>
      <c r="J745" s="31"/>
      <c r="K745" s="31"/>
      <c r="L745" s="269"/>
      <c r="M745" s="269"/>
      <c r="N745" s="269"/>
      <c r="O745" s="282"/>
      <c r="P745" s="269"/>
      <c r="Q745" s="269"/>
      <c r="R745" s="269"/>
      <c r="S745" s="282"/>
      <c r="T745" s="269"/>
      <c r="U745" s="269"/>
      <c r="V745" s="269"/>
      <c r="W745" s="269"/>
      <c r="X745" s="31"/>
    </row>
    <row r="746" spans="4:24" x14ac:dyDescent="0.25">
      <c r="D746" s="31"/>
      <c r="E746" s="31"/>
      <c r="F746" s="31"/>
      <c r="G746" s="31"/>
      <c r="H746" s="31"/>
      <c r="I746" s="31"/>
      <c r="J746" s="31"/>
      <c r="K746" s="31"/>
      <c r="L746" s="269"/>
      <c r="M746" s="269"/>
      <c r="N746" s="269"/>
      <c r="O746" s="282"/>
      <c r="P746" s="269"/>
      <c r="Q746" s="269"/>
      <c r="R746" s="269"/>
      <c r="S746" s="282"/>
      <c r="T746" s="269"/>
      <c r="U746" s="269"/>
      <c r="V746" s="269"/>
      <c r="W746" s="269"/>
      <c r="X746" s="31"/>
    </row>
    <row r="747" spans="4:24" x14ac:dyDescent="0.25">
      <c r="D747" s="31"/>
      <c r="E747" s="31"/>
      <c r="F747" s="31"/>
      <c r="G747" s="31"/>
      <c r="H747" s="31"/>
      <c r="I747" s="31"/>
      <c r="J747" s="31"/>
      <c r="K747" s="31"/>
      <c r="L747" s="269"/>
      <c r="M747" s="269"/>
      <c r="N747" s="269"/>
      <c r="O747" s="282"/>
      <c r="P747" s="269"/>
      <c r="Q747" s="269"/>
      <c r="R747" s="269"/>
      <c r="S747" s="282"/>
      <c r="T747" s="269"/>
      <c r="U747" s="269"/>
      <c r="V747" s="269"/>
      <c r="W747" s="269"/>
      <c r="X747" s="31"/>
    </row>
    <row r="748" spans="4:24" x14ac:dyDescent="0.25">
      <c r="D748" s="31"/>
      <c r="E748" s="31"/>
      <c r="F748" s="31"/>
      <c r="G748" s="31"/>
      <c r="H748" s="31"/>
      <c r="I748" s="31"/>
      <c r="J748" s="31"/>
      <c r="K748" s="31"/>
      <c r="L748" s="269"/>
      <c r="M748" s="269"/>
      <c r="N748" s="269"/>
      <c r="O748" s="282"/>
      <c r="P748" s="269"/>
      <c r="Q748" s="269"/>
      <c r="R748" s="269"/>
      <c r="S748" s="282"/>
      <c r="T748" s="269"/>
      <c r="U748" s="269"/>
      <c r="V748" s="269"/>
      <c r="W748" s="269"/>
      <c r="X748" s="31"/>
    </row>
    <row r="749" spans="4:24" x14ac:dyDescent="0.25">
      <c r="D749" s="31"/>
      <c r="E749" s="31"/>
      <c r="F749" s="31"/>
      <c r="G749" s="31"/>
      <c r="H749" s="31"/>
      <c r="I749" s="31"/>
      <c r="J749" s="31"/>
      <c r="K749" s="31"/>
      <c r="L749" s="269"/>
      <c r="M749" s="269"/>
      <c r="N749" s="269"/>
      <c r="O749" s="282"/>
      <c r="P749" s="269"/>
      <c r="Q749" s="269"/>
      <c r="R749" s="269"/>
      <c r="S749" s="282"/>
      <c r="T749" s="269"/>
      <c r="U749" s="269"/>
      <c r="V749" s="269"/>
      <c r="W749" s="269"/>
      <c r="X749" s="31"/>
    </row>
    <row r="750" spans="4:24" x14ac:dyDescent="0.25">
      <c r="D750" s="31"/>
      <c r="E750" s="31"/>
      <c r="F750" s="31"/>
      <c r="G750" s="31"/>
      <c r="H750" s="31"/>
      <c r="I750" s="31"/>
      <c r="J750" s="31"/>
      <c r="K750" s="31"/>
      <c r="L750" s="269"/>
      <c r="M750" s="269"/>
      <c r="N750" s="269"/>
      <c r="O750" s="282"/>
      <c r="P750" s="269"/>
      <c r="Q750" s="269"/>
      <c r="R750" s="269"/>
      <c r="S750" s="282"/>
      <c r="T750" s="269"/>
      <c r="U750" s="269"/>
      <c r="V750" s="269"/>
      <c r="W750" s="269"/>
      <c r="X750" s="31"/>
    </row>
    <row r="751" spans="4:24" x14ac:dyDescent="0.25">
      <c r="D751" s="31"/>
      <c r="E751" s="31"/>
      <c r="F751" s="31"/>
      <c r="G751" s="31"/>
      <c r="H751" s="31"/>
      <c r="I751" s="31"/>
      <c r="J751" s="31"/>
      <c r="K751" s="31"/>
      <c r="L751" s="269"/>
      <c r="M751" s="269"/>
      <c r="N751" s="269"/>
      <c r="O751" s="282"/>
      <c r="P751" s="269"/>
      <c r="Q751" s="269"/>
      <c r="R751" s="269"/>
      <c r="S751" s="282"/>
      <c r="T751" s="269"/>
      <c r="U751" s="269"/>
      <c r="V751" s="269"/>
      <c r="W751" s="269"/>
      <c r="X751" s="31"/>
    </row>
    <row r="752" spans="4:24" x14ac:dyDescent="0.25">
      <c r="D752" s="31"/>
      <c r="E752" s="31"/>
      <c r="F752" s="31"/>
      <c r="G752" s="31"/>
      <c r="H752" s="31"/>
      <c r="I752" s="31"/>
      <c r="J752" s="31"/>
      <c r="K752" s="31"/>
      <c r="L752" s="269"/>
      <c r="M752" s="269"/>
      <c r="N752" s="269"/>
      <c r="O752" s="282"/>
      <c r="P752" s="269"/>
      <c r="Q752" s="269"/>
      <c r="R752" s="269"/>
      <c r="S752" s="282"/>
      <c r="T752" s="269"/>
      <c r="U752" s="269"/>
      <c r="V752" s="269"/>
      <c r="W752" s="269"/>
      <c r="X752" s="31"/>
    </row>
    <row r="753" spans="4:24" x14ac:dyDescent="0.25">
      <c r="D753" s="31"/>
      <c r="E753" s="31"/>
      <c r="F753" s="31"/>
      <c r="G753" s="31"/>
      <c r="H753" s="31"/>
      <c r="I753" s="31"/>
      <c r="J753" s="31"/>
      <c r="K753" s="31"/>
      <c r="L753" s="269"/>
      <c r="M753" s="269"/>
      <c r="N753" s="269"/>
      <c r="O753" s="282"/>
      <c r="P753" s="269"/>
      <c r="Q753" s="269"/>
      <c r="R753" s="269"/>
      <c r="S753" s="282"/>
      <c r="T753" s="269"/>
      <c r="U753" s="269"/>
      <c r="V753" s="269"/>
      <c r="W753" s="269"/>
      <c r="X753" s="31"/>
    </row>
    <row r="754" spans="4:24" x14ac:dyDescent="0.25">
      <c r="D754" s="31"/>
      <c r="E754" s="31"/>
      <c r="F754" s="31"/>
      <c r="G754" s="31"/>
      <c r="H754" s="31"/>
      <c r="I754" s="31"/>
      <c r="J754" s="31"/>
      <c r="K754" s="31"/>
      <c r="L754" s="269"/>
      <c r="M754" s="269"/>
      <c r="N754" s="269"/>
      <c r="O754" s="282"/>
      <c r="P754" s="269"/>
      <c r="Q754" s="269"/>
      <c r="R754" s="269"/>
      <c r="S754" s="282"/>
      <c r="T754" s="269"/>
      <c r="U754" s="269"/>
      <c r="V754" s="269"/>
      <c r="W754" s="269"/>
      <c r="X754" s="31"/>
    </row>
    <row r="755" spans="4:24" x14ac:dyDescent="0.25">
      <c r="D755" s="31"/>
      <c r="E755" s="31"/>
      <c r="F755" s="31"/>
      <c r="G755" s="31"/>
      <c r="H755" s="31"/>
      <c r="I755" s="31"/>
      <c r="J755" s="31"/>
      <c r="K755" s="31"/>
      <c r="L755" s="269"/>
      <c r="M755" s="269"/>
      <c r="N755" s="269"/>
      <c r="O755" s="282"/>
      <c r="P755" s="269"/>
      <c r="Q755" s="269"/>
      <c r="R755" s="269"/>
      <c r="S755" s="282"/>
      <c r="T755" s="269"/>
      <c r="U755" s="269"/>
      <c r="V755" s="269"/>
      <c r="W755" s="269"/>
      <c r="X755" s="31"/>
    </row>
    <row r="756" spans="4:24" x14ac:dyDescent="0.25">
      <c r="D756" s="31"/>
      <c r="E756" s="31"/>
      <c r="F756" s="31"/>
      <c r="G756" s="31"/>
      <c r="H756" s="31"/>
      <c r="I756" s="31"/>
      <c r="J756" s="31"/>
      <c r="K756" s="31"/>
      <c r="L756" s="269"/>
      <c r="M756" s="269"/>
      <c r="N756" s="269"/>
      <c r="O756" s="282"/>
      <c r="P756" s="269"/>
      <c r="Q756" s="269"/>
      <c r="R756" s="269"/>
      <c r="S756" s="282"/>
      <c r="T756" s="269"/>
      <c r="U756" s="269"/>
      <c r="V756" s="269"/>
      <c r="W756" s="269"/>
      <c r="X756" s="31"/>
    </row>
    <row r="757" spans="4:24" x14ac:dyDescent="0.25">
      <c r="D757" s="31"/>
      <c r="E757" s="31"/>
      <c r="F757" s="31"/>
      <c r="G757" s="31"/>
      <c r="H757" s="31"/>
      <c r="I757" s="31"/>
      <c r="J757" s="31"/>
      <c r="K757" s="31"/>
      <c r="L757" s="269"/>
      <c r="M757" s="269"/>
      <c r="N757" s="269"/>
      <c r="O757" s="282"/>
      <c r="P757" s="269"/>
      <c r="Q757" s="269"/>
      <c r="R757" s="269"/>
      <c r="S757" s="282"/>
      <c r="T757" s="269"/>
      <c r="U757" s="269"/>
      <c r="V757" s="269"/>
      <c r="W757" s="269"/>
      <c r="X757" s="31"/>
    </row>
    <row r="758" spans="4:24" x14ac:dyDescent="0.25">
      <c r="D758" s="31"/>
      <c r="E758" s="31"/>
      <c r="F758" s="31"/>
      <c r="G758" s="31"/>
      <c r="H758" s="31"/>
      <c r="I758" s="31"/>
      <c r="J758" s="31"/>
      <c r="K758" s="31"/>
      <c r="L758" s="269"/>
      <c r="M758" s="269"/>
      <c r="N758" s="269"/>
      <c r="O758" s="282"/>
      <c r="P758" s="269"/>
      <c r="Q758" s="269"/>
      <c r="R758" s="269"/>
      <c r="S758" s="282"/>
      <c r="T758" s="269"/>
      <c r="U758" s="269"/>
      <c r="V758" s="269"/>
      <c r="W758" s="269"/>
      <c r="X758" s="31"/>
    </row>
    <row r="759" spans="4:24" x14ac:dyDescent="0.25">
      <c r="D759" s="31"/>
      <c r="E759" s="31"/>
      <c r="F759" s="31"/>
      <c r="G759" s="31"/>
      <c r="H759" s="31"/>
      <c r="I759" s="31"/>
      <c r="J759" s="31"/>
      <c r="K759" s="31"/>
      <c r="L759" s="269"/>
      <c r="M759" s="269"/>
      <c r="N759" s="269"/>
      <c r="O759" s="282"/>
      <c r="P759" s="269"/>
      <c r="Q759" s="269"/>
      <c r="R759" s="269"/>
      <c r="S759" s="282"/>
      <c r="T759" s="269"/>
      <c r="U759" s="269"/>
      <c r="V759" s="269"/>
      <c r="W759" s="269"/>
      <c r="X759" s="31"/>
    </row>
    <row r="760" spans="4:24" x14ac:dyDescent="0.25">
      <c r="D760" s="31"/>
      <c r="E760" s="31"/>
      <c r="F760" s="31"/>
      <c r="G760" s="31"/>
      <c r="H760" s="31"/>
      <c r="I760" s="31"/>
      <c r="J760" s="31"/>
      <c r="K760" s="31"/>
      <c r="L760" s="269"/>
      <c r="M760" s="269"/>
      <c r="N760" s="269"/>
      <c r="O760" s="282"/>
      <c r="P760" s="269"/>
      <c r="Q760" s="269"/>
      <c r="R760" s="269"/>
      <c r="S760" s="282"/>
      <c r="T760" s="269"/>
      <c r="U760" s="269"/>
      <c r="V760" s="269"/>
      <c r="W760" s="269"/>
      <c r="X760" s="31"/>
    </row>
    <row r="761" spans="4:24" x14ac:dyDescent="0.25">
      <c r="D761" s="31"/>
      <c r="E761" s="31"/>
      <c r="F761" s="31"/>
      <c r="G761" s="31"/>
      <c r="H761" s="31"/>
      <c r="I761" s="31"/>
      <c r="J761" s="31"/>
      <c r="K761" s="31"/>
      <c r="L761" s="269"/>
      <c r="M761" s="269"/>
      <c r="N761" s="269"/>
      <c r="O761" s="282"/>
      <c r="P761" s="269"/>
      <c r="Q761" s="269"/>
      <c r="R761" s="269"/>
      <c r="S761" s="282"/>
      <c r="T761" s="269"/>
      <c r="U761" s="269"/>
      <c r="V761" s="269"/>
      <c r="W761" s="269"/>
      <c r="X761" s="31"/>
    </row>
    <row r="762" spans="4:24" x14ac:dyDescent="0.25">
      <c r="D762" s="31"/>
      <c r="E762" s="31"/>
      <c r="F762" s="31"/>
      <c r="G762" s="31"/>
      <c r="H762" s="31"/>
      <c r="I762" s="31"/>
      <c r="J762" s="31"/>
      <c r="K762" s="31"/>
      <c r="L762" s="269"/>
      <c r="M762" s="269"/>
      <c r="N762" s="269"/>
      <c r="O762" s="282"/>
      <c r="P762" s="269"/>
      <c r="Q762" s="269"/>
      <c r="R762" s="269"/>
      <c r="S762" s="282"/>
      <c r="T762" s="269"/>
      <c r="U762" s="269"/>
      <c r="V762" s="269"/>
      <c r="W762" s="269"/>
      <c r="X762" s="31"/>
    </row>
    <row r="763" spans="4:24" x14ac:dyDescent="0.25">
      <c r="D763" s="31"/>
      <c r="E763" s="31"/>
      <c r="F763" s="31"/>
      <c r="G763" s="31"/>
      <c r="H763" s="31"/>
      <c r="I763" s="31"/>
      <c r="J763" s="31"/>
      <c r="K763" s="31"/>
      <c r="L763" s="269"/>
      <c r="M763" s="269"/>
      <c r="N763" s="269"/>
      <c r="O763" s="282"/>
      <c r="P763" s="269"/>
      <c r="Q763" s="269"/>
      <c r="R763" s="269"/>
      <c r="S763" s="282"/>
      <c r="T763" s="269"/>
      <c r="U763" s="269"/>
      <c r="V763" s="269"/>
      <c r="W763" s="269"/>
      <c r="X763" s="31"/>
    </row>
    <row r="764" spans="4:24" x14ac:dyDescent="0.25">
      <c r="D764" s="31"/>
      <c r="E764" s="31"/>
      <c r="F764" s="31"/>
      <c r="G764" s="31"/>
      <c r="H764" s="31"/>
      <c r="I764" s="31"/>
      <c r="J764" s="31"/>
      <c r="K764" s="31"/>
      <c r="L764" s="269"/>
      <c r="M764" s="269"/>
      <c r="N764" s="269"/>
      <c r="O764" s="282"/>
      <c r="P764" s="269"/>
      <c r="Q764" s="269"/>
      <c r="R764" s="269"/>
      <c r="S764" s="282"/>
      <c r="T764" s="269"/>
      <c r="U764" s="269"/>
      <c r="V764" s="269"/>
      <c r="W764" s="269"/>
      <c r="X764" s="31"/>
    </row>
    <row r="765" spans="4:24" x14ac:dyDescent="0.25">
      <c r="D765" s="31"/>
      <c r="E765" s="31"/>
      <c r="F765" s="31"/>
      <c r="G765" s="31"/>
      <c r="H765" s="31"/>
      <c r="I765" s="31"/>
      <c r="J765" s="31"/>
      <c r="K765" s="31"/>
      <c r="L765" s="269"/>
      <c r="M765" s="269"/>
      <c r="N765" s="269"/>
      <c r="O765" s="282"/>
      <c r="P765" s="269"/>
      <c r="Q765" s="269"/>
      <c r="R765" s="269"/>
      <c r="S765" s="282"/>
      <c r="T765" s="269"/>
      <c r="U765" s="269"/>
      <c r="V765" s="269"/>
      <c r="W765" s="269"/>
      <c r="X765" s="31"/>
    </row>
    <row r="766" spans="4:24" x14ac:dyDescent="0.25">
      <c r="D766" s="31"/>
      <c r="E766" s="31"/>
      <c r="F766" s="31"/>
      <c r="G766" s="31"/>
      <c r="H766" s="31"/>
      <c r="I766" s="31"/>
      <c r="J766" s="31"/>
      <c r="K766" s="31"/>
      <c r="L766" s="269"/>
      <c r="M766" s="269"/>
      <c r="N766" s="269"/>
      <c r="O766" s="282"/>
      <c r="P766" s="269"/>
      <c r="Q766" s="269"/>
      <c r="R766" s="269"/>
      <c r="S766" s="282"/>
      <c r="T766" s="269"/>
      <c r="U766" s="269"/>
      <c r="V766" s="269"/>
      <c r="W766" s="269"/>
      <c r="X766" s="31"/>
    </row>
    <row r="767" spans="4:24" x14ac:dyDescent="0.25">
      <c r="D767" s="31"/>
      <c r="E767" s="31"/>
      <c r="F767" s="31"/>
      <c r="G767" s="31"/>
      <c r="H767" s="31"/>
      <c r="I767" s="31"/>
      <c r="J767" s="31"/>
      <c r="K767" s="31"/>
      <c r="L767" s="269"/>
      <c r="M767" s="269"/>
      <c r="N767" s="269"/>
      <c r="O767" s="282"/>
      <c r="P767" s="269"/>
      <c r="Q767" s="269"/>
      <c r="R767" s="269"/>
      <c r="S767" s="282"/>
      <c r="T767" s="269"/>
      <c r="U767" s="269"/>
      <c r="V767" s="269"/>
      <c r="W767" s="269"/>
      <c r="X767" s="31"/>
    </row>
    <row r="768" spans="4:24" x14ac:dyDescent="0.25">
      <c r="D768" s="31"/>
      <c r="E768" s="31"/>
      <c r="F768" s="31"/>
      <c r="G768" s="31"/>
      <c r="H768" s="31"/>
      <c r="I768" s="31"/>
      <c r="J768" s="31"/>
      <c r="K768" s="31"/>
      <c r="L768" s="269"/>
      <c r="M768" s="269"/>
      <c r="N768" s="269"/>
      <c r="O768" s="282"/>
      <c r="P768" s="269"/>
      <c r="Q768" s="269"/>
      <c r="R768" s="269"/>
      <c r="S768" s="282"/>
      <c r="T768" s="269"/>
      <c r="U768" s="269"/>
      <c r="V768" s="269"/>
      <c r="W768" s="269"/>
      <c r="X768" s="31"/>
    </row>
    <row r="769" spans="4:24" x14ac:dyDescent="0.25">
      <c r="D769" s="31"/>
      <c r="E769" s="31"/>
      <c r="F769" s="31"/>
      <c r="G769" s="31"/>
      <c r="H769" s="31"/>
      <c r="I769" s="31"/>
      <c r="J769" s="31"/>
      <c r="K769" s="31"/>
      <c r="L769" s="269"/>
      <c r="M769" s="269"/>
      <c r="N769" s="269"/>
      <c r="O769" s="282"/>
      <c r="P769" s="269"/>
      <c r="Q769" s="269"/>
      <c r="R769" s="269"/>
      <c r="S769" s="282"/>
      <c r="T769" s="269"/>
      <c r="U769" s="269"/>
      <c r="V769" s="269"/>
      <c r="W769" s="269"/>
      <c r="X769" s="31"/>
    </row>
    <row r="770" spans="4:24" x14ac:dyDescent="0.25">
      <c r="D770" s="31"/>
      <c r="E770" s="31"/>
      <c r="F770" s="31"/>
      <c r="G770" s="31"/>
      <c r="H770" s="31"/>
      <c r="I770" s="31"/>
      <c r="J770" s="31"/>
      <c r="K770" s="31"/>
      <c r="L770" s="269"/>
      <c r="M770" s="269"/>
      <c r="N770" s="269"/>
      <c r="O770" s="282"/>
      <c r="P770" s="269"/>
      <c r="Q770" s="269"/>
      <c r="R770" s="269"/>
      <c r="S770" s="282"/>
      <c r="T770" s="269"/>
      <c r="U770" s="269"/>
      <c r="V770" s="269"/>
      <c r="W770" s="269"/>
      <c r="X770" s="31"/>
    </row>
    <row r="771" spans="4:24" x14ac:dyDescent="0.25">
      <c r="D771" s="31"/>
      <c r="E771" s="31"/>
      <c r="F771" s="31"/>
      <c r="G771" s="31"/>
      <c r="H771" s="31"/>
      <c r="I771" s="31"/>
      <c r="J771" s="31"/>
      <c r="K771" s="31"/>
      <c r="L771" s="269"/>
      <c r="M771" s="269"/>
      <c r="N771" s="269"/>
      <c r="O771" s="282"/>
      <c r="P771" s="269"/>
      <c r="Q771" s="269"/>
      <c r="R771" s="269"/>
      <c r="S771" s="282"/>
      <c r="T771" s="269"/>
      <c r="U771" s="269"/>
      <c r="V771" s="269"/>
      <c r="W771" s="269"/>
      <c r="X771" s="31"/>
    </row>
    <row r="772" spans="4:24" x14ac:dyDescent="0.25">
      <c r="D772" s="31"/>
      <c r="E772" s="31"/>
      <c r="F772" s="31"/>
      <c r="G772" s="31"/>
      <c r="H772" s="31"/>
      <c r="I772" s="31"/>
      <c r="J772" s="31"/>
      <c r="K772" s="31"/>
      <c r="L772" s="269"/>
      <c r="M772" s="269"/>
      <c r="N772" s="269"/>
      <c r="O772" s="282"/>
      <c r="P772" s="269"/>
      <c r="Q772" s="269"/>
      <c r="R772" s="269"/>
      <c r="S772" s="282"/>
      <c r="T772" s="269"/>
      <c r="U772" s="269"/>
      <c r="V772" s="269"/>
      <c r="W772" s="269"/>
      <c r="X772" s="31"/>
    </row>
    <row r="773" spans="4:24" x14ac:dyDescent="0.25">
      <c r="D773" s="31"/>
      <c r="E773" s="31"/>
      <c r="F773" s="31"/>
      <c r="G773" s="31"/>
      <c r="H773" s="31"/>
      <c r="I773" s="31"/>
      <c r="J773" s="31"/>
      <c r="K773" s="31"/>
      <c r="L773" s="269"/>
      <c r="M773" s="269"/>
      <c r="N773" s="269"/>
      <c r="O773" s="282"/>
      <c r="P773" s="269"/>
      <c r="Q773" s="269"/>
      <c r="R773" s="269"/>
      <c r="S773" s="282"/>
      <c r="T773" s="269"/>
      <c r="U773" s="269"/>
      <c r="V773" s="269"/>
      <c r="W773" s="269"/>
      <c r="X773" s="31"/>
    </row>
    <row r="774" spans="4:24" x14ac:dyDescent="0.25">
      <c r="D774" s="31"/>
      <c r="E774" s="31"/>
      <c r="F774" s="31"/>
      <c r="G774" s="31"/>
      <c r="H774" s="31"/>
      <c r="I774" s="31"/>
      <c r="J774" s="31"/>
      <c r="K774" s="31"/>
      <c r="L774" s="269"/>
      <c r="M774" s="269"/>
      <c r="N774" s="269"/>
      <c r="O774" s="282"/>
      <c r="P774" s="269"/>
      <c r="Q774" s="269"/>
      <c r="R774" s="269"/>
      <c r="S774" s="282"/>
      <c r="T774" s="269"/>
      <c r="U774" s="269"/>
      <c r="V774" s="269"/>
      <c r="W774" s="269"/>
      <c r="X774" s="31"/>
    </row>
    <row r="775" spans="4:24" x14ac:dyDescent="0.25">
      <c r="D775" s="31"/>
      <c r="E775" s="31"/>
      <c r="F775" s="31"/>
      <c r="G775" s="31"/>
      <c r="H775" s="31"/>
      <c r="I775" s="31"/>
      <c r="J775" s="31"/>
      <c r="K775" s="31"/>
      <c r="L775" s="269"/>
      <c r="M775" s="269"/>
      <c r="N775" s="269"/>
      <c r="O775" s="282"/>
      <c r="P775" s="269"/>
      <c r="Q775" s="269"/>
      <c r="R775" s="269"/>
      <c r="S775" s="282"/>
      <c r="T775" s="269"/>
      <c r="U775" s="269"/>
      <c r="V775" s="269"/>
      <c r="W775" s="269"/>
      <c r="X775" s="31"/>
    </row>
    <row r="776" spans="4:24" x14ac:dyDescent="0.25">
      <c r="D776" s="31"/>
      <c r="E776" s="31"/>
      <c r="F776" s="31"/>
      <c r="G776" s="31"/>
      <c r="H776" s="31"/>
      <c r="I776" s="31"/>
      <c r="J776" s="31"/>
      <c r="K776" s="31"/>
      <c r="L776" s="269"/>
      <c r="M776" s="269"/>
      <c r="N776" s="269"/>
      <c r="O776" s="282"/>
      <c r="P776" s="269"/>
      <c r="Q776" s="269"/>
      <c r="R776" s="269"/>
      <c r="S776" s="282"/>
      <c r="T776" s="269"/>
      <c r="U776" s="269"/>
      <c r="V776" s="269"/>
      <c r="W776" s="269"/>
      <c r="X776" s="31"/>
    </row>
    <row r="777" spans="4:24" x14ac:dyDescent="0.25">
      <c r="D777" s="31"/>
      <c r="E777" s="31"/>
      <c r="F777" s="31"/>
      <c r="G777" s="31"/>
      <c r="H777" s="31"/>
      <c r="I777" s="31"/>
      <c r="J777" s="31"/>
      <c r="K777" s="31"/>
      <c r="L777" s="269"/>
      <c r="M777" s="269"/>
      <c r="N777" s="269"/>
      <c r="O777" s="282"/>
      <c r="P777" s="269"/>
      <c r="Q777" s="269"/>
      <c r="R777" s="269"/>
      <c r="S777" s="282"/>
      <c r="T777" s="269"/>
      <c r="U777" s="269"/>
      <c r="V777" s="269"/>
      <c r="W777" s="269"/>
      <c r="X777" s="31"/>
    </row>
    <row r="778" spans="4:24" x14ac:dyDescent="0.25">
      <c r="D778" s="31"/>
      <c r="E778" s="31"/>
      <c r="F778" s="31"/>
      <c r="G778" s="31"/>
      <c r="H778" s="31"/>
      <c r="I778" s="31"/>
      <c r="J778" s="31"/>
      <c r="K778" s="31"/>
      <c r="L778" s="269"/>
      <c r="M778" s="269"/>
      <c r="N778" s="269"/>
      <c r="O778" s="282"/>
      <c r="P778" s="269"/>
      <c r="Q778" s="269"/>
      <c r="R778" s="269"/>
      <c r="S778" s="282"/>
      <c r="T778" s="269"/>
      <c r="U778" s="269"/>
      <c r="V778" s="269"/>
      <c r="W778" s="269"/>
      <c r="X778" s="31"/>
    </row>
    <row r="779" spans="4:24" x14ac:dyDescent="0.25">
      <c r="D779" s="31"/>
      <c r="E779" s="31"/>
      <c r="F779" s="31"/>
      <c r="G779" s="31"/>
      <c r="H779" s="31"/>
      <c r="I779" s="31"/>
      <c r="J779" s="31"/>
      <c r="K779" s="31"/>
      <c r="L779" s="269"/>
      <c r="M779" s="269"/>
      <c r="N779" s="269"/>
      <c r="O779" s="282"/>
      <c r="P779" s="269"/>
      <c r="Q779" s="269"/>
      <c r="R779" s="269"/>
      <c r="S779" s="282"/>
      <c r="T779" s="269"/>
      <c r="U779" s="269"/>
      <c r="V779" s="269"/>
      <c r="W779" s="269"/>
      <c r="X779" s="31"/>
    </row>
    <row r="780" spans="4:24" x14ac:dyDescent="0.25">
      <c r="D780" s="31"/>
      <c r="E780" s="31"/>
      <c r="F780" s="31"/>
      <c r="G780" s="31"/>
      <c r="H780" s="31"/>
      <c r="I780" s="31"/>
      <c r="J780" s="31"/>
      <c r="K780" s="31"/>
      <c r="L780" s="269"/>
      <c r="M780" s="269"/>
      <c r="N780" s="269"/>
      <c r="O780" s="282"/>
      <c r="P780" s="269"/>
      <c r="Q780" s="269"/>
      <c r="R780" s="269"/>
      <c r="S780" s="282"/>
      <c r="T780" s="269"/>
      <c r="U780" s="269"/>
      <c r="V780" s="269"/>
      <c r="W780" s="269"/>
      <c r="X780" s="31"/>
    </row>
    <row r="781" spans="4:24" x14ac:dyDescent="0.25">
      <c r="D781" s="31"/>
      <c r="E781" s="31"/>
      <c r="F781" s="31"/>
      <c r="G781" s="31"/>
      <c r="H781" s="31"/>
      <c r="I781" s="31"/>
      <c r="J781" s="31"/>
      <c r="K781" s="31"/>
      <c r="L781" s="269"/>
      <c r="M781" s="269"/>
      <c r="N781" s="269"/>
      <c r="O781" s="282"/>
      <c r="P781" s="269"/>
      <c r="Q781" s="269"/>
      <c r="R781" s="269"/>
      <c r="S781" s="282"/>
      <c r="T781" s="269"/>
      <c r="U781" s="269"/>
      <c r="V781" s="269"/>
      <c r="W781" s="269"/>
      <c r="X781" s="31"/>
    </row>
    <row r="782" spans="4:24" x14ac:dyDescent="0.25">
      <c r="D782" s="31"/>
      <c r="E782" s="31"/>
      <c r="F782" s="31"/>
      <c r="G782" s="31"/>
      <c r="H782" s="31"/>
      <c r="I782" s="31"/>
      <c r="J782" s="31"/>
      <c r="K782" s="31"/>
      <c r="L782" s="269"/>
      <c r="M782" s="269"/>
      <c r="N782" s="269"/>
      <c r="O782" s="282"/>
      <c r="P782" s="269"/>
      <c r="Q782" s="269"/>
      <c r="R782" s="269"/>
      <c r="S782" s="282"/>
      <c r="T782" s="269"/>
      <c r="U782" s="269"/>
      <c r="V782" s="269"/>
      <c r="W782" s="269"/>
      <c r="X782" s="31"/>
    </row>
    <row r="783" spans="4:24" x14ac:dyDescent="0.25">
      <c r="D783" s="31"/>
      <c r="E783" s="31"/>
      <c r="F783" s="31"/>
      <c r="G783" s="31"/>
      <c r="H783" s="31"/>
      <c r="I783" s="31"/>
      <c r="J783" s="31"/>
      <c r="K783" s="31"/>
      <c r="L783" s="269"/>
      <c r="M783" s="269"/>
      <c r="N783" s="269"/>
      <c r="O783" s="282"/>
      <c r="P783" s="269"/>
      <c r="Q783" s="269"/>
      <c r="R783" s="269"/>
      <c r="S783" s="282"/>
      <c r="T783" s="269"/>
      <c r="U783" s="269"/>
      <c r="V783" s="269"/>
      <c r="W783" s="269"/>
      <c r="X783" s="31"/>
    </row>
    <row r="784" spans="4:24" x14ac:dyDescent="0.25">
      <c r="D784" s="31"/>
      <c r="E784" s="31"/>
      <c r="F784" s="31"/>
      <c r="G784" s="31"/>
      <c r="H784" s="31"/>
      <c r="I784" s="31"/>
      <c r="J784" s="31"/>
      <c r="K784" s="31"/>
      <c r="L784" s="269"/>
      <c r="M784" s="269"/>
      <c r="N784" s="269"/>
      <c r="O784" s="282"/>
      <c r="P784" s="269"/>
      <c r="Q784" s="269"/>
      <c r="R784" s="269"/>
      <c r="S784" s="282"/>
      <c r="T784" s="269"/>
      <c r="U784" s="269"/>
      <c r="V784" s="269"/>
      <c r="W784" s="269"/>
      <c r="X784" s="31"/>
    </row>
    <row r="785" spans="4:24" x14ac:dyDescent="0.25">
      <c r="D785" s="31"/>
      <c r="E785" s="31"/>
      <c r="F785" s="31"/>
      <c r="G785" s="31"/>
      <c r="H785" s="31"/>
      <c r="I785" s="31"/>
      <c r="J785" s="31"/>
      <c r="K785" s="31"/>
      <c r="L785" s="269"/>
      <c r="M785" s="269"/>
      <c r="N785" s="269"/>
      <c r="O785" s="282"/>
      <c r="P785" s="269"/>
      <c r="Q785" s="269"/>
      <c r="R785" s="269"/>
      <c r="S785" s="282"/>
      <c r="T785" s="269"/>
      <c r="U785" s="269"/>
      <c r="V785" s="269"/>
      <c r="W785" s="269"/>
      <c r="X785" s="31"/>
    </row>
    <row r="786" spans="4:24" x14ac:dyDescent="0.25">
      <c r="D786" s="31"/>
      <c r="E786" s="31"/>
      <c r="F786" s="31"/>
      <c r="G786" s="31"/>
      <c r="H786" s="31"/>
      <c r="I786" s="31"/>
      <c r="J786" s="31"/>
      <c r="K786" s="31"/>
      <c r="L786" s="269"/>
      <c r="M786" s="269"/>
      <c r="N786" s="269"/>
      <c r="O786" s="282"/>
      <c r="P786" s="269"/>
      <c r="Q786" s="269"/>
      <c r="R786" s="269"/>
      <c r="S786" s="282"/>
      <c r="T786" s="269"/>
      <c r="U786" s="269"/>
      <c r="V786" s="269"/>
      <c r="W786" s="269"/>
      <c r="X786" s="31"/>
    </row>
    <row r="787" spans="4:24" x14ac:dyDescent="0.25">
      <c r="D787" s="31"/>
      <c r="E787" s="31"/>
      <c r="F787" s="31"/>
      <c r="G787" s="31"/>
      <c r="H787" s="31"/>
      <c r="I787" s="31"/>
      <c r="J787" s="31"/>
      <c r="K787" s="31"/>
      <c r="L787" s="269"/>
      <c r="M787" s="269"/>
      <c r="N787" s="269"/>
      <c r="O787" s="282"/>
      <c r="P787" s="269"/>
      <c r="Q787" s="269"/>
      <c r="R787" s="269"/>
      <c r="S787" s="282"/>
      <c r="T787" s="269"/>
      <c r="U787" s="269"/>
      <c r="V787" s="269"/>
      <c r="W787" s="269"/>
      <c r="X787" s="31"/>
    </row>
    <row r="788" spans="4:24" x14ac:dyDescent="0.25">
      <c r="D788" s="31"/>
      <c r="E788" s="31"/>
      <c r="F788" s="31"/>
      <c r="G788" s="31"/>
      <c r="H788" s="31"/>
      <c r="I788" s="31"/>
      <c r="J788" s="31"/>
      <c r="K788" s="31"/>
      <c r="L788" s="269"/>
      <c r="M788" s="269"/>
      <c r="N788" s="269"/>
      <c r="O788" s="282"/>
      <c r="P788" s="269"/>
      <c r="Q788" s="269"/>
      <c r="R788" s="269"/>
      <c r="S788" s="282"/>
      <c r="T788" s="269"/>
      <c r="U788" s="269"/>
      <c r="V788" s="269"/>
      <c r="W788" s="269"/>
      <c r="X788" s="31"/>
    </row>
    <row r="789" spans="4:24" x14ac:dyDescent="0.25">
      <c r="D789" s="31"/>
      <c r="E789" s="31"/>
      <c r="F789" s="31"/>
      <c r="G789" s="31"/>
      <c r="H789" s="31"/>
      <c r="I789" s="31"/>
      <c r="J789" s="31"/>
      <c r="K789" s="31"/>
      <c r="L789" s="269"/>
      <c r="M789" s="269"/>
      <c r="N789" s="269"/>
      <c r="O789" s="282"/>
      <c r="P789" s="269"/>
      <c r="Q789" s="269"/>
      <c r="R789" s="269"/>
      <c r="S789" s="282"/>
      <c r="T789" s="269"/>
      <c r="U789" s="269"/>
      <c r="V789" s="269"/>
      <c r="W789" s="269"/>
      <c r="X789" s="31"/>
    </row>
    <row r="790" spans="4:24" x14ac:dyDescent="0.25">
      <c r="D790" s="31"/>
      <c r="E790" s="31"/>
      <c r="F790" s="31"/>
      <c r="G790" s="31"/>
      <c r="H790" s="31"/>
      <c r="I790" s="31"/>
      <c r="J790" s="31"/>
      <c r="K790" s="31"/>
      <c r="L790" s="269"/>
      <c r="M790" s="269"/>
      <c r="N790" s="269"/>
      <c r="O790" s="282"/>
      <c r="P790" s="269"/>
      <c r="Q790" s="269"/>
      <c r="R790" s="269"/>
      <c r="S790" s="282"/>
      <c r="T790" s="269"/>
      <c r="U790" s="269"/>
      <c r="V790" s="269"/>
      <c r="W790" s="269"/>
      <c r="X790" s="31"/>
    </row>
    <row r="791" spans="4:24" x14ac:dyDescent="0.25">
      <c r="D791" s="31"/>
      <c r="E791" s="31"/>
      <c r="F791" s="31"/>
      <c r="G791" s="31"/>
      <c r="H791" s="31"/>
      <c r="I791" s="31"/>
      <c r="J791" s="31"/>
      <c r="K791" s="31"/>
      <c r="L791" s="269"/>
      <c r="M791" s="269"/>
      <c r="N791" s="269"/>
      <c r="O791" s="282"/>
      <c r="P791" s="269"/>
      <c r="Q791" s="269"/>
      <c r="R791" s="269"/>
      <c r="S791" s="282"/>
      <c r="T791" s="269"/>
      <c r="U791" s="269"/>
      <c r="V791" s="269"/>
      <c r="W791" s="269"/>
      <c r="X791" s="31"/>
    </row>
    <row r="792" spans="4:24" x14ac:dyDescent="0.25">
      <c r="D792" s="31"/>
      <c r="E792" s="31"/>
      <c r="F792" s="31"/>
      <c r="G792" s="31"/>
      <c r="H792" s="31"/>
      <c r="I792" s="31"/>
      <c r="J792" s="31"/>
      <c r="K792" s="31"/>
      <c r="L792" s="269"/>
      <c r="M792" s="269"/>
      <c r="N792" s="269"/>
      <c r="O792" s="282"/>
      <c r="P792" s="269"/>
      <c r="Q792" s="269"/>
      <c r="R792" s="269"/>
      <c r="S792" s="282"/>
      <c r="T792" s="269"/>
      <c r="U792" s="269"/>
      <c r="V792" s="269"/>
      <c r="W792" s="269"/>
      <c r="X792" s="31"/>
    </row>
    <row r="793" spans="4:24" x14ac:dyDescent="0.25">
      <c r="D793" s="31"/>
      <c r="E793" s="31"/>
      <c r="F793" s="31"/>
      <c r="G793" s="31"/>
      <c r="H793" s="31"/>
      <c r="I793" s="31"/>
      <c r="J793" s="31"/>
      <c r="K793" s="31"/>
      <c r="L793" s="269"/>
      <c r="M793" s="269"/>
      <c r="N793" s="269"/>
      <c r="O793" s="282"/>
      <c r="P793" s="269"/>
      <c r="Q793" s="269"/>
      <c r="R793" s="269"/>
      <c r="S793" s="282"/>
      <c r="T793" s="269"/>
      <c r="U793" s="269"/>
      <c r="V793" s="269"/>
      <c r="W793" s="269"/>
      <c r="X793" s="31"/>
    </row>
    <row r="794" spans="4:24" x14ac:dyDescent="0.25">
      <c r="D794" s="31"/>
      <c r="E794" s="31"/>
      <c r="F794" s="31"/>
      <c r="G794" s="31"/>
      <c r="H794" s="31"/>
      <c r="I794" s="31"/>
      <c r="J794" s="31"/>
      <c r="K794" s="31"/>
      <c r="L794" s="269"/>
      <c r="M794" s="269"/>
      <c r="N794" s="269"/>
      <c r="O794" s="282"/>
      <c r="P794" s="269"/>
      <c r="Q794" s="269"/>
      <c r="R794" s="269"/>
      <c r="S794" s="282"/>
      <c r="T794" s="269"/>
      <c r="U794" s="269"/>
      <c r="V794" s="269"/>
      <c r="W794" s="269"/>
      <c r="X794" s="31"/>
    </row>
    <row r="795" spans="4:24" x14ac:dyDescent="0.25">
      <c r="D795" s="31"/>
      <c r="E795" s="31"/>
      <c r="F795" s="31"/>
      <c r="G795" s="31"/>
      <c r="H795" s="31"/>
      <c r="I795" s="31"/>
      <c r="J795" s="31"/>
      <c r="K795" s="31"/>
      <c r="L795" s="269"/>
      <c r="M795" s="269"/>
      <c r="N795" s="269"/>
      <c r="O795" s="282"/>
      <c r="P795" s="269"/>
      <c r="Q795" s="269"/>
      <c r="R795" s="269"/>
      <c r="S795" s="282"/>
      <c r="T795" s="269"/>
      <c r="U795" s="269"/>
      <c r="V795" s="269"/>
      <c r="W795" s="269"/>
      <c r="X795" s="31"/>
    </row>
    <row r="796" spans="4:24" x14ac:dyDescent="0.25">
      <c r="D796" s="31"/>
      <c r="E796" s="31"/>
      <c r="F796" s="31"/>
      <c r="G796" s="31"/>
      <c r="H796" s="31"/>
      <c r="I796" s="31"/>
      <c r="J796" s="31"/>
      <c r="K796" s="31"/>
      <c r="L796" s="269"/>
      <c r="M796" s="269"/>
      <c r="N796" s="269"/>
      <c r="O796" s="282"/>
      <c r="P796" s="269"/>
      <c r="Q796" s="269"/>
      <c r="R796" s="269"/>
      <c r="S796" s="282"/>
      <c r="T796" s="269"/>
      <c r="U796" s="269"/>
      <c r="V796" s="269"/>
      <c r="W796" s="269"/>
      <c r="X796" s="31"/>
    </row>
    <row r="797" spans="4:24" x14ac:dyDescent="0.25">
      <c r="D797" s="31"/>
      <c r="E797" s="31"/>
      <c r="F797" s="31"/>
      <c r="G797" s="31"/>
      <c r="H797" s="31"/>
      <c r="I797" s="31"/>
      <c r="J797" s="31"/>
      <c r="K797" s="31"/>
      <c r="L797" s="269"/>
      <c r="M797" s="269"/>
      <c r="N797" s="269"/>
      <c r="O797" s="282"/>
      <c r="P797" s="269"/>
      <c r="Q797" s="269"/>
      <c r="R797" s="269"/>
      <c r="S797" s="282"/>
      <c r="T797" s="269"/>
      <c r="U797" s="269"/>
      <c r="V797" s="269"/>
      <c r="W797" s="269"/>
      <c r="X797" s="31"/>
    </row>
    <row r="798" spans="4:24" x14ac:dyDescent="0.25">
      <c r="D798" s="31"/>
      <c r="E798" s="31"/>
      <c r="F798" s="31"/>
      <c r="G798" s="31"/>
      <c r="H798" s="31"/>
      <c r="I798" s="31"/>
      <c r="J798" s="31"/>
      <c r="K798" s="31"/>
      <c r="L798" s="269"/>
      <c r="M798" s="269"/>
      <c r="N798" s="269"/>
      <c r="O798" s="282"/>
      <c r="P798" s="269"/>
      <c r="Q798" s="269"/>
      <c r="R798" s="269"/>
      <c r="S798" s="282"/>
      <c r="T798" s="269"/>
      <c r="U798" s="269"/>
      <c r="V798" s="269"/>
      <c r="W798" s="269"/>
      <c r="X798" s="31"/>
    </row>
    <row r="799" spans="4:24" x14ac:dyDescent="0.25">
      <c r="D799" s="31"/>
      <c r="E799" s="31"/>
      <c r="F799" s="31"/>
      <c r="G799" s="31"/>
      <c r="H799" s="31"/>
      <c r="I799" s="31"/>
      <c r="J799" s="31"/>
      <c r="K799" s="31"/>
      <c r="L799" s="269"/>
      <c r="M799" s="269"/>
      <c r="N799" s="269"/>
      <c r="O799" s="282"/>
      <c r="P799" s="269"/>
      <c r="Q799" s="269"/>
      <c r="R799" s="269"/>
      <c r="S799" s="282"/>
      <c r="T799" s="269"/>
      <c r="U799" s="269"/>
      <c r="V799" s="269"/>
      <c r="W799" s="269"/>
      <c r="X799" s="31"/>
    </row>
    <row r="800" spans="4:24" x14ac:dyDescent="0.25">
      <c r="D800" s="31"/>
      <c r="E800" s="31"/>
      <c r="F800" s="31"/>
      <c r="G800" s="31"/>
      <c r="H800" s="31"/>
      <c r="I800" s="31"/>
      <c r="J800" s="31"/>
      <c r="K800" s="31"/>
      <c r="L800" s="269"/>
      <c r="M800" s="269"/>
      <c r="N800" s="269"/>
      <c r="O800" s="282"/>
      <c r="P800" s="269"/>
      <c r="Q800" s="269"/>
      <c r="R800" s="269"/>
      <c r="S800" s="282"/>
      <c r="T800" s="269"/>
      <c r="U800" s="269"/>
      <c r="V800" s="269"/>
      <c r="W800" s="269"/>
      <c r="X800" s="31"/>
    </row>
    <row r="801" spans="4:24" x14ac:dyDescent="0.25">
      <c r="D801" s="31"/>
      <c r="E801" s="31"/>
      <c r="F801" s="31"/>
      <c r="G801" s="31"/>
      <c r="H801" s="31"/>
      <c r="I801" s="31"/>
      <c r="J801" s="31"/>
      <c r="K801" s="31"/>
      <c r="L801" s="269"/>
      <c r="M801" s="269"/>
      <c r="N801" s="269"/>
      <c r="O801" s="282"/>
      <c r="P801" s="269"/>
      <c r="Q801" s="269"/>
      <c r="R801" s="269"/>
      <c r="S801" s="282"/>
      <c r="T801" s="269"/>
      <c r="U801" s="269"/>
      <c r="V801" s="269"/>
      <c r="W801" s="269"/>
      <c r="X801" s="31"/>
    </row>
    <row r="802" spans="4:24" x14ac:dyDescent="0.25">
      <c r="D802" s="31"/>
      <c r="E802" s="31"/>
      <c r="F802" s="31"/>
      <c r="G802" s="31"/>
      <c r="H802" s="31"/>
      <c r="I802" s="31"/>
      <c r="J802" s="31"/>
      <c r="K802" s="31"/>
      <c r="L802" s="269"/>
      <c r="M802" s="269"/>
      <c r="N802" s="269"/>
      <c r="O802" s="282"/>
      <c r="P802" s="269"/>
      <c r="Q802" s="269"/>
      <c r="R802" s="269"/>
      <c r="S802" s="282"/>
      <c r="T802" s="269"/>
      <c r="U802" s="269"/>
      <c r="V802" s="269"/>
      <c r="W802" s="269"/>
      <c r="X802" s="31"/>
    </row>
    <row r="803" spans="4:24" x14ac:dyDescent="0.25">
      <c r="D803" s="31"/>
      <c r="E803" s="31"/>
      <c r="F803" s="31"/>
      <c r="G803" s="31"/>
      <c r="H803" s="31"/>
      <c r="I803" s="31"/>
      <c r="J803" s="31"/>
      <c r="K803" s="31"/>
      <c r="L803" s="269"/>
      <c r="M803" s="269"/>
      <c r="N803" s="269"/>
      <c r="O803" s="282"/>
      <c r="P803" s="269"/>
      <c r="Q803" s="269"/>
      <c r="R803" s="269"/>
      <c r="S803" s="282"/>
      <c r="T803" s="269"/>
      <c r="U803" s="269"/>
      <c r="V803" s="269"/>
      <c r="W803" s="269"/>
      <c r="X803" s="31"/>
    </row>
    <row r="804" spans="4:24" x14ac:dyDescent="0.25">
      <c r="D804" s="31"/>
      <c r="E804" s="31"/>
      <c r="F804" s="31"/>
      <c r="G804" s="31"/>
      <c r="H804" s="31"/>
      <c r="I804" s="31"/>
      <c r="J804" s="31"/>
      <c r="K804" s="31"/>
      <c r="L804" s="269"/>
      <c r="M804" s="269"/>
      <c r="N804" s="269"/>
      <c r="O804" s="282"/>
      <c r="P804" s="269"/>
      <c r="Q804" s="269"/>
      <c r="R804" s="269"/>
      <c r="S804" s="282"/>
      <c r="T804" s="269"/>
      <c r="U804" s="269"/>
      <c r="V804" s="269"/>
      <c r="W804" s="269"/>
      <c r="X804" s="31"/>
    </row>
    <row r="805" spans="4:24" x14ac:dyDescent="0.25">
      <c r="D805" s="31"/>
      <c r="E805" s="31"/>
      <c r="F805" s="31"/>
      <c r="G805" s="31"/>
      <c r="H805" s="31"/>
      <c r="I805" s="31"/>
      <c r="J805" s="31"/>
      <c r="K805" s="31"/>
      <c r="L805" s="269"/>
      <c r="M805" s="269"/>
      <c r="N805" s="269"/>
      <c r="O805" s="282"/>
      <c r="P805" s="269"/>
      <c r="Q805" s="269"/>
      <c r="R805" s="269"/>
      <c r="S805" s="282"/>
      <c r="T805" s="269"/>
      <c r="U805" s="269"/>
      <c r="V805" s="269"/>
      <c r="W805" s="269"/>
      <c r="X805" s="31"/>
    </row>
    <row r="806" spans="4:24" x14ac:dyDescent="0.25">
      <c r="D806" s="31"/>
      <c r="E806" s="31"/>
      <c r="F806" s="31"/>
      <c r="G806" s="31"/>
      <c r="H806" s="31"/>
      <c r="I806" s="31"/>
      <c r="J806" s="31"/>
      <c r="K806" s="31"/>
      <c r="L806" s="269"/>
      <c r="M806" s="269"/>
      <c r="N806" s="269"/>
      <c r="O806" s="282"/>
      <c r="P806" s="269"/>
      <c r="Q806" s="269"/>
      <c r="R806" s="269"/>
      <c r="S806" s="282"/>
      <c r="T806" s="269"/>
      <c r="U806" s="269"/>
      <c r="V806" s="269"/>
      <c r="W806" s="269"/>
      <c r="X806" s="31"/>
    </row>
    <row r="807" spans="4:24" x14ac:dyDescent="0.25">
      <c r="D807" s="31"/>
      <c r="E807" s="31"/>
      <c r="F807" s="31"/>
      <c r="G807" s="31"/>
      <c r="H807" s="31"/>
      <c r="I807" s="31"/>
      <c r="J807" s="31"/>
      <c r="K807" s="31"/>
      <c r="L807" s="269"/>
      <c r="M807" s="269"/>
      <c r="N807" s="269"/>
      <c r="O807" s="282"/>
      <c r="P807" s="269"/>
      <c r="Q807" s="269"/>
      <c r="R807" s="269"/>
      <c r="S807" s="282"/>
      <c r="T807" s="269"/>
      <c r="U807" s="269"/>
      <c r="V807" s="269"/>
      <c r="W807" s="269"/>
      <c r="X807" s="31"/>
    </row>
    <row r="808" spans="4:24" x14ac:dyDescent="0.25">
      <c r="D808" s="31"/>
      <c r="E808" s="31"/>
      <c r="F808" s="31"/>
      <c r="G808" s="31"/>
      <c r="H808" s="31"/>
      <c r="I808" s="31"/>
      <c r="J808" s="31"/>
      <c r="K808" s="31"/>
      <c r="L808" s="269"/>
      <c r="M808" s="269"/>
      <c r="N808" s="269"/>
      <c r="O808" s="282"/>
      <c r="P808" s="269"/>
      <c r="Q808" s="269"/>
      <c r="R808" s="269"/>
      <c r="S808" s="282"/>
      <c r="T808" s="269"/>
      <c r="U808" s="269"/>
      <c r="V808" s="269"/>
      <c r="W808" s="269"/>
      <c r="X808" s="31"/>
    </row>
    <row r="809" spans="4:24" x14ac:dyDescent="0.25">
      <c r="D809" s="31"/>
      <c r="E809" s="31"/>
      <c r="F809" s="31"/>
      <c r="G809" s="31"/>
      <c r="H809" s="31"/>
      <c r="I809" s="31"/>
      <c r="J809" s="31"/>
      <c r="K809" s="31"/>
      <c r="L809" s="269"/>
      <c r="M809" s="269"/>
      <c r="N809" s="269"/>
      <c r="O809" s="282"/>
      <c r="P809" s="269"/>
      <c r="Q809" s="269"/>
      <c r="R809" s="269"/>
      <c r="S809" s="282"/>
      <c r="T809" s="269"/>
      <c r="U809" s="269"/>
      <c r="V809" s="269"/>
      <c r="W809" s="269"/>
      <c r="X809" s="31"/>
    </row>
    <row r="810" spans="4:24" x14ac:dyDescent="0.25">
      <c r="D810" s="31"/>
      <c r="E810" s="31"/>
      <c r="F810" s="31"/>
      <c r="G810" s="31"/>
      <c r="H810" s="31"/>
      <c r="I810" s="31"/>
      <c r="J810" s="31"/>
      <c r="K810" s="31"/>
      <c r="L810" s="269"/>
      <c r="M810" s="269"/>
      <c r="N810" s="269"/>
      <c r="O810" s="282"/>
      <c r="P810" s="269"/>
      <c r="Q810" s="269"/>
      <c r="R810" s="269"/>
      <c r="S810" s="282"/>
      <c r="T810" s="269"/>
      <c r="U810" s="269"/>
      <c r="V810" s="269"/>
      <c r="W810" s="269"/>
      <c r="X810" s="31"/>
    </row>
    <row r="811" spans="4:24" x14ac:dyDescent="0.25">
      <c r="D811" s="31"/>
      <c r="E811" s="31"/>
      <c r="F811" s="31"/>
      <c r="G811" s="31"/>
      <c r="H811" s="31"/>
      <c r="I811" s="31"/>
      <c r="J811" s="31"/>
      <c r="K811" s="31"/>
      <c r="L811" s="269"/>
      <c r="M811" s="269"/>
      <c r="N811" s="269"/>
      <c r="O811" s="282"/>
      <c r="P811" s="269"/>
      <c r="Q811" s="269"/>
      <c r="R811" s="269"/>
      <c r="S811" s="282"/>
      <c r="T811" s="269"/>
      <c r="U811" s="269"/>
      <c r="V811" s="269"/>
      <c r="W811" s="269"/>
      <c r="X811" s="31"/>
    </row>
    <row r="812" spans="4:24" x14ac:dyDescent="0.25">
      <c r="D812" s="31"/>
      <c r="E812" s="31"/>
      <c r="F812" s="31"/>
      <c r="G812" s="31"/>
      <c r="H812" s="31"/>
      <c r="I812" s="31"/>
      <c r="J812" s="31"/>
      <c r="K812" s="31"/>
      <c r="L812" s="269"/>
      <c r="M812" s="269"/>
      <c r="N812" s="269"/>
      <c r="O812" s="282"/>
      <c r="P812" s="269"/>
      <c r="Q812" s="269"/>
      <c r="R812" s="269"/>
      <c r="S812" s="282"/>
      <c r="T812" s="269"/>
      <c r="U812" s="269"/>
      <c r="V812" s="269"/>
      <c r="W812" s="269"/>
      <c r="X812" s="31"/>
    </row>
    <row r="813" spans="4:24" x14ac:dyDescent="0.25">
      <c r="D813" s="31"/>
      <c r="E813" s="31"/>
      <c r="F813" s="31"/>
      <c r="G813" s="31"/>
      <c r="H813" s="31"/>
      <c r="I813" s="31"/>
      <c r="J813" s="31"/>
      <c r="K813" s="31"/>
      <c r="L813" s="269"/>
      <c r="M813" s="269"/>
      <c r="N813" s="269"/>
      <c r="O813" s="282"/>
      <c r="P813" s="269"/>
      <c r="Q813" s="269"/>
      <c r="R813" s="269"/>
      <c r="S813" s="282"/>
      <c r="T813" s="269"/>
      <c r="U813" s="269"/>
      <c r="V813" s="269"/>
      <c r="W813" s="269"/>
      <c r="X813" s="31"/>
    </row>
    <row r="814" spans="4:24" x14ac:dyDescent="0.25">
      <c r="D814" s="31"/>
      <c r="E814" s="31"/>
      <c r="F814" s="31"/>
      <c r="G814" s="31"/>
      <c r="H814" s="31"/>
      <c r="I814" s="31"/>
      <c r="J814" s="31"/>
      <c r="K814" s="31"/>
      <c r="L814" s="269"/>
      <c r="M814" s="269"/>
      <c r="N814" s="269"/>
      <c r="O814" s="282"/>
      <c r="P814" s="269"/>
      <c r="Q814" s="269"/>
      <c r="R814" s="269"/>
      <c r="S814" s="282"/>
      <c r="T814" s="269"/>
      <c r="U814" s="269"/>
      <c r="V814" s="269"/>
      <c r="W814" s="269"/>
      <c r="X814" s="31"/>
    </row>
    <row r="815" spans="4:24" x14ac:dyDescent="0.25">
      <c r="D815" s="31"/>
      <c r="E815" s="31"/>
      <c r="F815" s="31"/>
      <c r="G815" s="31"/>
      <c r="H815" s="31"/>
      <c r="I815" s="31"/>
      <c r="J815" s="31"/>
      <c r="K815" s="31"/>
      <c r="L815" s="269"/>
      <c r="M815" s="269"/>
      <c r="N815" s="269"/>
      <c r="O815" s="282"/>
      <c r="P815" s="269"/>
      <c r="Q815" s="269"/>
      <c r="R815" s="269"/>
      <c r="S815" s="282"/>
      <c r="T815" s="269"/>
      <c r="U815" s="269"/>
      <c r="V815" s="269"/>
      <c r="W815" s="269"/>
      <c r="X815" s="31"/>
    </row>
    <row r="816" spans="4:24" x14ac:dyDescent="0.25">
      <c r="D816" s="31"/>
      <c r="E816" s="31"/>
      <c r="F816" s="31"/>
      <c r="G816" s="31"/>
      <c r="H816" s="31"/>
      <c r="I816" s="31"/>
      <c r="J816" s="31"/>
      <c r="K816" s="31"/>
      <c r="L816" s="269"/>
      <c r="M816" s="269"/>
      <c r="N816" s="269"/>
      <c r="O816" s="282"/>
      <c r="P816" s="269"/>
      <c r="Q816" s="269"/>
      <c r="R816" s="269"/>
      <c r="S816" s="282"/>
      <c r="T816" s="269"/>
      <c r="U816" s="269"/>
      <c r="V816" s="269"/>
      <c r="W816" s="269"/>
      <c r="X816" s="31"/>
    </row>
    <row r="817" spans="4:24" x14ac:dyDescent="0.25">
      <c r="D817" s="31"/>
      <c r="E817" s="31"/>
      <c r="F817" s="31"/>
      <c r="G817" s="31"/>
      <c r="H817" s="31"/>
      <c r="I817" s="31"/>
      <c r="J817" s="31"/>
      <c r="K817" s="31"/>
      <c r="L817" s="269"/>
      <c r="M817" s="269"/>
      <c r="N817" s="269"/>
      <c r="O817" s="282"/>
      <c r="P817" s="269"/>
      <c r="Q817" s="269"/>
      <c r="R817" s="269"/>
      <c r="S817" s="282"/>
      <c r="T817" s="269"/>
      <c r="U817" s="269"/>
      <c r="V817" s="269"/>
      <c r="W817" s="269"/>
      <c r="X817" s="31"/>
    </row>
    <row r="818" spans="4:24" x14ac:dyDescent="0.25">
      <c r="D818" s="31"/>
      <c r="E818" s="31"/>
      <c r="F818" s="31"/>
      <c r="G818" s="31"/>
      <c r="H818" s="31"/>
      <c r="I818" s="31"/>
      <c r="J818" s="31"/>
      <c r="K818" s="31"/>
      <c r="L818" s="269"/>
      <c r="M818" s="269"/>
      <c r="N818" s="269"/>
      <c r="O818" s="282"/>
      <c r="P818" s="269"/>
      <c r="Q818" s="269"/>
      <c r="R818" s="269"/>
      <c r="S818" s="282"/>
      <c r="T818" s="269"/>
      <c r="U818" s="269"/>
      <c r="V818" s="269"/>
      <c r="W818" s="269"/>
      <c r="X818" s="31"/>
    </row>
    <row r="819" spans="4:24" x14ac:dyDescent="0.25">
      <c r="D819" s="31"/>
      <c r="E819" s="31"/>
      <c r="F819" s="31"/>
      <c r="G819" s="31"/>
      <c r="H819" s="31"/>
      <c r="I819" s="31"/>
      <c r="J819" s="31"/>
      <c r="K819" s="31"/>
      <c r="L819" s="269"/>
      <c r="M819" s="269"/>
      <c r="N819" s="269"/>
      <c r="O819" s="282"/>
      <c r="P819" s="269"/>
      <c r="Q819" s="269"/>
      <c r="R819" s="269"/>
      <c r="S819" s="282"/>
      <c r="T819" s="269"/>
      <c r="U819" s="269"/>
      <c r="V819" s="269"/>
      <c r="W819" s="269"/>
      <c r="X819" s="31"/>
    </row>
    <row r="820" spans="4:24" x14ac:dyDescent="0.25">
      <c r="D820" s="31"/>
      <c r="E820" s="31"/>
      <c r="F820" s="31"/>
      <c r="G820" s="31"/>
      <c r="H820" s="31"/>
      <c r="I820" s="31"/>
      <c r="J820" s="31"/>
      <c r="K820" s="31"/>
      <c r="L820" s="269"/>
      <c r="M820" s="269"/>
      <c r="N820" s="269"/>
      <c r="O820" s="282"/>
      <c r="P820" s="269"/>
      <c r="Q820" s="269"/>
      <c r="R820" s="269"/>
      <c r="S820" s="282"/>
      <c r="T820" s="269"/>
      <c r="U820" s="269"/>
      <c r="V820" s="269"/>
      <c r="W820" s="269"/>
      <c r="X820" s="31"/>
    </row>
    <row r="821" spans="4:24" x14ac:dyDescent="0.25">
      <c r="D821" s="31"/>
      <c r="E821" s="31"/>
      <c r="F821" s="31"/>
      <c r="G821" s="31"/>
      <c r="H821" s="31"/>
      <c r="I821" s="31"/>
      <c r="J821" s="31"/>
      <c r="K821" s="31"/>
      <c r="L821" s="269"/>
      <c r="M821" s="269"/>
      <c r="N821" s="269"/>
      <c r="O821" s="282"/>
      <c r="P821" s="269"/>
      <c r="Q821" s="269"/>
      <c r="R821" s="269"/>
      <c r="S821" s="282"/>
      <c r="T821" s="269"/>
      <c r="U821" s="269"/>
      <c r="V821" s="269"/>
      <c r="W821" s="269"/>
      <c r="X821" s="31"/>
    </row>
    <row r="822" spans="4:24" x14ac:dyDescent="0.25">
      <c r="D822" s="31"/>
      <c r="E822" s="31"/>
      <c r="F822" s="31"/>
      <c r="G822" s="31"/>
      <c r="H822" s="31"/>
      <c r="I822" s="31"/>
      <c r="J822" s="31"/>
      <c r="K822" s="31"/>
      <c r="L822" s="269"/>
      <c r="M822" s="269"/>
      <c r="N822" s="269"/>
      <c r="O822" s="282"/>
      <c r="P822" s="269"/>
      <c r="Q822" s="269"/>
      <c r="R822" s="269"/>
      <c r="S822" s="282"/>
      <c r="T822" s="269"/>
      <c r="U822" s="269"/>
      <c r="V822" s="269"/>
      <c r="W822" s="269"/>
      <c r="X822" s="31"/>
    </row>
    <row r="823" spans="4:24" x14ac:dyDescent="0.25">
      <c r="D823" s="31"/>
      <c r="E823" s="31"/>
      <c r="F823" s="31"/>
      <c r="G823" s="31"/>
      <c r="H823" s="31"/>
      <c r="I823" s="31"/>
      <c r="J823" s="31"/>
      <c r="K823" s="31"/>
      <c r="L823" s="269"/>
      <c r="M823" s="269"/>
      <c r="N823" s="269"/>
      <c r="O823" s="282"/>
      <c r="P823" s="269"/>
      <c r="Q823" s="269"/>
      <c r="R823" s="269"/>
      <c r="S823" s="282"/>
      <c r="T823" s="269"/>
      <c r="U823" s="269"/>
      <c r="V823" s="269"/>
      <c r="W823" s="269"/>
      <c r="X823" s="31"/>
    </row>
    <row r="824" spans="4:24" x14ac:dyDescent="0.25">
      <c r="D824" s="31"/>
      <c r="E824" s="31"/>
      <c r="F824" s="31"/>
      <c r="G824" s="31"/>
      <c r="H824" s="31"/>
      <c r="I824" s="31"/>
      <c r="J824" s="31"/>
      <c r="K824" s="31"/>
      <c r="L824" s="269"/>
      <c r="M824" s="269"/>
      <c r="N824" s="269"/>
      <c r="O824" s="282"/>
      <c r="P824" s="269"/>
      <c r="Q824" s="269"/>
      <c r="R824" s="269"/>
      <c r="S824" s="282"/>
      <c r="T824" s="269"/>
      <c r="U824" s="269"/>
      <c r="V824" s="269"/>
      <c r="W824" s="269"/>
      <c r="X824" s="31"/>
    </row>
    <row r="825" spans="4:24" x14ac:dyDescent="0.25">
      <c r="D825" s="31"/>
      <c r="E825" s="31"/>
      <c r="F825" s="31"/>
      <c r="G825" s="31"/>
      <c r="H825" s="31"/>
      <c r="I825" s="31"/>
      <c r="J825" s="31"/>
      <c r="K825" s="31"/>
      <c r="L825" s="269"/>
      <c r="M825" s="269"/>
      <c r="N825" s="269"/>
      <c r="O825" s="282"/>
      <c r="P825" s="269"/>
      <c r="Q825" s="269"/>
      <c r="R825" s="269"/>
      <c r="S825" s="282"/>
      <c r="T825" s="269"/>
      <c r="U825" s="269"/>
      <c r="V825" s="269"/>
      <c r="W825" s="269"/>
      <c r="X825" s="31"/>
    </row>
    <row r="826" spans="4:24" x14ac:dyDescent="0.25">
      <c r="D826" s="31"/>
      <c r="E826" s="31"/>
      <c r="F826" s="31"/>
      <c r="G826" s="31"/>
      <c r="H826" s="31"/>
      <c r="I826" s="31"/>
      <c r="J826" s="31"/>
      <c r="K826" s="31"/>
      <c r="L826" s="269"/>
      <c r="M826" s="269"/>
      <c r="N826" s="269"/>
      <c r="O826" s="282"/>
      <c r="P826" s="269"/>
      <c r="Q826" s="269"/>
      <c r="R826" s="269"/>
      <c r="S826" s="282"/>
      <c r="T826" s="269"/>
      <c r="U826" s="269"/>
      <c r="V826" s="269"/>
      <c r="W826" s="269"/>
      <c r="X826" s="31"/>
    </row>
    <row r="827" spans="4:24" x14ac:dyDescent="0.25">
      <c r="D827" s="31"/>
      <c r="E827" s="31"/>
      <c r="F827" s="31"/>
      <c r="G827" s="31"/>
      <c r="H827" s="31"/>
      <c r="I827" s="31"/>
      <c r="J827" s="31"/>
      <c r="K827" s="31"/>
      <c r="L827" s="269"/>
      <c r="M827" s="269"/>
      <c r="N827" s="269"/>
      <c r="O827" s="282"/>
      <c r="P827" s="269"/>
      <c r="Q827" s="269"/>
      <c r="R827" s="269"/>
      <c r="S827" s="282"/>
      <c r="T827" s="269"/>
      <c r="U827" s="269"/>
      <c r="V827" s="269"/>
      <c r="W827" s="269"/>
      <c r="X827" s="31"/>
    </row>
    <row r="828" spans="4:24" x14ac:dyDescent="0.25">
      <c r="D828" s="31"/>
      <c r="E828" s="31"/>
      <c r="F828" s="31"/>
      <c r="G828" s="31"/>
      <c r="H828" s="31"/>
      <c r="I828" s="31"/>
      <c r="J828" s="31"/>
      <c r="K828" s="31"/>
      <c r="L828" s="269"/>
      <c r="M828" s="269"/>
      <c r="N828" s="269"/>
      <c r="O828" s="282"/>
      <c r="P828" s="269"/>
      <c r="Q828" s="269"/>
      <c r="R828" s="269"/>
      <c r="S828" s="282"/>
      <c r="T828" s="269"/>
      <c r="U828" s="269"/>
      <c r="V828" s="269"/>
      <c r="W828" s="269"/>
      <c r="X828" s="31"/>
    </row>
    <row r="829" spans="4:24" x14ac:dyDescent="0.25">
      <c r="D829" s="31"/>
      <c r="E829" s="31"/>
      <c r="F829" s="31"/>
      <c r="G829" s="31"/>
      <c r="H829" s="31"/>
      <c r="I829" s="31"/>
      <c r="J829" s="31"/>
      <c r="K829" s="31"/>
      <c r="L829" s="269"/>
      <c r="M829" s="269"/>
      <c r="N829" s="269"/>
      <c r="O829" s="282"/>
      <c r="P829" s="269"/>
      <c r="Q829" s="269"/>
      <c r="R829" s="269"/>
      <c r="S829" s="282"/>
      <c r="T829" s="269"/>
      <c r="U829" s="269"/>
      <c r="V829" s="269"/>
      <c r="W829" s="269"/>
      <c r="X829" s="31"/>
    </row>
    <row r="830" spans="4:24" x14ac:dyDescent="0.25">
      <c r="D830" s="31"/>
      <c r="E830" s="31"/>
      <c r="F830" s="31"/>
      <c r="G830" s="31"/>
      <c r="H830" s="31"/>
      <c r="I830" s="31"/>
      <c r="J830" s="31"/>
      <c r="K830" s="31"/>
      <c r="L830" s="269"/>
      <c r="M830" s="269"/>
      <c r="N830" s="269"/>
      <c r="O830" s="282"/>
      <c r="P830" s="269"/>
      <c r="Q830" s="269"/>
      <c r="R830" s="269"/>
      <c r="S830" s="282"/>
      <c r="T830" s="269"/>
      <c r="U830" s="269"/>
      <c r="V830" s="269"/>
      <c r="W830" s="269"/>
      <c r="X830" s="31"/>
    </row>
    <row r="831" spans="4:24" x14ac:dyDescent="0.25">
      <c r="D831" s="31"/>
      <c r="E831" s="31"/>
      <c r="F831" s="31"/>
      <c r="G831" s="31"/>
      <c r="H831" s="31"/>
      <c r="I831" s="31"/>
      <c r="J831" s="31"/>
      <c r="K831" s="31"/>
      <c r="L831" s="269"/>
      <c r="M831" s="269"/>
      <c r="N831" s="269"/>
      <c r="O831" s="282"/>
      <c r="P831" s="269"/>
      <c r="Q831" s="269"/>
      <c r="R831" s="269"/>
      <c r="S831" s="282"/>
      <c r="T831" s="269"/>
      <c r="U831" s="269"/>
      <c r="V831" s="269"/>
      <c r="W831" s="269"/>
      <c r="X831" s="31"/>
    </row>
    <row r="832" spans="4:24" x14ac:dyDescent="0.25">
      <c r="D832" s="31"/>
      <c r="E832" s="31"/>
      <c r="F832" s="31"/>
      <c r="G832" s="31"/>
      <c r="H832" s="31"/>
      <c r="I832" s="31"/>
      <c r="J832" s="31"/>
      <c r="K832" s="31"/>
      <c r="L832" s="269"/>
      <c r="M832" s="269"/>
      <c r="N832" s="269"/>
      <c r="O832" s="282"/>
      <c r="P832" s="269"/>
      <c r="Q832" s="269"/>
      <c r="R832" s="269"/>
      <c r="S832" s="282"/>
      <c r="T832" s="269"/>
      <c r="U832" s="269"/>
      <c r="V832" s="269"/>
      <c r="W832" s="269"/>
      <c r="X832" s="31"/>
    </row>
    <row r="833" spans="4:24" x14ac:dyDescent="0.25">
      <c r="D833" s="31"/>
      <c r="E833" s="31"/>
      <c r="F833" s="31"/>
      <c r="G833" s="31"/>
      <c r="H833" s="31"/>
      <c r="I833" s="31"/>
      <c r="J833" s="31"/>
      <c r="K833" s="31"/>
      <c r="L833" s="269"/>
      <c r="M833" s="269"/>
      <c r="N833" s="269"/>
      <c r="O833" s="282"/>
      <c r="P833" s="269"/>
      <c r="Q833" s="269"/>
      <c r="R833" s="269"/>
      <c r="S833" s="282"/>
      <c r="T833" s="269"/>
      <c r="U833" s="269"/>
      <c r="V833" s="269"/>
      <c r="W833" s="269"/>
      <c r="X833" s="31"/>
    </row>
    <row r="834" spans="4:24" x14ac:dyDescent="0.25">
      <c r="D834" s="31"/>
      <c r="E834" s="31"/>
      <c r="F834" s="31"/>
      <c r="G834" s="31"/>
      <c r="H834" s="31"/>
      <c r="I834" s="31"/>
      <c r="J834" s="31"/>
      <c r="K834" s="31"/>
      <c r="L834" s="269"/>
      <c r="M834" s="269"/>
      <c r="N834" s="269"/>
      <c r="O834" s="282"/>
      <c r="P834" s="269"/>
      <c r="Q834" s="269"/>
      <c r="R834" s="269"/>
      <c r="S834" s="282"/>
      <c r="T834" s="269"/>
      <c r="U834" s="269"/>
      <c r="V834" s="269"/>
      <c r="W834" s="269"/>
      <c r="X834" s="31"/>
    </row>
    <row r="835" spans="4:24" x14ac:dyDescent="0.25">
      <c r="D835" s="31"/>
      <c r="E835" s="31"/>
      <c r="F835" s="31"/>
      <c r="G835" s="31"/>
      <c r="H835" s="31"/>
      <c r="I835" s="31"/>
      <c r="J835" s="31"/>
      <c r="K835" s="31"/>
      <c r="L835" s="269"/>
      <c r="M835" s="269"/>
      <c r="N835" s="269"/>
      <c r="O835" s="282"/>
      <c r="P835" s="269"/>
      <c r="Q835" s="269"/>
      <c r="R835" s="269"/>
      <c r="S835" s="282"/>
      <c r="T835" s="269"/>
      <c r="U835" s="269"/>
      <c r="V835" s="269"/>
      <c r="W835" s="269"/>
      <c r="X835" s="31"/>
    </row>
    <row r="836" spans="4:24" x14ac:dyDescent="0.25">
      <c r="D836" s="31"/>
      <c r="E836" s="31"/>
      <c r="F836" s="31"/>
      <c r="G836" s="31"/>
      <c r="H836" s="31"/>
      <c r="I836" s="31"/>
      <c r="J836" s="31"/>
      <c r="K836" s="31"/>
      <c r="L836" s="269"/>
      <c r="M836" s="269"/>
      <c r="N836" s="269"/>
      <c r="O836" s="282"/>
      <c r="P836" s="269"/>
      <c r="Q836" s="269"/>
      <c r="R836" s="269"/>
      <c r="S836" s="282"/>
      <c r="T836" s="269"/>
      <c r="U836" s="269"/>
      <c r="V836" s="269"/>
      <c r="W836" s="269"/>
      <c r="X836" s="31"/>
    </row>
    <row r="837" spans="4:24" x14ac:dyDescent="0.25">
      <c r="D837" s="31"/>
      <c r="E837" s="31"/>
      <c r="F837" s="31"/>
      <c r="G837" s="31"/>
      <c r="H837" s="31"/>
      <c r="I837" s="31"/>
      <c r="J837" s="31"/>
      <c r="K837" s="31"/>
      <c r="L837" s="269"/>
      <c r="M837" s="269"/>
      <c r="N837" s="269"/>
      <c r="O837" s="282"/>
      <c r="P837" s="269"/>
      <c r="Q837" s="269"/>
      <c r="R837" s="269"/>
      <c r="S837" s="282"/>
      <c r="T837" s="269"/>
      <c r="U837" s="269"/>
      <c r="V837" s="269"/>
      <c r="W837" s="269"/>
      <c r="X837" s="31"/>
    </row>
    <row r="838" spans="4:24" x14ac:dyDescent="0.25">
      <c r="D838" s="31"/>
      <c r="E838" s="31"/>
      <c r="F838" s="31"/>
      <c r="G838" s="31"/>
      <c r="H838" s="31"/>
      <c r="I838" s="31"/>
      <c r="J838" s="31"/>
      <c r="K838" s="31"/>
      <c r="L838" s="269"/>
      <c r="M838" s="269"/>
      <c r="N838" s="269"/>
      <c r="O838" s="282"/>
      <c r="P838" s="269"/>
      <c r="Q838" s="269"/>
      <c r="R838" s="269"/>
      <c r="S838" s="282"/>
      <c r="T838" s="269"/>
      <c r="U838" s="269"/>
      <c r="V838" s="269"/>
      <c r="W838" s="269"/>
      <c r="X838" s="31"/>
    </row>
    <row r="839" spans="4:24" x14ac:dyDescent="0.25">
      <c r="D839" s="31"/>
      <c r="E839" s="31"/>
      <c r="F839" s="31"/>
      <c r="G839" s="31"/>
      <c r="H839" s="31"/>
      <c r="I839" s="31"/>
      <c r="J839" s="31"/>
      <c r="K839" s="31"/>
      <c r="L839" s="269"/>
      <c r="M839" s="269"/>
      <c r="N839" s="269"/>
      <c r="O839" s="282"/>
      <c r="P839" s="269"/>
      <c r="Q839" s="269"/>
      <c r="R839" s="269"/>
      <c r="S839" s="282"/>
      <c r="T839" s="269"/>
      <c r="U839" s="269"/>
      <c r="V839" s="269"/>
      <c r="W839" s="269"/>
      <c r="X839" s="31"/>
    </row>
    <row r="840" spans="4:24" x14ac:dyDescent="0.25">
      <c r="D840" s="31"/>
      <c r="E840" s="31"/>
      <c r="F840" s="31"/>
      <c r="G840" s="31"/>
      <c r="H840" s="31"/>
      <c r="I840" s="31"/>
      <c r="J840" s="31"/>
      <c r="K840" s="31"/>
      <c r="L840" s="269"/>
      <c r="M840" s="269"/>
      <c r="N840" s="269"/>
      <c r="O840" s="282"/>
      <c r="P840" s="269"/>
      <c r="Q840" s="269"/>
      <c r="R840" s="269"/>
      <c r="S840" s="282"/>
      <c r="T840" s="269"/>
      <c r="U840" s="269"/>
      <c r="V840" s="269"/>
      <c r="W840" s="269"/>
      <c r="X840" s="31"/>
    </row>
    <row r="841" spans="4:24" x14ac:dyDescent="0.25">
      <c r="D841" s="31"/>
      <c r="E841" s="31"/>
      <c r="F841" s="31"/>
      <c r="G841" s="31"/>
      <c r="H841" s="31"/>
      <c r="I841" s="31"/>
      <c r="J841" s="31"/>
      <c r="K841" s="31"/>
      <c r="L841" s="269"/>
      <c r="M841" s="269"/>
      <c r="N841" s="269"/>
      <c r="O841" s="282"/>
      <c r="P841" s="269"/>
      <c r="Q841" s="269"/>
      <c r="R841" s="269"/>
      <c r="S841" s="282"/>
      <c r="T841" s="269"/>
      <c r="U841" s="269"/>
      <c r="V841" s="269"/>
      <c r="W841" s="269"/>
      <c r="X841" s="31"/>
    </row>
    <row r="842" spans="4:24" x14ac:dyDescent="0.25">
      <c r="D842" s="31"/>
      <c r="E842" s="31"/>
      <c r="F842" s="31"/>
      <c r="G842" s="31"/>
      <c r="H842" s="31"/>
      <c r="I842" s="31"/>
      <c r="J842" s="31"/>
      <c r="K842" s="31"/>
      <c r="L842" s="269"/>
      <c r="M842" s="269"/>
      <c r="N842" s="269"/>
      <c r="O842" s="282"/>
      <c r="P842" s="269"/>
      <c r="Q842" s="269"/>
      <c r="R842" s="269"/>
      <c r="S842" s="282"/>
      <c r="T842" s="269"/>
      <c r="U842" s="269"/>
      <c r="V842" s="269"/>
      <c r="W842" s="269"/>
      <c r="X842" s="31"/>
    </row>
    <row r="843" spans="4:24" x14ac:dyDescent="0.25">
      <c r="D843" s="31"/>
      <c r="E843" s="31"/>
      <c r="F843" s="31"/>
      <c r="G843" s="31"/>
      <c r="H843" s="31"/>
      <c r="I843" s="31"/>
      <c r="J843" s="31"/>
      <c r="K843" s="31"/>
      <c r="L843" s="269"/>
      <c r="M843" s="269"/>
      <c r="N843" s="269"/>
      <c r="O843" s="282"/>
      <c r="P843" s="269"/>
      <c r="Q843" s="269"/>
      <c r="R843" s="269"/>
      <c r="S843" s="282"/>
      <c r="T843" s="269"/>
      <c r="U843" s="269"/>
      <c r="V843" s="269"/>
      <c r="W843" s="269"/>
      <c r="X843" s="31"/>
    </row>
    <row r="844" spans="4:24" x14ac:dyDescent="0.25">
      <c r="D844" s="31"/>
      <c r="E844" s="31"/>
      <c r="F844" s="31"/>
      <c r="G844" s="31"/>
      <c r="H844" s="31"/>
      <c r="I844" s="31"/>
      <c r="J844" s="31"/>
      <c r="K844" s="31"/>
      <c r="L844" s="269"/>
      <c r="M844" s="269"/>
      <c r="N844" s="269"/>
      <c r="O844" s="282"/>
      <c r="P844" s="269"/>
      <c r="Q844" s="269"/>
      <c r="R844" s="269"/>
      <c r="S844" s="282"/>
      <c r="T844" s="269"/>
      <c r="U844" s="269"/>
      <c r="V844" s="269"/>
      <c r="W844" s="269"/>
      <c r="X844" s="31"/>
    </row>
    <row r="845" spans="4:24" x14ac:dyDescent="0.25">
      <c r="D845" s="31"/>
      <c r="E845" s="31"/>
      <c r="F845" s="31"/>
      <c r="G845" s="31"/>
      <c r="H845" s="31"/>
      <c r="I845" s="31"/>
      <c r="J845" s="31"/>
      <c r="K845" s="31"/>
      <c r="L845" s="269"/>
      <c r="M845" s="269"/>
      <c r="N845" s="269"/>
      <c r="O845" s="282"/>
      <c r="P845" s="269"/>
      <c r="Q845" s="269"/>
      <c r="R845" s="269"/>
      <c r="S845" s="282"/>
      <c r="T845" s="269"/>
      <c r="U845" s="269"/>
      <c r="V845" s="269"/>
      <c r="W845" s="269"/>
      <c r="X845" s="31"/>
    </row>
    <row r="846" spans="4:24" x14ac:dyDescent="0.25">
      <c r="D846" s="31"/>
      <c r="E846" s="31"/>
      <c r="F846" s="31"/>
      <c r="G846" s="31"/>
      <c r="H846" s="31"/>
      <c r="I846" s="31"/>
      <c r="J846" s="31"/>
      <c r="K846" s="31"/>
      <c r="L846" s="269"/>
      <c r="M846" s="269"/>
      <c r="N846" s="269"/>
      <c r="O846" s="282"/>
      <c r="P846" s="269"/>
      <c r="Q846" s="269"/>
      <c r="R846" s="269"/>
      <c r="S846" s="282"/>
      <c r="T846" s="269"/>
      <c r="U846" s="269"/>
      <c r="V846" s="269"/>
      <c r="W846" s="269"/>
      <c r="X846" s="31"/>
    </row>
    <row r="847" spans="4:24" x14ac:dyDescent="0.25">
      <c r="D847" s="31"/>
      <c r="E847" s="31"/>
      <c r="F847" s="31"/>
      <c r="G847" s="31"/>
      <c r="H847" s="31"/>
      <c r="I847" s="31"/>
      <c r="J847" s="31"/>
      <c r="K847" s="31"/>
      <c r="L847" s="269"/>
      <c r="M847" s="269"/>
      <c r="N847" s="269"/>
      <c r="O847" s="282"/>
      <c r="P847" s="269"/>
      <c r="Q847" s="269"/>
      <c r="R847" s="269"/>
      <c r="S847" s="282"/>
      <c r="T847" s="269"/>
      <c r="U847" s="269"/>
      <c r="V847" s="269"/>
      <c r="W847" s="269"/>
      <c r="X847" s="31"/>
    </row>
    <row r="848" spans="4:24" x14ac:dyDescent="0.25">
      <c r="D848" s="31"/>
      <c r="E848" s="31"/>
      <c r="F848" s="31"/>
      <c r="G848" s="31"/>
      <c r="H848" s="31"/>
      <c r="I848" s="31"/>
      <c r="J848" s="31"/>
      <c r="K848" s="31"/>
      <c r="L848" s="269"/>
      <c r="M848" s="269"/>
      <c r="N848" s="269"/>
      <c r="O848" s="282"/>
      <c r="P848" s="269"/>
      <c r="Q848" s="269"/>
      <c r="R848" s="269"/>
      <c r="S848" s="282"/>
      <c r="T848" s="269"/>
      <c r="U848" s="269"/>
      <c r="V848" s="269"/>
      <c r="W848" s="269"/>
      <c r="X848" s="31"/>
    </row>
    <row r="849" spans="4:24" x14ac:dyDescent="0.25">
      <c r="D849" s="31"/>
      <c r="E849" s="31"/>
      <c r="F849" s="31"/>
      <c r="G849" s="31"/>
      <c r="H849" s="31"/>
      <c r="I849" s="31"/>
      <c r="J849" s="31"/>
      <c r="K849" s="31"/>
      <c r="L849" s="269"/>
      <c r="M849" s="269"/>
      <c r="N849" s="269"/>
      <c r="O849" s="282"/>
      <c r="P849" s="269"/>
      <c r="Q849" s="269"/>
      <c r="R849" s="269"/>
      <c r="S849" s="282"/>
      <c r="T849" s="269"/>
      <c r="U849" s="269"/>
      <c r="V849" s="269"/>
      <c r="W849" s="269"/>
      <c r="X849" s="31"/>
    </row>
    <row r="850" spans="4:24" x14ac:dyDescent="0.25">
      <c r="D850" s="31"/>
      <c r="E850" s="31"/>
      <c r="F850" s="31"/>
      <c r="G850" s="31"/>
      <c r="H850" s="31"/>
      <c r="I850" s="31"/>
      <c r="J850" s="31"/>
      <c r="K850" s="31"/>
      <c r="L850" s="269"/>
      <c r="M850" s="269"/>
      <c r="N850" s="269"/>
      <c r="O850" s="282"/>
      <c r="P850" s="269"/>
      <c r="Q850" s="269"/>
      <c r="R850" s="269"/>
      <c r="S850" s="282"/>
      <c r="T850" s="269"/>
      <c r="U850" s="269"/>
      <c r="V850" s="269"/>
      <c r="W850" s="269"/>
      <c r="X850" s="31"/>
    </row>
    <row r="851" spans="4:24" x14ac:dyDescent="0.25">
      <c r="D851" s="31"/>
      <c r="E851" s="31"/>
      <c r="F851" s="31"/>
      <c r="G851" s="31"/>
      <c r="H851" s="31"/>
      <c r="I851" s="31"/>
      <c r="J851" s="31"/>
      <c r="K851" s="31"/>
      <c r="L851" s="269"/>
      <c r="M851" s="269"/>
      <c r="N851" s="269"/>
      <c r="O851" s="282"/>
      <c r="P851" s="269"/>
      <c r="Q851" s="269"/>
      <c r="R851" s="269"/>
      <c r="S851" s="282"/>
      <c r="T851" s="269"/>
      <c r="U851" s="269"/>
      <c r="V851" s="269"/>
      <c r="W851" s="269"/>
      <c r="X851" s="31"/>
    </row>
    <row r="852" spans="4:24" x14ac:dyDescent="0.25">
      <c r="D852" s="31"/>
      <c r="E852" s="31"/>
      <c r="F852" s="31"/>
      <c r="G852" s="31"/>
      <c r="H852" s="31"/>
      <c r="I852" s="31"/>
      <c r="J852" s="31"/>
      <c r="K852" s="31"/>
      <c r="L852" s="269"/>
      <c r="M852" s="269"/>
      <c r="N852" s="269"/>
      <c r="O852" s="282"/>
      <c r="P852" s="269"/>
      <c r="Q852" s="269"/>
      <c r="R852" s="269"/>
      <c r="S852" s="282"/>
      <c r="T852" s="269"/>
      <c r="U852" s="269"/>
      <c r="V852" s="269"/>
      <c r="W852" s="269"/>
      <c r="X852" s="31"/>
    </row>
    <row r="853" spans="4:24" x14ac:dyDescent="0.25">
      <c r="D853" s="31"/>
      <c r="E853" s="31"/>
      <c r="F853" s="31"/>
      <c r="G853" s="31"/>
      <c r="H853" s="31"/>
      <c r="I853" s="31"/>
      <c r="J853" s="31"/>
      <c r="K853" s="31"/>
      <c r="L853" s="269"/>
      <c r="M853" s="269"/>
      <c r="N853" s="269"/>
      <c r="O853" s="282"/>
      <c r="P853" s="269"/>
      <c r="Q853" s="269"/>
      <c r="R853" s="269"/>
      <c r="S853" s="282"/>
      <c r="T853" s="269"/>
      <c r="U853" s="269"/>
      <c r="V853" s="269"/>
      <c r="W853" s="269"/>
      <c r="X853" s="31"/>
    </row>
    <row r="854" spans="4:24" x14ac:dyDescent="0.25">
      <c r="D854" s="31"/>
      <c r="E854" s="31"/>
      <c r="F854" s="31"/>
      <c r="G854" s="31"/>
      <c r="H854" s="31"/>
      <c r="I854" s="31"/>
      <c r="J854" s="31"/>
      <c r="K854" s="31"/>
      <c r="L854" s="269"/>
      <c r="M854" s="269"/>
      <c r="N854" s="269"/>
      <c r="O854" s="282"/>
      <c r="P854" s="269"/>
      <c r="Q854" s="269"/>
      <c r="R854" s="269"/>
      <c r="S854" s="282"/>
      <c r="T854" s="269"/>
      <c r="U854" s="269"/>
      <c r="V854" s="269"/>
      <c r="W854" s="269"/>
      <c r="X854" s="31"/>
    </row>
    <row r="855" spans="4:24" x14ac:dyDescent="0.25">
      <c r="D855" s="31"/>
      <c r="E855" s="31"/>
      <c r="F855" s="31"/>
      <c r="G855" s="31"/>
      <c r="H855" s="31"/>
      <c r="I855" s="31"/>
      <c r="J855" s="31"/>
      <c r="K855" s="31"/>
      <c r="L855" s="269"/>
      <c r="M855" s="269"/>
      <c r="N855" s="269"/>
      <c r="O855" s="282"/>
      <c r="P855" s="269"/>
      <c r="Q855" s="269"/>
      <c r="R855" s="269"/>
      <c r="S855" s="282"/>
      <c r="T855" s="269"/>
      <c r="U855" s="269"/>
      <c r="V855" s="269"/>
      <c r="W855" s="269"/>
      <c r="X855" s="31"/>
    </row>
    <row r="856" spans="4:24" x14ac:dyDescent="0.25">
      <c r="D856" s="31"/>
      <c r="E856" s="31"/>
      <c r="F856" s="31"/>
      <c r="G856" s="31"/>
      <c r="H856" s="31"/>
      <c r="I856" s="31"/>
      <c r="J856" s="31"/>
      <c r="K856" s="31"/>
      <c r="L856" s="269"/>
      <c r="M856" s="269"/>
      <c r="N856" s="269"/>
      <c r="O856" s="282"/>
      <c r="P856" s="269"/>
      <c r="Q856" s="269"/>
      <c r="R856" s="269"/>
      <c r="S856" s="282"/>
      <c r="T856" s="269"/>
      <c r="U856" s="269"/>
      <c r="V856" s="269"/>
      <c r="W856" s="269"/>
      <c r="X856" s="31"/>
    </row>
    <row r="857" spans="4:24" x14ac:dyDescent="0.25">
      <c r="D857" s="31"/>
      <c r="E857" s="31"/>
      <c r="F857" s="31"/>
      <c r="G857" s="31"/>
      <c r="H857" s="31"/>
      <c r="I857" s="31"/>
      <c r="J857" s="31"/>
      <c r="K857" s="31"/>
      <c r="L857" s="269"/>
      <c r="M857" s="269"/>
      <c r="N857" s="269"/>
      <c r="O857" s="282"/>
      <c r="P857" s="269"/>
      <c r="Q857" s="269"/>
      <c r="R857" s="269"/>
      <c r="S857" s="282"/>
      <c r="T857" s="269"/>
      <c r="U857" s="269"/>
      <c r="V857" s="269"/>
      <c r="W857" s="269"/>
      <c r="X857" s="31"/>
    </row>
    <row r="858" spans="4:24" x14ac:dyDescent="0.25">
      <c r="D858" s="31"/>
      <c r="E858" s="31"/>
      <c r="F858" s="31"/>
      <c r="G858" s="31"/>
      <c r="H858" s="31"/>
      <c r="I858" s="31"/>
      <c r="J858" s="31"/>
      <c r="K858" s="31"/>
      <c r="L858" s="269"/>
      <c r="M858" s="269"/>
      <c r="N858" s="269"/>
      <c r="O858" s="282"/>
      <c r="P858" s="269"/>
      <c r="Q858" s="269"/>
      <c r="R858" s="269"/>
      <c r="S858" s="282"/>
      <c r="T858" s="269"/>
      <c r="U858" s="269"/>
      <c r="V858" s="269"/>
      <c r="W858" s="269"/>
      <c r="X858" s="31"/>
    </row>
    <row r="859" spans="4:24" x14ac:dyDescent="0.25">
      <c r="D859" s="31"/>
      <c r="E859" s="31"/>
      <c r="F859" s="31"/>
      <c r="G859" s="31"/>
      <c r="H859" s="31"/>
      <c r="I859" s="31"/>
      <c r="J859" s="31"/>
      <c r="K859" s="31"/>
      <c r="L859" s="269"/>
      <c r="M859" s="269"/>
      <c r="N859" s="269"/>
      <c r="O859" s="282"/>
      <c r="P859" s="269"/>
      <c r="Q859" s="269"/>
      <c r="R859" s="269"/>
      <c r="S859" s="282"/>
      <c r="T859" s="269"/>
      <c r="U859" s="269"/>
      <c r="V859" s="269"/>
      <c r="W859" s="269"/>
      <c r="X859" s="31"/>
    </row>
    <row r="860" spans="4:24" x14ac:dyDescent="0.25">
      <c r="D860" s="31"/>
      <c r="E860" s="31"/>
      <c r="F860" s="31"/>
      <c r="G860" s="31"/>
      <c r="H860" s="31"/>
      <c r="I860" s="31"/>
      <c r="J860" s="31"/>
      <c r="K860" s="31"/>
      <c r="L860" s="269"/>
      <c r="M860" s="269"/>
      <c r="N860" s="269"/>
      <c r="O860" s="282"/>
      <c r="P860" s="269"/>
      <c r="Q860" s="269"/>
      <c r="R860" s="269"/>
      <c r="S860" s="282"/>
      <c r="T860" s="269"/>
      <c r="U860" s="269"/>
      <c r="V860" s="269"/>
      <c r="W860" s="269"/>
      <c r="X860" s="31"/>
    </row>
    <row r="861" spans="4:24" x14ac:dyDescent="0.25">
      <c r="D861" s="31"/>
      <c r="E861" s="31"/>
      <c r="F861" s="31"/>
      <c r="G861" s="31"/>
      <c r="H861" s="31"/>
      <c r="I861" s="31"/>
      <c r="J861" s="31"/>
      <c r="K861" s="31"/>
      <c r="L861" s="269"/>
      <c r="M861" s="269"/>
      <c r="N861" s="269"/>
      <c r="O861" s="282"/>
      <c r="P861" s="269"/>
      <c r="Q861" s="269"/>
      <c r="R861" s="269"/>
      <c r="S861" s="282"/>
      <c r="T861" s="269"/>
      <c r="U861" s="269"/>
      <c r="V861" s="269"/>
      <c r="W861" s="269"/>
      <c r="X861" s="31"/>
    </row>
    <row r="862" spans="4:24" x14ac:dyDescent="0.25">
      <c r="D862" s="31"/>
      <c r="E862" s="31"/>
      <c r="F862" s="31"/>
      <c r="G862" s="31"/>
      <c r="H862" s="31"/>
      <c r="I862" s="31"/>
      <c r="J862" s="31"/>
      <c r="K862" s="31"/>
      <c r="L862" s="269"/>
      <c r="M862" s="269"/>
      <c r="N862" s="269"/>
      <c r="O862" s="282"/>
      <c r="P862" s="269"/>
      <c r="Q862" s="269"/>
      <c r="R862" s="269"/>
      <c r="S862" s="282"/>
      <c r="T862" s="269"/>
      <c r="U862" s="269"/>
      <c r="V862" s="269"/>
      <c r="W862" s="269"/>
      <c r="X862" s="31"/>
    </row>
    <row r="863" spans="4:24" x14ac:dyDescent="0.25">
      <c r="D863" s="31"/>
      <c r="E863" s="31"/>
      <c r="F863" s="31"/>
      <c r="G863" s="31"/>
      <c r="H863" s="31"/>
      <c r="I863" s="31"/>
      <c r="J863" s="31"/>
      <c r="K863" s="31"/>
      <c r="L863" s="269"/>
      <c r="M863" s="269"/>
      <c r="N863" s="269"/>
      <c r="O863" s="282"/>
      <c r="P863" s="269"/>
      <c r="Q863" s="269"/>
      <c r="R863" s="269"/>
      <c r="S863" s="282"/>
      <c r="T863" s="269"/>
      <c r="U863" s="269"/>
      <c r="V863" s="269"/>
      <c r="W863" s="269"/>
      <c r="X863" s="31"/>
    </row>
    <row r="864" spans="4:24" x14ac:dyDescent="0.25">
      <c r="D864" s="31"/>
      <c r="E864" s="31"/>
      <c r="F864" s="31"/>
      <c r="G864" s="31"/>
      <c r="H864" s="31"/>
      <c r="I864" s="31"/>
      <c r="J864" s="31"/>
      <c r="K864" s="31"/>
      <c r="L864" s="269"/>
      <c r="M864" s="269"/>
      <c r="N864" s="269"/>
      <c r="O864" s="282"/>
      <c r="P864" s="269"/>
      <c r="Q864" s="269"/>
      <c r="R864" s="269"/>
      <c r="S864" s="282"/>
      <c r="T864" s="269"/>
      <c r="U864" s="269"/>
      <c r="V864" s="269"/>
      <c r="W864" s="269"/>
      <c r="X864" s="31"/>
    </row>
    <row r="865" spans="4:24" x14ac:dyDescent="0.25">
      <c r="D865" s="31"/>
      <c r="E865" s="31"/>
      <c r="F865" s="31"/>
      <c r="G865" s="31"/>
      <c r="H865" s="31"/>
      <c r="I865" s="31"/>
      <c r="J865" s="31"/>
      <c r="K865" s="31"/>
      <c r="L865" s="269"/>
      <c r="M865" s="269"/>
      <c r="N865" s="269"/>
      <c r="O865" s="282"/>
      <c r="P865" s="269"/>
      <c r="Q865" s="269"/>
      <c r="R865" s="269"/>
      <c r="S865" s="282"/>
      <c r="T865" s="269"/>
      <c r="U865" s="269"/>
      <c r="V865" s="269"/>
      <c r="W865" s="269"/>
      <c r="X865" s="31"/>
    </row>
    <row r="866" spans="4:24" x14ac:dyDescent="0.25">
      <c r="D866" s="31"/>
      <c r="E866" s="31"/>
      <c r="F866" s="31"/>
      <c r="G866" s="31"/>
      <c r="H866" s="31"/>
      <c r="I866" s="31"/>
      <c r="J866" s="31"/>
      <c r="K866" s="31"/>
      <c r="L866" s="269"/>
      <c r="M866" s="269"/>
      <c r="N866" s="269"/>
      <c r="O866" s="282"/>
      <c r="P866" s="269"/>
      <c r="Q866" s="269"/>
      <c r="R866" s="269"/>
      <c r="S866" s="282"/>
      <c r="T866" s="269"/>
      <c r="U866" s="269"/>
      <c r="V866" s="269"/>
      <c r="W866" s="269"/>
      <c r="X866" s="31"/>
    </row>
    <row r="867" spans="4:24" x14ac:dyDescent="0.25">
      <c r="D867" s="31"/>
      <c r="E867" s="31"/>
      <c r="F867" s="31"/>
      <c r="G867" s="31"/>
      <c r="H867" s="31"/>
      <c r="I867" s="31"/>
      <c r="J867" s="31"/>
      <c r="K867" s="31"/>
      <c r="L867" s="269"/>
      <c r="M867" s="269"/>
      <c r="N867" s="269"/>
      <c r="O867" s="282"/>
      <c r="P867" s="269"/>
      <c r="Q867" s="269"/>
      <c r="R867" s="269"/>
      <c r="S867" s="282"/>
      <c r="T867" s="269"/>
      <c r="U867" s="269"/>
      <c r="V867" s="269"/>
      <c r="W867" s="269"/>
      <c r="X867" s="31"/>
    </row>
    <row r="868" spans="4:24" x14ac:dyDescent="0.25">
      <c r="D868" s="31"/>
      <c r="E868" s="31"/>
      <c r="F868" s="31"/>
      <c r="G868" s="31"/>
      <c r="H868" s="31"/>
      <c r="I868" s="31"/>
      <c r="J868" s="31"/>
      <c r="K868" s="31"/>
      <c r="L868" s="269"/>
      <c r="M868" s="269"/>
      <c r="N868" s="269"/>
      <c r="O868" s="282"/>
      <c r="P868" s="269"/>
      <c r="Q868" s="269"/>
      <c r="R868" s="269"/>
      <c r="S868" s="282"/>
      <c r="T868" s="269"/>
      <c r="U868" s="269"/>
      <c r="V868" s="269"/>
      <c r="W868" s="269"/>
      <c r="X868" s="31"/>
    </row>
    <row r="869" spans="4:24" x14ac:dyDescent="0.25">
      <c r="D869" s="31"/>
      <c r="E869" s="31"/>
      <c r="F869" s="31"/>
      <c r="G869" s="31"/>
      <c r="H869" s="31"/>
      <c r="I869" s="31"/>
      <c r="J869" s="31"/>
      <c r="K869" s="31"/>
      <c r="L869" s="269"/>
      <c r="M869" s="269"/>
      <c r="N869" s="269"/>
      <c r="O869" s="282"/>
      <c r="P869" s="269"/>
      <c r="Q869" s="269"/>
      <c r="R869" s="269"/>
      <c r="S869" s="282"/>
      <c r="T869" s="269"/>
      <c r="U869" s="269"/>
      <c r="V869" s="269"/>
      <c r="W869" s="269"/>
      <c r="X869" s="31"/>
    </row>
    <row r="870" spans="4:24" x14ac:dyDescent="0.25">
      <c r="D870" s="31"/>
      <c r="E870" s="31"/>
      <c r="F870" s="31"/>
      <c r="G870" s="31"/>
      <c r="H870" s="31"/>
      <c r="I870" s="31"/>
      <c r="J870" s="31"/>
      <c r="K870" s="31"/>
      <c r="L870" s="269"/>
      <c r="M870" s="269"/>
      <c r="N870" s="269"/>
      <c r="O870" s="282"/>
      <c r="P870" s="269"/>
      <c r="Q870" s="269"/>
      <c r="R870" s="269"/>
      <c r="S870" s="282"/>
      <c r="T870" s="269"/>
      <c r="U870" s="269"/>
      <c r="V870" s="269"/>
      <c r="W870" s="269"/>
      <c r="X870" s="31"/>
    </row>
    <row r="871" spans="4:24" x14ac:dyDescent="0.25">
      <c r="D871" s="31"/>
      <c r="E871" s="31"/>
      <c r="F871" s="31"/>
      <c r="G871" s="31"/>
      <c r="H871" s="31"/>
      <c r="I871" s="31"/>
      <c r="J871" s="31"/>
      <c r="K871" s="31"/>
      <c r="L871" s="269"/>
      <c r="M871" s="269"/>
      <c r="N871" s="269"/>
      <c r="O871" s="282"/>
      <c r="P871" s="269"/>
      <c r="Q871" s="269"/>
      <c r="R871" s="269"/>
      <c r="S871" s="282"/>
      <c r="T871" s="269"/>
      <c r="U871" s="269"/>
      <c r="V871" s="269"/>
      <c r="W871" s="269"/>
      <c r="X871" s="31"/>
    </row>
    <row r="872" spans="4:24" x14ac:dyDescent="0.25">
      <c r="D872" s="31"/>
      <c r="E872" s="31"/>
      <c r="F872" s="31"/>
      <c r="G872" s="31"/>
      <c r="H872" s="31"/>
      <c r="I872" s="31"/>
      <c r="J872" s="31"/>
      <c r="K872" s="31"/>
      <c r="L872" s="269"/>
      <c r="M872" s="269"/>
      <c r="N872" s="269"/>
      <c r="O872" s="282"/>
      <c r="P872" s="269"/>
      <c r="Q872" s="269"/>
      <c r="R872" s="269"/>
      <c r="S872" s="282"/>
      <c r="T872" s="269"/>
      <c r="U872" s="269"/>
      <c r="V872" s="269"/>
      <c r="W872" s="269"/>
      <c r="X872" s="31"/>
    </row>
    <row r="873" spans="4:24" x14ac:dyDescent="0.25">
      <c r="D873" s="31"/>
      <c r="E873" s="31"/>
      <c r="F873" s="31"/>
      <c r="G873" s="31"/>
      <c r="H873" s="31"/>
      <c r="I873" s="31"/>
      <c r="J873" s="31"/>
      <c r="K873" s="31"/>
      <c r="L873" s="269"/>
      <c r="M873" s="269"/>
      <c r="N873" s="269"/>
      <c r="O873" s="282"/>
      <c r="P873" s="269"/>
      <c r="Q873" s="269"/>
      <c r="R873" s="269"/>
      <c r="S873" s="282"/>
      <c r="T873" s="269"/>
      <c r="U873" s="269"/>
      <c r="V873" s="269"/>
      <c r="W873" s="269"/>
      <c r="X873" s="31"/>
    </row>
    <row r="874" spans="4:24" x14ac:dyDescent="0.25">
      <c r="D874" s="31"/>
      <c r="E874" s="31"/>
      <c r="F874" s="31"/>
      <c r="G874" s="31"/>
      <c r="H874" s="31"/>
      <c r="I874" s="31"/>
      <c r="J874" s="31"/>
      <c r="K874" s="31"/>
      <c r="L874" s="269"/>
      <c r="M874" s="269"/>
      <c r="N874" s="269"/>
      <c r="O874" s="282"/>
      <c r="P874" s="269"/>
      <c r="Q874" s="269"/>
      <c r="R874" s="269"/>
      <c r="S874" s="282"/>
      <c r="T874" s="269"/>
      <c r="U874" s="269"/>
      <c r="V874" s="269"/>
      <c r="W874" s="269"/>
      <c r="X874" s="31"/>
    </row>
    <row r="875" spans="4:24" x14ac:dyDescent="0.25">
      <c r="D875" s="31"/>
      <c r="E875" s="31"/>
      <c r="F875" s="31"/>
      <c r="G875" s="31"/>
      <c r="H875" s="31"/>
      <c r="I875" s="31"/>
      <c r="J875" s="31"/>
      <c r="K875" s="31"/>
      <c r="L875" s="269"/>
      <c r="M875" s="269"/>
      <c r="N875" s="269"/>
      <c r="O875" s="282"/>
      <c r="P875" s="269"/>
      <c r="Q875" s="269"/>
      <c r="R875" s="269"/>
      <c r="S875" s="282"/>
      <c r="T875" s="269"/>
      <c r="U875" s="269"/>
      <c r="V875" s="269"/>
      <c r="W875" s="269"/>
      <c r="X875" s="31"/>
    </row>
    <row r="876" spans="4:24" x14ac:dyDescent="0.25">
      <c r="D876" s="31"/>
      <c r="E876" s="31"/>
      <c r="F876" s="31"/>
      <c r="G876" s="31"/>
      <c r="H876" s="31"/>
      <c r="I876" s="31"/>
      <c r="J876" s="31"/>
      <c r="K876" s="31"/>
      <c r="L876" s="269"/>
      <c r="M876" s="269"/>
      <c r="N876" s="269"/>
      <c r="O876" s="282"/>
      <c r="P876" s="269"/>
      <c r="Q876" s="269"/>
      <c r="R876" s="269"/>
      <c r="S876" s="282"/>
      <c r="T876" s="269"/>
      <c r="U876" s="269"/>
      <c r="V876" s="269"/>
      <c r="W876" s="269"/>
      <c r="X876" s="31"/>
    </row>
    <row r="877" spans="4:24" x14ac:dyDescent="0.25">
      <c r="D877" s="31"/>
      <c r="E877" s="31"/>
      <c r="F877" s="31"/>
      <c r="G877" s="31"/>
      <c r="H877" s="31"/>
      <c r="I877" s="31"/>
      <c r="J877" s="31"/>
      <c r="K877" s="31"/>
      <c r="L877" s="269"/>
      <c r="M877" s="269"/>
      <c r="N877" s="269"/>
      <c r="O877" s="282"/>
      <c r="P877" s="269"/>
      <c r="Q877" s="269"/>
      <c r="R877" s="269"/>
      <c r="S877" s="282"/>
      <c r="T877" s="269"/>
      <c r="U877" s="269"/>
      <c r="V877" s="269"/>
      <c r="W877" s="269"/>
      <c r="X877" s="31"/>
    </row>
    <row r="878" spans="4:24" x14ac:dyDescent="0.25">
      <c r="D878" s="31"/>
      <c r="E878" s="31"/>
      <c r="F878" s="31"/>
      <c r="G878" s="31"/>
      <c r="H878" s="31"/>
      <c r="I878" s="31"/>
      <c r="J878" s="31"/>
      <c r="K878" s="31"/>
      <c r="L878" s="269"/>
      <c r="M878" s="269"/>
      <c r="N878" s="269"/>
      <c r="O878" s="282"/>
      <c r="P878" s="269"/>
      <c r="Q878" s="269"/>
      <c r="R878" s="269"/>
      <c r="S878" s="282"/>
      <c r="T878" s="269"/>
      <c r="U878" s="269"/>
      <c r="V878" s="269"/>
      <c r="W878" s="269"/>
      <c r="X878" s="31"/>
    </row>
    <row r="879" spans="4:24" x14ac:dyDescent="0.25">
      <c r="D879" s="31"/>
      <c r="E879" s="31"/>
      <c r="F879" s="31"/>
      <c r="G879" s="31"/>
      <c r="H879" s="31"/>
      <c r="I879" s="31"/>
      <c r="J879" s="31"/>
      <c r="K879" s="31"/>
      <c r="L879" s="269"/>
      <c r="M879" s="269"/>
      <c r="N879" s="269"/>
      <c r="O879" s="282"/>
      <c r="P879" s="269"/>
      <c r="Q879" s="269"/>
      <c r="R879" s="269"/>
      <c r="S879" s="282"/>
      <c r="T879" s="269"/>
      <c r="U879" s="269"/>
      <c r="V879" s="269"/>
      <c r="W879" s="269"/>
      <c r="X879" s="31"/>
    </row>
    <row r="880" spans="4:24" x14ac:dyDescent="0.25">
      <c r="D880" s="31"/>
      <c r="E880" s="31"/>
      <c r="F880" s="31"/>
      <c r="G880" s="31"/>
      <c r="H880" s="31"/>
      <c r="I880" s="31"/>
      <c r="J880" s="31"/>
      <c r="K880" s="31"/>
      <c r="L880" s="269"/>
      <c r="M880" s="269"/>
      <c r="N880" s="269"/>
      <c r="O880" s="282"/>
      <c r="P880" s="269"/>
      <c r="Q880" s="269"/>
      <c r="R880" s="269"/>
      <c r="S880" s="282"/>
      <c r="T880" s="269"/>
      <c r="U880" s="269"/>
      <c r="V880" s="269"/>
      <c r="W880" s="269"/>
      <c r="X880" s="31"/>
    </row>
    <row r="881" spans="4:24" x14ac:dyDescent="0.25">
      <c r="D881" s="31"/>
      <c r="E881" s="31"/>
      <c r="F881" s="31"/>
      <c r="G881" s="31"/>
      <c r="H881" s="31"/>
      <c r="I881" s="31"/>
      <c r="J881" s="31"/>
      <c r="K881" s="31"/>
      <c r="L881" s="269"/>
      <c r="M881" s="269"/>
      <c r="N881" s="269"/>
      <c r="O881" s="282"/>
      <c r="P881" s="269"/>
      <c r="Q881" s="269"/>
      <c r="R881" s="269"/>
      <c r="S881" s="282"/>
      <c r="T881" s="269"/>
      <c r="U881" s="269"/>
      <c r="V881" s="269"/>
      <c r="W881" s="269"/>
      <c r="X881" s="31"/>
    </row>
    <row r="882" spans="4:24" x14ac:dyDescent="0.25">
      <c r="D882" s="31"/>
      <c r="E882" s="31"/>
      <c r="F882" s="31"/>
      <c r="G882" s="31"/>
      <c r="H882" s="31"/>
      <c r="I882" s="31"/>
      <c r="J882" s="31"/>
      <c r="K882" s="31"/>
      <c r="L882" s="269"/>
      <c r="M882" s="269"/>
      <c r="N882" s="269"/>
      <c r="O882" s="282"/>
      <c r="P882" s="269"/>
      <c r="Q882" s="269"/>
      <c r="R882" s="269"/>
      <c r="S882" s="282"/>
      <c r="T882" s="269"/>
      <c r="U882" s="269"/>
      <c r="V882" s="269"/>
      <c r="W882" s="269"/>
      <c r="X882" s="31"/>
    </row>
    <row r="883" spans="4:24" x14ac:dyDescent="0.25">
      <c r="D883" s="31"/>
      <c r="E883" s="31"/>
      <c r="F883" s="31"/>
      <c r="G883" s="31"/>
      <c r="H883" s="31"/>
      <c r="I883" s="31"/>
      <c r="J883" s="31"/>
      <c r="K883" s="31"/>
      <c r="L883" s="269"/>
      <c r="M883" s="269"/>
      <c r="N883" s="269"/>
      <c r="O883" s="282"/>
      <c r="P883" s="269"/>
      <c r="Q883" s="269"/>
      <c r="R883" s="269"/>
      <c r="S883" s="282"/>
      <c r="T883" s="269"/>
      <c r="U883" s="269"/>
      <c r="V883" s="269"/>
      <c r="W883" s="269"/>
      <c r="X883" s="31"/>
    </row>
    <row r="884" spans="4:24" x14ac:dyDescent="0.25">
      <c r="D884" s="31"/>
      <c r="E884" s="31"/>
      <c r="F884" s="31"/>
      <c r="G884" s="31"/>
      <c r="H884" s="31"/>
      <c r="I884" s="31"/>
      <c r="J884" s="31"/>
      <c r="K884" s="31"/>
      <c r="L884" s="269"/>
      <c r="M884" s="269"/>
      <c r="N884" s="269"/>
      <c r="O884" s="282"/>
      <c r="P884" s="269"/>
      <c r="Q884" s="269"/>
      <c r="R884" s="269"/>
      <c r="S884" s="282"/>
      <c r="T884" s="269"/>
      <c r="U884" s="269"/>
      <c r="V884" s="269"/>
      <c r="W884" s="269"/>
      <c r="X884" s="31"/>
    </row>
    <row r="885" spans="4:24" x14ac:dyDescent="0.25">
      <c r="D885" s="31"/>
      <c r="E885" s="31"/>
      <c r="F885" s="31"/>
      <c r="G885" s="31"/>
      <c r="H885" s="31"/>
      <c r="I885" s="31"/>
      <c r="J885" s="31"/>
      <c r="K885" s="31"/>
      <c r="L885" s="269"/>
      <c r="M885" s="269"/>
      <c r="N885" s="269"/>
      <c r="O885" s="282"/>
      <c r="P885" s="269"/>
      <c r="Q885" s="269"/>
      <c r="R885" s="269"/>
      <c r="S885" s="282"/>
      <c r="T885" s="269"/>
      <c r="U885" s="269"/>
      <c r="V885" s="269"/>
      <c r="W885" s="269"/>
      <c r="X885" s="31"/>
    </row>
    <row r="886" spans="4:24" x14ac:dyDescent="0.25">
      <c r="D886" s="31"/>
      <c r="E886" s="31"/>
      <c r="F886" s="31"/>
      <c r="G886" s="31"/>
      <c r="H886" s="31"/>
      <c r="I886" s="31"/>
      <c r="J886" s="31"/>
      <c r="K886" s="31"/>
      <c r="L886" s="269"/>
      <c r="M886" s="269"/>
      <c r="N886" s="269"/>
      <c r="O886" s="282"/>
      <c r="P886" s="269"/>
      <c r="Q886" s="269"/>
      <c r="R886" s="269"/>
      <c r="S886" s="282"/>
      <c r="T886" s="269"/>
      <c r="U886" s="269"/>
      <c r="V886" s="269"/>
      <c r="W886" s="269"/>
      <c r="X886" s="31"/>
    </row>
    <row r="887" spans="4:24" x14ac:dyDescent="0.25">
      <c r="D887" s="31"/>
      <c r="E887" s="31"/>
      <c r="F887" s="31"/>
      <c r="G887" s="31"/>
      <c r="H887" s="31"/>
      <c r="I887" s="31"/>
      <c r="J887" s="31"/>
      <c r="K887" s="31"/>
      <c r="L887" s="269"/>
      <c r="M887" s="269"/>
      <c r="N887" s="269"/>
      <c r="O887" s="282"/>
      <c r="P887" s="269"/>
      <c r="Q887" s="269"/>
      <c r="R887" s="269"/>
      <c r="S887" s="282"/>
      <c r="T887" s="269"/>
      <c r="U887" s="269"/>
      <c r="V887" s="269"/>
      <c r="W887" s="269"/>
      <c r="X887" s="31"/>
    </row>
    <row r="888" spans="4:24" x14ac:dyDescent="0.25">
      <c r="D888" s="31"/>
      <c r="E888" s="31"/>
      <c r="F888" s="31"/>
      <c r="G888" s="31"/>
      <c r="H888" s="31"/>
      <c r="I888" s="31"/>
      <c r="J888" s="31"/>
      <c r="K888" s="31"/>
      <c r="L888" s="269"/>
      <c r="M888" s="269"/>
      <c r="N888" s="269"/>
      <c r="O888" s="282"/>
      <c r="P888" s="269"/>
      <c r="Q888" s="269"/>
      <c r="R888" s="269"/>
      <c r="S888" s="282"/>
      <c r="T888" s="269"/>
      <c r="U888" s="269"/>
      <c r="V888" s="269"/>
      <c r="W888" s="269"/>
      <c r="X888" s="31"/>
    </row>
    <row r="889" spans="4:24" x14ac:dyDescent="0.25">
      <c r="D889" s="31"/>
      <c r="E889" s="31"/>
      <c r="F889" s="31"/>
      <c r="G889" s="31"/>
      <c r="H889" s="31"/>
      <c r="I889" s="31"/>
      <c r="J889" s="31"/>
      <c r="K889" s="31"/>
      <c r="L889" s="269"/>
      <c r="M889" s="269"/>
      <c r="N889" s="269"/>
      <c r="O889" s="282"/>
      <c r="P889" s="269"/>
      <c r="Q889" s="269"/>
      <c r="R889" s="269"/>
      <c r="S889" s="282"/>
      <c r="T889" s="269"/>
      <c r="U889" s="269"/>
      <c r="V889" s="269"/>
      <c r="W889" s="269"/>
      <c r="X889" s="31"/>
    </row>
    <row r="890" spans="4:24" x14ac:dyDescent="0.25">
      <c r="D890" s="31"/>
      <c r="E890" s="31"/>
      <c r="F890" s="31"/>
      <c r="G890" s="31"/>
      <c r="H890" s="31"/>
      <c r="I890" s="31"/>
      <c r="J890" s="31"/>
      <c r="K890" s="31"/>
      <c r="L890" s="269"/>
      <c r="M890" s="269"/>
      <c r="N890" s="269"/>
      <c r="O890" s="282"/>
      <c r="P890" s="269"/>
      <c r="Q890" s="269"/>
      <c r="R890" s="269"/>
      <c r="S890" s="282"/>
      <c r="T890" s="269"/>
      <c r="U890" s="269"/>
      <c r="V890" s="269"/>
      <c r="W890" s="269"/>
      <c r="X890" s="31"/>
    </row>
    <row r="891" spans="4:24" x14ac:dyDescent="0.25">
      <c r="D891" s="31"/>
      <c r="E891" s="31"/>
      <c r="F891" s="31"/>
      <c r="G891" s="31"/>
      <c r="H891" s="31"/>
      <c r="I891" s="31"/>
      <c r="J891" s="31"/>
      <c r="K891" s="31"/>
      <c r="L891" s="269"/>
      <c r="M891" s="269"/>
      <c r="N891" s="269"/>
      <c r="O891" s="282"/>
      <c r="P891" s="269"/>
      <c r="Q891" s="269"/>
      <c r="R891" s="269"/>
      <c r="S891" s="282"/>
      <c r="T891" s="269"/>
      <c r="U891" s="269"/>
      <c r="V891" s="269"/>
      <c r="W891" s="269"/>
      <c r="X891" s="31"/>
    </row>
    <row r="892" spans="4:24" x14ac:dyDescent="0.25">
      <c r="D892" s="31"/>
      <c r="E892" s="31"/>
      <c r="F892" s="31"/>
      <c r="G892" s="31"/>
      <c r="H892" s="31"/>
      <c r="I892" s="31"/>
      <c r="J892" s="31"/>
      <c r="K892" s="31"/>
      <c r="L892" s="269"/>
      <c r="M892" s="269"/>
      <c r="N892" s="269"/>
      <c r="O892" s="282"/>
      <c r="P892" s="269"/>
      <c r="Q892" s="269"/>
      <c r="R892" s="269"/>
      <c r="S892" s="282"/>
      <c r="T892" s="269"/>
      <c r="U892" s="269"/>
      <c r="V892" s="269"/>
      <c r="W892" s="269"/>
      <c r="X892" s="31"/>
    </row>
    <row r="893" spans="4:24" x14ac:dyDescent="0.25">
      <c r="D893" s="31"/>
      <c r="E893" s="31"/>
      <c r="F893" s="31"/>
      <c r="G893" s="31"/>
      <c r="H893" s="31"/>
      <c r="I893" s="31"/>
      <c r="J893" s="31"/>
      <c r="K893" s="31"/>
      <c r="L893" s="269"/>
      <c r="M893" s="269"/>
      <c r="N893" s="269"/>
      <c r="O893" s="282"/>
      <c r="P893" s="269"/>
      <c r="Q893" s="269"/>
      <c r="R893" s="269"/>
      <c r="S893" s="282"/>
      <c r="T893" s="269"/>
      <c r="U893" s="269"/>
      <c r="V893" s="269"/>
      <c r="W893" s="269"/>
      <c r="X893" s="31"/>
    </row>
    <row r="894" spans="4:24" x14ac:dyDescent="0.25">
      <c r="D894" s="31"/>
      <c r="E894" s="31"/>
      <c r="F894" s="31"/>
      <c r="G894" s="31"/>
      <c r="H894" s="31"/>
      <c r="I894" s="31"/>
      <c r="J894" s="31"/>
      <c r="K894" s="31"/>
      <c r="L894" s="269"/>
      <c r="M894" s="269"/>
      <c r="N894" s="269"/>
      <c r="O894" s="282"/>
      <c r="P894" s="269"/>
      <c r="Q894" s="269"/>
      <c r="R894" s="269"/>
      <c r="S894" s="282"/>
      <c r="T894" s="269"/>
      <c r="U894" s="269"/>
      <c r="V894" s="269"/>
      <c r="W894" s="269"/>
      <c r="X894" s="31"/>
    </row>
    <row r="895" spans="4:24" x14ac:dyDescent="0.25">
      <c r="D895" s="31"/>
      <c r="E895" s="31"/>
      <c r="F895" s="31"/>
      <c r="G895" s="31"/>
      <c r="H895" s="31"/>
      <c r="I895" s="31"/>
      <c r="J895" s="31"/>
      <c r="K895" s="31"/>
      <c r="L895" s="269"/>
      <c r="M895" s="269"/>
      <c r="N895" s="269"/>
      <c r="O895" s="282"/>
      <c r="P895" s="269"/>
      <c r="Q895" s="269"/>
      <c r="R895" s="269"/>
      <c r="S895" s="282"/>
      <c r="T895" s="269"/>
      <c r="U895" s="269"/>
      <c r="V895" s="269"/>
      <c r="W895" s="269"/>
      <c r="X895" s="31"/>
    </row>
    <row r="896" spans="4:24" x14ac:dyDescent="0.25">
      <c r="D896" s="31"/>
      <c r="E896" s="31"/>
      <c r="F896" s="31"/>
      <c r="G896" s="31"/>
      <c r="H896" s="31"/>
      <c r="I896" s="31"/>
      <c r="J896" s="31"/>
      <c r="K896" s="31"/>
      <c r="L896" s="269"/>
      <c r="M896" s="269"/>
      <c r="N896" s="269"/>
      <c r="O896" s="282"/>
      <c r="P896" s="269"/>
      <c r="Q896" s="269"/>
      <c r="R896" s="269"/>
      <c r="S896" s="282"/>
      <c r="T896" s="269"/>
      <c r="U896" s="269"/>
      <c r="V896" s="269"/>
      <c r="W896" s="269"/>
      <c r="X896" s="31"/>
    </row>
    <row r="897" spans="4:24" x14ac:dyDescent="0.25">
      <c r="D897" s="31"/>
      <c r="E897" s="31"/>
      <c r="F897" s="31"/>
      <c r="G897" s="31"/>
      <c r="H897" s="31"/>
      <c r="I897" s="31"/>
      <c r="J897" s="31"/>
      <c r="K897" s="31"/>
      <c r="L897" s="269"/>
      <c r="M897" s="269"/>
      <c r="N897" s="269"/>
      <c r="O897" s="282"/>
      <c r="P897" s="269"/>
      <c r="Q897" s="269"/>
      <c r="R897" s="269"/>
      <c r="S897" s="282"/>
      <c r="T897" s="269"/>
      <c r="U897" s="269"/>
      <c r="V897" s="269"/>
      <c r="W897" s="269"/>
      <c r="X897" s="31"/>
    </row>
    <row r="898" spans="4:24" x14ac:dyDescent="0.25">
      <c r="D898" s="31"/>
      <c r="E898" s="31"/>
      <c r="F898" s="31"/>
      <c r="G898" s="31"/>
      <c r="H898" s="31"/>
      <c r="I898" s="31"/>
      <c r="J898" s="31"/>
      <c r="K898" s="31"/>
      <c r="L898" s="269"/>
      <c r="M898" s="269"/>
      <c r="N898" s="269"/>
      <c r="O898" s="282"/>
      <c r="P898" s="269"/>
      <c r="Q898" s="269"/>
      <c r="R898" s="269"/>
      <c r="S898" s="282"/>
      <c r="T898" s="269"/>
      <c r="U898" s="269"/>
      <c r="V898" s="269"/>
      <c r="W898" s="269"/>
      <c r="X898" s="31"/>
    </row>
    <row r="899" spans="4:24" x14ac:dyDescent="0.25">
      <c r="D899" s="31"/>
      <c r="E899" s="31"/>
      <c r="F899" s="31"/>
      <c r="G899" s="31"/>
      <c r="H899" s="31"/>
      <c r="I899" s="31"/>
      <c r="J899" s="31"/>
      <c r="K899" s="31"/>
      <c r="L899" s="269"/>
      <c r="M899" s="269"/>
      <c r="N899" s="269"/>
      <c r="O899" s="282"/>
      <c r="P899" s="269"/>
      <c r="Q899" s="269"/>
      <c r="R899" s="269"/>
      <c r="S899" s="282"/>
      <c r="T899" s="269"/>
      <c r="U899" s="269"/>
      <c r="V899" s="269"/>
      <c r="W899" s="269"/>
      <c r="X899" s="31"/>
    </row>
    <row r="900" spans="4:24" x14ac:dyDescent="0.25">
      <c r="D900" s="31"/>
      <c r="E900" s="31"/>
      <c r="F900" s="31"/>
      <c r="G900" s="31"/>
      <c r="H900" s="31"/>
      <c r="I900" s="31"/>
      <c r="J900" s="31"/>
      <c r="K900" s="31"/>
      <c r="L900" s="269"/>
      <c r="M900" s="269"/>
      <c r="N900" s="269"/>
      <c r="O900" s="282"/>
      <c r="P900" s="269"/>
      <c r="Q900" s="269"/>
      <c r="R900" s="269"/>
      <c r="S900" s="282"/>
      <c r="T900" s="269"/>
      <c r="U900" s="269"/>
      <c r="V900" s="269"/>
      <c r="W900" s="269"/>
      <c r="X900" s="31"/>
    </row>
    <row r="901" spans="4:24" x14ac:dyDescent="0.25">
      <c r="D901" s="31"/>
      <c r="E901" s="31"/>
      <c r="F901" s="31"/>
      <c r="G901" s="31"/>
      <c r="H901" s="31"/>
      <c r="I901" s="31"/>
      <c r="J901" s="31"/>
      <c r="K901" s="31"/>
      <c r="L901" s="269"/>
      <c r="M901" s="269"/>
      <c r="N901" s="269"/>
      <c r="O901" s="282"/>
      <c r="P901" s="269"/>
      <c r="Q901" s="269"/>
      <c r="R901" s="269"/>
      <c r="S901" s="282"/>
      <c r="T901" s="269"/>
      <c r="U901" s="269"/>
      <c r="V901" s="269"/>
      <c r="W901" s="269"/>
      <c r="X901" s="31"/>
    </row>
    <row r="902" spans="4:24" x14ac:dyDescent="0.25">
      <c r="D902" s="31"/>
      <c r="E902" s="31"/>
      <c r="F902" s="31"/>
      <c r="G902" s="31"/>
      <c r="H902" s="31"/>
      <c r="I902" s="31"/>
      <c r="J902" s="31"/>
      <c r="K902" s="31"/>
      <c r="L902" s="269"/>
      <c r="M902" s="269"/>
      <c r="N902" s="269"/>
      <c r="O902" s="282"/>
      <c r="P902" s="269"/>
      <c r="Q902" s="269"/>
      <c r="R902" s="269"/>
      <c r="S902" s="282"/>
      <c r="T902" s="269"/>
      <c r="U902" s="269"/>
      <c r="V902" s="269"/>
      <c r="W902" s="269"/>
      <c r="X902" s="31"/>
    </row>
    <row r="903" spans="4:24" x14ac:dyDescent="0.25">
      <c r="D903" s="31"/>
      <c r="E903" s="31"/>
      <c r="F903" s="31"/>
      <c r="G903" s="31"/>
      <c r="H903" s="31"/>
      <c r="I903" s="31"/>
      <c r="J903" s="31"/>
      <c r="K903" s="31"/>
      <c r="L903" s="269"/>
      <c r="M903" s="269"/>
      <c r="N903" s="269"/>
      <c r="O903" s="282"/>
      <c r="P903" s="269"/>
      <c r="Q903" s="269"/>
      <c r="R903" s="269"/>
      <c r="S903" s="282"/>
      <c r="T903" s="269"/>
      <c r="U903" s="269"/>
      <c r="V903" s="269"/>
      <c r="W903" s="269"/>
      <c r="X903" s="31"/>
    </row>
    <row r="904" spans="4:24" x14ac:dyDescent="0.25">
      <c r="D904" s="31"/>
      <c r="E904" s="31"/>
      <c r="F904" s="31"/>
      <c r="G904" s="31"/>
      <c r="H904" s="31"/>
      <c r="I904" s="31"/>
      <c r="J904" s="31"/>
      <c r="K904" s="31"/>
      <c r="L904" s="269"/>
      <c r="M904" s="269"/>
      <c r="N904" s="269"/>
      <c r="O904" s="282"/>
      <c r="P904" s="269"/>
      <c r="Q904" s="269"/>
      <c r="R904" s="269"/>
      <c r="S904" s="282"/>
      <c r="T904" s="269"/>
      <c r="U904" s="269"/>
      <c r="V904" s="269"/>
      <c r="W904" s="269"/>
      <c r="X904" s="31"/>
    </row>
    <row r="905" spans="4:24" x14ac:dyDescent="0.25">
      <c r="D905" s="31"/>
      <c r="E905" s="31"/>
      <c r="F905" s="31"/>
      <c r="G905" s="31"/>
      <c r="H905" s="31"/>
      <c r="I905" s="31"/>
      <c r="J905" s="31"/>
      <c r="K905" s="31"/>
      <c r="L905" s="269"/>
      <c r="M905" s="269"/>
      <c r="N905" s="269"/>
      <c r="O905" s="282"/>
      <c r="P905" s="269"/>
      <c r="Q905" s="269"/>
      <c r="R905" s="269"/>
      <c r="S905" s="282"/>
      <c r="T905" s="269"/>
      <c r="U905" s="269"/>
      <c r="V905" s="269"/>
      <c r="W905" s="269"/>
      <c r="X905" s="31"/>
    </row>
    <row r="906" spans="4:24" x14ac:dyDescent="0.25">
      <c r="D906" s="31"/>
      <c r="E906" s="31"/>
      <c r="F906" s="31"/>
      <c r="G906" s="31"/>
      <c r="H906" s="31"/>
      <c r="I906" s="31"/>
      <c r="J906" s="31"/>
      <c r="K906" s="31"/>
      <c r="L906" s="269"/>
      <c r="M906" s="269"/>
      <c r="N906" s="269"/>
      <c r="O906" s="282"/>
      <c r="P906" s="269"/>
      <c r="Q906" s="269"/>
      <c r="R906" s="269"/>
      <c r="S906" s="282"/>
      <c r="T906" s="269"/>
      <c r="U906" s="269"/>
      <c r="V906" s="269"/>
      <c r="W906" s="269"/>
      <c r="X906" s="31"/>
    </row>
    <row r="907" spans="4:24" x14ac:dyDescent="0.25">
      <c r="D907" s="31"/>
      <c r="E907" s="31"/>
      <c r="F907" s="31"/>
      <c r="G907" s="31"/>
      <c r="H907" s="31"/>
      <c r="I907" s="31"/>
      <c r="J907" s="31"/>
      <c r="K907" s="31"/>
      <c r="L907" s="269"/>
      <c r="M907" s="269"/>
      <c r="N907" s="269"/>
      <c r="O907" s="282"/>
      <c r="P907" s="269"/>
      <c r="Q907" s="269"/>
      <c r="R907" s="269"/>
      <c r="S907" s="282"/>
      <c r="T907" s="269"/>
      <c r="U907" s="269"/>
      <c r="V907" s="269"/>
      <c r="W907" s="269"/>
      <c r="X907" s="31"/>
    </row>
    <row r="908" spans="4:24" x14ac:dyDescent="0.25">
      <c r="D908" s="31"/>
      <c r="E908" s="31"/>
      <c r="F908" s="31"/>
      <c r="G908" s="31"/>
      <c r="H908" s="31"/>
      <c r="I908" s="31"/>
      <c r="J908" s="31"/>
      <c r="K908" s="31"/>
      <c r="L908" s="269"/>
      <c r="M908" s="269"/>
      <c r="N908" s="269"/>
      <c r="O908" s="282"/>
      <c r="P908" s="269"/>
      <c r="Q908" s="269"/>
      <c r="R908" s="269"/>
      <c r="S908" s="282"/>
      <c r="T908" s="269"/>
      <c r="U908" s="269"/>
      <c r="V908" s="269"/>
      <c r="W908" s="269"/>
      <c r="X908" s="31"/>
    </row>
    <row r="909" spans="4:24" x14ac:dyDescent="0.25">
      <c r="D909" s="31"/>
      <c r="E909" s="31"/>
      <c r="F909" s="31"/>
      <c r="G909" s="31"/>
      <c r="H909" s="31"/>
      <c r="I909" s="31"/>
      <c r="J909" s="31"/>
      <c r="K909" s="31"/>
      <c r="L909" s="269"/>
      <c r="M909" s="269"/>
      <c r="N909" s="269"/>
      <c r="O909" s="282"/>
      <c r="P909" s="269"/>
      <c r="Q909" s="269"/>
      <c r="R909" s="269"/>
      <c r="S909" s="282"/>
      <c r="T909" s="269"/>
      <c r="U909" s="269"/>
      <c r="V909" s="269"/>
      <c r="W909" s="269"/>
      <c r="X909" s="31"/>
    </row>
    <row r="910" spans="4:24" x14ac:dyDescent="0.25">
      <c r="D910" s="31"/>
      <c r="E910" s="31"/>
      <c r="F910" s="31"/>
      <c r="G910" s="31"/>
      <c r="H910" s="31"/>
      <c r="I910" s="31"/>
      <c r="J910" s="31"/>
      <c r="K910" s="31"/>
      <c r="L910" s="269"/>
      <c r="M910" s="269"/>
      <c r="N910" s="269"/>
      <c r="O910" s="282"/>
      <c r="P910" s="269"/>
      <c r="Q910" s="269"/>
      <c r="R910" s="269"/>
      <c r="S910" s="282"/>
      <c r="T910" s="269"/>
      <c r="U910" s="269"/>
      <c r="V910" s="269"/>
      <c r="W910" s="269"/>
      <c r="X910" s="31"/>
    </row>
    <row r="911" spans="4:24" x14ac:dyDescent="0.25">
      <c r="D911" s="31"/>
      <c r="E911" s="31"/>
      <c r="F911" s="31"/>
      <c r="G911" s="31"/>
      <c r="H911" s="31"/>
      <c r="I911" s="31"/>
      <c r="J911" s="31"/>
      <c r="K911" s="31"/>
      <c r="L911" s="269"/>
      <c r="M911" s="269"/>
      <c r="N911" s="269"/>
      <c r="O911" s="282"/>
      <c r="P911" s="269"/>
      <c r="Q911" s="269"/>
      <c r="R911" s="269"/>
      <c r="S911" s="282"/>
      <c r="T911" s="269"/>
      <c r="U911" s="269"/>
      <c r="V911" s="269"/>
      <c r="W911" s="269"/>
      <c r="X911" s="31"/>
    </row>
    <row r="912" spans="4:24" x14ac:dyDescent="0.25">
      <c r="D912" s="31"/>
      <c r="E912" s="31"/>
      <c r="F912" s="31"/>
      <c r="G912" s="31"/>
      <c r="H912" s="31"/>
      <c r="I912" s="31"/>
      <c r="J912" s="31"/>
      <c r="K912" s="31"/>
      <c r="L912" s="269"/>
      <c r="M912" s="269"/>
      <c r="N912" s="269"/>
      <c r="O912" s="282"/>
      <c r="P912" s="269"/>
      <c r="Q912" s="269"/>
      <c r="R912" s="269"/>
      <c r="S912" s="282"/>
      <c r="T912" s="269"/>
      <c r="U912" s="269"/>
      <c r="V912" s="269"/>
      <c r="W912" s="269"/>
      <c r="X912" s="31"/>
    </row>
    <row r="913" spans="4:24" x14ac:dyDescent="0.25">
      <c r="D913" s="31"/>
      <c r="E913" s="31"/>
      <c r="F913" s="31"/>
      <c r="G913" s="31"/>
      <c r="H913" s="31"/>
      <c r="I913" s="31"/>
      <c r="J913" s="31"/>
      <c r="K913" s="31"/>
      <c r="L913" s="269"/>
      <c r="M913" s="269"/>
      <c r="N913" s="269"/>
      <c r="O913" s="282"/>
      <c r="P913" s="269"/>
      <c r="Q913" s="269"/>
      <c r="R913" s="269"/>
      <c r="S913" s="282"/>
      <c r="T913" s="269"/>
      <c r="U913" s="269"/>
      <c r="V913" s="269"/>
      <c r="W913" s="269"/>
      <c r="X913" s="31"/>
    </row>
    <row r="914" spans="4:24" x14ac:dyDescent="0.25">
      <c r="D914" s="31"/>
      <c r="E914" s="31"/>
      <c r="F914" s="31"/>
      <c r="G914" s="31"/>
      <c r="H914" s="31"/>
      <c r="I914" s="31"/>
      <c r="J914" s="31"/>
      <c r="K914" s="31"/>
      <c r="L914" s="269"/>
      <c r="M914" s="269"/>
      <c r="N914" s="269"/>
      <c r="O914" s="282"/>
      <c r="P914" s="269"/>
      <c r="Q914" s="269"/>
      <c r="R914" s="269"/>
      <c r="S914" s="282"/>
      <c r="T914" s="269"/>
      <c r="U914" s="269"/>
      <c r="V914" s="269"/>
      <c r="W914" s="269"/>
      <c r="X914" s="31"/>
    </row>
    <row r="915" spans="4:24" x14ac:dyDescent="0.25">
      <c r="D915" s="31"/>
      <c r="E915" s="31"/>
      <c r="F915" s="31"/>
      <c r="G915" s="31"/>
      <c r="H915" s="31"/>
      <c r="I915" s="31"/>
      <c r="J915" s="31"/>
      <c r="K915" s="31"/>
      <c r="L915" s="269"/>
      <c r="M915" s="269"/>
      <c r="N915" s="269"/>
      <c r="O915" s="282"/>
      <c r="P915" s="269"/>
      <c r="Q915" s="269"/>
      <c r="R915" s="269"/>
      <c r="S915" s="282"/>
      <c r="T915" s="269"/>
      <c r="U915" s="269"/>
      <c r="V915" s="269"/>
      <c r="W915" s="269"/>
      <c r="X915" s="31"/>
    </row>
    <row r="916" spans="4:24" x14ac:dyDescent="0.25">
      <c r="D916" s="31"/>
      <c r="E916" s="31"/>
      <c r="F916" s="31"/>
      <c r="G916" s="31"/>
      <c r="H916" s="31"/>
      <c r="I916" s="31"/>
      <c r="J916" s="31"/>
      <c r="K916" s="31"/>
      <c r="L916" s="269"/>
      <c r="M916" s="269"/>
      <c r="N916" s="269"/>
      <c r="O916" s="282"/>
      <c r="P916" s="269"/>
      <c r="Q916" s="269"/>
      <c r="R916" s="269"/>
      <c r="S916" s="282"/>
      <c r="T916" s="269"/>
      <c r="U916" s="269"/>
      <c r="V916" s="269"/>
      <c r="W916" s="269"/>
      <c r="X916" s="31"/>
    </row>
    <row r="917" spans="4:24" x14ac:dyDescent="0.25">
      <c r="D917" s="31"/>
      <c r="E917" s="31"/>
      <c r="F917" s="31"/>
      <c r="G917" s="31"/>
      <c r="H917" s="31"/>
      <c r="I917" s="31"/>
      <c r="J917" s="31"/>
      <c r="K917" s="31"/>
      <c r="L917" s="269"/>
      <c r="M917" s="269"/>
      <c r="N917" s="269"/>
      <c r="O917" s="282"/>
      <c r="P917" s="269"/>
      <c r="Q917" s="269"/>
      <c r="R917" s="269"/>
      <c r="S917" s="282"/>
      <c r="T917" s="269"/>
      <c r="U917" s="269"/>
      <c r="V917" s="269"/>
      <c r="W917" s="269"/>
      <c r="X917" s="31"/>
    </row>
    <row r="918" spans="4:24" x14ac:dyDescent="0.25">
      <c r="D918" s="31"/>
      <c r="E918" s="31"/>
      <c r="F918" s="31"/>
      <c r="G918" s="31"/>
      <c r="H918" s="31"/>
      <c r="I918" s="31"/>
      <c r="J918" s="31"/>
      <c r="K918" s="31"/>
      <c r="L918" s="269"/>
      <c r="M918" s="269"/>
      <c r="N918" s="269"/>
      <c r="O918" s="282"/>
      <c r="P918" s="269"/>
      <c r="Q918" s="269"/>
      <c r="R918" s="269"/>
      <c r="S918" s="282"/>
      <c r="T918" s="269"/>
      <c r="U918" s="269"/>
      <c r="V918" s="269"/>
      <c r="W918" s="269"/>
      <c r="X918" s="31"/>
    </row>
    <row r="919" spans="4:24" x14ac:dyDescent="0.25">
      <c r="D919" s="31"/>
      <c r="E919" s="31"/>
      <c r="F919" s="31"/>
      <c r="G919" s="31"/>
      <c r="H919" s="31"/>
      <c r="I919" s="31"/>
      <c r="J919" s="31"/>
      <c r="K919" s="31"/>
      <c r="L919" s="269"/>
      <c r="M919" s="269"/>
      <c r="N919" s="269"/>
      <c r="O919" s="282"/>
      <c r="P919" s="269"/>
      <c r="Q919" s="269"/>
      <c r="R919" s="269"/>
      <c r="S919" s="282"/>
      <c r="T919" s="269"/>
      <c r="U919" s="269"/>
      <c r="V919" s="269"/>
      <c r="W919" s="269"/>
      <c r="X919" s="31"/>
    </row>
    <row r="920" spans="4:24" x14ac:dyDescent="0.25">
      <c r="D920" s="31"/>
      <c r="E920" s="31"/>
      <c r="F920" s="31"/>
      <c r="G920" s="31"/>
      <c r="H920" s="31"/>
      <c r="I920" s="31"/>
      <c r="J920" s="31"/>
      <c r="K920" s="31"/>
      <c r="L920" s="269"/>
      <c r="M920" s="269"/>
      <c r="N920" s="269"/>
      <c r="O920" s="282"/>
      <c r="P920" s="269"/>
      <c r="Q920" s="269"/>
      <c r="R920" s="269"/>
      <c r="S920" s="282"/>
      <c r="T920" s="269"/>
      <c r="U920" s="269"/>
      <c r="V920" s="269"/>
      <c r="W920" s="269"/>
      <c r="X920" s="31"/>
    </row>
    <row r="921" spans="4:24" x14ac:dyDescent="0.25">
      <c r="D921" s="31"/>
      <c r="E921" s="31"/>
      <c r="F921" s="31"/>
      <c r="G921" s="31"/>
      <c r="H921" s="31"/>
      <c r="I921" s="31"/>
      <c r="J921" s="31"/>
      <c r="K921" s="31"/>
      <c r="L921" s="269"/>
      <c r="M921" s="269"/>
      <c r="N921" s="269"/>
      <c r="O921" s="282"/>
      <c r="P921" s="269"/>
      <c r="Q921" s="269"/>
      <c r="R921" s="269"/>
      <c r="S921" s="282"/>
      <c r="T921" s="269"/>
      <c r="U921" s="269"/>
      <c r="V921" s="269"/>
      <c r="W921" s="269"/>
      <c r="X921" s="31"/>
    </row>
    <row r="922" spans="4:24" x14ac:dyDescent="0.25">
      <c r="D922" s="31"/>
      <c r="E922" s="31"/>
      <c r="F922" s="31"/>
      <c r="G922" s="31"/>
      <c r="H922" s="31"/>
      <c r="I922" s="31"/>
      <c r="J922" s="31"/>
      <c r="K922" s="31"/>
      <c r="L922" s="269"/>
      <c r="M922" s="269"/>
      <c r="N922" s="269"/>
      <c r="O922" s="282"/>
      <c r="P922" s="269"/>
      <c r="Q922" s="269"/>
      <c r="R922" s="269"/>
      <c r="S922" s="282"/>
      <c r="T922" s="269"/>
      <c r="U922" s="269"/>
      <c r="V922" s="269"/>
      <c r="W922" s="269"/>
      <c r="X922" s="31"/>
    </row>
    <row r="923" spans="4:24" x14ac:dyDescent="0.25">
      <c r="D923" s="31"/>
      <c r="E923" s="31"/>
      <c r="F923" s="31"/>
      <c r="G923" s="31"/>
      <c r="H923" s="31"/>
      <c r="I923" s="31"/>
      <c r="J923" s="31"/>
      <c r="K923" s="31"/>
      <c r="L923" s="269"/>
      <c r="M923" s="269"/>
      <c r="N923" s="269"/>
      <c r="O923" s="282"/>
      <c r="P923" s="269"/>
      <c r="Q923" s="269"/>
      <c r="R923" s="269"/>
      <c r="S923" s="282"/>
      <c r="T923" s="269"/>
      <c r="U923" s="269"/>
      <c r="V923" s="269"/>
      <c r="W923" s="269"/>
      <c r="X923" s="31"/>
    </row>
    <row r="924" spans="4:24" x14ac:dyDescent="0.25">
      <c r="D924" s="31"/>
      <c r="E924" s="31"/>
      <c r="F924" s="31"/>
      <c r="G924" s="31"/>
      <c r="H924" s="31"/>
      <c r="I924" s="31"/>
      <c r="J924" s="31"/>
      <c r="K924" s="31"/>
      <c r="L924" s="269"/>
      <c r="M924" s="269"/>
      <c r="N924" s="269"/>
      <c r="O924" s="282"/>
      <c r="P924" s="269"/>
      <c r="Q924" s="269"/>
      <c r="R924" s="269"/>
      <c r="S924" s="282"/>
      <c r="T924" s="269"/>
      <c r="U924" s="269"/>
      <c r="V924" s="269"/>
      <c r="W924" s="269"/>
      <c r="X924" s="31"/>
    </row>
    <row r="925" spans="4:24" x14ac:dyDescent="0.25">
      <c r="D925" s="31"/>
      <c r="E925" s="31"/>
      <c r="F925" s="31"/>
      <c r="G925" s="31"/>
      <c r="H925" s="31"/>
      <c r="I925" s="31"/>
      <c r="J925" s="31"/>
      <c r="K925" s="31"/>
      <c r="L925" s="269"/>
      <c r="M925" s="269"/>
      <c r="N925" s="269"/>
      <c r="O925" s="282"/>
      <c r="P925" s="269"/>
      <c r="Q925" s="269"/>
      <c r="R925" s="269"/>
      <c r="S925" s="282"/>
      <c r="T925" s="269"/>
      <c r="U925" s="269"/>
      <c r="V925" s="269"/>
      <c r="W925" s="269"/>
      <c r="X925" s="31"/>
    </row>
    <row r="926" spans="4:24" x14ac:dyDescent="0.25">
      <c r="D926" s="31"/>
      <c r="E926" s="31"/>
      <c r="F926" s="31"/>
      <c r="G926" s="31"/>
      <c r="H926" s="31"/>
      <c r="I926" s="31"/>
      <c r="J926" s="31"/>
      <c r="K926" s="31"/>
      <c r="L926" s="269"/>
      <c r="M926" s="269"/>
      <c r="N926" s="269"/>
      <c r="O926" s="282"/>
      <c r="P926" s="269"/>
      <c r="Q926" s="269"/>
      <c r="R926" s="269"/>
      <c r="S926" s="282"/>
      <c r="T926" s="269"/>
      <c r="U926" s="269"/>
      <c r="V926" s="269"/>
      <c r="W926" s="269"/>
      <c r="X926" s="31"/>
    </row>
    <row r="927" spans="4:24" x14ac:dyDescent="0.25">
      <c r="D927" s="31"/>
      <c r="E927" s="31"/>
      <c r="F927" s="31"/>
      <c r="G927" s="31"/>
      <c r="H927" s="31"/>
      <c r="I927" s="31"/>
      <c r="J927" s="31"/>
      <c r="K927" s="31"/>
      <c r="L927" s="269"/>
      <c r="M927" s="269"/>
      <c r="N927" s="269"/>
      <c r="O927" s="282"/>
      <c r="P927" s="269"/>
      <c r="Q927" s="269"/>
      <c r="R927" s="269"/>
      <c r="S927" s="282"/>
      <c r="T927" s="269"/>
      <c r="U927" s="269"/>
      <c r="V927" s="269"/>
      <c r="W927" s="269"/>
      <c r="X927" s="31"/>
    </row>
    <row r="928" spans="4:24" x14ac:dyDescent="0.25">
      <c r="D928" s="31"/>
      <c r="E928" s="31"/>
      <c r="F928" s="31"/>
      <c r="G928" s="31"/>
      <c r="H928" s="31"/>
      <c r="I928" s="31"/>
      <c r="J928" s="31"/>
      <c r="K928" s="31"/>
      <c r="L928" s="269"/>
      <c r="M928" s="269"/>
      <c r="N928" s="269"/>
      <c r="O928" s="282"/>
      <c r="P928" s="269"/>
      <c r="Q928" s="269"/>
      <c r="R928" s="269"/>
      <c r="S928" s="282"/>
      <c r="T928" s="269"/>
      <c r="U928" s="269"/>
      <c r="V928" s="269"/>
      <c r="W928" s="269"/>
      <c r="X928" s="31"/>
    </row>
    <row r="929" spans="4:24" x14ac:dyDescent="0.25">
      <c r="D929" s="31"/>
      <c r="E929" s="31"/>
      <c r="F929" s="31"/>
      <c r="G929" s="31"/>
      <c r="H929" s="31"/>
      <c r="I929" s="31"/>
      <c r="J929" s="31"/>
      <c r="K929" s="31"/>
      <c r="L929" s="269"/>
      <c r="M929" s="269"/>
      <c r="N929" s="269"/>
      <c r="O929" s="282"/>
      <c r="P929" s="269"/>
      <c r="Q929" s="269"/>
      <c r="R929" s="269"/>
      <c r="S929" s="282"/>
      <c r="T929" s="269"/>
      <c r="U929" s="269"/>
      <c r="V929" s="269"/>
      <c r="W929" s="269"/>
      <c r="X929" s="31"/>
    </row>
    <row r="930" spans="4:24" x14ac:dyDescent="0.25">
      <c r="D930" s="31"/>
      <c r="E930" s="31"/>
      <c r="F930" s="31"/>
      <c r="G930" s="31"/>
      <c r="H930" s="31"/>
      <c r="I930" s="31"/>
      <c r="J930" s="31"/>
      <c r="K930" s="31"/>
      <c r="L930" s="269"/>
      <c r="M930" s="269"/>
      <c r="N930" s="269"/>
      <c r="O930" s="282"/>
      <c r="P930" s="269"/>
      <c r="Q930" s="269"/>
      <c r="R930" s="269"/>
      <c r="S930" s="282"/>
      <c r="T930" s="269"/>
      <c r="U930" s="269"/>
      <c r="V930" s="269"/>
      <c r="W930" s="269"/>
      <c r="X930" s="31"/>
    </row>
    <row r="931" spans="4:24" x14ac:dyDescent="0.25">
      <c r="D931" s="31"/>
      <c r="E931" s="31"/>
      <c r="F931" s="31"/>
      <c r="G931" s="31"/>
      <c r="H931" s="31"/>
      <c r="I931" s="31"/>
      <c r="J931" s="31"/>
      <c r="K931" s="31"/>
      <c r="L931" s="269"/>
      <c r="M931" s="269"/>
      <c r="N931" s="269"/>
      <c r="O931" s="282"/>
      <c r="P931" s="269"/>
      <c r="Q931" s="269"/>
      <c r="R931" s="269"/>
      <c r="S931" s="282"/>
      <c r="T931" s="269"/>
      <c r="U931" s="269"/>
      <c r="V931" s="269"/>
      <c r="W931" s="269"/>
      <c r="X931" s="31"/>
    </row>
    <row r="932" spans="4:24" x14ac:dyDescent="0.25">
      <c r="D932" s="31"/>
      <c r="E932" s="31"/>
      <c r="F932" s="31"/>
      <c r="G932" s="31"/>
      <c r="H932" s="31"/>
      <c r="I932" s="31"/>
      <c r="J932" s="31"/>
      <c r="K932" s="31"/>
      <c r="L932" s="269"/>
      <c r="M932" s="269"/>
      <c r="N932" s="269"/>
      <c r="O932" s="282"/>
      <c r="P932" s="269"/>
      <c r="Q932" s="269"/>
      <c r="R932" s="269"/>
      <c r="S932" s="282"/>
      <c r="T932" s="269"/>
      <c r="U932" s="269"/>
      <c r="V932" s="269"/>
      <c r="W932" s="269"/>
      <c r="X932" s="31"/>
    </row>
    <row r="933" spans="4:24" x14ac:dyDescent="0.25">
      <c r="D933" s="31"/>
      <c r="E933" s="31"/>
      <c r="F933" s="31"/>
      <c r="G933" s="31"/>
      <c r="H933" s="31"/>
      <c r="I933" s="31"/>
      <c r="J933" s="31"/>
      <c r="K933" s="31"/>
      <c r="L933" s="269"/>
      <c r="M933" s="269"/>
      <c r="N933" s="269"/>
      <c r="O933" s="282"/>
      <c r="P933" s="269"/>
      <c r="Q933" s="269"/>
      <c r="R933" s="269"/>
      <c r="S933" s="282"/>
      <c r="T933" s="269"/>
      <c r="U933" s="269"/>
      <c r="V933" s="269"/>
      <c r="W933" s="269"/>
      <c r="X933" s="31"/>
    </row>
    <row r="934" spans="4:24" x14ac:dyDescent="0.25">
      <c r="D934" s="31"/>
      <c r="E934" s="31"/>
      <c r="F934" s="31"/>
      <c r="G934" s="31"/>
      <c r="H934" s="31"/>
      <c r="I934" s="31"/>
      <c r="J934" s="31"/>
      <c r="K934" s="31"/>
      <c r="L934" s="269"/>
      <c r="M934" s="269"/>
      <c r="N934" s="269"/>
      <c r="O934" s="282"/>
      <c r="P934" s="269"/>
      <c r="Q934" s="269"/>
      <c r="R934" s="269"/>
      <c r="S934" s="282"/>
      <c r="T934" s="269"/>
      <c r="U934" s="269"/>
      <c r="V934" s="269"/>
      <c r="W934" s="269"/>
      <c r="X934" s="31"/>
    </row>
    <row r="935" spans="4:24" x14ac:dyDescent="0.25">
      <c r="D935" s="31"/>
      <c r="E935" s="31"/>
      <c r="F935" s="31"/>
      <c r="G935" s="31"/>
      <c r="H935" s="31"/>
      <c r="I935" s="31"/>
      <c r="J935" s="31"/>
      <c r="K935" s="31"/>
      <c r="L935" s="269"/>
      <c r="M935" s="269"/>
      <c r="N935" s="269"/>
      <c r="O935" s="282"/>
      <c r="P935" s="269"/>
      <c r="Q935" s="269"/>
      <c r="R935" s="269"/>
      <c r="S935" s="282"/>
      <c r="T935" s="269"/>
      <c r="U935" s="269"/>
      <c r="V935" s="269"/>
      <c r="W935" s="269"/>
      <c r="X935" s="31"/>
    </row>
    <row r="936" spans="4:24" x14ac:dyDescent="0.25">
      <c r="D936" s="31"/>
      <c r="E936" s="31"/>
      <c r="F936" s="31"/>
      <c r="G936" s="31"/>
      <c r="H936" s="31"/>
      <c r="I936" s="31"/>
      <c r="J936" s="31"/>
      <c r="K936" s="31"/>
      <c r="L936" s="269"/>
      <c r="M936" s="269"/>
      <c r="N936" s="269"/>
      <c r="O936" s="282"/>
      <c r="P936" s="269"/>
      <c r="Q936" s="269"/>
      <c r="R936" s="269"/>
      <c r="S936" s="282"/>
      <c r="T936" s="269"/>
      <c r="U936" s="269"/>
      <c r="V936" s="269"/>
      <c r="W936" s="269"/>
      <c r="X936" s="31"/>
    </row>
    <row r="937" spans="4:24" x14ac:dyDescent="0.25">
      <c r="D937" s="31"/>
      <c r="E937" s="31"/>
      <c r="F937" s="31"/>
      <c r="G937" s="31"/>
      <c r="H937" s="31"/>
      <c r="I937" s="31"/>
      <c r="J937" s="31"/>
      <c r="K937" s="31"/>
      <c r="L937" s="269"/>
      <c r="M937" s="269"/>
      <c r="N937" s="269"/>
      <c r="O937" s="282"/>
      <c r="P937" s="269"/>
      <c r="Q937" s="269"/>
      <c r="R937" s="269"/>
      <c r="S937" s="282"/>
      <c r="T937" s="269"/>
      <c r="U937" s="269"/>
      <c r="V937" s="269"/>
      <c r="W937" s="269"/>
      <c r="X937" s="31"/>
    </row>
    <row r="938" spans="4:24" x14ac:dyDescent="0.25">
      <c r="D938" s="31"/>
      <c r="E938" s="31"/>
      <c r="F938" s="31"/>
      <c r="G938" s="31"/>
      <c r="H938" s="31"/>
      <c r="I938" s="31"/>
      <c r="J938" s="31"/>
      <c r="K938" s="31"/>
      <c r="L938" s="269"/>
      <c r="M938" s="269"/>
      <c r="N938" s="269"/>
      <c r="O938" s="282"/>
      <c r="P938" s="269"/>
      <c r="Q938" s="269"/>
      <c r="R938" s="269"/>
      <c r="S938" s="282"/>
      <c r="T938" s="269"/>
      <c r="U938" s="269"/>
      <c r="V938" s="269"/>
      <c r="W938" s="269"/>
      <c r="X938" s="31"/>
    </row>
    <row r="939" spans="4:24" x14ac:dyDescent="0.25">
      <c r="D939" s="31"/>
      <c r="E939" s="31"/>
      <c r="F939" s="31"/>
      <c r="G939" s="31"/>
      <c r="H939" s="31"/>
      <c r="I939" s="31"/>
      <c r="J939" s="31"/>
      <c r="K939" s="31"/>
      <c r="L939" s="269"/>
      <c r="M939" s="269"/>
      <c r="N939" s="269"/>
      <c r="O939" s="282"/>
      <c r="P939" s="269"/>
      <c r="Q939" s="269"/>
      <c r="R939" s="269"/>
      <c r="S939" s="282"/>
      <c r="T939" s="269"/>
      <c r="U939" s="269"/>
      <c r="V939" s="269"/>
      <c r="W939" s="269"/>
      <c r="X939" s="31"/>
    </row>
    <row r="940" spans="4:24" x14ac:dyDescent="0.25">
      <c r="D940" s="31"/>
      <c r="E940" s="31"/>
      <c r="F940" s="31"/>
      <c r="G940" s="31"/>
      <c r="H940" s="31"/>
      <c r="I940" s="31"/>
      <c r="J940" s="31"/>
      <c r="K940" s="31"/>
      <c r="L940" s="269"/>
      <c r="M940" s="269"/>
      <c r="N940" s="269"/>
      <c r="O940" s="282"/>
      <c r="P940" s="269"/>
      <c r="Q940" s="269"/>
      <c r="R940" s="269"/>
      <c r="S940" s="282"/>
      <c r="T940" s="269"/>
      <c r="U940" s="269"/>
      <c r="V940" s="269"/>
      <c r="W940" s="269"/>
      <c r="X940" s="31"/>
    </row>
    <row r="941" spans="4:24" x14ac:dyDescent="0.25">
      <c r="D941" s="31"/>
      <c r="E941" s="31"/>
      <c r="F941" s="31"/>
      <c r="G941" s="31"/>
      <c r="H941" s="31"/>
      <c r="I941" s="31"/>
      <c r="J941" s="31"/>
      <c r="K941" s="31"/>
      <c r="L941" s="269"/>
      <c r="M941" s="269"/>
      <c r="N941" s="269"/>
      <c r="O941" s="282"/>
      <c r="P941" s="269"/>
      <c r="Q941" s="269"/>
      <c r="R941" s="269"/>
      <c r="S941" s="282"/>
      <c r="T941" s="269"/>
      <c r="U941" s="269"/>
      <c r="V941" s="269"/>
      <c r="W941" s="269"/>
      <c r="X941" s="31"/>
    </row>
    <row r="942" spans="4:24" x14ac:dyDescent="0.25">
      <c r="D942" s="31"/>
      <c r="E942" s="31"/>
      <c r="F942" s="31"/>
      <c r="G942" s="31"/>
      <c r="H942" s="31"/>
      <c r="I942" s="31"/>
      <c r="J942" s="31"/>
      <c r="K942" s="31"/>
      <c r="L942" s="269"/>
      <c r="M942" s="269"/>
      <c r="N942" s="269"/>
      <c r="O942" s="282"/>
      <c r="P942" s="269"/>
      <c r="Q942" s="269"/>
      <c r="R942" s="269"/>
      <c r="S942" s="282"/>
      <c r="T942" s="269"/>
      <c r="U942" s="269"/>
      <c r="V942" s="269"/>
      <c r="W942" s="269"/>
      <c r="X942" s="31"/>
    </row>
    <row r="943" spans="4:24" x14ac:dyDescent="0.25">
      <c r="D943" s="31"/>
      <c r="E943" s="31"/>
      <c r="F943" s="31"/>
      <c r="G943" s="31"/>
      <c r="H943" s="31"/>
      <c r="I943" s="31"/>
      <c r="J943" s="31"/>
      <c r="K943" s="31"/>
      <c r="L943" s="269"/>
      <c r="M943" s="269"/>
      <c r="N943" s="269"/>
      <c r="O943" s="282"/>
      <c r="P943" s="269"/>
      <c r="Q943" s="269"/>
      <c r="R943" s="269"/>
      <c r="S943" s="282"/>
      <c r="T943" s="269"/>
      <c r="U943" s="269"/>
      <c r="V943" s="269"/>
      <c r="W943" s="269"/>
      <c r="X943" s="31"/>
    </row>
    <row r="944" spans="4:24" x14ac:dyDescent="0.25">
      <c r="D944" s="31"/>
      <c r="E944" s="31"/>
      <c r="F944" s="31"/>
      <c r="G944" s="31"/>
      <c r="H944" s="31"/>
      <c r="I944" s="31"/>
      <c r="J944" s="31"/>
      <c r="K944" s="31"/>
      <c r="L944" s="269"/>
      <c r="M944" s="269"/>
      <c r="N944" s="269"/>
      <c r="O944" s="282"/>
      <c r="P944" s="269"/>
      <c r="Q944" s="269"/>
      <c r="R944" s="269"/>
      <c r="S944" s="282"/>
      <c r="T944" s="269"/>
      <c r="U944" s="269"/>
      <c r="V944" s="269"/>
      <c r="W944" s="269"/>
      <c r="X944" s="31"/>
    </row>
    <row r="945" spans="4:24" x14ac:dyDescent="0.25">
      <c r="D945" s="31"/>
      <c r="E945" s="31"/>
      <c r="F945" s="31"/>
      <c r="G945" s="31"/>
      <c r="H945" s="31"/>
      <c r="I945" s="31"/>
      <c r="J945" s="31"/>
      <c r="K945" s="31"/>
      <c r="L945" s="269"/>
      <c r="M945" s="269"/>
      <c r="N945" s="269"/>
      <c r="O945" s="282"/>
      <c r="P945" s="269"/>
      <c r="Q945" s="269"/>
      <c r="R945" s="269"/>
      <c r="S945" s="282"/>
      <c r="T945" s="269"/>
      <c r="U945" s="269"/>
      <c r="V945" s="269"/>
      <c r="W945" s="269"/>
      <c r="X945" s="31"/>
    </row>
    <row r="946" spans="4:24" x14ac:dyDescent="0.25">
      <c r="D946" s="31"/>
      <c r="E946" s="31"/>
      <c r="F946" s="31"/>
      <c r="G946" s="31"/>
      <c r="H946" s="31"/>
      <c r="I946" s="31"/>
      <c r="J946" s="31"/>
      <c r="K946" s="31"/>
      <c r="L946" s="269"/>
      <c r="M946" s="269"/>
      <c r="N946" s="269"/>
      <c r="O946" s="282"/>
      <c r="P946" s="269"/>
      <c r="Q946" s="269"/>
      <c r="R946" s="269"/>
      <c r="S946" s="282"/>
      <c r="T946" s="269"/>
      <c r="U946" s="269"/>
      <c r="V946" s="269"/>
      <c r="W946" s="269"/>
      <c r="X946" s="31"/>
    </row>
    <row r="947" spans="4:24" x14ac:dyDescent="0.25">
      <c r="D947" s="31"/>
      <c r="E947" s="31"/>
      <c r="F947" s="31"/>
      <c r="G947" s="31"/>
      <c r="H947" s="31"/>
      <c r="I947" s="31"/>
      <c r="J947" s="31"/>
      <c r="K947" s="31"/>
      <c r="L947" s="269"/>
      <c r="M947" s="269"/>
      <c r="N947" s="269"/>
      <c r="O947" s="282"/>
      <c r="P947" s="269"/>
      <c r="Q947" s="269"/>
      <c r="R947" s="269"/>
      <c r="S947" s="282"/>
      <c r="T947" s="269"/>
      <c r="U947" s="269"/>
      <c r="V947" s="269"/>
      <c r="W947" s="269"/>
      <c r="X947" s="31"/>
    </row>
    <row r="948" spans="4:24" x14ac:dyDescent="0.25">
      <c r="D948" s="31"/>
      <c r="E948" s="31"/>
      <c r="F948" s="31"/>
      <c r="G948" s="31"/>
      <c r="H948" s="31"/>
      <c r="I948" s="31"/>
      <c r="J948" s="31"/>
      <c r="K948" s="31"/>
      <c r="L948" s="269"/>
      <c r="M948" s="269"/>
      <c r="N948" s="269"/>
      <c r="O948" s="282"/>
      <c r="P948" s="269"/>
      <c r="Q948" s="269"/>
      <c r="R948" s="269"/>
      <c r="S948" s="282"/>
      <c r="T948" s="269"/>
      <c r="U948" s="269"/>
      <c r="V948" s="269"/>
      <c r="W948" s="269"/>
      <c r="X948" s="31"/>
    </row>
    <row r="949" spans="4:24" x14ac:dyDescent="0.25">
      <c r="D949" s="31"/>
      <c r="E949" s="31"/>
      <c r="F949" s="31"/>
      <c r="G949" s="31"/>
      <c r="H949" s="31"/>
      <c r="I949" s="31"/>
      <c r="J949" s="31"/>
      <c r="K949" s="31"/>
      <c r="L949" s="269"/>
      <c r="M949" s="269"/>
      <c r="N949" s="269"/>
      <c r="O949" s="282"/>
      <c r="P949" s="269"/>
      <c r="Q949" s="269"/>
      <c r="R949" s="269"/>
      <c r="S949" s="282"/>
      <c r="T949" s="269"/>
      <c r="U949" s="269"/>
      <c r="V949" s="269"/>
      <c r="W949" s="269"/>
      <c r="X949" s="31"/>
    </row>
    <row r="950" spans="4:24" x14ac:dyDescent="0.25">
      <c r="D950" s="31"/>
      <c r="E950" s="31"/>
      <c r="F950" s="31"/>
      <c r="G950" s="31"/>
      <c r="H950" s="31"/>
      <c r="I950" s="31"/>
      <c r="J950" s="31"/>
      <c r="K950" s="31"/>
      <c r="L950" s="269"/>
      <c r="M950" s="269"/>
      <c r="N950" s="269"/>
      <c r="O950" s="282"/>
      <c r="P950" s="269"/>
      <c r="Q950" s="269"/>
      <c r="R950" s="269"/>
      <c r="S950" s="282"/>
      <c r="T950" s="269"/>
      <c r="U950" s="269"/>
      <c r="V950" s="269"/>
      <c r="W950" s="269"/>
      <c r="X950" s="31"/>
    </row>
    <row r="951" spans="4:24" x14ac:dyDescent="0.25">
      <c r="D951" s="31"/>
      <c r="E951" s="31"/>
      <c r="F951" s="31"/>
      <c r="G951" s="31"/>
      <c r="H951" s="31"/>
      <c r="I951" s="31"/>
      <c r="J951" s="31"/>
      <c r="K951" s="31"/>
      <c r="L951" s="269"/>
      <c r="M951" s="269"/>
      <c r="N951" s="269"/>
      <c r="O951" s="282"/>
      <c r="P951" s="269"/>
      <c r="Q951" s="269"/>
      <c r="R951" s="269"/>
      <c r="S951" s="282"/>
      <c r="T951" s="269"/>
      <c r="U951" s="269"/>
      <c r="V951" s="269"/>
      <c r="W951" s="269"/>
      <c r="X951" s="31"/>
    </row>
    <row r="952" spans="4:24" x14ac:dyDescent="0.25">
      <c r="D952" s="31"/>
      <c r="E952" s="31"/>
      <c r="F952" s="31"/>
      <c r="G952" s="31"/>
      <c r="H952" s="31"/>
      <c r="I952" s="31"/>
      <c r="J952" s="31"/>
      <c r="K952" s="31"/>
      <c r="L952" s="269"/>
      <c r="M952" s="269"/>
      <c r="N952" s="269"/>
      <c r="O952" s="282"/>
      <c r="P952" s="269"/>
      <c r="Q952" s="269"/>
      <c r="R952" s="269"/>
      <c r="S952" s="282"/>
      <c r="T952" s="269"/>
      <c r="U952" s="269"/>
      <c r="V952" s="269"/>
      <c r="W952" s="269"/>
      <c r="X952" s="31"/>
    </row>
    <row r="953" spans="4:24" x14ac:dyDescent="0.25">
      <c r="D953" s="31"/>
      <c r="E953" s="31"/>
      <c r="F953" s="31"/>
      <c r="G953" s="31"/>
      <c r="H953" s="31"/>
      <c r="I953" s="31"/>
      <c r="J953" s="31"/>
      <c r="K953" s="31"/>
      <c r="L953" s="269"/>
      <c r="M953" s="269"/>
      <c r="N953" s="269"/>
      <c r="O953" s="282"/>
      <c r="P953" s="269"/>
      <c r="Q953" s="269"/>
      <c r="R953" s="269"/>
      <c r="S953" s="282"/>
      <c r="T953" s="269"/>
      <c r="U953" s="269"/>
      <c r="V953" s="269"/>
      <c r="W953" s="269"/>
      <c r="X953" s="31"/>
    </row>
    <row r="954" spans="4:24" x14ac:dyDescent="0.25">
      <c r="D954" s="31"/>
      <c r="E954" s="31"/>
      <c r="F954" s="31"/>
      <c r="G954" s="31"/>
      <c r="H954" s="31"/>
      <c r="I954" s="31"/>
      <c r="J954" s="31"/>
      <c r="K954" s="31"/>
      <c r="L954" s="269"/>
      <c r="M954" s="269"/>
      <c r="N954" s="269"/>
      <c r="O954" s="282"/>
      <c r="P954" s="269"/>
      <c r="Q954" s="269"/>
      <c r="R954" s="269"/>
      <c r="S954" s="282"/>
      <c r="T954" s="269"/>
      <c r="U954" s="269"/>
      <c r="V954" s="269"/>
      <c r="W954" s="269"/>
      <c r="X954" s="31"/>
    </row>
    <row r="955" spans="4:24" x14ac:dyDescent="0.25">
      <c r="D955" s="31"/>
      <c r="E955" s="31"/>
      <c r="F955" s="31"/>
      <c r="G955" s="31"/>
      <c r="H955" s="31"/>
      <c r="I955" s="31"/>
      <c r="J955" s="31"/>
      <c r="K955" s="31"/>
      <c r="L955" s="269"/>
      <c r="M955" s="269"/>
      <c r="N955" s="269"/>
      <c r="O955" s="282"/>
      <c r="P955" s="269"/>
      <c r="Q955" s="269"/>
      <c r="R955" s="269"/>
      <c r="S955" s="282"/>
      <c r="T955" s="269"/>
      <c r="U955" s="269"/>
      <c r="V955" s="269"/>
      <c r="W955" s="269"/>
      <c r="X955" s="31"/>
    </row>
    <row r="956" spans="4:24" x14ac:dyDescent="0.25">
      <c r="D956" s="31"/>
      <c r="E956" s="31"/>
      <c r="F956" s="31"/>
      <c r="G956" s="31"/>
      <c r="H956" s="31"/>
      <c r="I956" s="31"/>
      <c r="J956" s="31"/>
      <c r="K956" s="31"/>
      <c r="L956" s="269"/>
      <c r="M956" s="269"/>
      <c r="N956" s="269"/>
      <c r="O956" s="282"/>
      <c r="P956" s="269"/>
      <c r="Q956" s="269"/>
      <c r="R956" s="269"/>
      <c r="S956" s="282"/>
      <c r="T956" s="269"/>
      <c r="U956" s="269"/>
      <c r="V956" s="269"/>
      <c r="W956" s="269"/>
      <c r="X956" s="31"/>
    </row>
    <row r="957" spans="4:24" x14ac:dyDescent="0.25">
      <c r="D957" s="31"/>
      <c r="E957" s="31"/>
      <c r="F957" s="31"/>
      <c r="G957" s="31"/>
      <c r="H957" s="31"/>
      <c r="I957" s="31"/>
      <c r="J957" s="31"/>
      <c r="K957" s="31"/>
      <c r="L957" s="269"/>
      <c r="M957" s="269"/>
      <c r="N957" s="269"/>
      <c r="O957" s="282"/>
      <c r="P957" s="269"/>
      <c r="Q957" s="269"/>
      <c r="R957" s="269"/>
      <c r="S957" s="282"/>
      <c r="T957" s="269"/>
      <c r="U957" s="269"/>
      <c r="V957" s="269"/>
      <c r="W957" s="269"/>
      <c r="X957" s="31"/>
    </row>
    <row r="958" spans="4:24" x14ac:dyDescent="0.25">
      <c r="D958" s="31"/>
      <c r="E958" s="31"/>
      <c r="F958" s="31"/>
      <c r="G958" s="31"/>
      <c r="H958" s="31"/>
      <c r="I958" s="31"/>
      <c r="J958" s="31"/>
      <c r="K958" s="31"/>
      <c r="L958" s="269"/>
      <c r="M958" s="269"/>
      <c r="N958" s="269"/>
      <c r="O958" s="282"/>
      <c r="P958" s="269"/>
      <c r="Q958" s="269"/>
      <c r="R958" s="269"/>
      <c r="S958" s="282"/>
      <c r="T958" s="269"/>
      <c r="U958" s="269"/>
      <c r="V958" s="269"/>
      <c r="W958" s="269"/>
      <c r="X958" s="31"/>
    </row>
    <row r="959" spans="4:24" x14ac:dyDescent="0.25">
      <c r="D959" s="31"/>
      <c r="E959" s="31"/>
      <c r="F959" s="31"/>
      <c r="G959" s="31"/>
      <c r="H959" s="31"/>
      <c r="I959" s="31"/>
      <c r="J959" s="31"/>
      <c r="K959" s="31"/>
      <c r="L959" s="269"/>
      <c r="M959" s="269"/>
      <c r="N959" s="269"/>
      <c r="O959" s="282"/>
      <c r="P959" s="269"/>
      <c r="Q959" s="269"/>
      <c r="R959" s="269"/>
      <c r="S959" s="282"/>
      <c r="T959" s="269"/>
      <c r="U959" s="269"/>
      <c r="V959" s="269"/>
      <c r="W959" s="269"/>
      <c r="X959" s="31"/>
    </row>
    <row r="960" spans="4:24" x14ac:dyDescent="0.25">
      <c r="D960" s="31"/>
      <c r="E960" s="31"/>
      <c r="F960" s="31"/>
      <c r="G960" s="31"/>
      <c r="H960" s="31"/>
      <c r="I960" s="31"/>
      <c r="J960" s="31"/>
      <c r="K960" s="31"/>
      <c r="L960" s="269"/>
      <c r="M960" s="269"/>
      <c r="N960" s="269"/>
      <c r="O960" s="282"/>
      <c r="P960" s="269"/>
      <c r="Q960" s="269"/>
      <c r="R960" s="269"/>
      <c r="S960" s="282"/>
      <c r="T960" s="269"/>
      <c r="U960" s="269"/>
      <c r="V960" s="269"/>
      <c r="W960" s="269"/>
      <c r="X960" s="31"/>
    </row>
    <row r="961" spans="4:24" x14ac:dyDescent="0.25">
      <c r="D961" s="31"/>
      <c r="E961" s="31"/>
      <c r="F961" s="31"/>
      <c r="G961" s="31"/>
      <c r="H961" s="31"/>
      <c r="I961" s="31"/>
      <c r="J961" s="31"/>
      <c r="K961" s="31"/>
      <c r="L961" s="269"/>
      <c r="M961" s="269"/>
      <c r="N961" s="269"/>
      <c r="O961" s="282"/>
      <c r="P961" s="269"/>
      <c r="Q961" s="269"/>
      <c r="R961" s="269"/>
      <c r="S961" s="282"/>
      <c r="T961" s="269"/>
      <c r="U961" s="269"/>
      <c r="V961" s="269"/>
      <c r="W961" s="269"/>
      <c r="X961" s="31"/>
    </row>
    <row r="962" spans="4:24" x14ac:dyDescent="0.25">
      <c r="D962" s="31"/>
      <c r="E962" s="31"/>
      <c r="F962" s="31"/>
      <c r="G962" s="31"/>
      <c r="H962" s="31"/>
      <c r="I962" s="31"/>
      <c r="J962" s="31"/>
      <c r="K962" s="31"/>
      <c r="L962" s="269"/>
      <c r="M962" s="269"/>
      <c r="N962" s="269"/>
      <c r="O962" s="282"/>
      <c r="P962" s="269"/>
      <c r="Q962" s="269"/>
      <c r="R962" s="269"/>
      <c r="S962" s="282"/>
      <c r="T962" s="269"/>
      <c r="U962" s="269"/>
      <c r="V962" s="269"/>
      <c r="W962" s="269"/>
      <c r="X962" s="31"/>
    </row>
    <row r="963" spans="4:24" x14ac:dyDescent="0.25">
      <c r="D963" s="31"/>
      <c r="E963" s="31"/>
      <c r="F963" s="31"/>
      <c r="G963" s="31"/>
      <c r="H963" s="31"/>
      <c r="I963" s="31"/>
      <c r="J963" s="31"/>
      <c r="K963" s="31"/>
      <c r="L963" s="269"/>
      <c r="M963" s="269"/>
      <c r="N963" s="269"/>
      <c r="O963" s="282"/>
      <c r="P963" s="269"/>
      <c r="Q963" s="269"/>
      <c r="R963" s="269"/>
      <c r="S963" s="282"/>
      <c r="T963" s="269"/>
      <c r="U963" s="269"/>
      <c r="V963" s="269"/>
      <c r="W963" s="269"/>
      <c r="X963" s="31"/>
    </row>
    <row r="964" spans="4:24" x14ac:dyDescent="0.25">
      <c r="D964" s="31"/>
      <c r="E964" s="31"/>
      <c r="F964" s="31"/>
      <c r="G964" s="31"/>
      <c r="H964" s="31"/>
      <c r="I964" s="31"/>
      <c r="J964" s="31"/>
      <c r="K964" s="31"/>
      <c r="L964" s="269"/>
      <c r="M964" s="269"/>
      <c r="N964" s="269"/>
      <c r="O964" s="282"/>
      <c r="P964" s="269"/>
      <c r="Q964" s="269"/>
      <c r="R964" s="269"/>
      <c r="S964" s="282"/>
      <c r="T964" s="269"/>
      <c r="U964" s="269"/>
      <c r="V964" s="269"/>
      <c r="W964" s="269"/>
      <c r="X964" s="31"/>
    </row>
    <row r="965" spans="4:24" x14ac:dyDescent="0.25">
      <c r="D965" s="31"/>
      <c r="E965" s="31"/>
      <c r="F965" s="31"/>
      <c r="G965" s="31"/>
      <c r="H965" s="31"/>
      <c r="I965" s="31"/>
      <c r="J965" s="31"/>
      <c r="K965" s="31"/>
      <c r="L965" s="269"/>
      <c r="M965" s="269"/>
      <c r="N965" s="269"/>
      <c r="O965" s="282"/>
      <c r="P965" s="269"/>
      <c r="Q965" s="269"/>
      <c r="R965" s="269"/>
      <c r="S965" s="282"/>
      <c r="T965" s="269"/>
      <c r="U965" s="269"/>
      <c r="V965" s="269"/>
      <c r="W965" s="269"/>
      <c r="X965" s="31"/>
    </row>
    <row r="966" spans="4:24" x14ac:dyDescent="0.25">
      <c r="D966" s="31"/>
      <c r="E966" s="31"/>
      <c r="F966" s="31"/>
      <c r="G966" s="31"/>
      <c r="H966" s="31"/>
      <c r="I966" s="31"/>
      <c r="J966" s="31"/>
      <c r="K966" s="31"/>
      <c r="L966" s="269"/>
      <c r="M966" s="269"/>
      <c r="N966" s="269"/>
      <c r="O966" s="282"/>
      <c r="P966" s="269"/>
      <c r="Q966" s="269"/>
      <c r="R966" s="269"/>
      <c r="S966" s="282"/>
      <c r="T966" s="269"/>
      <c r="U966" s="269"/>
      <c r="V966" s="269"/>
      <c r="W966" s="269"/>
      <c r="X966" s="31"/>
    </row>
    <row r="967" spans="4:24" x14ac:dyDescent="0.25">
      <c r="D967" s="31"/>
      <c r="E967" s="31"/>
      <c r="F967" s="31"/>
      <c r="G967" s="31"/>
      <c r="H967" s="31"/>
      <c r="I967" s="31"/>
      <c r="J967" s="31"/>
      <c r="K967" s="31"/>
      <c r="L967" s="269"/>
      <c r="M967" s="269"/>
      <c r="N967" s="269"/>
      <c r="O967" s="282"/>
      <c r="P967" s="269"/>
      <c r="Q967" s="269"/>
      <c r="R967" s="269"/>
      <c r="S967" s="282"/>
      <c r="T967" s="269"/>
      <c r="U967" s="269"/>
      <c r="V967" s="269"/>
      <c r="W967" s="269"/>
      <c r="X967" s="31"/>
    </row>
    <row r="968" spans="4:24" x14ac:dyDescent="0.25">
      <c r="D968" s="31"/>
      <c r="E968" s="31"/>
      <c r="F968" s="31"/>
      <c r="G968" s="31"/>
      <c r="H968" s="31"/>
      <c r="I968" s="31"/>
      <c r="J968" s="31"/>
      <c r="K968" s="31"/>
      <c r="L968" s="269"/>
      <c r="M968" s="269"/>
      <c r="N968" s="269"/>
      <c r="O968" s="282"/>
      <c r="P968" s="269"/>
      <c r="Q968" s="269"/>
      <c r="R968" s="269"/>
      <c r="S968" s="282"/>
      <c r="T968" s="269"/>
      <c r="U968" s="269"/>
      <c r="V968" s="269"/>
      <c r="W968" s="269"/>
      <c r="X968" s="31"/>
    </row>
    <row r="969" spans="4:24" x14ac:dyDescent="0.25">
      <c r="D969" s="31"/>
      <c r="E969" s="31"/>
      <c r="F969" s="31"/>
      <c r="G969" s="31"/>
      <c r="H969" s="31"/>
      <c r="I969" s="31"/>
      <c r="J969" s="31"/>
      <c r="K969" s="31"/>
      <c r="L969" s="269"/>
      <c r="M969" s="269"/>
      <c r="N969" s="269"/>
      <c r="O969" s="282"/>
      <c r="P969" s="269"/>
      <c r="Q969" s="269"/>
      <c r="R969" s="269"/>
      <c r="S969" s="282"/>
      <c r="T969" s="269"/>
      <c r="U969" s="269"/>
      <c r="V969" s="269"/>
      <c r="W969" s="269"/>
      <c r="X969" s="31"/>
    </row>
    <row r="970" spans="4:24" x14ac:dyDescent="0.25">
      <c r="D970" s="31"/>
      <c r="E970" s="31"/>
      <c r="F970" s="31"/>
      <c r="G970" s="31"/>
      <c r="H970" s="31"/>
      <c r="I970" s="31"/>
      <c r="J970" s="31"/>
      <c r="K970" s="31"/>
      <c r="L970" s="269"/>
      <c r="M970" s="269"/>
      <c r="N970" s="269"/>
      <c r="O970" s="282"/>
      <c r="P970" s="269"/>
      <c r="Q970" s="269"/>
      <c r="R970" s="269"/>
      <c r="S970" s="282"/>
      <c r="T970" s="269"/>
      <c r="U970" s="269"/>
      <c r="V970" s="269"/>
      <c r="W970" s="269"/>
      <c r="X970" s="31"/>
    </row>
    <row r="971" spans="4:24" x14ac:dyDescent="0.25">
      <c r="D971" s="31"/>
      <c r="E971" s="31"/>
      <c r="F971" s="31"/>
      <c r="G971" s="31"/>
      <c r="H971" s="31"/>
      <c r="I971" s="31"/>
      <c r="J971" s="31"/>
      <c r="K971" s="31"/>
      <c r="L971" s="269"/>
      <c r="M971" s="269"/>
      <c r="N971" s="269"/>
      <c r="O971" s="282"/>
      <c r="P971" s="269"/>
      <c r="Q971" s="269"/>
      <c r="R971" s="269"/>
      <c r="S971" s="282"/>
      <c r="T971" s="269"/>
      <c r="U971" s="269"/>
      <c r="V971" s="269"/>
      <c r="W971" s="269"/>
      <c r="X971" s="31"/>
    </row>
    <row r="972" spans="4:24" x14ac:dyDescent="0.25">
      <c r="D972" s="31"/>
      <c r="E972" s="31"/>
      <c r="F972" s="31"/>
      <c r="G972" s="31"/>
      <c r="H972" s="31"/>
      <c r="I972" s="31"/>
      <c r="J972" s="31"/>
      <c r="K972" s="31"/>
      <c r="L972" s="269"/>
      <c r="M972" s="269"/>
      <c r="N972" s="269"/>
      <c r="O972" s="282"/>
      <c r="P972" s="269"/>
      <c r="Q972" s="269"/>
      <c r="R972" s="269"/>
      <c r="S972" s="282"/>
      <c r="T972" s="269"/>
      <c r="U972" s="269"/>
      <c r="V972" s="269"/>
      <c r="W972" s="269"/>
      <c r="X972" s="31"/>
    </row>
    <row r="973" spans="4:24" x14ac:dyDescent="0.25">
      <c r="D973" s="31"/>
      <c r="E973" s="31"/>
      <c r="F973" s="31"/>
      <c r="G973" s="31"/>
      <c r="H973" s="31"/>
      <c r="I973" s="31"/>
      <c r="J973" s="31"/>
      <c r="K973" s="31"/>
      <c r="L973" s="269"/>
      <c r="M973" s="269"/>
      <c r="N973" s="269"/>
      <c r="O973" s="282"/>
      <c r="P973" s="269"/>
      <c r="Q973" s="269"/>
      <c r="R973" s="269"/>
      <c r="S973" s="282"/>
      <c r="T973" s="269"/>
      <c r="U973" s="269"/>
      <c r="V973" s="269"/>
      <c r="W973" s="269"/>
      <c r="X973" s="31"/>
    </row>
    <row r="974" spans="4:24" x14ac:dyDescent="0.25">
      <c r="D974" s="31"/>
      <c r="E974" s="31"/>
      <c r="F974" s="31"/>
      <c r="G974" s="31"/>
      <c r="H974" s="31"/>
      <c r="I974" s="31"/>
      <c r="J974" s="31"/>
      <c r="K974" s="31"/>
      <c r="L974" s="269"/>
      <c r="M974" s="269"/>
      <c r="N974" s="269"/>
      <c r="O974" s="282"/>
      <c r="P974" s="269"/>
      <c r="Q974" s="269"/>
      <c r="R974" s="269"/>
      <c r="S974" s="282"/>
      <c r="T974" s="269"/>
      <c r="U974" s="269"/>
      <c r="V974" s="269"/>
      <c r="W974" s="269"/>
      <c r="X974" s="31"/>
    </row>
    <row r="975" spans="4:24" x14ac:dyDescent="0.25">
      <c r="D975" s="31"/>
      <c r="E975" s="31"/>
      <c r="F975" s="31"/>
      <c r="G975" s="31"/>
      <c r="H975" s="31"/>
      <c r="I975" s="31"/>
      <c r="J975" s="31"/>
      <c r="K975" s="31"/>
      <c r="L975" s="269"/>
      <c r="M975" s="269"/>
      <c r="N975" s="269"/>
      <c r="O975" s="282"/>
      <c r="P975" s="269"/>
      <c r="Q975" s="269"/>
      <c r="R975" s="269"/>
      <c r="S975" s="282"/>
      <c r="T975" s="269"/>
      <c r="U975" s="269"/>
      <c r="V975" s="269"/>
      <c r="W975" s="269"/>
      <c r="X975" s="31"/>
    </row>
    <row r="976" spans="4:24" x14ac:dyDescent="0.25">
      <c r="D976" s="31"/>
      <c r="E976" s="31"/>
      <c r="F976" s="31"/>
      <c r="G976" s="31"/>
      <c r="H976" s="31"/>
      <c r="I976" s="31"/>
      <c r="J976" s="31"/>
      <c r="K976" s="31"/>
      <c r="L976" s="269"/>
      <c r="M976" s="269"/>
      <c r="N976" s="269"/>
      <c r="O976" s="282"/>
      <c r="P976" s="269"/>
      <c r="Q976" s="269"/>
      <c r="R976" s="269"/>
      <c r="S976" s="282"/>
      <c r="T976" s="269"/>
      <c r="U976" s="269"/>
      <c r="V976" s="269"/>
      <c r="W976" s="269"/>
      <c r="X976" s="31"/>
    </row>
    <row r="977" spans="4:24" x14ac:dyDescent="0.25">
      <c r="D977" s="31"/>
      <c r="E977" s="31"/>
      <c r="F977" s="31"/>
      <c r="G977" s="31"/>
      <c r="H977" s="31"/>
      <c r="I977" s="31"/>
      <c r="J977" s="31"/>
      <c r="K977" s="31"/>
      <c r="L977" s="269"/>
      <c r="M977" s="269"/>
      <c r="N977" s="269"/>
      <c r="O977" s="282"/>
      <c r="P977" s="269"/>
      <c r="Q977" s="269"/>
      <c r="R977" s="269"/>
      <c r="S977" s="282"/>
      <c r="T977" s="269"/>
      <c r="U977" s="269"/>
      <c r="V977" s="269"/>
      <c r="W977" s="269"/>
      <c r="X977" s="31"/>
    </row>
    <row r="978" spans="4:24" x14ac:dyDescent="0.25">
      <c r="D978" s="31"/>
      <c r="E978" s="31"/>
      <c r="F978" s="31"/>
      <c r="G978" s="31"/>
      <c r="H978" s="31"/>
      <c r="I978" s="31"/>
      <c r="J978" s="31"/>
      <c r="K978" s="31"/>
      <c r="L978" s="269"/>
      <c r="M978" s="269"/>
      <c r="N978" s="269"/>
      <c r="O978" s="282"/>
      <c r="P978" s="269"/>
      <c r="Q978" s="269"/>
      <c r="R978" s="269"/>
      <c r="S978" s="282"/>
      <c r="T978" s="269"/>
      <c r="U978" s="269"/>
      <c r="V978" s="269"/>
      <c r="W978" s="269"/>
      <c r="X978" s="31"/>
    </row>
    <row r="979" spans="4:24" x14ac:dyDescent="0.25">
      <c r="D979" s="31"/>
      <c r="E979" s="31"/>
      <c r="F979" s="31"/>
      <c r="G979" s="31"/>
      <c r="H979" s="31"/>
      <c r="I979" s="31"/>
      <c r="J979" s="31"/>
      <c r="K979" s="31"/>
      <c r="L979" s="269"/>
      <c r="M979" s="269"/>
      <c r="N979" s="269"/>
      <c r="O979" s="282"/>
      <c r="P979" s="269"/>
      <c r="Q979" s="269"/>
      <c r="R979" s="269"/>
      <c r="S979" s="282"/>
      <c r="T979" s="269"/>
      <c r="U979" s="269"/>
      <c r="V979" s="269"/>
      <c r="W979" s="269"/>
      <c r="X979" s="31"/>
    </row>
    <row r="980" spans="4:24" x14ac:dyDescent="0.25">
      <c r="D980" s="31"/>
      <c r="E980" s="31"/>
      <c r="F980" s="31"/>
      <c r="G980" s="31"/>
      <c r="H980" s="31"/>
      <c r="I980" s="31"/>
      <c r="J980" s="31"/>
      <c r="K980" s="31"/>
      <c r="L980" s="269"/>
      <c r="M980" s="269"/>
      <c r="N980" s="269"/>
      <c r="O980" s="282"/>
      <c r="P980" s="269"/>
      <c r="Q980" s="269"/>
      <c r="R980" s="269"/>
      <c r="S980" s="282"/>
      <c r="T980" s="269"/>
      <c r="U980" s="269"/>
      <c r="V980" s="269"/>
      <c r="W980" s="269"/>
      <c r="X980" s="31"/>
    </row>
    <row r="981" spans="4:24" x14ac:dyDescent="0.25">
      <c r="D981" s="31"/>
      <c r="E981" s="31"/>
      <c r="F981" s="31"/>
      <c r="G981" s="31"/>
      <c r="H981" s="31"/>
      <c r="I981" s="31"/>
      <c r="J981" s="31"/>
      <c r="K981" s="31"/>
      <c r="L981" s="269"/>
      <c r="M981" s="269"/>
      <c r="N981" s="269"/>
      <c r="O981" s="282"/>
      <c r="P981" s="269"/>
      <c r="Q981" s="269"/>
      <c r="R981" s="269"/>
      <c r="S981" s="282"/>
      <c r="T981" s="269"/>
      <c r="U981" s="269"/>
      <c r="V981" s="269"/>
      <c r="W981" s="269"/>
      <c r="X981" s="31"/>
    </row>
    <row r="982" spans="4:24" x14ac:dyDescent="0.25">
      <c r="D982" s="31"/>
      <c r="E982" s="31"/>
      <c r="F982" s="31"/>
      <c r="G982" s="31"/>
      <c r="H982" s="31"/>
      <c r="I982" s="31"/>
      <c r="J982" s="31"/>
      <c r="K982" s="31"/>
      <c r="L982" s="269"/>
      <c r="M982" s="269"/>
      <c r="N982" s="269"/>
      <c r="O982" s="282"/>
      <c r="P982" s="269"/>
      <c r="Q982" s="269"/>
      <c r="R982" s="269"/>
      <c r="S982" s="282"/>
      <c r="T982" s="269"/>
      <c r="U982" s="269"/>
      <c r="V982" s="269"/>
      <c r="W982" s="269"/>
      <c r="X982" s="31"/>
    </row>
    <row r="983" spans="4:24" x14ac:dyDescent="0.25">
      <c r="D983" s="31"/>
      <c r="E983" s="31"/>
      <c r="F983" s="31"/>
      <c r="G983" s="31"/>
      <c r="H983" s="31"/>
      <c r="I983" s="31"/>
      <c r="J983" s="31"/>
      <c r="K983" s="31"/>
      <c r="L983" s="269"/>
      <c r="M983" s="269"/>
      <c r="N983" s="269"/>
      <c r="O983" s="282"/>
      <c r="P983" s="269"/>
      <c r="Q983" s="269"/>
      <c r="R983" s="269"/>
      <c r="S983" s="282"/>
      <c r="T983" s="269"/>
      <c r="U983" s="269"/>
      <c r="V983" s="269"/>
      <c r="W983" s="269"/>
      <c r="X983" s="31"/>
    </row>
    <row r="984" spans="4:24" x14ac:dyDescent="0.25">
      <c r="D984" s="31"/>
      <c r="E984" s="31"/>
      <c r="F984" s="31"/>
      <c r="G984" s="31"/>
      <c r="H984" s="31"/>
      <c r="I984" s="31"/>
      <c r="J984" s="31"/>
      <c r="K984" s="31"/>
      <c r="L984" s="269"/>
      <c r="M984" s="269"/>
      <c r="N984" s="269"/>
      <c r="O984" s="282"/>
      <c r="P984" s="269"/>
      <c r="Q984" s="269"/>
      <c r="R984" s="269"/>
      <c r="S984" s="282"/>
      <c r="T984" s="269"/>
      <c r="U984" s="269"/>
      <c r="V984" s="269"/>
      <c r="W984" s="269"/>
      <c r="X984" s="31"/>
    </row>
    <row r="985" spans="4:24" x14ac:dyDescent="0.25">
      <c r="D985" s="31"/>
      <c r="E985" s="31"/>
      <c r="F985" s="31"/>
      <c r="G985" s="31"/>
      <c r="H985" s="31"/>
      <c r="I985" s="31"/>
      <c r="J985" s="31"/>
      <c r="K985" s="31"/>
      <c r="L985" s="269"/>
      <c r="M985" s="269"/>
      <c r="N985" s="269"/>
      <c r="O985" s="282"/>
      <c r="P985" s="269"/>
      <c r="Q985" s="269"/>
      <c r="R985" s="269"/>
      <c r="S985" s="282"/>
      <c r="T985" s="269"/>
      <c r="U985" s="269"/>
      <c r="V985" s="269"/>
      <c r="W985" s="269"/>
      <c r="X985" s="31"/>
    </row>
    <row r="986" spans="4:24" x14ac:dyDescent="0.25">
      <c r="D986" s="31"/>
      <c r="E986" s="31"/>
      <c r="F986" s="31"/>
      <c r="G986" s="31"/>
      <c r="H986" s="31"/>
      <c r="I986" s="31"/>
      <c r="J986" s="31"/>
      <c r="K986" s="31"/>
      <c r="L986" s="269"/>
      <c r="M986" s="269"/>
      <c r="N986" s="269"/>
      <c r="O986" s="282"/>
      <c r="P986" s="269"/>
      <c r="Q986" s="269"/>
      <c r="R986" s="269"/>
      <c r="S986" s="282"/>
      <c r="T986" s="269"/>
      <c r="U986" s="269"/>
      <c r="V986" s="269"/>
      <c r="W986" s="269"/>
      <c r="X986" s="31"/>
    </row>
    <row r="987" spans="4:24" x14ac:dyDescent="0.25">
      <c r="D987" s="31"/>
      <c r="E987" s="31"/>
      <c r="F987" s="31"/>
      <c r="G987" s="31"/>
      <c r="H987" s="31"/>
      <c r="I987" s="31"/>
      <c r="J987" s="31"/>
      <c r="K987" s="31"/>
      <c r="L987" s="269"/>
      <c r="M987" s="269"/>
      <c r="N987" s="269"/>
      <c r="O987" s="282"/>
      <c r="P987" s="269"/>
      <c r="Q987" s="269"/>
      <c r="R987" s="269"/>
      <c r="S987" s="282"/>
      <c r="T987" s="269"/>
      <c r="U987" s="269"/>
      <c r="V987" s="269"/>
      <c r="W987" s="269"/>
      <c r="X987" s="31"/>
    </row>
    <row r="988" spans="4:24" x14ac:dyDescent="0.25">
      <c r="D988" s="31"/>
      <c r="E988" s="31"/>
      <c r="F988" s="31"/>
      <c r="G988" s="31"/>
      <c r="H988" s="31"/>
      <c r="I988" s="31"/>
      <c r="J988" s="31"/>
      <c r="K988" s="31"/>
      <c r="L988" s="269"/>
      <c r="M988" s="269"/>
      <c r="N988" s="269"/>
      <c r="O988" s="282"/>
      <c r="P988" s="269"/>
      <c r="Q988" s="269"/>
      <c r="R988" s="269"/>
      <c r="S988" s="282"/>
      <c r="T988" s="269"/>
      <c r="U988" s="269"/>
      <c r="V988" s="269"/>
      <c r="W988" s="269"/>
      <c r="X988" s="31"/>
    </row>
    <row r="989" spans="4:24" x14ac:dyDescent="0.25">
      <c r="D989" s="31"/>
      <c r="E989" s="31"/>
      <c r="F989" s="31"/>
      <c r="G989" s="31"/>
      <c r="H989" s="31"/>
      <c r="I989" s="31"/>
      <c r="J989" s="31"/>
      <c r="K989" s="31"/>
      <c r="L989" s="269"/>
      <c r="M989" s="269"/>
      <c r="N989" s="269"/>
      <c r="O989" s="282"/>
      <c r="P989" s="269"/>
      <c r="Q989" s="269"/>
      <c r="R989" s="269"/>
      <c r="S989" s="282"/>
      <c r="T989" s="269"/>
      <c r="U989" s="269"/>
      <c r="V989" s="269"/>
      <c r="W989" s="269"/>
      <c r="X989" s="31"/>
    </row>
    <row r="990" spans="4:24" x14ac:dyDescent="0.25">
      <c r="D990" s="31"/>
      <c r="E990" s="31"/>
      <c r="F990" s="31"/>
      <c r="G990" s="31"/>
      <c r="H990" s="31"/>
      <c r="I990" s="31"/>
      <c r="J990" s="31"/>
      <c r="K990" s="31"/>
      <c r="L990" s="269"/>
      <c r="M990" s="269"/>
      <c r="N990" s="269"/>
      <c r="O990" s="282"/>
      <c r="P990" s="269"/>
      <c r="Q990" s="269"/>
      <c r="R990" s="269"/>
      <c r="S990" s="282"/>
      <c r="T990" s="269"/>
      <c r="U990" s="269"/>
      <c r="V990" s="269"/>
      <c r="W990" s="269"/>
      <c r="X990" s="31"/>
    </row>
    <row r="991" spans="4:24" x14ac:dyDescent="0.25">
      <c r="D991" s="31"/>
      <c r="E991" s="31"/>
      <c r="F991" s="31"/>
      <c r="G991" s="31"/>
      <c r="H991" s="31"/>
      <c r="I991" s="31"/>
      <c r="J991" s="31"/>
      <c r="K991" s="31"/>
      <c r="L991" s="269"/>
      <c r="M991" s="269"/>
      <c r="N991" s="269"/>
      <c r="O991" s="282"/>
      <c r="P991" s="269"/>
      <c r="Q991" s="269"/>
      <c r="R991" s="269"/>
      <c r="S991" s="282"/>
      <c r="T991" s="269"/>
      <c r="U991" s="269"/>
      <c r="V991" s="269"/>
      <c r="W991" s="269"/>
      <c r="X991" s="31"/>
    </row>
    <row r="992" spans="4:24" x14ac:dyDescent="0.25">
      <c r="D992" s="31"/>
      <c r="E992" s="31"/>
      <c r="F992" s="31"/>
      <c r="G992" s="31"/>
      <c r="H992" s="31"/>
      <c r="I992" s="31"/>
      <c r="J992" s="31"/>
      <c r="K992" s="31"/>
      <c r="L992" s="269"/>
      <c r="M992" s="269"/>
      <c r="N992" s="269"/>
      <c r="O992" s="282"/>
      <c r="P992" s="269"/>
      <c r="Q992" s="269"/>
      <c r="R992" s="269"/>
      <c r="S992" s="282"/>
      <c r="T992" s="269"/>
      <c r="U992" s="269"/>
      <c r="V992" s="269"/>
      <c r="W992" s="269"/>
      <c r="X992" s="31"/>
    </row>
    <row r="993" spans="4:24" x14ac:dyDescent="0.25">
      <c r="D993" s="31"/>
      <c r="E993" s="31"/>
      <c r="F993" s="31"/>
      <c r="G993" s="31"/>
      <c r="H993" s="31"/>
      <c r="I993" s="31"/>
      <c r="J993" s="31"/>
      <c r="K993" s="31"/>
      <c r="L993" s="269"/>
      <c r="M993" s="269"/>
      <c r="N993" s="269"/>
      <c r="O993" s="282"/>
      <c r="P993" s="269"/>
      <c r="Q993" s="269"/>
      <c r="R993" s="269"/>
      <c r="S993" s="282"/>
      <c r="T993" s="269"/>
      <c r="U993" s="269"/>
      <c r="V993" s="269"/>
      <c r="W993" s="269"/>
      <c r="X993" s="31"/>
    </row>
    <row r="994" spans="4:24" x14ac:dyDescent="0.25">
      <c r="D994" s="31"/>
      <c r="E994" s="31"/>
      <c r="F994" s="31"/>
      <c r="G994" s="31"/>
      <c r="H994" s="31"/>
      <c r="I994" s="31"/>
      <c r="J994" s="31"/>
      <c r="K994" s="31"/>
      <c r="L994" s="269"/>
      <c r="M994" s="269"/>
      <c r="N994" s="269"/>
      <c r="O994" s="282"/>
      <c r="P994" s="269"/>
      <c r="Q994" s="269"/>
      <c r="R994" s="269"/>
      <c r="S994" s="282"/>
      <c r="T994" s="269"/>
      <c r="U994" s="269"/>
      <c r="V994" s="269"/>
      <c r="W994" s="269"/>
      <c r="X994" s="31"/>
    </row>
    <row r="995" spans="4:24" x14ac:dyDescent="0.25">
      <c r="D995" s="31"/>
      <c r="E995" s="31"/>
      <c r="F995" s="31"/>
      <c r="G995" s="31"/>
      <c r="H995" s="31"/>
      <c r="I995" s="31"/>
      <c r="J995" s="31"/>
      <c r="K995" s="31"/>
      <c r="L995" s="269"/>
      <c r="M995" s="269"/>
      <c r="N995" s="269"/>
      <c r="O995" s="282"/>
      <c r="P995" s="269"/>
      <c r="Q995" s="269"/>
      <c r="R995" s="269"/>
      <c r="S995" s="282"/>
      <c r="T995" s="269"/>
      <c r="U995" s="269"/>
      <c r="V995" s="269"/>
      <c r="W995" s="269"/>
      <c r="X995" s="31"/>
    </row>
    <row r="996" spans="4:24" x14ac:dyDescent="0.25">
      <c r="D996" s="31"/>
      <c r="E996" s="31"/>
      <c r="F996" s="31"/>
      <c r="G996" s="31"/>
      <c r="H996" s="31"/>
      <c r="I996" s="31"/>
      <c r="J996" s="31"/>
      <c r="K996" s="31"/>
      <c r="L996" s="269"/>
      <c r="M996" s="269"/>
      <c r="N996" s="269"/>
      <c r="O996" s="282"/>
      <c r="P996" s="269"/>
      <c r="Q996" s="269"/>
      <c r="R996" s="269"/>
      <c r="S996" s="282"/>
      <c r="T996" s="269"/>
      <c r="U996" s="269"/>
      <c r="V996" s="269"/>
      <c r="W996" s="269"/>
      <c r="X996" s="31"/>
    </row>
    <row r="997" spans="4:24" x14ac:dyDescent="0.25">
      <c r="D997" s="31"/>
      <c r="E997" s="31"/>
      <c r="F997" s="31"/>
      <c r="G997" s="31"/>
      <c r="H997" s="31"/>
      <c r="I997" s="31"/>
      <c r="J997" s="31"/>
      <c r="K997" s="31"/>
      <c r="L997" s="269"/>
      <c r="M997" s="269"/>
      <c r="N997" s="269"/>
      <c r="O997" s="282"/>
      <c r="P997" s="269"/>
      <c r="Q997" s="269"/>
      <c r="R997" s="269"/>
      <c r="S997" s="282"/>
      <c r="T997" s="269"/>
      <c r="U997" s="269"/>
      <c r="V997" s="269"/>
      <c r="W997" s="269"/>
      <c r="X997" s="31"/>
    </row>
    <row r="998" spans="4:24" x14ac:dyDescent="0.25">
      <c r="D998" s="31"/>
      <c r="E998" s="31"/>
      <c r="F998" s="31"/>
      <c r="G998" s="31"/>
      <c r="H998" s="31"/>
      <c r="I998" s="31"/>
      <c r="J998" s="31"/>
      <c r="K998" s="31"/>
      <c r="L998" s="269"/>
      <c r="M998" s="269"/>
      <c r="N998" s="269"/>
      <c r="O998" s="282"/>
      <c r="P998" s="269"/>
      <c r="Q998" s="269"/>
      <c r="R998" s="269"/>
      <c r="S998" s="282"/>
      <c r="T998" s="269"/>
      <c r="U998" s="269"/>
      <c r="V998" s="269"/>
      <c r="W998" s="269"/>
      <c r="X998" s="31"/>
    </row>
    <row r="999" spans="4:24" x14ac:dyDescent="0.25">
      <c r="D999" s="31"/>
      <c r="E999" s="31"/>
      <c r="F999" s="31"/>
      <c r="G999" s="31"/>
      <c r="H999" s="31"/>
      <c r="I999" s="31"/>
      <c r="J999" s="31"/>
      <c r="K999" s="31"/>
      <c r="L999" s="269"/>
      <c r="M999" s="269"/>
      <c r="N999" s="269"/>
      <c r="O999" s="282"/>
      <c r="P999" s="269"/>
      <c r="Q999" s="269"/>
      <c r="R999" s="269"/>
      <c r="S999" s="282"/>
      <c r="T999" s="269"/>
      <c r="U999" s="269"/>
      <c r="V999" s="269"/>
      <c r="W999" s="269"/>
      <c r="X999" s="31"/>
    </row>
    <row r="1000" spans="4:24" x14ac:dyDescent="0.25">
      <c r="D1000" s="31"/>
      <c r="E1000" s="31"/>
      <c r="F1000" s="31"/>
      <c r="G1000" s="31"/>
      <c r="H1000" s="31"/>
      <c r="I1000" s="31"/>
      <c r="J1000" s="31"/>
      <c r="K1000" s="31"/>
      <c r="L1000" s="269"/>
      <c r="M1000" s="269"/>
      <c r="N1000" s="269"/>
      <c r="O1000" s="282"/>
      <c r="P1000" s="269"/>
      <c r="Q1000" s="269"/>
      <c r="R1000" s="269"/>
      <c r="S1000" s="282"/>
      <c r="T1000" s="269"/>
      <c r="U1000" s="269"/>
      <c r="V1000" s="269"/>
      <c r="W1000" s="269"/>
      <c r="X1000" s="31"/>
    </row>
    <row r="1001" spans="4:24" x14ac:dyDescent="0.25">
      <c r="D1001" s="31"/>
      <c r="E1001" s="31"/>
      <c r="F1001" s="31"/>
      <c r="G1001" s="31"/>
      <c r="H1001" s="31"/>
      <c r="I1001" s="31"/>
      <c r="J1001" s="31"/>
      <c r="K1001" s="31"/>
      <c r="L1001" s="269"/>
      <c r="M1001" s="269"/>
      <c r="N1001" s="269"/>
      <c r="O1001" s="282"/>
      <c r="P1001" s="269"/>
      <c r="Q1001" s="269"/>
      <c r="R1001" s="269"/>
      <c r="S1001" s="282"/>
      <c r="T1001" s="269"/>
      <c r="U1001" s="269"/>
      <c r="V1001" s="269"/>
      <c r="W1001" s="269"/>
      <c r="X1001" s="31"/>
    </row>
    <row r="1002" spans="4:24" x14ac:dyDescent="0.25">
      <c r="D1002" s="31"/>
      <c r="E1002" s="31"/>
      <c r="F1002" s="31"/>
      <c r="G1002" s="31"/>
      <c r="H1002" s="31"/>
      <c r="I1002" s="31"/>
      <c r="J1002" s="31"/>
      <c r="K1002" s="31"/>
      <c r="L1002" s="269"/>
      <c r="M1002" s="269"/>
      <c r="N1002" s="269"/>
      <c r="O1002" s="282"/>
      <c r="P1002" s="269"/>
      <c r="Q1002" s="269"/>
      <c r="R1002" s="269"/>
      <c r="S1002" s="282"/>
      <c r="T1002" s="269"/>
      <c r="U1002" s="269"/>
      <c r="V1002" s="269"/>
      <c r="W1002" s="269"/>
      <c r="X1002" s="31"/>
    </row>
    <row r="1003" spans="4:24" x14ac:dyDescent="0.25">
      <c r="D1003" s="31"/>
      <c r="E1003" s="31"/>
      <c r="F1003" s="31"/>
      <c r="G1003" s="31"/>
      <c r="H1003" s="31"/>
      <c r="I1003" s="31"/>
      <c r="J1003" s="31"/>
      <c r="K1003" s="31"/>
      <c r="L1003" s="269"/>
      <c r="M1003" s="269"/>
      <c r="N1003" s="269"/>
      <c r="O1003" s="282"/>
      <c r="P1003" s="269"/>
      <c r="Q1003" s="269"/>
      <c r="R1003" s="269"/>
      <c r="S1003" s="282"/>
      <c r="T1003" s="269"/>
      <c r="U1003" s="269"/>
      <c r="V1003" s="269"/>
      <c r="W1003" s="269"/>
      <c r="X1003" s="31"/>
    </row>
    <row r="1004" spans="4:24" x14ac:dyDescent="0.25">
      <c r="D1004" s="31"/>
      <c r="E1004" s="31"/>
      <c r="F1004" s="31"/>
      <c r="G1004" s="31"/>
      <c r="H1004" s="31"/>
      <c r="I1004" s="31"/>
      <c r="J1004" s="31"/>
      <c r="K1004" s="31"/>
      <c r="L1004" s="269"/>
      <c r="M1004" s="269"/>
      <c r="N1004" s="269"/>
      <c r="O1004" s="282"/>
      <c r="P1004" s="269"/>
      <c r="Q1004" s="269"/>
      <c r="R1004" s="269"/>
      <c r="S1004" s="282"/>
      <c r="T1004" s="269"/>
      <c r="U1004" s="269"/>
      <c r="V1004" s="269"/>
      <c r="W1004" s="269"/>
      <c r="X1004" s="31"/>
    </row>
    <row r="1005" spans="4:24" x14ac:dyDescent="0.25">
      <c r="D1005" s="31"/>
      <c r="E1005" s="31"/>
      <c r="F1005" s="31"/>
      <c r="G1005" s="31"/>
      <c r="H1005" s="31"/>
      <c r="I1005" s="31"/>
      <c r="J1005" s="31"/>
      <c r="K1005" s="31"/>
      <c r="L1005" s="269"/>
      <c r="M1005" s="269"/>
      <c r="N1005" s="269"/>
      <c r="O1005" s="282"/>
      <c r="P1005" s="269"/>
      <c r="Q1005" s="269"/>
      <c r="R1005" s="269"/>
      <c r="S1005" s="282"/>
      <c r="T1005" s="269"/>
      <c r="U1005" s="269"/>
      <c r="V1005" s="269"/>
      <c r="W1005" s="269"/>
      <c r="X1005" s="31"/>
    </row>
    <row r="1006" spans="4:24" x14ac:dyDescent="0.25">
      <c r="D1006" s="31"/>
      <c r="E1006" s="31"/>
      <c r="F1006" s="31"/>
      <c r="G1006" s="31"/>
      <c r="H1006" s="31"/>
      <c r="I1006" s="31"/>
      <c r="J1006" s="31"/>
      <c r="K1006" s="31"/>
      <c r="L1006" s="269"/>
      <c r="M1006" s="269"/>
      <c r="N1006" s="269"/>
      <c r="O1006" s="282"/>
      <c r="P1006" s="269"/>
      <c r="Q1006" s="269"/>
      <c r="R1006" s="269"/>
      <c r="S1006" s="282"/>
      <c r="T1006" s="269"/>
      <c r="U1006" s="269"/>
      <c r="V1006" s="269"/>
      <c r="W1006" s="269"/>
      <c r="X1006" s="31"/>
    </row>
    <row r="1007" spans="4:24" x14ac:dyDescent="0.25">
      <c r="D1007" s="31"/>
      <c r="E1007" s="31"/>
      <c r="F1007" s="31"/>
      <c r="G1007" s="31"/>
      <c r="H1007" s="31"/>
      <c r="I1007" s="31"/>
      <c r="J1007" s="31"/>
      <c r="K1007" s="31"/>
      <c r="L1007" s="269"/>
      <c r="M1007" s="269"/>
      <c r="N1007" s="269"/>
      <c r="O1007" s="282"/>
      <c r="P1007" s="269"/>
      <c r="Q1007" s="269"/>
      <c r="R1007" s="269"/>
      <c r="S1007" s="282"/>
      <c r="T1007" s="269"/>
      <c r="U1007" s="269"/>
      <c r="V1007" s="269"/>
      <c r="W1007" s="269"/>
      <c r="X1007" s="31"/>
    </row>
    <row r="1008" spans="4:24" x14ac:dyDescent="0.25">
      <c r="D1008" s="31"/>
      <c r="E1008" s="31"/>
      <c r="F1008" s="31"/>
      <c r="G1008" s="31"/>
      <c r="H1008" s="31"/>
      <c r="I1008" s="31"/>
      <c r="J1008" s="31"/>
      <c r="K1008" s="31"/>
      <c r="L1008" s="269"/>
      <c r="M1008" s="269"/>
      <c r="N1008" s="269"/>
      <c r="O1008" s="282"/>
      <c r="P1008" s="269"/>
      <c r="Q1008" s="269"/>
      <c r="R1008" s="269"/>
      <c r="S1008" s="282"/>
      <c r="T1008" s="269"/>
      <c r="U1008" s="269"/>
      <c r="V1008" s="269"/>
      <c r="W1008" s="269"/>
      <c r="X1008" s="31"/>
    </row>
    <row r="1009" spans="4:24" x14ac:dyDescent="0.25">
      <c r="D1009" s="31"/>
      <c r="E1009" s="31"/>
      <c r="F1009" s="31"/>
      <c r="G1009" s="31"/>
      <c r="H1009" s="31"/>
      <c r="I1009" s="31"/>
      <c r="J1009" s="31"/>
      <c r="K1009" s="31"/>
      <c r="L1009" s="269"/>
      <c r="M1009" s="269"/>
      <c r="N1009" s="269"/>
      <c r="O1009" s="282"/>
      <c r="P1009" s="269"/>
      <c r="Q1009" s="269"/>
      <c r="R1009" s="269"/>
      <c r="S1009" s="282"/>
      <c r="T1009" s="269"/>
      <c r="U1009" s="269"/>
      <c r="V1009" s="269"/>
      <c r="W1009" s="269"/>
      <c r="X1009" s="31"/>
    </row>
    <row r="1010" spans="4:24" x14ac:dyDescent="0.25">
      <c r="D1010" s="31"/>
      <c r="E1010" s="31"/>
      <c r="F1010" s="31"/>
      <c r="G1010" s="31"/>
      <c r="H1010" s="31"/>
      <c r="I1010" s="31"/>
      <c r="J1010" s="31"/>
      <c r="K1010" s="31"/>
      <c r="L1010" s="269"/>
      <c r="M1010" s="269"/>
      <c r="N1010" s="269"/>
      <c r="O1010" s="282"/>
      <c r="P1010" s="269"/>
      <c r="Q1010" s="269"/>
      <c r="R1010" s="269"/>
      <c r="S1010" s="282"/>
      <c r="T1010" s="269"/>
      <c r="U1010" s="269"/>
      <c r="V1010" s="269"/>
      <c r="W1010" s="269"/>
      <c r="X1010" s="31"/>
    </row>
    <row r="1011" spans="4:24" x14ac:dyDescent="0.25">
      <c r="D1011" s="31"/>
      <c r="E1011" s="31"/>
      <c r="F1011" s="31"/>
      <c r="G1011" s="31"/>
      <c r="H1011" s="31"/>
      <c r="I1011" s="31"/>
      <c r="J1011" s="31"/>
      <c r="K1011" s="31"/>
      <c r="L1011" s="269"/>
      <c r="M1011" s="269"/>
      <c r="N1011" s="269"/>
      <c r="O1011" s="282"/>
      <c r="P1011" s="269"/>
      <c r="Q1011" s="269"/>
      <c r="R1011" s="269"/>
      <c r="S1011" s="282"/>
      <c r="T1011" s="269"/>
      <c r="U1011" s="269"/>
      <c r="V1011" s="269"/>
      <c r="W1011" s="269"/>
      <c r="X1011" s="31"/>
    </row>
    <row r="1012" spans="4:24" x14ac:dyDescent="0.25">
      <c r="D1012" s="31"/>
      <c r="E1012" s="31"/>
      <c r="F1012" s="31"/>
      <c r="G1012" s="31"/>
      <c r="H1012" s="31"/>
      <c r="I1012" s="31"/>
      <c r="J1012" s="31"/>
      <c r="K1012" s="31"/>
      <c r="L1012" s="269"/>
      <c r="M1012" s="269"/>
      <c r="N1012" s="269"/>
      <c r="O1012" s="282"/>
      <c r="P1012" s="269"/>
      <c r="Q1012" s="269"/>
      <c r="R1012" s="269"/>
      <c r="S1012" s="282"/>
      <c r="T1012" s="269"/>
      <c r="U1012" s="269"/>
      <c r="V1012" s="269"/>
      <c r="W1012" s="269"/>
      <c r="X1012" s="31"/>
    </row>
    <row r="1013" spans="4:24" x14ac:dyDescent="0.25">
      <c r="D1013" s="31"/>
      <c r="E1013" s="31"/>
      <c r="F1013" s="31"/>
      <c r="G1013" s="31"/>
      <c r="H1013" s="31"/>
      <c r="I1013" s="31"/>
      <c r="J1013" s="31"/>
      <c r="K1013" s="31"/>
      <c r="L1013" s="269"/>
      <c r="M1013" s="269"/>
      <c r="N1013" s="269"/>
      <c r="O1013" s="282"/>
      <c r="P1013" s="269"/>
      <c r="Q1013" s="269"/>
      <c r="R1013" s="269"/>
      <c r="S1013" s="282"/>
      <c r="T1013" s="269"/>
      <c r="U1013" s="269"/>
      <c r="V1013" s="269"/>
      <c r="W1013" s="269"/>
      <c r="X1013" s="31"/>
    </row>
    <row r="1014" spans="4:24" x14ac:dyDescent="0.25">
      <c r="D1014" s="31"/>
      <c r="E1014" s="31"/>
      <c r="F1014" s="31"/>
      <c r="G1014" s="31"/>
      <c r="H1014" s="31"/>
      <c r="I1014" s="31"/>
      <c r="J1014" s="31"/>
      <c r="K1014" s="31"/>
      <c r="L1014" s="269"/>
      <c r="M1014" s="269"/>
      <c r="N1014" s="269"/>
      <c r="O1014" s="282"/>
      <c r="P1014" s="269"/>
      <c r="Q1014" s="269"/>
      <c r="R1014" s="269"/>
      <c r="S1014" s="282"/>
      <c r="T1014" s="269"/>
      <c r="U1014" s="269"/>
      <c r="V1014" s="269"/>
      <c r="W1014" s="269"/>
      <c r="X1014" s="31"/>
    </row>
    <row r="1015" spans="4:24" x14ac:dyDescent="0.25">
      <c r="D1015" s="31"/>
      <c r="E1015" s="31"/>
      <c r="F1015" s="31"/>
      <c r="G1015" s="31"/>
      <c r="H1015" s="31"/>
      <c r="I1015" s="31"/>
      <c r="J1015" s="31"/>
      <c r="K1015" s="31"/>
      <c r="L1015" s="269"/>
      <c r="M1015" s="269"/>
      <c r="N1015" s="269"/>
      <c r="O1015" s="282"/>
      <c r="P1015" s="269"/>
      <c r="Q1015" s="269"/>
      <c r="R1015" s="269"/>
      <c r="S1015" s="282"/>
      <c r="T1015" s="269"/>
      <c r="U1015" s="269"/>
      <c r="V1015" s="269"/>
      <c r="W1015" s="269"/>
      <c r="X1015" s="31"/>
    </row>
    <row r="1016" spans="4:24" x14ac:dyDescent="0.25">
      <c r="D1016" s="31"/>
      <c r="E1016" s="31"/>
      <c r="F1016" s="31"/>
      <c r="G1016" s="31"/>
      <c r="H1016" s="31"/>
      <c r="I1016" s="31"/>
      <c r="J1016" s="31"/>
      <c r="K1016" s="31"/>
      <c r="L1016" s="269"/>
      <c r="M1016" s="269"/>
      <c r="N1016" s="269"/>
      <c r="O1016" s="282"/>
      <c r="P1016" s="269"/>
      <c r="Q1016" s="269"/>
      <c r="R1016" s="269"/>
      <c r="S1016" s="282"/>
      <c r="T1016" s="269"/>
      <c r="U1016" s="269"/>
      <c r="V1016" s="269"/>
      <c r="W1016" s="269"/>
      <c r="X1016" s="31"/>
    </row>
    <row r="1017" spans="4:24" x14ac:dyDescent="0.25">
      <c r="D1017" s="31"/>
      <c r="E1017" s="31"/>
      <c r="F1017" s="31"/>
      <c r="G1017" s="31"/>
      <c r="H1017" s="31"/>
      <c r="I1017" s="31"/>
      <c r="J1017" s="31"/>
      <c r="K1017" s="31"/>
      <c r="L1017" s="269"/>
      <c r="M1017" s="269"/>
      <c r="N1017" s="269"/>
      <c r="O1017" s="282"/>
      <c r="P1017" s="269"/>
      <c r="Q1017" s="269"/>
      <c r="R1017" s="269"/>
      <c r="S1017" s="282"/>
      <c r="T1017" s="269"/>
      <c r="U1017" s="269"/>
      <c r="V1017" s="269"/>
      <c r="W1017" s="269"/>
      <c r="X1017" s="31"/>
    </row>
    <row r="1018" spans="4:24" x14ac:dyDescent="0.25">
      <c r="D1018" s="31"/>
      <c r="E1018" s="31"/>
      <c r="F1018" s="31"/>
      <c r="G1018" s="31"/>
      <c r="H1018" s="31"/>
      <c r="I1018" s="31"/>
      <c r="J1018" s="31"/>
      <c r="K1018" s="31"/>
      <c r="L1018" s="269"/>
      <c r="M1018" s="269"/>
      <c r="N1018" s="269"/>
      <c r="O1018" s="282"/>
      <c r="P1018" s="269"/>
      <c r="Q1018" s="269"/>
      <c r="R1018" s="269"/>
      <c r="S1018" s="282"/>
      <c r="T1018" s="269"/>
      <c r="U1018" s="269"/>
      <c r="V1018" s="269"/>
      <c r="W1018" s="269"/>
      <c r="X1018" s="31"/>
    </row>
    <row r="1019" spans="4:24" x14ac:dyDescent="0.25">
      <c r="D1019" s="31"/>
      <c r="E1019" s="31"/>
      <c r="F1019" s="31"/>
      <c r="G1019" s="31"/>
      <c r="H1019" s="31"/>
      <c r="I1019" s="31"/>
      <c r="J1019" s="31"/>
      <c r="K1019" s="31"/>
      <c r="L1019" s="269"/>
      <c r="M1019" s="269"/>
      <c r="N1019" s="269"/>
      <c r="O1019" s="282"/>
      <c r="P1019" s="269"/>
      <c r="Q1019" s="269"/>
      <c r="R1019" s="269"/>
      <c r="S1019" s="282"/>
      <c r="T1019" s="269"/>
      <c r="U1019" s="269"/>
      <c r="V1019" s="269"/>
      <c r="W1019" s="269"/>
      <c r="X1019" s="31"/>
    </row>
    <row r="1020" spans="4:24" x14ac:dyDescent="0.25">
      <c r="D1020" s="31"/>
      <c r="E1020" s="31"/>
      <c r="F1020" s="31"/>
      <c r="G1020" s="31"/>
      <c r="H1020" s="31"/>
      <c r="I1020" s="31"/>
      <c r="J1020" s="31"/>
      <c r="K1020" s="31"/>
      <c r="L1020" s="269"/>
      <c r="M1020" s="269"/>
      <c r="N1020" s="269"/>
      <c r="O1020" s="282"/>
      <c r="P1020" s="269"/>
      <c r="Q1020" s="269"/>
      <c r="R1020" s="269"/>
      <c r="S1020" s="282"/>
      <c r="T1020" s="269"/>
      <c r="U1020" s="269"/>
      <c r="V1020" s="269"/>
      <c r="W1020" s="269"/>
      <c r="X1020" s="31"/>
    </row>
    <row r="1021" spans="4:24" x14ac:dyDescent="0.25">
      <c r="D1021" s="31"/>
      <c r="E1021" s="31"/>
      <c r="F1021" s="31"/>
      <c r="G1021" s="31"/>
      <c r="H1021" s="31"/>
      <c r="I1021" s="31"/>
      <c r="J1021" s="31"/>
      <c r="K1021" s="31"/>
      <c r="L1021" s="269"/>
      <c r="M1021" s="269"/>
      <c r="N1021" s="269"/>
      <c r="O1021" s="282"/>
      <c r="P1021" s="269"/>
      <c r="Q1021" s="269"/>
      <c r="R1021" s="269"/>
      <c r="S1021" s="282"/>
      <c r="T1021" s="269"/>
      <c r="U1021" s="269"/>
      <c r="V1021" s="269"/>
      <c r="W1021" s="269"/>
      <c r="X1021" s="31"/>
    </row>
    <row r="1022" spans="4:24" x14ac:dyDescent="0.25">
      <c r="D1022" s="31"/>
      <c r="E1022" s="31"/>
      <c r="F1022" s="31"/>
      <c r="G1022" s="31"/>
      <c r="H1022" s="31"/>
      <c r="I1022" s="31"/>
      <c r="J1022" s="31"/>
      <c r="K1022" s="31"/>
      <c r="L1022" s="269"/>
      <c r="M1022" s="269"/>
      <c r="N1022" s="269"/>
      <c r="O1022" s="282"/>
      <c r="P1022" s="269"/>
      <c r="Q1022" s="269"/>
      <c r="R1022" s="269"/>
      <c r="S1022" s="282"/>
      <c r="T1022" s="269"/>
      <c r="U1022" s="269"/>
      <c r="V1022" s="269"/>
      <c r="W1022" s="269"/>
      <c r="X1022" s="31"/>
    </row>
    <row r="1023" spans="4:24" x14ac:dyDescent="0.25">
      <c r="D1023" s="31"/>
      <c r="E1023" s="31"/>
      <c r="F1023" s="31"/>
      <c r="G1023" s="31"/>
      <c r="H1023" s="31"/>
      <c r="I1023" s="31"/>
      <c r="J1023" s="31"/>
      <c r="K1023" s="31"/>
      <c r="L1023" s="269"/>
      <c r="M1023" s="269"/>
      <c r="N1023" s="269"/>
      <c r="O1023" s="282"/>
      <c r="P1023" s="269"/>
      <c r="Q1023" s="269"/>
      <c r="R1023" s="269"/>
      <c r="S1023" s="282"/>
      <c r="T1023" s="269"/>
      <c r="U1023" s="269"/>
      <c r="V1023" s="269"/>
      <c r="W1023" s="269"/>
      <c r="X1023" s="31"/>
    </row>
    <row r="1024" spans="4:24" x14ac:dyDescent="0.25">
      <c r="D1024" s="31"/>
      <c r="E1024" s="31"/>
      <c r="F1024" s="31"/>
      <c r="G1024" s="31"/>
      <c r="H1024" s="31"/>
      <c r="I1024" s="31"/>
      <c r="J1024" s="31"/>
      <c r="K1024" s="31"/>
      <c r="L1024" s="269"/>
      <c r="M1024" s="269"/>
      <c r="N1024" s="269"/>
      <c r="O1024" s="282"/>
      <c r="P1024" s="269"/>
      <c r="Q1024" s="269"/>
      <c r="R1024" s="269"/>
      <c r="S1024" s="282"/>
      <c r="T1024" s="269"/>
      <c r="U1024" s="269"/>
      <c r="V1024" s="269"/>
      <c r="W1024" s="269"/>
      <c r="X1024" s="31"/>
    </row>
    <row r="1025" spans="4:24" x14ac:dyDescent="0.25">
      <c r="D1025" s="31"/>
      <c r="E1025" s="31"/>
      <c r="F1025" s="31"/>
      <c r="G1025" s="31"/>
      <c r="H1025" s="31"/>
      <c r="I1025" s="31"/>
      <c r="J1025" s="31"/>
      <c r="K1025" s="31"/>
      <c r="L1025" s="269"/>
      <c r="M1025" s="269"/>
      <c r="N1025" s="269"/>
      <c r="O1025" s="282"/>
      <c r="P1025" s="269"/>
      <c r="Q1025" s="269"/>
      <c r="R1025" s="269"/>
      <c r="S1025" s="282"/>
      <c r="T1025" s="269"/>
      <c r="U1025" s="269"/>
      <c r="V1025" s="269"/>
      <c r="W1025" s="269"/>
      <c r="X1025" s="31"/>
    </row>
    <row r="1026" spans="4:24" x14ac:dyDescent="0.25">
      <c r="D1026" s="31"/>
      <c r="E1026" s="31"/>
      <c r="F1026" s="31"/>
      <c r="G1026" s="31"/>
      <c r="H1026" s="31"/>
      <c r="I1026" s="31"/>
      <c r="J1026" s="31"/>
      <c r="K1026" s="31"/>
      <c r="L1026" s="269"/>
      <c r="M1026" s="269"/>
      <c r="N1026" s="269"/>
      <c r="O1026" s="282"/>
      <c r="P1026" s="269"/>
      <c r="Q1026" s="269"/>
      <c r="R1026" s="269"/>
      <c r="S1026" s="282"/>
      <c r="T1026" s="269"/>
      <c r="U1026" s="269"/>
      <c r="V1026" s="269"/>
      <c r="W1026" s="269"/>
      <c r="X1026" s="31"/>
    </row>
    <row r="1027" spans="4:24" x14ac:dyDescent="0.25">
      <c r="D1027" s="31"/>
      <c r="E1027" s="31"/>
      <c r="F1027" s="31"/>
      <c r="G1027" s="31"/>
      <c r="H1027" s="31"/>
      <c r="I1027" s="31"/>
      <c r="J1027" s="31"/>
      <c r="K1027" s="31"/>
      <c r="L1027" s="269"/>
      <c r="M1027" s="269"/>
      <c r="N1027" s="269"/>
      <c r="O1027" s="282"/>
      <c r="P1027" s="269"/>
      <c r="Q1027" s="269"/>
      <c r="R1027" s="269"/>
      <c r="S1027" s="282"/>
      <c r="T1027" s="269"/>
      <c r="U1027" s="269"/>
      <c r="V1027" s="269"/>
      <c r="W1027" s="269"/>
      <c r="X1027" s="31"/>
    </row>
    <row r="1028" spans="4:24" x14ac:dyDescent="0.25">
      <c r="D1028" s="31"/>
      <c r="E1028" s="31"/>
      <c r="F1028" s="31"/>
      <c r="G1028" s="31"/>
      <c r="H1028" s="31"/>
      <c r="I1028" s="31"/>
      <c r="J1028" s="31"/>
      <c r="K1028" s="31"/>
      <c r="L1028" s="269"/>
      <c r="M1028" s="269"/>
      <c r="N1028" s="269"/>
      <c r="O1028" s="282"/>
      <c r="P1028" s="269"/>
      <c r="Q1028" s="269"/>
      <c r="R1028" s="269"/>
      <c r="S1028" s="282"/>
      <c r="T1028" s="269"/>
      <c r="U1028" s="269"/>
      <c r="V1028" s="269"/>
      <c r="W1028" s="269"/>
      <c r="X1028" s="31"/>
    </row>
    <row r="1029" spans="4:24" x14ac:dyDescent="0.25">
      <c r="D1029" s="31"/>
      <c r="E1029" s="31"/>
      <c r="F1029" s="31"/>
      <c r="G1029" s="31"/>
      <c r="H1029" s="31"/>
      <c r="I1029" s="31"/>
      <c r="J1029" s="31"/>
      <c r="K1029" s="31"/>
      <c r="L1029" s="269"/>
      <c r="M1029" s="269"/>
      <c r="N1029" s="269"/>
      <c r="O1029" s="282"/>
      <c r="P1029" s="269"/>
      <c r="Q1029" s="269"/>
      <c r="R1029" s="269"/>
      <c r="S1029" s="282"/>
      <c r="T1029" s="269"/>
      <c r="U1029" s="269"/>
      <c r="V1029" s="269"/>
      <c r="W1029" s="269"/>
      <c r="X1029" s="31"/>
    </row>
    <row r="1030" spans="4:24" x14ac:dyDescent="0.25">
      <c r="D1030" s="31"/>
      <c r="E1030" s="31"/>
      <c r="F1030" s="31"/>
      <c r="G1030" s="31"/>
      <c r="H1030" s="31"/>
      <c r="I1030" s="31"/>
      <c r="J1030" s="31"/>
      <c r="K1030" s="31"/>
      <c r="L1030" s="269"/>
      <c r="M1030" s="269"/>
      <c r="N1030" s="269"/>
      <c r="O1030" s="282"/>
      <c r="P1030" s="269"/>
      <c r="Q1030" s="269"/>
      <c r="R1030" s="269"/>
      <c r="S1030" s="282"/>
      <c r="T1030" s="269"/>
      <c r="U1030" s="269"/>
      <c r="V1030" s="269"/>
      <c r="W1030" s="269"/>
      <c r="X1030" s="31"/>
    </row>
    <row r="1031" spans="4:24" x14ac:dyDescent="0.25">
      <c r="D1031" s="31"/>
      <c r="E1031" s="31"/>
      <c r="F1031" s="31"/>
      <c r="G1031" s="31"/>
      <c r="H1031" s="31"/>
      <c r="I1031" s="31"/>
      <c r="J1031" s="31"/>
      <c r="K1031" s="31"/>
      <c r="L1031" s="269"/>
      <c r="M1031" s="269"/>
      <c r="N1031" s="269"/>
      <c r="O1031" s="282"/>
      <c r="P1031" s="269"/>
      <c r="Q1031" s="269"/>
      <c r="R1031" s="269"/>
      <c r="S1031" s="282"/>
      <c r="T1031" s="269"/>
      <c r="U1031" s="269"/>
      <c r="V1031" s="269"/>
      <c r="W1031" s="269"/>
      <c r="X1031" s="31"/>
    </row>
    <row r="1032" spans="4:24" x14ac:dyDescent="0.25">
      <c r="D1032" s="31"/>
      <c r="E1032" s="31"/>
      <c r="F1032" s="31"/>
      <c r="G1032" s="31"/>
      <c r="H1032" s="31"/>
      <c r="I1032" s="31"/>
      <c r="J1032" s="31"/>
      <c r="K1032" s="31"/>
      <c r="L1032" s="269"/>
      <c r="M1032" s="269"/>
      <c r="N1032" s="269"/>
      <c r="O1032" s="282"/>
      <c r="P1032" s="269"/>
      <c r="Q1032" s="269"/>
      <c r="R1032" s="269"/>
      <c r="S1032" s="282"/>
      <c r="T1032" s="269"/>
      <c r="U1032" s="269"/>
      <c r="V1032" s="269"/>
      <c r="W1032" s="269"/>
      <c r="X1032" s="31"/>
    </row>
    <row r="1033" spans="4:24" x14ac:dyDescent="0.25">
      <c r="D1033" s="31"/>
      <c r="E1033" s="31"/>
      <c r="F1033" s="31"/>
      <c r="G1033" s="31"/>
      <c r="H1033" s="31"/>
      <c r="I1033" s="31"/>
      <c r="J1033" s="31"/>
      <c r="K1033" s="31"/>
      <c r="L1033" s="269"/>
      <c r="M1033" s="269"/>
      <c r="N1033" s="269"/>
      <c r="O1033" s="282"/>
      <c r="P1033" s="269"/>
      <c r="Q1033" s="269"/>
      <c r="R1033" s="269"/>
      <c r="S1033" s="282"/>
      <c r="T1033" s="269"/>
      <c r="U1033" s="269"/>
      <c r="V1033" s="269"/>
      <c r="W1033" s="269"/>
      <c r="X1033" s="31"/>
    </row>
    <row r="1034" spans="4:24" x14ac:dyDescent="0.25">
      <c r="D1034" s="31"/>
      <c r="E1034" s="31"/>
      <c r="F1034" s="31"/>
      <c r="G1034" s="31"/>
      <c r="H1034" s="31"/>
      <c r="I1034" s="31"/>
      <c r="J1034" s="31"/>
      <c r="K1034" s="31"/>
      <c r="L1034" s="269"/>
      <c r="M1034" s="269"/>
      <c r="N1034" s="269"/>
      <c r="O1034" s="282"/>
      <c r="P1034" s="269"/>
      <c r="Q1034" s="269"/>
      <c r="R1034" s="269"/>
      <c r="S1034" s="282"/>
      <c r="T1034" s="269"/>
      <c r="U1034" s="269"/>
      <c r="V1034" s="269"/>
      <c r="W1034" s="269"/>
      <c r="X1034" s="31"/>
    </row>
    <row r="1035" spans="4:24" x14ac:dyDescent="0.25">
      <c r="D1035" s="31"/>
      <c r="E1035" s="31"/>
      <c r="F1035" s="31"/>
      <c r="G1035" s="31"/>
      <c r="H1035" s="31"/>
      <c r="I1035" s="31"/>
      <c r="J1035" s="31"/>
      <c r="K1035" s="31"/>
      <c r="L1035" s="269"/>
      <c r="M1035" s="269"/>
      <c r="N1035" s="269"/>
      <c r="O1035" s="282"/>
      <c r="P1035" s="269"/>
      <c r="Q1035" s="269"/>
      <c r="R1035" s="269"/>
      <c r="S1035" s="282"/>
      <c r="T1035" s="269"/>
      <c r="U1035" s="269"/>
      <c r="V1035" s="269"/>
      <c r="W1035" s="269"/>
      <c r="X1035" s="31"/>
    </row>
    <row r="1036" spans="4:24" x14ac:dyDescent="0.25">
      <c r="D1036" s="31"/>
      <c r="E1036" s="31"/>
      <c r="F1036" s="31"/>
      <c r="G1036" s="31"/>
      <c r="H1036" s="31"/>
      <c r="I1036" s="31"/>
      <c r="J1036" s="31"/>
      <c r="K1036" s="31"/>
      <c r="L1036" s="269"/>
      <c r="M1036" s="269"/>
      <c r="N1036" s="269"/>
      <c r="O1036" s="282"/>
      <c r="P1036" s="269"/>
      <c r="Q1036" s="269"/>
      <c r="R1036" s="269"/>
      <c r="S1036" s="282"/>
      <c r="T1036" s="269"/>
      <c r="U1036" s="269"/>
      <c r="V1036" s="269"/>
      <c r="W1036" s="269"/>
      <c r="X1036" s="31"/>
    </row>
    <row r="1037" spans="4:24" x14ac:dyDescent="0.25">
      <c r="D1037" s="31"/>
      <c r="E1037" s="31"/>
      <c r="F1037" s="31"/>
      <c r="G1037" s="31"/>
      <c r="H1037" s="31"/>
      <c r="I1037" s="31"/>
      <c r="J1037" s="31"/>
      <c r="K1037" s="31"/>
      <c r="L1037" s="269"/>
      <c r="M1037" s="269"/>
      <c r="N1037" s="269"/>
      <c r="O1037" s="282"/>
      <c r="P1037" s="269"/>
      <c r="Q1037" s="269"/>
      <c r="R1037" s="269"/>
      <c r="S1037" s="282"/>
      <c r="T1037" s="269"/>
      <c r="U1037" s="269"/>
      <c r="V1037" s="269"/>
      <c r="W1037" s="269"/>
      <c r="X1037" s="31"/>
    </row>
    <row r="1038" spans="4:24" x14ac:dyDescent="0.25">
      <c r="D1038" s="31"/>
      <c r="E1038" s="31"/>
      <c r="F1038" s="31"/>
      <c r="G1038" s="31"/>
      <c r="H1038" s="31"/>
      <c r="I1038" s="31"/>
      <c r="J1038" s="31"/>
      <c r="K1038" s="31"/>
      <c r="L1038" s="269"/>
      <c r="M1038" s="269"/>
      <c r="N1038" s="269"/>
      <c r="O1038" s="282"/>
      <c r="P1038" s="269"/>
      <c r="Q1038" s="269"/>
      <c r="R1038" s="269"/>
      <c r="S1038" s="282"/>
      <c r="T1038" s="269"/>
      <c r="U1038" s="269"/>
      <c r="V1038" s="269"/>
      <c r="W1038" s="269"/>
      <c r="X1038" s="31"/>
    </row>
    <row r="1039" spans="4:24" x14ac:dyDescent="0.25">
      <c r="D1039" s="31"/>
      <c r="E1039" s="31"/>
      <c r="F1039" s="31"/>
      <c r="G1039" s="31"/>
      <c r="H1039" s="31"/>
      <c r="I1039" s="31"/>
      <c r="J1039" s="31"/>
      <c r="K1039" s="31"/>
      <c r="L1039" s="269"/>
      <c r="M1039" s="269"/>
      <c r="N1039" s="269"/>
      <c r="O1039" s="282"/>
      <c r="P1039" s="269"/>
      <c r="Q1039" s="269"/>
      <c r="R1039" s="269"/>
      <c r="S1039" s="282"/>
      <c r="T1039" s="269"/>
      <c r="U1039" s="269"/>
      <c r="V1039" s="269"/>
      <c r="W1039" s="269"/>
      <c r="X1039" s="31"/>
    </row>
    <row r="1040" spans="4:24" x14ac:dyDescent="0.25">
      <c r="D1040" s="31"/>
      <c r="E1040" s="31"/>
      <c r="F1040" s="31"/>
      <c r="G1040" s="31"/>
      <c r="H1040" s="31"/>
      <c r="I1040" s="31"/>
      <c r="J1040" s="31"/>
      <c r="K1040" s="31"/>
      <c r="L1040" s="269"/>
      <c r="M1040" s="269"/>
      <c r="N1040" s="269"/>
      <c r="O1040" s="282"/>
      <c r="P1040" s="269"/>
      <c r="Q1040" s="269"/>
      <c r="R1040" s="269"/>
      <c r="S1040" s="282"/>
      <c r="T1040" s="269"/>
      <c r="U1040" s="269"/>
      <c r="V1040" s="269"/>
      <c r="W1040" s="269"/>
      <c r="X1040" s="31"/>
    </row>
    <row r="1041" spans="4:24" x14ac:dyDescent="0.25">
      <c r="D1041" s="31"/>
      <c r="E1041" s="31"/>
      <c r="F1041" s="31"/>
      <c r="G1041" s="31"/>
      <c r="H1041" s="31"/>
      <c r="I1041" s="31"/>
      <c r="J1041" s="31"/>
      <c r="K1041" s="31"/>
      <c r="L1041" s="269"/>
      <c r="M1041" s="269"/>
      <c r="N1041" s="269"/>
      <c r="O1041" s="282"/>
      <c r="P1041" s="269"/>
      <c r="Q1041" s="269"/>
      <c r="R1041" s="269"/>
      <c r="S1041" s="282"/>
      <c r="T1041" s="269"/>
      <c r="U1041" s="269"/>
      <c r="V1041" s="269"/>
      <c r="W1041" s="269"/>
      <c r="X1041" s="31"/>
    </row>
    <row r="1042" spans="4:24" x14ac:dyDescent="0.25">
      <c r="D1042" s="31"/>
      <c r="E1042" s="31"/>
      <c r="F1042" s="31"/>
      <c r="G1042" s="31"/>
      <c r="H1042" s="31"/>
      <c r="I1042" s="31"/>
      <c r="J1042" s="31"/>
      <c r="K1042" s="31"/>
      <c r="L1042" s="269"/>
      <c r="M1042" s="269"/>
      <c r="N1042" s="269"/>
      <c r="O1042" s="282"/>
      <c r="P1042" s="269"/>
      <c r="Q1042" s="269"/>
      <c r="R1042" s="269"/>
      <c r="S1042" s="282"/>
      <c r="T1042" s="269"/>
      <c r="U1042" s="269"/>
      <c r="V1042" s="269"/>
      <c r="W1042" s="269"/>
      <c r="X1042" s="31"/>
    </row>
    <row r="1043" spans="4:24" x14ac:dyDescent="0.25">
      <c r="D1043" s="31"/>
      <c r="E1043" s="31"/>
      <c r="F1043" s="31"/>
      <c r="G1043" s="31"/>
      <c r="H1043" s="31"/>
      <c r="I1043" s="31"/>
      <c r="J1043" s="31"/>
      <c r="K1043" s="31"/>
      <c r="L1043" s="269"/>
      <c r="M1043" s="269"/>
      <c r="N1043" s="269"/>
      <c r="O1043" s="282"/>
      <c r="P1043" s="269"/>
      <c r="Q1043" s="269"/>
      <c r="R1043" s="269"/>
      <c r="S1043" s="282"/>
      <c r="T1043" s="269"/>
      <c r="U1043" s="269"/>
      <c r="V1043" s="269"/>
      <c r="W1043" s="269"/>
      <c r="X1043" s="31"/>
    </row>
    <row r="1044" spans="4:24" x14ac:dyDescent="0.25">
      <c r="D1044" s="31"/>
      <c r="E1044" s="31"/>
      <c r="F1044" s="31"/>
      <c r="G1044" s="31"/>
      <c r="H1044" s="31"/>
      <c r="I1044" s="31"/>
      <c r="J1044" s="31"/>
      <c r="K1044" s="31"/>
      <c r="L1044" s="269"/>
      <c r="M1044" s="269"/>
      <c r="N1044" s="269"/>
      <c r="O1044" s="282"/>
      <c r="P1044" s="269"/>
      <c r="Q1044" s="269"/>
      <c r="R1044" s="269"/>
      <c r="S1044" s="282"/>
      <c r="T1044" s="269"/>
      <c r="U1044" s="269"/>
      <c r="V1044" s="269"/>
      <c r="W1044" s="269"/>
      <c r="X1044" s="31"/>
    </row>
    <row r="1045" spans="4:24" x14ac:dyDescent="0.25">
      <c r="D1045" s="31"/>
      <c r="E1045" s="31"/>
      <c r="F1045" s="31"/>
      <c r="G1045" s="31"/>
      <c r="H1045" s="31"/>
      <c r="I1045" s="31"/>
      <c r="J1045" s="31"/>
      <c r="K1045" s="31"/>
      <c r="L1045" s="269"/>
      <c r="M1045" s="269"/>
      <c r="N1045" s="269"/>
      <c r="O1045" s="282"/>
      <c r="P1045" s="269"/>
      <c r="Q1045" s="269"/>
      <c r="R1045" s="269"/>
      <c r="S1045" s="282"/>
      <c r="T1045" s="269"/>
      <c r="U1045" s="269"/>
      <c r="V1045" s="269"/>
      <c r="W1045" s="269"/>
      <c r="X1045" s="31"/>
    </row>
    <row r="1046" spans="4:24" x14ac:dyDescent="0.25">
      <c r="D1046" s="31"/>
      <c r="E1046" s="31"/>
      <c r="F1046" s="31"/>
      <c r="G1046" s="31"/>
      <c r="H1046" s="31"/>
      <c r="I1046" s="31"/>
      <c r="J1046" s="31"/>
      <c r="K1046" s="31"/>
      <c r="L1046" s="269"/>
      <c r="M1046" s="269"/>
      <c r="N1046" s="269"/>
      <c r="O1046" s="282"/>
      <c r="P1046" s="269"/>
      <c r="Q1046" s="269"/>
      <c r="R1046" s="269"/>
      <c r="S1046" s="282"/>
      <c r="T1046" s="269"/>
      <c r="U1046" s="269"/>
      <c r="V1046" s="269"/>
      <c r="W1046" s="269"/>
      <c r="X1046" s="31"/>
    </row>
    <row r="1047" spans="4:24" x14ac:dyDescent="0.25">
      <c r="D1047" s="31"/>
      <c r="E1047" s="31"/>
      <c r="F1047" s="31"/>
      <c r="G1047" s="31"/>
      <c r="H1047" s="31"/>
      <c r="I1047" s="31"/>
      <c r="J1047" s="31"/>
      <c r="K1047" s="31"/>
      <c r="L1047" s="269"/>
      <c r="M1047" s="269"/>
      <c r="N1047" s="269"/>
      <c r="O1047" s="282"/>
      <c r="P1047" s="269"/>
      <c r="Q1047" s="269"/>
      <c r="R1047" s="269"/>
      <c r="S1047" s="282"/>
      <c r="T1047" s="269"/>
      <c r="U1047" s="269"/>
      <c r="V1047" s="269"/>
      <c r="W1047" s="269"/>
      <c r="X1047" s="31"/>
    </row>
    <row r="1048" spans="4:24" x14ac:dyDescent="0.25">
      <c r="D1048" s="31"/>
      <c r="E1048" s="31"/>
      <c r="F1048" s="31"/>
      <c r="G1048" s="31"/>
      <c r="H1048" s="31"/>
      <c r="I1048" s="31"/>
      <c r="J1048" s="31"/>
      <c r="K1048" s="31"/>
      <c r="L1048" s="269"/>
      <c r="M1048" s="269"/>
      <c r="N1048" s="269"/>
      <c r="O1048" s="282"/>
      <c r="P1048" s="269"/>
      <c r="Q1048" s="269"/>
      <c r="R1048" s="269"/>
      <c r="S1048" s="282"/>
      <c r="T1048" s="269"/>
      <c r="U1048" s="269"/>
      <c r="V1048" s="269"/>
      <c r="W1048" s="269"/>
      <c r="X1048" s="31"/>
    </row>
    <row r="1049" spans="4:24" x14ac:dyDescent="0.25">
      <c r="D1049" s="31"/>
      <c r="E1049" s="31"/>
      <c r="F1049" s="31"/>
      <c r="G1049" s="31"/>
      <c r="H1049" s="31"/>
      <c r="I1049" s="31"/>
      <c r="J1049" s="31"/>
      <c r="K1049" s="31"/>
      <c r="L1049" s="269"/>
      <c r="M1049" s="269"/>
      <c r="N1049" s="269"/>
      <c r="O1049" s="282"/>
      <c r="P1049" s="269"/>
      <c r="Q1049" s="269"/>
      <c r="R1049" s="269"/>
      <c r="S1049" s="282"/>
      <c r="T1049" s="269"/>
      <c r="U1049" s="269"/>
      <c r="V1049" s="269"/>
      <c r="W1049" s="269"/>
      <c r="X1049" s="31"/>
    </row>
    <row r="1050" spans="4:24" x14ac:dyDescent="0.25">
      <c r="D1050" s="31"/>
      <c r="E1050" s="31"/>
      <c r="F1050" s="31"/>
      <c r="G1050" s="31"/>
      <c r="H1050" s="31"/>
      <c r="I1050" s="31"/>
      <c r="J1050" s="31"/>
      <c r="K1050" s="31"/>
      <c r="L1050" s="269"/>
      <c r="M1050" s="269"/>
      <c r="N1050" s="269"/>
      <c r="O1050" s="282"/>
      <c r="P1050" s="269"/>
      <c r="Q1050" s="269"/>
      <c r="R1050" s="269"/>
      <c r="S1050" s="282"/>
      <c r="T1050" s="269"/>
      <c r="U1050" s="269"/>
      <c r="V1050" s="269"/>
      <c r="W1050" s="269"/>
      <c r="X1050" s="31"/>
    </row>
    <row r="1051" spans="4:24" x14ac:dyDescent="0.25">
      <c r="D1051" s="31"/>
      <c r="E1051" s="31"/>
      <c r="F1051" s="31"/>
      <c r="G1051" s="31"/>
      <c r="H1051" s="31"/>
      <c r="I1051" s="31"/>
      <c r="J1051" s="31"/>
      <c r="K1051" s="31"/>
      <c r="L1051" s="269"/>
      <c r="M1051" s="269"/>
      <c r="N1051" s="269"/>
      <c r="O1051" s="282"/>
      <c r="P1051" s="269"/>
      <c r="Q1051" s="269"/>
      <c r="R1051" s="269"/>
      <c r="S1051" s="282"/>
      <c r="T1051" s="269"/>
      <c r="U1051" s="269"/>
      <c r="V1051" s="269"/>
      <c r="W1051" s="269"/>
      <c r="X1051" s="31"/>
    </row>
    <row r="1052" spans="4:24" x14ac:dyDescent="0.25">
      <c r="D1052" s="31"/>
      <c r="E1052" s="31"/>
      <c r="F1052" s="31"/>
      <c r="G1052" s="31"/>
      <c r="H1052" s="31"/>
      <c r="I1052" s="31"/>
      <c r="J1052" s="31"/>
      <c r="K1052" s="31"/>
      <c r="L1052" s="269"/>
      <c r="M1052" s="269"/>
      <c r="N1052" s="269"/>
      <c r="O1052" s="282"/>
      <c r="P1052" s="269"/>
      <c r="Q1052" s="269"/>
      <c r="R1052" s="269"/>
      <c r="S1052" s="282"/>
      <c r="T1052" s="269"/>
      <c r="U1052" s="269"/>
      <c r="V1052" s="269"/>
      <c r="W1052" s="269"/>
      <c r="X1052" s="31"/>
    </row>
    <row r="1053" spans="4:24" x14ac:dyDescent="0.25">
      <c r="D1053" s="31"/>
      <c r="E1053" s="31"/>
      <c r="F1053" s="31"/>
      <c r="G1053" s="31"/>
      <c r="H1053" s="31"/>
      <c r="I1053" s="31"/>
      <c r="J1053" s="31"/>
      <c r="K1053" s="31"/>
      <c r="L1053" s="269"/>
      <c r="M1053" s="269"/>
      <c r="N1053" s="269"/>
      <c r="O1053" s="282"/>
      <c r="P1053" s="269"/>
      <c r="Q1053" s="269"/>
      <c r="R1053" s="269"/>
      <c r="S1053" s="282"/>
      <c r="T1053" s="269"/>
      <c r="U1053" s="269"/>
      <c r="V1053" s="269"/>
      <c r="W1053" s="269"/>
      <c r="X1053" s="31"/>
    </row>
    <row r="1054" spans="4:24" x14ac:dyDescent="0.25">
      <c r="D1054" s="31"/>
      <c r="E1054" s="31"/>
      <c r="F1054" s="31"/>
      <c r="G1054" s="31"/>
      <c r="H1054" s="31"/>
      <c r="I1054" s="31"/>
      <c r="J1054" s="31"/>
      <c r="K1054" s="31"/>
      <c r="L1054" s="269"/>
      <c r="M1054" s="269"/>
      <c r="N1054" s="269"/>
      <c r="O1054" s="282"/>
      <c r="P1054" s="269"/>
      <c r="Q1054" s="269"/>
      <c r="R1054" s="269"/>
      <c r="S1054" s="282"/>
      <c r="T1054" s="269"/>
      <c r="U1054" s="269"/>
      <c r="V1054" s="269"/>
      <c r="W1054" s="269"/>
      <c r="X1054" s="31"/>
    </row>
    <row r="1055" spans="4:24" x14ac:dyDescent="0.25">
      <c r="D1055" s="31"/>
      <c r="E1055" s="31"/>
      <c r="F1055" s="31"/>
      <c r="G1055" s="31"/>
      <c r="H1055" s="31"/>
      <c r="I1055" s="31"/>
      <c r="J1055" s="31"/>
      <c r="K1055" s="31"/>
      <c r="L1055" s="269"/>
      <c r="M1055" s="269"/>
      <c r="N1055" s="269"/>
      <c r="O1055" s="282"/>
      <c r="P1055" s="269"/>
      <c r="Q1055" s="269"/>
      <c r="R1055" s="269"/>
      <c r="S1055" s="282"/>
      <c r="T1055" s="269"/>
      <c r="U1055" s="269"/>
      <c r="V1055" s="269"/>
      <c r="W1055" s="269"/>
      <c r="X1055" s="31"/>
    </row>
    <row r="1056" spans="4:24" x14ac:dyDescent="0.25">
      <c r="D1056" s="31"/>
      <c r="E1056" s="31"/>
      <c r="F1056" s="31"/>
      <c r="G1056" s="31"/>
      <c r="H1056" s="31"/>
      <c r="I1056" s="31"/>
      <c r="J1056" s="31"/>
      <c r="K1056" s="31"/>
      <c r="L1056" s="269"/>
      <c r="M1056" s="269"/>
      <c r="N1056" s="269"/>
      <c r="O1056" s="282"/>
      <c r="P1056" s="269"/>
      <c r="Q1056" s="269"/>
      <c r="R1056" s="269"/>
      <c r="S1056" s="282"/>
      <c r="T1056" s="269"/>
      <c r="U1056" s="269"/>
      <c r="V1056" s="269"/>
      <c r="W1056" s="269"/>
      <c r="X1056" s="31"/>
    </row>
    <row r="1057" spans="4:24" x14ac:dyDescent="0.25">
      <c r="D1057" s="31"/>
      <c r="E1057" s="31"/>
      <c r="F1057" s="31"/>
      <c r="G1057" s="31"/>
      <c r="H1057" s="31"/>
      <c r="I1057" s="31"/>
      <c r="J1057" s="31"/>
      <c r="K1057" s="31"/>
      <c r="L1057" s="269"/>
      <c r="M1057" s="269"/>
      <c r="N1057" s="269"/>
      <c r="O1057" s="282"/>
      <c r="P1057" s="269"/>
      <c r="Q1057" s="269"/>
      <c r="R1057" s="269"/>
      <c r="S1057" s="282"/>
      <c r="T1057" s="269"/>
      <c r="U1057" s="269"/>
      <c r="V1057" s="269"/>
      <c r="W1057" s="269"/>
      <c r="X1057" s="31"/>
    </row>
    <row r="1058" spans="4:24" x14ac:dyDescent="0.25">
      <c r="D1058" s="31"/>
      <c r="E1058" s="31"/>
      <c r="F1058" s="31"/>
      <c r="G1058" s="31"/>
      <c r="H1058" s="31"/>
      <c r="I1058" s="31"/>
      <c r="J1058" s="31"/>
      <c r="K1058" s="31"/>
      <c r="L1058" s="269"/>
      <c r="M1058" s="269"/>
      <c r="N1058" s="269"/>
      <c r="O1058" s="282"/>
      <c r="P1058" s="269"/>
      <c r="Q1058" s="269"/>
      <c r="R1058" s="269"/>
      <c r="S1058" s="282"/>
      <c r="T1058" s="269"/>
      <c r="U1058" s="269"/>
      <c r="V1058" s="269"/>
      <c r="W1058" s="269"/>
      <c r="X1058" s="31"/>
    </row>
    <row r="1059" spans="4:24" x14ac:dyDescent="0.25">
      <c r="D1059" s="31"/>
      <c r="E1059" s="31"/>
      <c r="F1059" s="31"/>
      <c r="G1059" s="31"/>
      <c r="H1059" s="31"/>
      <c r="I1059" s="31"/>
      <c r="J1059" s="31"/>
      <c r="K1059" s="31"/>
      <c r="L1059" s="269"/>
      <c r="M1059" s="269"/>
      <c r="N1059" s="269"/>
      <c r="O1059" s="282"/>
      <c r="P1059" s="269"/>
      <c r="Q1059" s="269"/>
      <c r="R1059" s="269"/>
      <c r="S1059" s="282"/>
      <c r="T1059" s="269"/>
      <c r="U1059" s="269"/>
      <c r="V1059" s="269"/>
      <c r="W1059" s="269"/>
      <c r="X1059" s="31"/>
    </row>
    <row r="1060" spans="4:24" x14ac:dyDescent="0.25">
      <c r="D1060" s="31"/>
      <c r="E1060" s="31"/>
      <c r="F1060" s="31"/>
      <c r="G1060" s="31"/>
      <c r="H1060" s="31"/>
      <c r="I1060" s="31"/>
      <c r="J1060" s="31"/>
      <c r="K1060" s="31"/>
      <c r="L1060" s="269"/>
      <c r="M1060" s="269"/>
      <c r="N1060" s="269"/>
      <c r="O1060" s="282"/>
      <c r="P1060" s="269"/>
      <c r="Q1060" s="269"/>
      <c r="R1060" s="269"/>
      <c r="S1060" s="282"/>
      <c r="T1060" s="269"/>
      <c r="U1060" s="269"/>
      <c r="V1060" s="269"/>
      <c r="W1060" s="269"/>
      <c r="X1060" s="31"/>
    </row>
    <row r="1061" spans="4:24" x14ac:dyDescent="0.25">
      <c r="D1061" s="31"/>
      <c r="E1061" s="31"/>
      <c r="F1061" s="31"/>
      <c r="G1061" s="31"/>
      <c r="H1061" s="31"/>
      <c r="I1061" s="31"/>
      <c r="J1061" s="31"/>
      <c r="K1061" s="31"/>
      <c r="L1061" s="269"/>
      <c r="M1061" s="269"/>
      <c r="N1061" s="269"/>
      <c r="O1061" s="282"/>
      <c r="P1061" s="269"/>
      <c r="Q1061" s="269"/>
      <c r="R1061" s="269"/>
      <c r="S1061" s="282"/>
      <c r="T1061" s="269"/>
      <c r="U1061" s="269"/>
      <c r="V1061" s="269"/>
      <c r="W1061" s="269"/>
      <c r="X1061" s="31"/>
    </row>
    <row r="1062" spans="4:24" x14ac:dyDescent="0.25">
      <c r="D1062" s="31"/>
      <c r="E1062" s="31"/>
      <c r="F1062" s="31"/>
      <c r="G1062" s="31"/>
      <c r="H1062" s="31"/>
      <c r="I1062" s="31"/>
      <c r="J1062" s="31"/>
      <c r="K1062" s="31"/>
      <c r="L1062" s="269"/>
      <c r="M1062" s="269"/>
      <c r="N1062" s="269"/>
      <c r="O1062" s="282"/>
      <c r="P1062" s="269"/>
      <c r="Q1062" s="269"/>
      <c r="R1062" s="269"/>
      <c r="S1062" s="282"/>
      <c r="T1062" s="269"/>
      <c r="U1062" s="269"/>
      <c r="V1062" s="269"/>
      <c r="W1062" s="269"/>
      <c r="X1062" s="31"/>
    </row>
    <row r="1063" spans="4:24" x14ac:dyDescent="0.25">
      <c r="D1063" s="31"/>
      <c r="E1063" s="31"/>
      <c r="F1063" s="31"/>
      <c r="G1063" s="31"/>
      <c r="H1063" s="31"/>
      <c r="I1063" s="31"/>
      <c r="J1063" s="31"/>
      <c r="K1063" s="31"/>
      <c r="L1063" s="269"/>
      <c r="M1063" s="269"/>
      <c r="N1063" s="269"/>
      <c r="O1063" s="282"/>
      <c r="P1063" s="269"/>
      <c r="Q1063" s="269"/>
      <c r="R1063" s="269"/>
      <c r="S1063" s="282"/>
      <c r="T1063" s="269"/>
      <c r="U1063" s="269"/>
      <c r="V1063" s="269"/>
      <c r="W1063" s="269"/>
      <c r="X1063" s="31"/>
    </row>
    <row r="1064" spans="4:24" x14ac:dyDescent="0.25">
      <c r="D1064" s="31"/>
      <c r="E1064" s="31"/>
      <c r="F1064" s="31"/>
      <c r="G1064" s="31"/>
      <c r="H1064" s="31"/>
      <c r="I1064" s="31"/>
      <c r="J1064" s="31"/>
      <c r="K1064" s="31"/>
      <c r="L1064" s="269"/>
      <c r="M1064" s="269"/>
      <c r="N1064" s="269"/>
      <c r="O1064" s="282"/>
      <c r="P1064" s="269"/>
      <c r="Q1064" s="269"/>
      <c r="R1064" s="269"/>
      <c r="S1064" s="282"/>
      <c r="T1064" s="269"/>
      <c r="U1064" s="269"/>
      <c r="V1064" s="269"/>
      <c r="W1064" s="269"/>
      <c r="X1064" s="31"/>
    </row>
    <row r="1065" spans="4:24" x14ac:dyDescent="0.25">
      <c r="D1065" s="31"/>
      <c r="E1065" s="31"/>
      <c r="F1065" s="31"/>
      <c r="G1065" s="31"/>
      <c r="H1065" s="31"/>
      <c r="I1065" s="31"/>
      <c r="J1065" s="31"/>
      <c r="K1065" s="31"/>
      <c r="L1065" s="269"/>
      <c r="M1065" s="269"/>
      <c r="N1065" s="269"/>
      <c r="O1065" s="282"/>
      <c r="P1065" s="269"/>
      <c r="Q1065" s="269"/>
      <c r="R1065" s="269"/>
      <c r="S1065" s="282"/>
      <c r="T1065" s="269"/>
      <c r="U1065" s="269"/>
      <c r="V1065" s="269"/>
      <c r="W1065" s="269"/>
      <c r="X1065" s="31"/>
    </row>
    <row r="1066" spans="4:24" x14ac:dyDescent="0.25">
      <c r="D1066" s="31"/>
      <c r="E1066" s="31"/>
      <c r="F1066" s="31"/>
      <c r="G1066" s="31"/>
      <c r="H1066" s="31"/>
      <c r="I1066" s="31"/>
      <c r="J1066" s="31"/>
      <c r="K1066" s="31"/>
      <c r="L1066" s="269"/>
      <c r="M1066" s="269"/>
      <c r="N1066" s="269"/>
      <c r="O1066" s="282"/>
      <c r="P1066" s="269"/>
      <c r="Q1066" s="269"/>
      <c r="R1066" s="269"/>
      <c r="S1066" s="282"/>
      <c r="T1066" s="269"/>
      <c r="U1066" s="269"/>
      <c r="V1066" s="269"/>
      <c r="W1066" s="269"/>
      <c r="X1066" s="31"/>
    </row>
    <row r="1067" spans="4:24" x14ac:dyDescent="0.25">
      <c r="D1067" s="31"/>
      <c r="E1067" s="31"/>
      <c r="F1067" s="31"/>
      <c r="G1067" s="31"/>
      <c r="H1067" s="31"/>
      <c r="I1067" s="31"/>
      <c r="J1067" s="31"/>
      <c r="K1067" s="31"/>
      <c r="L1067" s="269"/>
      <c r="M1067" s="269"/>
      <c r="N1067" s="269"/>
      <c r="O1067" s="282"/>
      <c r="P1067" s="269"/>
      <c r="Q1067" s="269"/>
      <c r="R1067" s="269"/>
      <c r="S1067" s="282"/>
      <c r="T1067" s="269"/>
      <c r="U1067" s="269"/>
      <c r="V1067" s="269"/>
      <c r="W1067" s="269"/>
      <c r="X1067" s="31"/>
    </row>
    <row r="1068" spans="4:24" x14ac:dyDescent="0.25">
      <c r="D1068" s="31"/>
      <c r="E1068" s="31"/>
      <c r="F1068" s="31"/>
      <c r="G1068" s="31"/>
      <c r="H1068" s="31"/>
      <c r="I1068" s="31"/>
      <c r="J1068" s="31"/>
      <c r="K1068" s="31"/>
      <c r="L1068" s="269"/>
      <c r="M1068" s="269"/>
      <c r="N1068" s="269"/>
      <c r="O1068" s="282"/>
      <c r="P1068" s="269"/>
      <c r="Q1068" s="269"/>
      <c r="R1068" s="269"/>
      <c r="S1068" s="282"/>
      <c r="T1068" s="269"/>
      <c r="U1068" s="269"/>
      <c r="V1068" s="269"/>
      <c r="W1068" s="269"/>
      <c r="X1068" s="31"/>
    </row>
    <row r="1069" spans="4:24" x14ac:dyDescent="0.25">
      <c r="D1069" s="31"/>
      <c r="E1069" s="31"/>
      <c r="F1069" s="31"/>
      <c r="G1069" s="31"/>
      <c r="H1069" s="31"/>
      <c r="I1069" s="31"/>
      <c r="J1069" s="31"/>
      <c r="K1069" s="31"/>
      <c r="L1069" s="269"/>
      <c r="M1069" s="269"/>
      <c r="N1069" s="269"/>
      <c r="O1069" s="282"/>
      <c r="P1069" s="269"/>
      <c r="Q1069" s="269"/>
      <c r="R1069" s="269"/>
      <c r="S1069" s="282"/>
      <c r="T1069" s="269"/>
      <c r="U1069" s="269"/>
      <c r="V1069" s="269"/>
      <c r="W1069" s="269"/>
      <c r="X1069" s="31"/>
    </row>
    <row r="1070" spans="4:24" x14ac:dyDescent="0.25">
      <c r="D1070" s="31"/>
      <c r="E1070" s="31"/>
      <c r="F1070" s="31"/>
      <c r="G1070" s="31"/>
      <c r="H1070" s="31"/>
      <c r="I1070" s="31"/>
      <c r="J1070" s="31"/>
      <c r="K1070" s="31"/>
      <c r="L1070" s="269"/>
      <c r="M1070" s="269"/>
      <c r="N1070" s="269"/>
      <c r="O1070" s="282"/>
      <c r="P1070" s="269"/>
      <c r="Q1070" s="269"/>
      <c r="R1070" s="269"/>
      <c r="S1070" s="282"/>
      <c r="T1070" s="269"/>
      <c r="U1070" s="269"/>
      <c r="V1070" s="269"/>
      <c r="W1070" s="269"/>
      <c r="X1070" s="31"/>
    </row>
    <row r="1071" spans="4:24" x14ac:dyDescent="0.25">
      <c r="D1071" s="31"/>
      <c r="E1071" s="31"/>
      <c r="F1071" s="31"/>
      <c r="G1071" s="31"/>
      <c r="H1071" s="31"/>
      <c r="I1071" s="31"/>
      <c r="J1071" s="31"/>
      <c r="K1071" s="31"/>
      <c r="L1071" s="269"/>
      <c r="M1071" s="269"/>
      <c r="N1071" s="269"/>
      <c r="O1071" s="282"/>
      <c r="P1071" s="269"/>
      <c r="Q1071" s="269"/>
      <c r="R1071" s="269"/>
      <c r="S1071" s="282"/>
      <c r="T1071" s="269"/>
      <c r="U1071" s="269"/>
      <c r="V1071" s="269"/>
      <c r="W1071" s="269"/>
      <c r="X1071" s="31"/>
    </row>
    <row r="1072" spans="4:24" x14ac:dyDescent="0.25">
      <c r="D1072" s="31"/>
      <c r="E1072" s="31"/>
      <c r="F1072" s="31"/>
      <c r="G1072" s="31"/>
      <c r="H1072" s="31"/>
      <c r="I1072" s="31"/>
      <c r="J1072" s="31"/>
      <c r="K1072" s="31"/>
      <c r="L1072" s="269"/>
      <c r="M1072" s="269"/>
      <c r="N1072" s="269"/>
      <c r="O1072" s="282"/>
      <c r="P1072" s="269"/>
      <c r="Q1072" s="269"/>
      <c r="R1072" s="269"/>
      <c r="S1072" s="282"/>
      <c r="T1072" s="269"/>
      <c r="U1072" s="269"/>
      <c r="V1072" s="269"/>
      <c r="W1072" s="269"/>
      <c r="X1072" s="31"/>
    </row>
    <row r="1073" spans="4:24" x14ac:dyDescent="0.25">
      <c r="D1073" s="31"/>
      <c r="E1073" s="31"/>
      <c r="F1073" s="31"/>
      <c r="G1073" s="31"/>
      <c r="H1073" s="31"/>
      <c r="I1073" s="31"/>
      <c r="J1073" s="31"/>
      <c r="K1073" s="31"/>
      <c r="L1073" s="269"/>
      <c r="M1073" s="269"/>
      <c r="N1073" s="269"/>
      <c r="O1073" s="282"/>
      <c r="P1073" s="269"/>
      <c r="Q1073" s="269"/>
      <c r="R1073" s="269"/>
      <c r="S1073" s="282"/>
      <c r="T1073" s="269"/>
      <c r="U1073" s="269"/>
      <c r="V1073" s="269"/>
      <c r="W1073" s="269"/>
      <c r="X1073" s="31"/>
    </row>
    <row r="1074" spans="4:24" x14ac:dyDescent="0.25">
      <c r="D1074" s="31"/>
      <c r="E1074" s="31"/>
      <c r="F1074" s="31"/>
      <c r="G1074" s="31"/>
      <c r="H1074" s="31"/>
      <c r="I1074" s="31"/>
      <c r="J1074" s="31"/>
      <c r="K1074" s="31"/>
      <c r="L1074" s="269"/>
      <c r="M1074" s="269"/>
      <c r="N1074" s="269"/>
      <c r="O1074" s="282"/>
      <c r="P1074" s="269"/>
      <c r="Q1074" s="269"/>
      <c r="R1074" s="269"/>
      <c r="S1074" s="282"/>
      <c r="T1074" s="269"/>
      <c r="U1074" s="269"/>
      <c r="V1074" s="269"/>
      <c r="W1074" s="269"/>
      <c r="X1074" s="31"/>
    </row>
    <row r="1075" spans="4:24" x14ac:dyDescent="0.25">
      <c r="D1075" s="31"/>
      <c r="E1075" s="31"/>
      <c r="F1075" s="31"/>
      <c r="G1075" s="31"/>
      <c r="H1075" s="31"/>
      <c r="I1075" s="31"/>
      <c r="J1075" s="31"/>
      <c r="K1075" s="31"/>
      <c r="L1075" s="269"/>
      <c r="M1075" s="269"/>
      <c r="N1075" s="269"/>
      <c r="O1075" s="282"/>
      <c r="P1075" s="269"/>
      <c r="Q1075" s="269"/>
      <c r="R1075" s="269"/>
      <c r="S1075" s="282"/>
      <c r="T1075" s="269"/>
      <c r="U1075" s="269"/>
      <c r="V1075" s="269"/>
      <c r="W1075" s="269"/>
      <c r="X1075" s="31"/>
    </row>
    <row r="1076" spans="4:24" x14ac:dyDescent="0.25">
      <c r="D1076" s="31"/>
      <c r="E1076" s="31"/>
      <c r="F1076" s="31"/>
      <c r="G1076" s="31"/>
      <c r="H1076" s="31"/>
      <c r="I1076" s="31"/>
      <c r="J1076" s="31"/>
      <c r="K1076" s="31"/>
      <c r="L1076" s="269"/>
      <c r="M1076" s="269"/>
      <c r="N1076" s="269"/>
      <c r="O1076" s="282"/>
      <c r="P1076" s="269"/>
      <c r="Q1076" s="269"/>
      <c r="R1076" s="269"/>
      <c r="S1076" s="282"/>
      <c r="T1076" s="269"/>
      <c r="U1076" s="269"/>
      <c r="V1076" s="269"/>
      <c r="W1076" s="269"/>
      <c r="X1076" s="31"/>
    </row>
    <row r="1077" spans="4:24" x14ac:dyDescent="0.25">
      <c r="D1077" s="31"/>
      <c r="E1077" s="31"/>
      <c r="F1077" s="31"/>
      <c r="G1077" s="31"/>
      <c r="H1077" s="31"/>
      <c r="I1077" s="31"/>
      <c r="J1077" s="31"/>
      <c r="K1077" s="31"/>
      <c r="L1077" s="269"/>
      <c r="M1077" s="269"/>
      <c r="N1077" s="269"/>
      <c r="O1077" s="282"/>
      <c r="P1077" s="269"/>
      <c r="Q1077" s="269"/>
      <c r="R1077" s="269"/>
      <c r="S1077" s="282"/>
      <c r="T1077" s="269"/>
      <c r="U1077" s="269"/>
      <c r="V1077" s="269"/>
      <c r="W1077" s="269"/>
      <c r="X1077" s="31"/>
    </row>
    <row r="1078" spans="4:24" x14ac:dyDescent="0.25">
      <c r="D1078" s="31"/>
      <c r="E1078" s="31"/>
      <c r="F1078" s="31"/>
      <c r="G1078" s="31"/>
      <c r="H1078" s="31"/>
      <c r="I1078" s="31"/>
      <c r="J1078" s="31"/>
      <c r="K1078" s="31"/>
      <c r="L1078" s="269"/>
      <c r="M1078" s="269"/>
      <c r="N1078" s="269"/>
      <c r="O1078" s="282"/>
      <c r="P1078" s="269"/>
      <c r="Q1078" s="269"/>
      <c r="R1078" s="269"/>
      <c r="S1078" s="282"/>
      <c r="T1078" s="269"/>
      <c r="U1078" s="269"/>
      <c r="V1078" s="269"/>
      <c r="W1078" s="269"/>
      <c r="X1078" s="31"/>
    </row>
    <row r="1079" spans="4:24" x14ac:dyDescent="0.25">
      <c r="D1079" s="31"/>
      <c r="E1079" s="31"/>
      <c r="F1079" s="31"/>
      <c r="G1079" s="31"/>
      <c r="H1079" s="31"/>
      <c r="I1079" s="31"/>
      <c r="J1079" s="31"/>
      <c r="K1079" s="31"/>
      <c r="L1079" s="269"/>
      <c r="M1079" s="269"/>
      <c r="N1079" s="269"/>
      <c r="O1079" s="282"/>
      <c r="P1079" s="269"/>
      <c r="Q1079" s="269"/>
      <c r="R1079" s="269"/>
      <c r="S1079" s="282"/>
      <c r="T1079" s="269"/>
      <c r="U1079" s="269"/>
      <c r="V1079" s="269"/>
      <c r="W1079" s="269"/>
      <c r="X1079" s="31"/>
    </row>
    <row r="1080" spans="4:24" x14ac:dyDescent="0.25">
      <c r="D1080" s="31"/>
      <c r="E1080" s="31"/>
      <c r="F1080" s="31"/>
      <c r="G1080" s="31"/>
      <c r="H1080" s="31"/>
      <c r="I1080" s="31"/>
      <c r="J1080" s="31"/>
      <c r="K1080" s="31"/>
      <c r="L1080" s="269"/>
      <c r="M1080" s="269"/>
      <c r="N1080" s="269"/>
      <c r="O1080" s="282"/>
      <c r="P1080" s="269"/>
      <c r="Q1080" s="269"/>
      <c r="R1080" s="269"/>
      <c r="S1080" s="282"/>
      <c r="T1080" s="269"/>
      <c r="U1080" s="269"/>
      <c r="V1080" s="269"/>
      <c r="W1080" s="269"/>
      <c r="X1080" s="31"/>
    </row>
    <row r="1081" spans="4:24" x14ac:dyDescent="0.25">
      <c r="D1081" s="31"/>
      <c r="E1081" s="31"/>
      <c r="F1081" s="31"/>
      <c r="G1081" s="31"/>
      <c r="H1081" s="31"/>
      <c r="I1081" s="31"/>
      <c r="J1081" s="31"/>
      <c r="K1081" s="31"/>
      <c r="L1081" s="269"/>
      <c r="M1081" s="269"/>
      <c r="N1081" s="269"/>
      <c r="O1081" s="282"/>
      <c r="P1081" s="269"/>
      <c r="Q1081" s="269"/>
      <c r="R1081" s="269"/>
      <c r="S1081" s="282"/>
      <c r="T1081" s="269"/>
      <c r="U1081" s="269"/>
      <c r="V1081" s="269"/>
      <c r="W1081" s="269"/>
      <c r="X1081" s="31"/>
    </row>
    <row r="1082" spans="4:24" x14ac:dyDescent="0.25">
      <c r="D1082" s="31"/>
      <c r="E1082" s="31"/>
      <c r="F1082" s="31"/>
      <c r="G1082" s="31"/>
      <c r="H1082" s="31"/>
      <c r="I1082" s="31"/>
      <c r="J1082" s="31"/>
      <c r="K1082" s="31"/>
      <c r="L1082" s="269"/>
      <c r="M1082" s="269"/>
      <c r="N1082" s="269"/>
      <c r="O1082" s="282"/>
      <c r="P1082" s="269"/>
      <c r="Q1082" s="269"/>
      <c r="R1082" s="269"/>
      <c r="S1082" s="282"/>
      <c r="T1082" s="269"/>
      <c r="U1082" s="269"/>
      <c r="V1082" s="269"/>
      <c r="W1082" s="269"/>
      <c r="X1082" s="31"/>
    </row>
    <row r="1083" spans="4:24" x14ac:dyDescent="0.25">
      <c r="D1083" s="31"/>
      <c r="E1083" s="31"/>
      <c r="F1083" s="31"/>
      <c r="G1083" s="31"/>
      <c r="H1083" s="31"/>
      <c r="I1083" s="31"/>
      <c r="J1083" s="31"/>
      <c r="K1083" s="31"/>
      <c r="L1083" s="269"/>
      <c r="M1083" s="269"/>
      <c r="N1083" s="269"/>
      <c r="O1083" s="282"/>
      <c r="P1083" s="269"/>
      <c r="Q1083" s="269"/>
      <c r="R1083" s="269"/>
      <c r="S1083" s="282"/>
      <c r="T1083" s="269"/>
      <c r="U1083" s="269"/>
      <c r="V1083" s="269"/>
      <c r="W1083" s="269"/>
      <c r="X1083" s="31"/>
    </row>
    <row r="1084" spans="4:24" x14ac:dyDescent="0.25">
      <c r="D1084" s="31"/>
      <c r="E1084" s="31"/>
      <c r="F1084" s="31"/>
      <c r="G1084" s="31"/>
      <c r="H1084" s="31"/>
      <c r="I1084" s="31"/>
      <c r="J1084" s="31"/>
      <c r="K1084" s="31"/>
      <c r="L1084" s="269"/>
      <c r="M1084" s="269"/>
      <c r="N1084" s="269"/>
      <c r="O1084" s="282"/>
      <c r="P1084" s="269"/>
      <c r="Q1084" s="269"/>
      <c r="R1084" s="269"/>
      <c r="S1084" s="282"/>
      <c r="T1084" s="269"/>
      <c r="U1084" s="269"/>
      <c r="V1084" s="269"/>
      <c r="W1084" s="269"/>
      <c r="X1084" s="31"/>
    </row>
    <row r="1085" spans="4:24" x14ac:dyDescent="0.25">
      <c r="D1085" s="31"/>
      <c r="E1085" s="31"/>
      <c r="F1085" s="31"/>
      <c r="G1085" s="31"/>
      <c r="H1085" s="31"/>
      <c r="I1085" s="31"/>
      <c r="J1085" s="31"/>
      <c r="K1085" s="31"/>
      <c r="L1085" s="269"/>
      <c r="M1085" s="269"/>
      <c r="N1085" s="269"/>
      <c r="O1085" s="282"/>
      <c r="P1085" s="269"/>
      <c r="Q1085" s="269"/>
      <c r="R1085" s="269"/>
      <c r="S1085" s="282"/>
      <c r="T1085" s="269"/>
      <c r="U1085" s="269"/>
      <c r="V1085" s="269"/>
      <c r="W1085" s="269"/>
      <c r="X1085" s="31"/>
    </row>
    <row r="1086" spans="4:24" x14ac:dyDescent="0.25">
      <c r="D1086" s="31"/>
      <c r="E1086" s="31"/>
      <c r="F1086" s="31"/>
      <c r="G1086" s="31"/>
      <c r="H1086" s="31"/>
      <c r="I1086" s="31"/>
      <c r="J1086" s="31"/>
      <c r="K1086" s="31"/>
      <c r="L1086" s="269"/>
      <c r="M1086" s="269"/>
      <c r="N1086" s="269"/>
      <c r="O1086" s="282"/>
      <c r="P1086" s="269"/>
      <c r="Q1086" s="269"/>
      <c r="R1086" s="269"/>
      <c r="S1086" s="282"/>
      <c r="T1086" s="269"/>
      <c r="U1086" s="269"/>
      <c r="V1086" s="269"/>
      <c r="W1086" s="269"/>
      <c r="X1086" s="31"/>
    </row>
    <row r="1087" spans="4:24" x14ac:dyDescent="0.25">
      <c r="D1087" s="31"/>
      <c r="E1087" s="31"/>
      <c r="F1087" s="31"/>
      <c r="G1087" s="31"/>
      <c r="H1087" s="31"/>
      <c r="I1087" s="31"/>
      <c r="J1087" s="31"/>
      <c r="K1087" s="31"/>
      <c r="L1087" s="269"/>
      <c r="M1087" s="269"/>
      <c r="N1087" s="269"/>
      <c r="O1087" s="282"/>
      <c r="P1087" s="269"/>
      <c r="Q1087" s="269"/>
      <c r="R1087" s="269"/>
      <c r="S1087" s="282"/>
      <c r="T1087" s="269"/>
      <c r="U1087" s="269"/>
      <c r="V1087" s="269"/>
      <c r="W1087" s="269"/>
      <c r="X1087" s="31"/>
    </row>
    <row r="1088" spans="4:24" x14ac:dyDescent="0.25">
      <c r="D1088" s="31"/>
      <c r="E1088" s="31"/>
      <c r="F1088" s="31"/>
      <c r="G1088" s="31"/>
      <c r="H1088" s="31"/>
      <c r="I1088" s="31"/>
      <c r="J1088" s="31"/>
      <c r="K1088" s="31"/>
      <c r="L1088" s="269"/>
      <c r="M1088" s="269"/>
      <c r="N1088" s="269"/>
      <c r="O1088" s="282"/>
      <c r="P1088" s="269"/>
      <c r="Q1088" s="269"/>
      <c r="R1088" s="269"/>
      <c r="S1088" s="282"/>
      <c r="T1088" s="269"/>
      <c r="U1088" s="269"/>
      <c r="V1088" s="269"/>
      <c r="W1088" s="269"/>
      <c r="X1088" s="31"/>
    </row>
    <row r="1089" spans="4:24" x14ac:dyDescent="0.25">
      <c r="D1089" s="31"/>
      <c r="E1089" s="31"/>
      <c r="F1089" s="31"/>
      <c r="G1089" s="31"/>
      <c r="H1089" s="31"/>
      <c r="I1089" s="31"/>
      <c r="J1089" s="31"/>
      <c r="K1089" s="31"/>
      <c r="L1089" s="269"/>
      <c r="M1089" s="269"/>
      <c r="N1089" s="269"/>
      <c r="O1089" s="282"/>
      <c r="P1089" s="269"/>
      <c r="Q1089" s="269"/>
      <c r="R1089" s="269"/>
      <c r="S1089" s="282"/>
      <c r="T1089" s="269"/>
      <c r="U1089" s="269"/>
      <c r="V1089" s="269"/>
      <c r="W1089" s="269"/>
      <c r="X1089" s="31"/>
    </row>
    <row r="1090" spans="4:24" x14ac:dyDescent="0.25">
      <c r="D1090" s="31"/>
      <c r="E1090" s="31"/>
      <c r="F1090" s="31"/>
      <c r="G1090" s="31"/>
      <c r="H1090" s="31"/>
      <c r="I1090" s="31"/>
      <c r="J1090" s="31"/>
      <c r="K1090" s="31"/>
      <c r="L1090" s="269"/>
      <c r="M1090" s="269"/>
      <c r="N1090" s="269"/>
      <c r="O1090" s="282"/>
      <c r="P1090" s="269"/>
      <c r="Q1090" s="269"/>
      <c r="R1090" s="269"/>
      <c r="S1090" s="282"/>
      <c r="T1090" s="269"/>
      <c r="U1090" s="269"/>
      <c r="V1090" s="269"/>
      <c r="W1090" s="269"/>
      <c r="X1090" s="31"/>
    </row>
    <row r="1091" spans="4:24" x14ac:dyDescent="0.25">
      <c r="D1091" s="31"/>
      <c r="E1091" s="31"/>
      <c r="F1091" s="31"/>
      <c r="G1091" s="31"/>
      <c r="H1091" s="31"/>
      <c r="I1091" s="31"/>
      <c r="J1091" s="31"/>
      <c r="K1091" s="31"/>
      <c r="L1091" s="269"/>
      <c r="M1091" s="269"/>
      <c r="N1091" s="269"/>
      <c r="O1091" s="282"/>
      <c r="P1091" s="269"/>
      <c r="Q1091" s="269"/>
      <c r="R1091" s="269"/>
      <c r="S1091" s="282"/>
      <c r="T1091" s="269"/>
      <c r="U1091" s="269"/>
      <c r="V1091" s="269"/>
      <c r="W1091" s="269"/>
      <c r="X1091" s="31"/>
    </row>
    <row r="1092" spans="4:24" x14ac:dyDescent="0.25">
      <c r="D1092" s="31"/>
      <c r="E1092" s="31"/>
      <c r="F1092" s="31"/>
      <c r="G1092" s="31"/>
      <c r="H1092" s="31"/>
      <c r="I1092" s="31"/>
      <c r="J1092" s="31"/>
      <c r="K1092" s="31"/>
      <c r="L1092" s="269"/>
      <c r="M1092" s="269"/>
      <c r="N1092" s="269"/>
      <c r="O1092" s="282"/>
      <c r="P1092" s="269"/>
      <c r="Q1092" s="269"/>
      <c r="R1092" s="269"/>
      <c r="S1092" s="282"/>
      <c r="T1092" s="269"/>
      <c r="U1092" s="269"/>
      <c r="V1092" s="269"/>
      <c r="W1092" s="269"/>
      <c r="X1092" s="31"/>
    </row>
    <row r="1093" spans="4:24" x14ac:dyDescent="0.25">
      <c r="D1093" s="31"/>
      <c r="E1093" s="31"/>
      <c r="F1093" s="31"/>
      <c r="G1093" s="31"/>
      <c r="H1093" s="31"/>
      <c r="I1093" s="31"/>
      <c r="J1093" s="31"/>
      <c r="K1093" s="31"/>
      <c r="L1093" s="269"/>
      <c r="M1093" s="269"/>
      <c r="N1093" s="269"/>
      <c r="O1093" s="282"/>
      <c r="P1093" s="269"/>
      <c r="Q1093" s="269"/>
      <c r="R1093" s="269"/>
      <c r="S1093" s="282"/>
      <c r="T1093" s="269"/>
      <c r="U1093" s="269"/>
      <c r="V1093" s="269"/>
      <c r="W1093" s="269"/>
      <c r="X1093" s="31"/>
    </row>
    <row r="1094" spans="4:24" x14ac:dyDescent="0.25">
      <c r="D1094" s="31"/>
      <c r="E1094" s="31"/>
      <c r="F1094" s="31"/>
      <c r="G1094" s="31"/>
      <c r="H1094" s="31"/>
      <c r="I1094" s="31"/>
      <c r="J1094" s="31"/>
      <c r="K1094" s="31"/>
      <c r="L1094" s="269"/>
      <c r="M1094" s="269"/>
      <c r="N1094" s="269"/>
      <c r="O1094" s="282"/>
      <c r="P1094" s="269"/>
      <c r="Q1094" s="269"/>
      <c r="R1094" s="269"/>
      <c r="S1094" s="282"/>
      <c r="T1094" s="269"/>
      <c r="U1094" s="269"/>
      <c r="V1094" s="269"/>
      <c r="W1094" s="269"/>
      <c r="X1094" s="31"/>
    </row>
    <row r="1095" spans="4:24" x14ac:dyDescent="0.25">
      <c r="D1095" s="31"/>
      <c r="E1095" s="31"/>
      <c r="F1095" s="31"/>
      <c r="G1095" s="31"/>
      <c r="H1095" s="31"/>
      <c r="I1095" s="31"/>
      <c r="J1095" s="31"/>
      <c r="K1095" s="31"/>
      <c r="L1095" s="269"/>
      <c r="M1095" s="269"/>
      <c r="N1095" s="269"/>
      <c r="O1095" s="282"/>
      <c r="P1095" s="269"/>
      <c r="Q1095" s="269"/>
      <c r="R1095" s="269"/>
      <c r="S1095" s="282"/>
      <c r="T1095" s="269"/>
      <c r="U1095" s="269"/>
      <c r="V1095" s="269"/>
      <c r="W1095" s="269"/>
      <c r="X1095" s="31"/>
    </row>
    <row r="1096" spans="4:24" x14ac:dyDescent="0.25">
      <c r="D1096" s="31"/>
      <c r="E1096" s="31"/>
      <c r="F1096" s="31"/>
      <c r="G1096" s="31"/>
      <c r="H1096" s="31"/>
      <c r="I1096" s="31"/>
      <c r="J1096" s="31"/>
      <c r="K1096" s="31"/>
      <c r="L1096" s="269"/>
      <c r="M1096" s="269"/>
      <c r="N1096" s="269"/>
      <c r="O1096" s="282"/>
      <c r="P1096" s="269"/>
      <c r="Q1096" s="269"/>
      <c r="R1096" s="269"/>
      <c r="S1096" s="282"/>
      <c r="T1096" s="269"/>
      <c r="U1096" s="269"/>
      <c r="V1096" s="269"/>
      <c r="W1096" s="269"/>
      <c r="X1096" s="31"/>
    </row>
    <row r="1097" spans="4:24" x14ac:dyDescent="0.25">
      <c r="D1097" s="31"/>
      <c r="E1097" s="31"/>
      <c r="F1097" s="31"/>
      <c r="G1097" s="31"/>
      <c r="H1097" s="31"/>
      <c r="I1097" s="31"/>
      <c r="J1097" s="31"/>
      <c r="K1097" s="31"/>
      <c r="L1097" s="269"/>
      <c r="M1097" s="269"/>
      <c r="N1097" s="269"/>
      <c r="O1097" s="282"/>
      <c r="P1097" s="269"/>
      <c r="Q1097" s="269"/>
      <c r="R1097" s="269"/>
      <c r="S1097" s="282"/>
      <c r="T1097" s="269"/>
      <c r="U1097" s="269"/>
      <c r="V1097" s="269"/>
      <c r="W1097" s="269"/>
      <c r="X1097" s="31"/>
    </row>
    <row r="1098" spans="4:24" x14ac:dyDescent="0.25">
      <c r="D1098" s="31"/>
      <c r="E1098" s="31"/>
      <c r="F1098" s="31"/>
      <c r="G1098" s="31"/>
      <c r="H1098" s="31"/>
      <c r="I1098" s="31"/>
      <c r="J1098" s="31"/>
      <c r="K1098" s="31"/>
      <c r="L1098" s="269"/>
      <c r="M1098" s="269"/>
      <c r="N1098" s="269"/>
      <c r="O1098" s="282"/>
      <c r="P1098" s="269"/>
      <c r="Q1098" s="269"/>
      <c r="R1098" s="269"/>
      <c r="S1098" s="282"/>
      <c r="T1098" s="269"/>
      <c r="U1098" s="269"/>
      <c r="V1098" s="269"/>
      <c r="W1098" s="269"/>
      <c r="X1098" s="31"/>
    </row>
    <row r="1099" spans="4:24" x14ac:dyDescent="0.25">
      <c r="D1099" s="31"/>
      <c r="E1099" s="31"/>
      <c r="F1099" s="31"/>
      <c r="G1099" s="31"/>
      <c r="H1099" s="31"/>
      <c r="I1099" s="31"/>
      <c r="J1099" s="31"/>
      <c r="K1099" s="31"/>
      <c r="L1099" s="269"/>
      <c r="M1099" s="269"/>
      <c r="N1099" s="269"/>
      <c r="O1099" s="282"/>
      <c r="P1099" s="269"/>
      <c r="Q1099" s="269"/>
      <c r="R1099" s="269"/>
      <c r="S1099" s="282"/>
      <c r="T1099" s="269"/>
      <c r="U1099" s="269"/>
      <c r="V1099" s="269"/>
      <c r="W1099" s="269"/>
      <c r="X1099" s="31"/>
    </row>
    <row r="1100" spans="4:24" x14ac:dyDescent="0.25">
      <c r="D1100" s="31"/>
      <c r="E1100" s="31"/>
      <c r="F1100" s="31"/>
      <c r="G1100" s="31"/>
      <c r="H1100" s="31"/>
      <c r="I1100" s="31"/>
      <c r="J1100" s="31"/>
      <c r="K1100" s="31"/>
      <c r="L1100" s="269"/>
      <c r="M1100" s="269"/>
      <c r="N1100" s="269"/>
      <c r="O1100" s="282"/>
      <c r="P1100" s="269"/>
      <c r="Q1100" s="269"/>
      <c r="R1100" s="269"/>
      <c r="S1100" s="282"/>
      <c r="T1100" s="269"/>
      <c r="U1100" s="269"/>
      <c r="V1100" s="269"/>
      <c r="W1100" s="269"/>
      <c r="X1100" s="31"/>
    </row>
    <row r="1101" spans="4:24" x14ac:dyDescent="0.25">
      <c r="D1101" s="31"/>
      <c r="E1101" s="31"/>
      <c r="F1101" s="31"/>
      <c r="G1101" s="31"/>
      <c r="H1101" s="31"/>
      <c r="I1101" s="31"/>
      <c r="J1101" s="31"/>
      <c r="K1101" s="31"/>
      <c r="L1101" s="269"/>
      <c r="M1101" s="269"/>
      <c r="N1101" s="269"/>
      <c r="O1101" s="282"/>
      <c r="P1101" s="269"/>
      <c r="Q1101" s="269"/>
      <c r="R1101" s="269"/>
      <c r="S1101" s="282"/>
      <c r="T1101" s="269"/>
      <c r="U1101" s="269"/>
      <c r="V1101" s="269"/>
      <c r="W1101" s="269"/>
      <c r="X1101" s="31"/>
    </row>
    <row r="1102" spans="4:24" x14ac:dyDescent="0.25">
      <c r="D1102" s="31"/>
      <c r="E1102" s="31"/>
      <c r="F1102" s="31"/>
      <c r="G1102" s="31"/>
      <c r="H1102" s="31"/>
      <c r="I1102" s="31"/>
      <c r="J1102" s="31"/>
      <c r="K1102" s="31"/>
      <c r="L1102" s="269"/>
      <c r="M1102" s="269"/>
      <c r="N1102" s="269"/>
      <c r="O1102" s="282"/>
      <c r="P1102" s="269"/>
      <c r="Q1102" s="269"/>
      <c r="R1102" s="269"/>
      <c r="S1102" s="282"/>
      <c r="T1102" s="269"/>
      <c r="U1102" s="269"/>
      <c r="V1102" s="269"/>
      <c r="W1102" s="269"/>
      <c r="X1102" s="31"/>
    </row>
    <row r="1103" spans="4:24" x14ac:dyDescent="0.25">
      <c r="D1103" s="31"/>
      <c r="E1103" s="31"/>
      <c r="F1103" s="31"/>
      <c r="G1103" s="31"/>
      <c r="H1103" s="31"/>
      <c r="I1103" s="31"/>
      <c r="J1103" s="31"/>
      <c r="K1103" s="31"/>
      <c r="L1103" s="269"/>
      <c r="M1103" s="269"/>
      <c r="N1103" s="269"/>
      <c r="O1103" s="282"/>
      <c r="P1103" s="269"/>
      <c r="Q1103" s="269"/>
      <c r="R1103" s="269"/>
      <c r="S1103" s="282"/>
      <c r="T1103" s="269"/>
      <c r="U1103" s="269"/>
      <c r="V1103" s="269"/>
      <c r="W1103" s="269"/>
      <c r="X1103" s="31"/>
    </row>
    <row r="1104" spans="4:24" x14ac:dyDescent="0.25">
      <c r="D1104" s="31"/>
      <c r="E1104" s="31"/>
      <c r="F1104" s="31"/>
      <c r="G1104" s="31"/>
      <c r="H1104" s="31"/>
      <c r="I1104" s="31"/>
      <c r="J1104" s="31"/>
      <c r="K1104" s="31"/>
      <c r="L1104" s="269"/>
      <c r="M1104" s="269"/>
      <c r="N1104" s="269"/>
      <c r="O1104" s="282"/>
      <c r="P1104" s="269"/>
      <c r="Q1104" s="269"/>
      <c r="R1104" s="269"/>
      <c r="S1104" s="282"/>
      <c r="T1104" s="269"/>
      <c r="U1104" s="269"/>
      <c r="V1104" s="269"/>
      <c r="W1104" s="269"/>
      <c r="X1104" s="31"/>
    </row>
    <row r="1105" spans="4:24" x14ac:dyDescent="0.25">
      <c r="D1105" s="31"/>
      <c r="E1105" s="31"/>
      <c r="F1105" s="31"/>
      <c r="G1105" s="31"/>
      <c r="H1105" s="31"/>
      <c r="I1105" s="31"/>
      <c r="J1105" s="31"/>
      <c r="K1105" s="31"/>
      <c r="L1105" s="269"/>
      <c r="M1105" s="269"/>
      <c r="N1105" s="269"/>
      <c r="O1105" s="282"/>
      <c r="P1105" s="269"/>
      <c r="Q1105" s="269"/>
      <c r="R1105" s="269"/>
      <c r="S1105" s="282"/>
      <c r="T1105" s="269"/>
      <c r="U1105" s="269"/>
      <c r="V1105" s="269"/>
      <c r="W1105" s="269"/>
      <c r="X1105" s="31"/>
    </row>
    <row r="1106" spans="4:24" x14ac:dyDescent="0.25">
      <c r="D1106" s="31"/>
      <c r="E1106" s="31"/>
      <c r="F1106" s="31"/>
      <c r="G1106" s="31"/>
      <c r="H1106" s="31"/>
      <c r="I1106" s="31"/>
      <c r="J1106" s="31"/>
      <c r="K1106" s="31"/>
      <c r="L1106" s="269"/>
      <c r="M1106" s="269"/>
      <c r="N1106" s="269"/>
      <c r="O1106" s="282"/>
      <c r="P1106" s="269"/>
      <c r="Q1106" s="269"/>
      <c r="R1106" s="269"/>
      <c r="S1106" s="282"/>
      <c r="T1106" s="269"/>
      <c r="U1106" s="269"/>
      <c r="V1106" s="269"/>
      <c r="W1106" s="269"/>
      <c r="X1106" s="31"/>
    </row>
    <row r="1107" spans="4:24" x14ac:dyDescent="0.25">
      <c r="D1107" s="31"/>
      <c r="E1107" s="31"/>
      <c r="F1107" s="31"/>
      <c r="G1107" s="31"/>
      <c r="H1107" s="31"/>
      <c r="I1107" s="31"/>
      <c r="J1107" s="31"/>
      <c r="K1107" s="31"/>
      <c r="L1107" s="269"/>
      <c r="M1107" s="269"/>
      <c r="N1107" s="269"/>
      <c r="O1107" s="282"/>
      <c r="P1107" s="269"/>
      <c r="Q1107" s="269"/>
      <c r="R1107" s="269"/>
      <c r="S1107" s="282"/>
      <c r="T1107" s="269"/>
      <c r="U1107" s="269"/>
      <c r="V1107" s="269"/>
      <c r="W1107" s="269"/>
      <c r="X1107" s="31"/>
    </row>
    <row r="1108" spans="4:24" x14ac:dyDescent="0.25">
      <c r="D1108" s="31"/>
      <c r="E1108" s="31"/>
      <c r="F1108" s="31"/>
      <c r="G1108" s="31"/>
      <c r="H1108" s="31"/>
      <c r="I1108" s="31"/>
      <c r="J1108" s="31"/>
      <c r="K1108" s="31"/>
      <c r="L1108" s="269"/>
      <c r="M1108" s="269"/>
      <c r="N1108" s="269"/>
      <c r="O1108" s="282"/>
      <c r="P1108" s="269"/>
      <c r="Q1108" s="269"/>
      <c r="R1108" s="269"/>
      <c r="S1108" s="282"/>
      <c r="T1108" s="269"/>
      <c r="U1108" s="269"/>
      <c r="V1108" s="269"/>
      <c r="W1108" s="269"/>
      <c r="X1108" s="31"/>
    </row>
    <row r="1109" spans="4:24" x14ac:dyDescent="0.25">
      <c r="D1109" s="31"/>
      <c r="E1109" s="31"/>
      <c r="F1109" s="31"/>
      <c r="G1109" s="31"/>
      <c r="H1109" s="31"/>
      <c r="I1109" s="31"/>
      <c r="J1109" s="31"/>
      <c r="K1109" s="31"/>
      <c r="L1109" s="269"/>
      <c r="M1109" s="269"/>
      <c r="N1109" s="269"/>
      <c r="O1109" s="282"/>
      <c r="P1109" s="269"/>
      <c r="Q1109" s="269"/>
      <c r="R1109" s="269"/>
      <c r="S1109" s="282"/>
      <c r="T1109" s="269"/>
      <c r="U1109" s="269"/>
      <c r="V1109" s="269"/>
      <c r="W1109" s="269"/>
      <c r="X1109" s="31"/>
    </row>
    <row r="1110" spans="4:24" x14ac:dyDescent="0.25">
      <c r="D1110" s="31"/>
      <c r="E1110" s="31"/>
      <c r="F1110" s="31"/>
      <c r="G1110" s="31"/>
      <c r="H1110" s="31"/>
      <c r="I1110" s="31"/>
      <c r="J1110" s="31"/>
      <c r="K1110" s="31"/>
      <c r="L1110" s="269"/>
      <c r="M1110" s="269"/>
      <c r="N1110" s="269"/>
      <c r="O1110" s="282"/>
      <c r="P1110" s="269"/>
      <c r="Q1110" s="269"/>
      <c r="R1110" s="269"/>
      <c r="S1110" s="282"/>
      <c r="T1110" s="269"/>
      <c r="U1110" s="269"/>
      <c r="V1110" s="269"/>
      <c r="W1110" s="269"/>
      <c r="X1110" s="31"/>
    </row>
    <row r="1111" spans="4:24" x14ac:dyDescent="0.25">
      <c r="D1111" s="31"/>
      <c r="E1111" s="31"/>
      <c r="F1111" s="31"/>
      <c r="G1111" s="31"/>
      <c r="H1111" s="31"/>
      <c r="I1111" s="31"/>
      <c r="J1111" s="31"/>
      <c r="K1111" s="31"/>
      <c r="L1111" s="269"/>
      <c r="M1111" s="269"/>
      <c r="N1111" s="269"/>
      <c r="O1111" s="282"/>
      <c r="P1111" s="269"/>
      <c r="Q1111" s="269"/>
      <c r="R1111" s="269"/>
      <c r="S1111" s="282"/>
      <c r="T1111" s="269"/>
      <c r="U1111" s="269"/>
      <c r="V1111" s="269"/>
      <c r="W1111" s="269"/>
      <c r="X1111" s="31"/>
    </row>
    <row r="1112" spans="4:24" x14ac:dyDescent="0.25">
      <c r="D1112" s="31"/>
      <c r="E1112" s="31"/>
      <c r="F1112" s="31"/>
      <c r="G1112" s="31"/>
      <c r="H1112" s="31"/>
      <c r="I1112" s="31"/>
      <c r="J1112" s="31"/>
      <c r="K1112" s="31"/>
      <c r="L1112" s="269"/>
      <c r="M1112" s="269"/>
      <c r="N1112" s="269"/>
      <c r="O1112" s="282"/>
      <c r="P1112" s="269"/>
      <c r="Q1112" s="269"/>
      <c r="R1112" s="269"/>
      <c r="S1112" s="282"/>
      <c r="T1112" s="269"/>
      <c r="U1112" s="269"/>
      <c r="V1112" s="269"/>
      <c r="W1112" s="269"/>
      <c r="X1112" s="31"/>
    </row>
    <row r="1113" spans="4:24" x14ac:dyDescent="0.25">
      <c r="D1113" s="31"/>
      <c r="E1113" s="31"/>
      <c r="F1113" s="31"/>
      <c r="G1113" s="31"/>
      <c r="H1113" s="31"/>
      <c r="I1113" s="31"/>
      <c r="J1113" s="31"/>
      <c r="K1113" s="31"/>
      <c r="L1113" s="269"/>
      <c r="M1113" s="269"/>
      <c r="N1113" s="269"/>
      <c r="O1113" s="282"/>
      <c r="P1113" s="269"/>
      <c r="Q1113" s="269"/>
      <c r="R1113" s="269"/>
      <c r="S1113" s="282"/>
      <c r="T1113" s="269"/>
      <c r="U1113" s="269"/>
      <c r="V1113" s="269"/>
      <c r="W1113" s="269"/>
      <c r="X1113" s="31"/>
    </row>
    <row r="1114" spans="4:24" x14ac:dyDescent="0.25">
      <c r="D1114" s="31"/>
      <c r="E1114" s="31"/>
      <c r="F1114" s="31"/>
      <c r="G1114" s="31"/>
      <c r="H1114" s="31"/>
      <c r="I1114" s="31"/>
      <c r="J1114" s="31"/>
      <c r="K1114" s="31"/>
      <c r="L1114" s="269"/>
      <c r="M1114" s="269"/>
      <c r="N1114" s="269"/>
      <c r="O1114" s="282"/>
      <c r="P1114" s="269"/>
      <c r="Q1114" s="269"/>
      <c r="R1114" s="269"/>
      <c r="S1114" s="282"/>
      <c r="T1114" s="269"/>
      <c r="U1114" s="269"/>
      <c r="V1114" s="269"/>
      <c r="W1114" s="269"/>
      <c r="X1114" s="31"/>
    </row>
    <row r="1115" spans="4:24" x14ac:dyDescent="0.25">
      <c r="D1115" s="31"/>
      <c r="E1115" s="31"/>
      <c r="F1115" s="31"/>
      <c r="G1115" s="31"/>
      <c r="H1115" s="31"/>
      <c r="I1115" s="31"/>
      <c r="J1115" s="31"/>
      <c r="K1115" s="31"/>
      <c r="L1115" s="269"/>
      <c r="M1115" s="269"/>
      <c r="N1115" s="269"/>
      <c r="O1115" s="282"/>
      <c r="P1115" s="269"/>
      <c r="Q1115" s="269"/>
      <c r="R1115" s="269"/>
      <c r="S1115" s="282"/>
      <c r="T1115" s="269"/>
      <c r="U1115" s="269"/>
      <c r="V1115" s="269"/>
      <c r="W1115" s="269"/>
      <c r="X1115" s="31"/>
    </row>
    <row r="1116" spans="4:24" x14ac:dyDescent="0.25">
      <c r="D1116" s="31"/>
      <c r="E1116" s="31"/>
      <c r="F1116" s="31"/>
      <c r="G1116" s="31"/>
      <c r="H1116" s="31"/>
      <c r="I1116" s="31"/>
      <c r="J1116" s="31"/>
      <c r="K1116" s="31"/>
      <c r="L1116" s="269"/>
      <c r="M1116" s="269"/>
      <c r="N1116" s="269"/>
      <c r="O1116" s="282"/>
      <c r="P1116" s="269"/>
      <c r="Q1116" s="269"/>
      <c r="R1116" s="269"/>
      <c r="S1116" s="282"/>
      <c r="T1116" s="269"/>
      <c r="U1116" s="269"/>
      <c r="V1116" s="269"/>
      <c r="W1116" s="269"/>
      <c r="X1116" s="31"/>
    </row>
    <row r="1117" spans="4:24" x14ac:dyDescent="0.25">
      <c r="D1117" s="31"/>
      <c r="E1117" s="31"/>
      <c r="F1117" s="31"/>
      <c r="G1117" s="31"/>
      <c r="H1117" s="31"/>
      <c r="I1117" s="31"/>
      <c r="J1117" s="31"/>
      <c r="K1117" s="31"/>
      <c r="L1117" s="269"/>
      <c r="M1117" s="269"/>
      <c r="N1117" s="269"/>
      <c r="O1117" s="282"/>
      <c r="P1117" s="269"/>
      <c r="Q1117" s="269"/>
      <c r="R1117" s="269"/>
      <c r="S1117" s="282"/>
      <c r="T1117" s="269"/>
      <c r="U1117" s="269"/>
      <c r="V1117" s="269"/>
      <c r="W1117" s="269"/>
      <c r="X1117" s="31"/>
    </row>
    <row r="1118" spans="4:24" x14ac:dyDescent="0.25">
      <c r="D1118" s="31"/>
      <c r="E1118" s="31"/>
      <c r="F1118" s="31"/>
      <c r="G1118" s="31"/>
      <c r="H1118" s="31"/>
      <c r="I1118" s="31"/>
      <c r="J1118" s="31"/>
      <c r="K1118" s="31"/>
      <c r="L1118" s="269"/>
      <c r="M1118" s="269"/>
      <c r="N1118" s="269"/>
      <c r="O1118" s="282"/>
      <c r="P1118" s="269"/>
      <c r="Q1118" s="269"/>
      <c r="R1118" s="269"/>
      <c r="S1118" s="282"/>
      <c r="T1118" s="269"/>
      <c r="U1118" s="269"/>
      <c r="V1118" s="269"/>
      <c r="W1118" s="269"/>
      <c r="X1118" s="31"/>
    </row>
    <row r="1119" spans="4:24" x14ac:dyDescent="0.25">
      <c r="D1119" s="31"/>
      <c r="E1119" s="31"/>
      <c r="F1119" s="31"/>
      <c r="G1119" s="31"/>
      <c r="H1119" s="31"/>
      <c r="I1119" s="31"/>
      <c r="J1119" s="31"/>
      <c r="K1119" s="31"/>
      <c r="L1119" s="269"/>
      <c r="M1119" s="269"/>
      <c r="N1119" s="269"/>
      <c r="O1119" s="282"/>
      <c r="P1119" s="269"/>
      <c r="Q1119" s="269"/>
      <c r="R1119" s="269"/>
      <c r="S1119" s="282"/>
      <c r="T1119" s="269"/>
      <c r="U1119" s="269"/>
      <c r="V1119" s="269"/>
      <c r="W1119" s="269"/>
      <c r="X1119" s="31"/>
    </row>
    <row r="1120" spans="4:24" x14ac:dyDescent="0.25">
      <c r="D1120" s="31"/>
      <c r="E1120" s="31"/>
      <c r="F1120" s="31"/>
      <c r="G1120" s="31"/>
      <c r="H1120" s="31"/>
      <c r="I1120" s="31"/>
      <c r="J1120" s="31"/>
      <c r="K1120" s="31"/>
      <c r="L1120" s="269"/>
      <c r="M1120" s="269"/>
      <c r="N1120" s="269"/>
      <c r="O1120" s="282"/>
      <c r="P1120" s="269"/>
      <c r="Q1120" s="269"/>
      <c r="R1120" s="269"/>
      <c r="S1120" s="282"/>
      <c r="T1120" s="269"/>
      <c r="U1120" s="269"/>
      <c r="V1120" s="269"/>
      <c r="W1120" s="269"/>
      <c r="X1120" s="31"/>
    </row>
    <row r="1121" spans="4:24" x14ac:dyDescent="0.25">
      <c r="D1121" s="31"/>
      <c r="E1121" s="31"/>
      <c r="F1121" s="31"/>
      <c r="G1121" s="31"/>
      <c r="H1121" s="31"/>
      <c r="I1121" s="31"/>
      <c r="J1121" s="31"/>
      <c r="K1121" s="31"/>
      <c r="L1121" s="269"/>
      <c r="M1121" s="269"/>
      <c r="N1121" s="269"/>
      <c r="O1121" s="282"/>
      <c r="P1121" s="269"/>
      <c r="Q1121" s="269"/>
      <c r="R1121" s="269"/>
      <c r="S1121" s="282"/>
      <c r="T1121" s="269"/>
      <c r="U1121" s="269"/>
      <c r="V1121" s="269"/>
      <c r="W1121" s="269"/>
      <c r="X1121" s="31"/>
    </row>
    <row r="1122" spans="4:24" x14ac:dyDescent="0.25">
      <c r="D1122" s="31"/>
      <c r="E1122" s="31"/>
      <c r="F1122" s="31"/>
      <c r="G1122" s="31"/>
      <c r="H1122" s="31"/>
      <c r="I1122" s="31"/>
      <c r="J1122" s="31"/>
      <c r="K1122" s="31"/>
      <c r="L1122" s="269"/>
      <c r="M1122" s="269"/>
      <c r="N1122" s="269"/>
      <c r="O1122" s="282"/>
      <c r="P1122" s="269"/>
      <c r="Q1122" s="269"/>
      <c r="R1122" s="269"/>
      <c r="S1122" s="282"/>
      <c r="T1122" s="269"/>
      <c r="U1122" s="269"/>
      <c r="V1122" s="269"/>
      <c r="W1122" s="269"/>
      <c r="X1122" s="31"/>
    </row>
    <row r="1123" spans="4:24" x14ac:dyDescent="0.25">
      <c r="D1123" s="31"/>
      <c r="E1123" s="31"/>
      <c r="F1123" s="31"/>
      <c r="G1123" s="31"/>
      <c r="H1123" s="31"/>
      <c r="I1123" s="31"/>
      <c r="J1123" s="31"/>
      <c r="K1123" s="31"/>
      <c r="L1123" s="269"/>
      <c r="M1123" s="269"/>
      <c r="N1123" s="269"/>
      <c r="O1123" s="282"/>
      <c r="P1123" s="269"/>
      <c r="Q1123" s="269"/>
      <c r="R1123" s="269"/>
      <c r="S1123" s="282"/>
      <c r="T1123" s="269"/>
      <c r="U1123" s="269"/>
      <c r="V1123" s="269"/>
      <c r="W1123" s="269"/>
      <c r="X1123" s="31"/>
    </row>
    <row r="1124" spans="4:24" x14ac:dyDescent="0.25">
      <c r="D1124" s="31"/>
      <c r="E1124" s="31"/>
      <c r="F1124" s="31"/>
      <c r="G1124" s="31"/>
      <c r="H1124" s="31"/>
      <c r="I1124" s="31"/>
      <c r="J1124" s="31"/>
      <c r="K1124" s="31"/>
      <c r="L1124" s="269"/>
      <c r="M1124" s="269"/>
      <c r="N1124" s="269"/>
      <c r="O1124" s="282"/>
      <c r="P1124" s="269"/>
      <c r="Q1124" s="269"/>
      <c r="R1124" s="269"/>
      <c r="S1124" s="282"/>
      <c r="T1124" s="269"/>
      <c r="U1124" s="269"/>
      <c r="V1124" s="269"/>
      <c r="W1124" s="269"/>
      <c r="X1124" s="31"/>
    </row>
    <row r="1125" spans="4:24" x14ac:dyDescent="0.25">
      <c r="D1125" s="31"/>
      <c r="E1125" s="31"/>
      <c r="F1125" s="31"/>
      <c r="G1125" s="31"/>
      <c r="H1125" s="31"/>
      <c r="I1125" s="31"/>
      <c r="J1125" s="31"/>
      <c r="K1125" s="31"/>
      <c r="L1125" s="269"/>
      <c r="M1125" s="269"/>
      <c r="N1125" s="269"/>
      <c r="O1125" s="282"/>
      <c r="P1125" s="269"/>
      <c r="Q1125" s="269"/>
      <c r="R1125" s="269"/>
      <c r="S1125" s="282"/>
      <c r="T1125" s="269"/>
      <c r="U1125" s="269"/>
      <c r="V1125" s="269"/>
      <c r="W1125" s="269"/>
      <c r="X1125" s="31"/>
    </row>
    <row r="1126" spans="4:24" x14ac:dyDescent="0.25">
      <c r="D1126" s="31"/>
      <c r="E1126" s="31"/>
      <c r="F1126" s="31"/>
      <c r="G1126" s="31"/>
      <c r="H1126" s="31"/>
      <c r="I1126" s="31"/>
      <c r="J1126" s="31"/>
      <c r="K1126" s="31"/>
      <c r="L1126" s="269"/>
      <c r="M1126" s="269"/>
      <c r="N1126" s="269"/>
      <c r="O1126" s="282"/>
      <c r="P1126" s="269"/>
      <c r="Q1126" s="269"/>
      <c r="R1126" s="269"/>
      <c r="S1126" s="282"/>
      <c r="T1126" s="269"/>
      <c r="U1126" s="269"/>
      <c r="V1126" s="269"/>
      <c r="W1126" s="269"/>
      <c r="X1126" s="31"/>
    </row>
    <row r="1127" spans="4:24" x14ac:dyDescent="0.25">
      <c r="D1127" s="31"/>
      <c r="E1127" s="31"/>
      <c r="F1127" s="31"/>
      <c r="G1127" s="31"/>
      <c r="H1127" s="31"/>
      <c r="I1127" s="31"/>
      <c r="J1127" s="31"/>
      <c r="K1127" s="31"/>
      <c r="L1127" s="269"/>
      <c r="M1127" s="269"/>
      <c r="N1127" s="269"/>
      <c r="O1127" s="282"/>
      <c r="P1127" s="269"/>
      <c r="Q1127" s="269"/>
      <c r="R1127" s="269"/>
      <c r="S1127" s="282"/>
      <c r="T1127" s="269"/>
      <c r="U1127" s="269"/>
      <c r="V1127" s="269"/>
      <c r="W1127" s="269"/>
      <c r="X1127" s="31"/>
    </row>
    <row r="1128" spans="4:24" x14ac:dyDescent="0.25">
      <c r="D1128" s="31"/>
      <c r="E1128" s="31"/>
      <c r="F1128" s="31"/>
      <c r="G1128" s="31"/>
      <c r="H1128" s="31"/>
      <c r="I1128" s="31"/>
      <c r="J1128" s="31"/>
      <c r="K1128" s="31"/>
      <c r="L1128" s="269"/>
      <c r="M1128" s="269"/>
      <c r="N1128" s="269"/>
      <c r="O1128" s="282"/>
      <c r="P1128" s="269"/>
      <c r="Q1128" s="269"/>
      <c r="R1128" s="269"/>
      <c r="S1128" s="282"/>
      <c r="T1128" s="269"/>
      <c r="U1128" s="269"/>
      <c r="V1128" s="269"/>
      <c r="W1128" s="269"/>
      <c r="X1128" s="31"/>
    </row>
    <row r="1129" spans="4:24" x14ac:dyDescent="0.25">
      <c r="D1129" s="31"/>
      <c r="E1129" s="31"/>
      <c r="F1129" s="31"/>
      <c r="G1129" s="31"/>
      <c r="H1129" s="31"/>
      <c r="I1129" s="31"/>
      <c r="J1129" s="31"/>
      <c r="K1129" s="31"/>
      <c r="L1129" s="269"/>
      <c r="M1129" s="269"/>
      <c r="N1129" s="269"/>
      <c r="O1129" s="282"/>
      <c r="P1129" s="269"/>
      <c r="Q1129" s="269"/>
      <c r="R1129" s="269"/>
      <c r="S1129" s="282"/>
      <c r="T1129" s="269"/>
      <c r="U1129" s="269"/>
      <c r="V1129" s="269"/>
      <c r="W1129" s="269"/>
      <c r="X1129" s="31"/>
    </row>
    <row r="1130" spans="4:24" x14ac:dyDescent="0.25">
      <c r="D1130" s="31"/>
      <c r="E1130" s="31"/>
      <c r="F1130" s="31"/>
      <c r="G1130" s="31"/>
      <c r="H1130" s="31"/>
      <c r="I1130" s="31"/>
      <c r="J1130" s="31"/>
      <c r="K1130" s="31"/>
      <c r="L1130" s="269"/>
      <c r="M1130" s="269"/>
      <c r="N1130" s="269"/>
      <c r="O1130" s="282"/>
      <c r="P1130" s="269"/>
      <c r="Q1130" s="269"/>
      <c r="R1130" s="269"/>
      <c r="S1130" s="282"/>
      <c r="T1130" s="269"/>
      <c r="U1130" s="269"/>
      <c r="V1130" s="269"/>
      <c r="W1130" s="269"/>
      <c r="X1130" s="31"/>
    </row>
    <row r="1131" spans="4:24" x14ac:dyDescent="0.25">
      <c r="D1131" s="31"/>
      <c r="E1131" s="31"/>
      <c r="F1131" s="31"/>
      <c r="G1131" s="31"/>
      <c r="H1131" s="31"/>
      <c r="I1131" s="31"/>
      <c r="J1131" s="31"/>
      <c r="K1131" s="31"/>
      <c r="L1131" s="269"/>
      <c r="M1131" s="269"/>
      <c r="N1131" s="269"/>
      <c r="O1131" s="282"/>
      <c r="P1131" s="269"/>
      <c r="Q1131" s="269"/>
      <c r="R1131" s="269"/>
      <c r="S1131" s="282"/>
      <c r="T1131" s="269"/>
      <c r="U1131" s="269"/>
      <c r="V1131" s="269"/>
      <c r="W1131" s="269"/>
      <c r="X1131" s="31"/>
    </row>
    <row r="1132" spans="4:24" x14ac:dyDescent="0.25">
      <c r="D1132" s="31"/>
      <c r="E1132" s="31"/>
      <c r="F1132" s="31"/>
      <c r="G1132" s="31"/>
      <c r="H1132" s="31"/>
      <c r="I1132" s="31"/>
      <c r="J1132" s="31"/>
      <c r="K1132" s="31"/>
      <c r="L1132" s="269"/>
      <c r="M1132" s="269"/>
      <c r="N1132" s="269"/>
      <c r="O1132" s="282"/>
      <c r="P1132" s="269"/>
      <c r="Q1132" s="269"/>
      <c r="R1132" s="269"/>
      <c r="S1132" s="282"/>
      <c r="T1132" s="269"/>
      <c r="U1132" s="269"/>
      <c r="V1132" s="269"/>
      <c r="W1132" s="269"/>
      <c r="X1132" s="31"/>
    </row>
    <row r="1133" spans="4:24" x14ac:dyDescent="0.25">
      <c r="D1133" s="31"/>
      <c r="E1133" s="31"/>
      <c r="F1133" s="31"/>
      <c r="G1133" s="31"/>
      <c r="H1133" s="31"/>
      <c r="I1133" s="31"/>
      <c r="J1133" s="31"/>
      <c r="K1133" s="31"/>
      <c r="L1133" s="269"/>
      <c r="M1133" s="269"/>
      <c r="N1133" s="269"/>
      <c r="O1133" s="282"/>
      <c r="P1133" s="269"/>
      <c r="Q1133" s="269"/>
      <c r="R1133" s="269"/>
      <c r="S1133" s="282"/>
      <c r="T1133" s="269"/>
      <c r="U1133" s="269"/>
      <c r="V1133" s="269"/>
      <c r="W1133" s="269"/>
      <c r="X1133" s="31"/>
    </row>
    <row r="1134" spans="4:24" x14ac:dyDescent="0.25">
      <c r="D1134" s="31"/>
      <c r="E1134" s="31"/>
      <c r="F1134" s="31"/>
      <c r="G1134" s="31"/>
      <c r="H1134" s="31"/>
      <c r="I1134" s="31"/>
      <c r="J1134" s="31"/>
      <c r="K1134" s="31"/>
      <c r="L1134" s="269"/>
      <c r="M1134" s="269"/>
      <c r="N1134" s="269"/>
      <c r="O1134" s="282"/>
      <c r="P1134" s="269"/>
      <c r="Q1134" s="269"/>
      <c r="R1134" s="269"/>
      <c r="S1134" s="282"/>
      <c r="T1134" s="269"/>
      <c r="U1134" s="269"/>
      <c r="V1134" s="269"/>
      <c r="W1134" s="269"/>
      <c r="X1134" s="31"/>
    </row>
    <row r="1135" spans="4:24" x14ac:dyDescent="0.25">
      <c r="D1135" s="31"/>
      <c r="E1135" s="31"/>
      <c r="F1135" s="31"/>
      <c r="G1135" s="31"/>
      <c r="H1135" s="31"/>
      <c r="I1135" s="31"/>
      <c r="J1135" s="31"/>
      <c r="K1135" s="31"/>
      <c r="L1135" s="269"/>
      <c r="M1135" s="269"/>
      <c r="N1135" s="269"/>
      <c r="O1135" s="282"/>
      <c r="P1135" s="269"/>
      <c r="Q1135" s="269"/>
      <c r="R1135" s="269"/>
      <c r="S1135" s="282"/>
      <c r="T1135" s="269"/>
      <c r="U1135" s="269"/>
      <c r="V1135" s="269"/>
      <c r="W1135" s="269"/>
      <c r="X1135" s="31"/>
    </row>
    <row r="1136" spans="4:24" x14ac:dyDescent="0.25">
      <c r="D1136" s="31"/>
      <c r="E1136" s="31"/>
      <c r="F1136" s="31"/>
      <c r="G1136" s="31"/>
      <c r="H1136" s="31"/>
      <c r="I1136" s="31"/>
      <c r="J1136" s="31"/>
      <c r="K1136" s="31"/>
      <c r="L1136" s="269"/>
      <c r="M1136" s="269"/>
      <c r="N1136" s="269"/>
      <c r="O1136" s="282"/>
      <c r="P1136" s="269"/>
      <c r="Q1136" s="269"/>
      <c r="R1136" s="269"/>
      <c r="S1136" s="282"/>
      <c r="T1136" s="269"/>
      <c r="U1136" s="269"/>
      <c r="V1136" s="269"/>
      <c r="W1136" s="269"/>
      <c r="X1136" s="31"/>
    </row>
    <row r="1137" spans="4:24" x14ac:dyDescent="0.25">
      <c r="D1137" s="31"/>
      <c r="E1137" s="31"/>
      <c r="F1137" s="31"/>
      <c r="G1137" s="31"/>
      <c r="H1137" s="31"/>
      <c r="I1137" s="31"/>
      <c r="J1137" s="31"/>
      <c r="K1137" s="31"/>
      <c r="L1137" s="269"/>
      <c r="M1137" s="269"/>
      <c r="N1137" s="269"/>
      <c r="O1137" s="282"/>
      <c r="P1137" s="269"/>
      <c r="Q1137" s="269"/>
      <c r="R1137" s="269"/>
      <c r="S1137" s="282"/>
      <c r="T1137" s="269"/>
      <c r="U1137" s="269"/>
      <c r="V1137" s="269"/>
      <c r="W1137" s="269"/>
      <c r="X1137" s="31"/>
    </row>
    <row r="1138" spans="4:24" x14ac:dyDescent="0.25">
      <c r="D1138" s="31"/>
      <c r="E1138" s="31"/>
      <c r="F1138" s="31"/>
      <c r="G1138" s="31"/>
      <c r="H1138" s="31"/>
      <c r="I1138" s="31"/>
      <c r="J1138" s="31"/>
      <c r="K1138" s="31"/>
      <c r="L1138" s="269"/>
      <c r="M1138" s="269"/>
      <c r="N1138" s="269"/>
      <c r="O1138" s="282"/>
      <c r="P1138" s="269"/>
      <c r="Q1138" s="269"/>
      <c r="R1138" s="269"/>
      <c r="S1138" s="282"/>
      <c r="T1138" s="269"/>
      <c r="U1138" s="269"/>
      <c r="V1138" s="269"/>
      <c r="W1138" s="269"/>
      <c r="X1138" s="31"/>
    </row>
    <row r="1139" spans="4:24" x14ac:dyDescent="0.25">
      <c r="D1139" s="31"/>
      <c r="E1139" s="31"/>
      <c r="F1139" s="31"/>
      <c r="G1139" s="31"/>
      <c r="H1139" s="31"/>
      <c r="I1139" s="31"/>
      <c r="J1139" s="31"/>
      <c r="K1139" s="31"/>
      <c r="L1139" s="269"/>
      <c r="M1139" s="269"/>
      <c r="N1139" s="269"/>
      <c r="O1139" s="282"/>
      <c r="P1139" s="269"/>
      <c r="Q1139" s="269"/>
      <c r="R1139" s="269"/>
      <c r="S1139" s="282"/>
      <c r="T1139" s="269"/>
      <c r="U1139" s="269"/>
      <c r="V1139" s="269"/>
      <c r="W1139" s="269"/>
      <c r="X1139" s="31"/>
    </row>
    <row r="1140" spans="4:24" x14ac:dyDescent="0.25">
      <c r="D1140" s="31"/>
      <c r="E1140" s="31"/>
      <c r="F1140" s="31"/>
      <c r="G1140" s="31"/>
      <c r="H1140" s="31"/>
      <c r="I1140" s="31"/>
      <c r="J1140" s="31"/>
      <c r="K1140" s="31"/>
      <c r="L1140" s="269"/>
      <c r="M1140" s="269"/>
      <c r="N1140" s="269"/>
      <c r="O1140" s="282"/>
      <c r="P1140" s="269"/>
      <c r="Q1140" s="269"/>
      <c r="R1140" s="269"/>
      <c r="S1140" s="282"/>
      <c r="T1140" s="269"/>
      <c r="U1140" s="269"/>
      <c r="V1140" s="269"/>
      <c r="W1140" s="269"/>
      <c r="X1140" s="31"/>
    </row>
    <row r="1141" spans="4:24" x14ac:dyDescent="0.25">
      <c r="D1141" s="31"/>
      <c r="E1141" s="31"/>
      <c r="F1141" s="31"/>
      <c r="G1141" s="31"/>
      <c r="H1141" s="31"/>
      <c r="I1141" s="31"/>
      <c r="J1141" s="31"/>
      <c r="K1141" s="31"/>
      <c r="L1141" s="269"/>
      <c r="M1141" s="269"/>
      <c r="N1141" s="269"/>
      <c r="O1141" s="282"/>
      <c r="P1141" s="269"/>
      <c r="Q1141" s="269"/>
      <c r="R1141" s="269"/>
      <c r="S1141" s="282"/>
      <c r="T1141" s="269"/>
      <c r="U1141" s="269"/>
      <c r="V1141" s="269"/>
      <c r="W1141" s="269"/>
      <c r="X1141" s="31"/>
    </row>
    <row r="1142" spans="4:24" x14ac:dyDescent="0.25">
      <c r="D1142" s="31"/>
      <c r="E1142" s="31"/>
      <c r="F1142" s="31"/>
      <c r="G1142" s="31"/>
      <c r="H1142" s="31"/>
      <c r="I1142" s="31"/>
      <c r="J1142" s="31"/>
      <c r="K1142" s="31"/>
      <c r="L1142" s="269"/>
      <c r="M1142" s="269"/>
      <c r="N1142" s="269"/>
      <c r="O1142" s="282"/>
      <c r="P1142" s="269"/>
      <c r="Q1142" s="269"/>
      <c r="R1142" s="269"/>
      <c r="S1142" s="282"/>
      <c r="T1142" s="269"/>
      <c r="U1142" s="269"/>
      <c r="V1142" s="269"/>
      <c r="W1142" s="269"/>
      <c r="X1142" s="31"/>
    </row>
    <row r="1143" spans="4:24" x14ac:dyDescent="0.25">
      <c r="D1143" s="31"/>
      <c r="E1143" s="31"/>
      <c r="F1143" s="31"/>
      <c r="G1143" s="31"/>
      <c r="H1143" s="31"/>
      <c r="I1143" s="31"/>
      <c r="J1143" s="31"/>
      <c r="K1143" s="31"/>
      <c r="L1143" s="269"/>
      <c r="M1143" s="269"/>
      <c r="N1143" s="269"/>
      <c r="O1143" s="282"/>
      <c r="P1143" s="269"/>
      <c r="Q1143" s="269"/>
      <c r="R1143" s="269"/>
      <c r="S1143" s="282"/>
      <c r="T1143" s="269"/>
      <c r="U1143" s="269"/>
      <c r="V1143" s="269"/>
      <c r="W1143" s="269"/>
      <c r="X1143" s="31"/>
    </row>
    <row r="1144" spans="4:24" x14ac:dyDescent="0.25">
      <c r="D1144" s="31"/>
      <c r="E1144" s="31"/>
      <c r="F1144" s="31"/>
      <c r="G1144" s="31"/>
      <c r="H1144" s="31"/>
      <c r="I1144" s="31"/>
      <c r="J1144" s="31"/>
      <c r="K1144" s="31"/>
      <c r="L1144" s="269"/>
      <c r="M1144" s="269"/>
      <c r="N1144" s="269"/>
      <c r="O1144" s="282"/>
      <c r="P1144" s="269"/>
      <c r="Q1144" s="269"/>
      <c r="R1144" s="269"/>
      <c r="S1144" s="282"/>
      <c r="T1144" s="269"/>
      <c r="U1144" s="269"/>
      <c r="V1144" s="269"/>
      <c r="W1144" s="269"/>
      <c r="X1144" s="31"/>
    </row>
    <row r="1145" spans="4:24" x14ac:dyDescent="0.25">
      <c r="D1145" s="31"/>
      <c r="E1145" s="31"/>
      <c r="F1145" s="31"/>
      <c r="G1145" s="31"/>
      <c r="H1145" s="31"/>
      <c r="I1145" s="31"/>
      <c r="J1145" s="31"/>
      <c r="K1145" s="31"/>
      <c r="L1145" s="269"/>
      <c r="M1145" s="269"/>
      <c r="N1145" s="269"/>
      <c r="O1145" s="282"/>
      <c r="P1145" s="269"/>
      <c r="Q1145" s="269"/>
      <c r="R1145" s="269"/>
      <c r="S1145" s="282"/>
      <c r="T1145" s="269"/>
      <c r="U1145" s="269"/>
      <c r="V1145" s="269"/>
      <c r="W1145" s="269"/>
      <c r="X1145" s="31"/>
    </row>
    <row r="1146" spans="4:24" x14ac:dyDescent="0.25">
      <c r="D1146" s="31"/>
      <c r="E1146" s="31"/>
      <c r="F1146" s="31"/>
      <c r="G1146" s="31"/>
      <c r="H1146" s="31"/>
      <c r="I1146" s="31"/>
      <c r="J1146" s="31"/>
      <c r="K1146" s="31"/>
      <c r="L1146" s="269"/>
      <c r="M1146" s="269"/>
      <c r="N1146" s="269"/>
      <c r="O1146" s="282"/>
      <c r="P1146" s="269"/>
      <c r="Q1146" s="269"/>
      <c r="R1146" s="269"/>
      <c r="S1146" s="282"/>
      <c r="T1146" s="269"/>
      <c r="U1146" s="269"/>
      <c r="V1146" s="269"/>
      <c r="W1146" s="269"/>
      <c r="X1146" s="31"/>
    </row>
    <row r="1147" spans="4:24" x14ac:dyDescent="0.25">
      <c r="D1147" s="31"/>
      <c r="E1147" s="31"/>
      <c r="F1147" s="31"/>
      <c r="G1147" s="31"/>
      <c r="H1147" s="31"/>
      <c r="I1147" s="31"/>
      <c r="J1147" s="31"/>
      <c r="K1147" s="31"/>
      <c r="L1147" s="269"/>
      <c r="M1147" s="269"/>
      <c r="N1147" s="269"/>
      <c r="O1147" s="282"/>
      <c r="P1147" s="269"/>
      <c r="Q1147" s="269"/>
      <c r="R1147" s="269"/>
      <c r="S1147" s="282"/>
      <c r="T1147" s="269"/>
      <c r="U1147" s="269"/>
      <c r="V1147" s="269"/>
      <c r="W1147" s="269"/>
      <c r="X1147" s="31"/>
    </row>
    <row r="1148" spans="4:24" x14ac:dyDescent="0.25">
      <c r="D1148" s="31"/>
      <c r="E1148" s="31"/>
      <c r="F1148" s="31"/>
      <c r="G1148" s="31"/>
      <c r="H1148" s="31"/>
      <c r="I1148" s="31"/>
      <c r="J1148" s="31"/>
      <c r="K1148" s="31"/>
      <c r="L1148" s="269"/>
      <c r="M1148" s="269"/>
      <c r="N1148" s="269"/>
      <c r="O1148" s="282"/>
      <c r="P1148" s="269"/>
      <c r="Q1148" s="269"/>
      <c r="R1148" s="269"/>
      <c r="S1148" s="282"/>
      <c r="T1148" s="269"/>
      <c r="U1148" s="269"/>
      <c r="V1148" s="269"/>
      <c r="W1148" s="269"/>
      <c r="X1148" s="31"/>
    </row>
    <row r="1149" spans="4:24" x14ac:dyDescent="0.25">
      <c r="D1149" s="31"/>
      <c r="E1149" s="31"/>
      <c r="F1149" s="31"/>
      <c r="G1149" s="31"/>
      <c r="H1149" s="31"/>
      <c r="I1149" s="31"/>
      <c r="J1149" s="31"/>
      <c r="K1149" s="31"/>
      <c r="L1149" s="269"/>
      <c r="M1149" s="269"/>
      <c r="N1149" s="269"/>
      <c r="O1149" s="282"/>
      <c r="P1149" s="269"/>
      <c r="Q1149" s="269"/>
      <c r="R1149" s="269"/>
      <c r="S1149" s="282"/>
      <c r="T1149" s="269"/>
      <c r="U1149" s="269"/>
      <c r="V1149" s="269"/>
      <c r="W1149" s="269"/>
      <c r="X1149" s="31"/>
    </row>
    <row r="1150" spans="4:24" x14ac:dyDescent="0.25">
      <c r="D1150" s="31"/>
      <c r="E1150" s="31"/>
      <c r="F1150" s="31"/>
      <c r="G1150" s="31"/>
      <c r="H1150" s="31"/>
      <c r="I1150" s="31"/>
      <c r="J1150" s="31"/>
      <c r="K1150" s="31"/>
      <c r="L1150" s="269"/>
      <c r="M1150" s="269"/>
      <c r="N1150" s="269"/>
      <c r="O1150" s="282"/>
      <c r="P1150" s="269"/>
      <c r="Q1150" s="269"/>
      <c r="R1150" s="269"/>
      <c r="S1150" s="282"/>
      <c r="T1150" s="269"/>
      <c r="U1150" s="269"/>
      <c r="V1150" s="269"/>
      <c r="W1150" s="269"/>
      <c r="X1150" s="31"/>
    </row>
    <row r="1151" spans="4:24" x14ac:dyDescent="0.25">
      <c r="D1151" s="31"/>
      <c r="E1151" s="31"/>
      <c r="F1151" s="31"/>
      <c r="G1151" s="31"/>
      <c r="H1151" s="31"/>
      <c r="I1151" s="31"/>
      <c r="J1151" s="31"/>
      <c r="K1151" s="31"/>
      <c r="L1151" s="269"/>
      <c r="M1151" s="269"/>
      <c r="N1151" s="269"/>
      <c r="O1151" s="282"/>
      <c r="P1151" s="269"/>
      <c r="Q1151" s="269"/>
      <c r="R1151" s="269"/>
      <c r="S1151" s="282"/>
      <c r="T1151" s="269"/>
      <c r="U1151" s="269"/>
      <c r="V1151" s="269"/>
      <c r="W1151" s="269"/>
      <c r="X1151" s="31"/>
    </row>
    <row r="1152" spans="4:24" x14ac:dyDescent="0.25">
      <c r="D1152" s="31"/>
      <c r="E1152" s="31"/>
      <c r="F1152" s="31"/>
      <c r="G1152" s="31"/>
      <c r="H1152" s="31"/>
      <c r="I1152" s="31"/>
      <c r="J1152" s="31"/>
      <c r="K1152" s="31"/>
      <c r="L1152" s="269"/>
      <c r="M1152" s="269"/>
      <c r="N1152" s="269"/>
      <c r="O1152" s="282"/>
      <c r="P1152" s="269"/>
      <c r="Q1152" s="269"/>
      <c r="R1152" s="269"/>
      <c r="S1152" s="282"/>
      <c r="T1152" s="269"/>
      <c r="U1152" s="269"/>
      <c r="V1152" s="269"/>
      <c r="W1152" s="269"/>
      <c r="X1152" s="31"/>
    </row>
    <row r="1153" spans="4:24" x14ac:dyDescent="0.25">
      <c r="D1153" s="31"/>
      <c r="E1153" s="31"/>
      <c r="F1153" s="31"/>
      <c r="G1153" s="31"/>
      <c r="H1153" s="31"/>
      <c r="I1153" s="31"/>
      <c r="J1153" s="31"/>
      <c r="K1153" s="31"/>
      <c r="L1153" s="269"/>
      <c r="M1153" s="269"/>
      <c r="N1153" s="269"/>
      <c r="O1153" s="282"/>
      <c r="P1153" s="269"/>
      <c r="Q1153" s="269"/>
      <c r="R1153" s="269"/>
      <c r="S1153" s="282"/>
      <c r="T1153" s="269"/>
      <c r="U1153" s="269"/>
      <c r="V1153" s="269"/>
      <c r="W1153" s="269"/>
      <c r="X1153" s="31"/>
    </row>
    <row r="1154" spans="4:24" x14ac:dyDescent="0.25">
      <c r="D1154" s="31"/>
      <c r="E1154" s="31"/>
      <c r="F1154" s="31"/>
      <c r="G1154" s="31"/>
      <c r="H1154" s="31"/>
      <c r="I1154" s="31"/>
      <c r="J1154" s="31"/>
      <c r="K1154" s="31"/>
      <c r="L1154" s="269"/>
      <c r="M1154" s="269"/>
      <c r="N1154" s="269"/>
      <c r="O1154" s="282"/>
      <c r="P1154" s="269"/>
      <c r="Q1154" s="269"/>
      <c r="R1154" s="269"/>
      <c r="S1154" s="282"/>
      <c r="T1154" s="269"/>
      <c r="U1154" s="269"/>
      <c r="V1154" s="269"/>
      <c r="W1154" s="269"/>
      <c r="X1154" s="31"/>
    </row>
    <row r="1155" spans="4:24" x14ac:dyDescent="0.25">
      <c r="D1155" s="31"/>
      <c r="E1155" s="31"/>
      <c r="F1155" s="31"/>
      <c r="G1155" s="31"/>
      <c r="H1155" s="31"/>
      <c r="I1155" s="31"/>
      <c r="J1155" s="31"/>
      <c r="K1155" s="31"/>
      <c r="L1155" s="269"/>
      <c r="M1155" s="269"/>
      <c r="N1155" s="269"/>
      <c r="O1155" s="282"/>
      <c r="P1155" s="269"/>
      <c r="Q1155" s="269"/>
      <c r="R1155" s="269"/>
      <c r="S1155" s="282"/>
      <c r="T1155" s="269"/>
      <c r="U1155" s="269"/>
      <c r="V1155" s="269"/>
      <c r="W1155" s="269"/>
      <c r="X1155" s="31"/>
    </row>
    <row r="1156" spans="4:24" x14ac:dyDescent="0.25">
      <c r="D1156" s="31"/>
      <c r="E1156" s="31"/>
      <c r="F1156" s="31"/>
      <c r="G1156" s="31"/>
      <c r="H1156" s="31"/>
      <c r="I1156" s="31"/>
      <c r="J1156" s="31"/>
      <c r="K1156" s="31"/>
      <c r="L1156" s="269"/>
      <c r="M1156" s="269"/>
      <c r="N1156" s="269"/>
      <c r="O1156" s="282"/>
      <c r="P1156" s="269"/>
      <c r="Q1156" s="269"/>
      <c r="R1156" s="269"/>
      <c r="S1156" s="282"/>
      <c r="T1156" s="269"/>
      <c r="U1156" s="269"/>
      <c r="V1156" s="269"/>
      <c r="W1156" s="269"/>
      <c r="X1156" s="31"/>
    </row>
    <row r="1157" spans="4:24" x14ac:dyDescent="0.25">
      <c r="D1157" s="31"/>
      <c r="E1157" s="31"/>
      <c r="F1157" s="31"/>
      <c r="G1157" s="31"/>
      <c r="H1157" s="31"/>
      <c r="I1157" s="31"/>
      <c r="J1157" s="31"/>
      <c r="K1157" s="31"/>
      <c r="L1157" s="269"/>
      <c r="M1157" s="269"/>
      <c r="N1157" s="269"/>
      <c r="O1157" s="282"/>
      <c r="P1157" s="269"/>
      <c r="Q1157" s="269"/>
      <c r="R1157" s="269"/>
      <c r="S1157" s="282"/>
      <c r="T1157" s="269"/>
      <c r="U1157" s="269"/>
      <c r="V1157" s="269"/>
      <c r="W1157" s="269"/>
      <c r="X1157" s="31"/>
    </row>
    <row r="1158" spans="4:24" x14ac:dyDescent="0.25">
      <c r="D1158" s="31"/>
      <c r="E1158" s="31"/>
      <c r="F1158" s="31"/>
      <c r="G1158" s="31"/>
      <c r="H1158" s="31"/>
      <c r="I1158" s="31"/>
      <c r="J1158" s="31"/>
      <c r="K1158" s="31"/>
      <c r="L1158" s="269"/>
      <c r="M1158" s="269"/>
      <c r="N1158" s="269"/>
      <c r="O1158" s="282"/>
      <c r="P1158" s="269"/>
      <c r="Q1158" s="269"/>
      <c r="R1158" s="269"/>
      <c r="S1158" s="282"/>
      <c r="T1158" s="269"/>
      <c r="U1158" s="269"/>
      <c r="V1158" s="269"/>
      <c r="W1158" s="269"/>
      <c r="X1158" s="31"/>
    </row>
    <row r="1159" spans="4:24" x14ac:dyDescent="0.25">
      <c r="D1159" s="31"/>
      <c r="E1159" s="31"/>
      <c r="F1159" s="31"/>
      <c r="G1159" s="31"/>
      <c r="H1159" s="31"/>
      <c r="I1159" s="31"/>
      <c r="J1159" s="31"/>
      <c r="K1159" s="31"/>
      <c r="L1159" s="269"/>
      <c r="M1159" s="269"/>
      <c r="N1159" s="269"/>
      <c r="O1159" s="282"/>
      <c r="P1159" s="269"/>
      <c r="Q1159" s="269"/>
      <c r="R1159" s="269"/>
      <c r="S1159" s="282"/>
      <c r="T1159" s="269"/>
      <c r="U1159" s="269"/>
      <c r="V1159" s="269"/>
      <c r="W1159" s="269"/>
      <c r="X1159" s="31"/>
    </row>
    <row r="1160" spans="4:24" x14ac:dyDescent="0.25">
      <c r="D1160" s="31"/>
      <c r="E1160" s="31"/>
      <c r="F1160" s="31"/>
      <c r="G1160" s="31"/>
      <c r="H1160" s="31"/>
      <c r="I1160" s="31"/>
      <c r="J1160" s="31"/>
      <c r="K1160" s="31"/>
      <c r="L1160" s="269"/>
      <c r="M1160" s="269"/>
      <c r="N1160" s="269"/>
      <c r="O1160" s="282"/>
      <c r="P1160" s="269"/>
      <c r="Q1160" s="269"/>
      <c r="R1160" s="269"/>
      <c r="S1160" s="282"/>
      <c r="T1160" s="269"/>
      <c r="U1160" s="269"/>
      <c r="V1160" s="269"/>
      <c r="W1160" s="269"/>
      <c r="X1160" s="31"/>
    </row>
    <row r="1161" spans="4:24" x14ac:dyDescent="0.25">
      <c r="D1161" s="31"/>
      <c r="E1161" s="31"/>
      <c r="F1161" s="31"/>
      <c r="G1161" s="31"/>
      <c r="H1161" s="31"/>
      <c r="I1161" s="31"/>
      <c r="J1161" s="31"/>
      <c r="K1161" s="31"/>
      <c r="L1161" s="269"/>
      <c r="M1161" s="269"/>
      <c r="N1161" s="269"/>
      <c r="O1161" s="282"/>
      <c r="P1161" s="269"/>
      <c r="Q1161" s="269"/>
      <c r="R1161" s="269"/>
      <c r="S1161" s="282"/>
      <c r="T1161" s="269"/>
      <c r="U1161" s="269"/>
      <c r="V1161" s="269"/>
      <c r="W1161" s="269"/>
      <c r="X1161" s="31"/>
    </row>
    <row r="1162" spans="4:24" x14ac:dyDescent="0.25">
      <c r="D1162" s="31"/>
      <c r="E1162" s="31"/>
      <c r="F1162" s="31"/>
      <c r="G1162" s="31"/>
      <c r="H1162" s="31"/>
      <c r="I1162" s="31"/>
      <c r="J1162" s="31"/>
      <c r="K1162" s="31"/>
      <c r="L1162" s="269"/>
      <c r="M1162" s="269"/>
      <c r="N1162" s="269"/>
      <c r="O1162" s="282"/>
      <c r="P1162" s="269"/>
      <c r="Q1162" s="269"/>
      <c r="R1162" s="269"/>
      <c r="S1162" s="282"/>
      <c r="T1162" s="269"/>
      <c r="U1162" s="269"/>
      <c r="V1162" s="269"/>
      <c r="W1162" s="269"/>
      <c r="X1162" s="31"/>
    </row>
    <row r="1163" spans="4:24" x14ac:dyDescent="0.25">
      <c r="D1163" s="31"/>
      <c r="E1163" s="31"/>
      <c r="F1163" s="31"/>
      <c r="G1163" s="31"/>
      <c r="H1163" s="31"/>
      <c r="I1163" s="31"/>
      <c r="J1163" s="31"/>
      <c r="K1163" s="31"/>
      <c r="L1163" s="269"/>
      <c r="M1163" s="269"/>
      <c r="N1163" s="269"/>
      <c r="O1163" s="282"/>
      <c r="P1163" s="269"/>
      <c r="Q1163" s="269"/>
      <c r="R1163" s="269"/>
      <c r="S1163" s="282"/>
      <c r="T1163" s="269"/>
      <c r="U1163" s="269"/>
      <c r="V1163" s="269"/>
      <c r="W1163" s="269"/>
      <c r="X1163" s="31"/>
    </row>
    <row r="1164" spans="4:24" x14ac:dyDescent="0.25">
      <c r="D1164" s="31"/>
      <c r="E1164" s="31"/>
      <c r="F1164" s="31"/>
      <c r="G1164" s="31"/>
      <c r="H1164" s="31"/>
      <c r="I1164" s="31"/>
      <c r="J1164" s="31"/>
      <c r="K1164" s="31"/>
      <c r="L1164" s="269"/>
      <c r="M1164" s="269"/>
      <c r="N1164" s="269"/>
      <c r="O1164" s="282"/>
      <c r="P1164" s="269"/>
      <c r="Q1164" s="269"/>
      <c r="R1164" s="269"/>
      <c r="S1164" s="282"/>
      <c r="T1164" s="269"/>
      <c r="U1164" s="269"/>
      <c r="V1164" s="269"/>
      <c r="W1164" s="269"/>
      <c r="X1164" s="31"/>
    </row>
    <row r="1165" spans="4:24" x14ac:dyDescent="0.25">
      <c r="D1165" s="31"/>
      <c r="E1165" s="31"/>
      <c r="F1165" s="31"/>
      <c r="G1165" s="31"/>
      <c r="H1165" s="31"/>
      <c r="I1165" s="31"/>
      <c r="J1165" s="31"/>
      <c r="K1165" s="31"/>
      <c r="L1165" s="269"/>
      <c r="M1165" s="269"/>
      <c r="N1165" s="269"/>
      <c r="O1165" s="282"/>
      <c r="P1165" s="269"/>
      <c r="Q1165" s="269"/>
      <c r="R1165" s="269"/>
      <c r="S1165" s="282"/>
      <c r="T1165" s="269"/>
      <c r="U1165" s="269"/>
      <c r="V1165" s="269"/>
      <c r="W1165" s="269"/>
      <c r="X1165" s="31"/>
    </row>
    <row r="1166" spans="4:24" x14ac:dyDescent="0.25">
      <c r="D1166" s="31"/>
      <c r="E1166" s="31"/>
      <c r="F1166" s="31"/>
      <c r="G1166" s="31"/>
      <c r="H1166" s="31"/>
      <c r="I1166" s="31"/>
      <c r="J1166" s="31"/>
      <c r="K1166" s="31"/>
      <c r="L1166" s="269"/>
      <c r="M1166" s="269"/>
      <c r="N1166" s="269"/>
      <c r="O1166" s="282"/>
      <c r="P1166" s="269"/>
      <c r="Q1166" s="269"/>
      <c r="R1166" s="269"/>
      <c r="S1166" s="282"/>
      <c r="T1166" s="269"/>
      <c r="U1166" s="269"/>
      <c r="V1166" s="269"/>
      <c r="W1166" s="269"/>
      <c r="X1166" s="31"/>
    </row>
    <row r="1167" spans="4:24" x14ac:dyDescent="0.25">
      <c r="D1167" s="31"/>
      <c r="E1167" s="31"/>
      <c r="F1167" s="31"/>
      <c r="G1167" s="31"/>
      <c r="H1167" s="31"/>
      <c r="I1167" s="31"/>
      <c r="J1167" s="31"/>
      <c r="K1167" s="31"/>
      <c r="L1167" s="269"/>
      <c r="M1167" s="269"/>
      <c r="N1167" s="269"/>
      <c r="O1167" s="282"/>
      <c r="P1167" s="269"/>
      <c r="Q1167" s="269"/>
      <c r="R1167" s="269"/>
      <c r="S1167" s="282"/>
      <c r="T1167" s="269"/>
      <c r="U1167" s="269"/>
      <c r="V1167" s="269"/>
      <c r="W1167" s="269"/>
      <c r="X1167" s="31"/>
    </row>
    <row r="1168" spans="4:24" x14ac:dyDescent="0.25">
      <c r="D1168" s="31"/>
      <c r="E1168" s="31"/>
      <c r="F1168" s="31"/>
      <c r="G1168" s="31"/>
      <c r="H1168" s="31"/>
      <c r="I1168" s="31"/>
      <c r="J1168" s="31"/>
      <c r="K1168" s="31"/>
      <c r="L1168" s="269"/>
      <c r="M1168" s="269"/>
      <c r="N1168" s="269"/>
      <c r="O1168" s="282"/>
      <c r="P1168" s="269"/>
      <c r="Q1168" s="269"/>
      <c r="R1168" s="269"/>
      <c r="S1168" s="282"/>
      <c r="T1168" s="269"/>
      <c r="U1168" s="269"/>
      <c r="V1168" s="269"/>
      <c r="W1168" s="269"/>
      <c r="X1168" s="31"/>
    </row>
    <row r="1169" spans="4:24" x14ac:dyDescent="0.25">
      <c r="D1169" s="31"/>
      <c r="E1169" s="31"/>
      <c r="F1169" s="31"/>
      <c r="G1169" s="31"/>
      <c r="H1169" s="31"/>
      <c r="I1169" s="31"/>
      <c r="J1169" s="31"/>
      <c r="K1169" s="31"/>
      <c r="L1169" s="269"/>
      <c r="M1169" s="269"/>
      <c r="N1169" s="269"/>
      <c r="O1169" s="282"/>
      <c r="P1169" s="269"/>
      <c r="Q1169" s="269"/>
      <c r="R1169" s="269"/>
      <c r="S1169" s="282"/>
      <c r="T1169" s="269"/>
      <c r="U1169" s="269"/>
      <c r="V1169" s="269"/>
      <c r="W1169" s="269"/>
      <c r="X1169" s="31"/>
    </row>
    <row r="1170" spans="4:24" x14ac:dyDescent="0.25">
      <c r="D1170" s="31"/>
      <c r="E1170" s="31"/>
      <c r="F1170" s="31"/>
      <c r="G1170" s="31"/>
      <c r="H1170" s="31"/>
      <c r="I1170" s="31"/>
      <c r="J1170" s="31"/>
      <c r="K1170" s="31"/>
      <c r="L1170" s="269"/>
      <c r="M1170" s="269"/>
      <c r="N1170" s="269"/>
      <c r="O1170" s="282"/>
      <c r="P1170" s="269"/>
      <c r="Q1170" s="269"/>
      <c r="R1170" s="269"/>
      <c r="S1170" s="282"/>
      <c r="T1170" s="269"/>
      <c r="U1170" s="269"/>
      <c r="V1170" s="269"/>
      <c r="W1170" s="269"/>
      <c r="X1170" s="31"/>
    </row>
    <row r="1171" spans="4:24" x14ac:dyDescent="0.25">
      <c r="D1171" s="31"/>
      <c r="E1171" s="31"/>
      <c r="F1171" s="31"/>
      <c r="G1171" s="31"/>
      <c r="H1171" s="31"/>
      <c r="I1171" s="31"/>
      <c r="J1171" s="31"/>
      <c r="K1171" s="31"/>
      <c r="L1171" s="269"/>
      <c r="M1171" s="269"/>
      <c r="N1171" s="269"/>
      <c r="O1171" s="282"/>
      <c r="P1171" s="269"/>
      <c r="Q1171" s="269"/>
      <c r="R1171" s="269"/>
      <c r="S1171" s="282"/>
      <c r="T1171" s="269"/>
      <c r="U1171" s="269"/>
      <c r="V1171" s="269"/>
      <c r="W1171" s="269"/>
      <c r="X1171" s="31"/>
    </row>
    <row r="1172" spans="4:24" x14ac:dyDescent="0.25">
      <c r="D1172" s="31"/>
      <c r="E1172" s="31"/>
      <c r="F1172" s="31"/>
      <c r="G1172" s="31"/>
      <c r="H1172" s="31"/>
      <c r="I1172" s="31"/>
      <c r="J1172" s="31"/>
      <c r="K1172" s="31"/>
      <c r="L1172" s="269"/>
      <c r="M1172" s="269"/>
      <c r="N1172" s="269"/>
      <c r="O1172" s="282"/>
      <c r="P1172" s="269"/>
      <c r="Q1172" s="269"/>
      <c r="R1172" s="269"/>
      <c r="S1172" s="282"/>
      <c r="T1172" s="269"/>
      <c r="U1172" s="269"/>
      <c r="V1172" s="269"/>
      <c r="W1172" s="269"/>
      <c r="X1172" s="31"/>
    </row>
    <row r="1173" spans="4:24" x14ac:dyDescent="0.25">
      <c r="D1173" s="31"/>
      <c r="E1173" s="31"/>
      <c r="F1173" s="31"/>
      <c r="G1173" s="31"/>
      <c r="H1173" s="31"/>
      <c r="I1173" s="31"/>
      <c r="J1173" s="31"/>
      <c r="K1173" s="31"/>
      <c r="L1173" s="269"/>
      <c r="M1173" s="269"/>
      <c r="N1173" s="269"/>
      <c r="O1173" s="282"/>
      <c r="P1173" s="269"/>
      <c r="Q1173" s="269"/>
      <c r="R1173" s="269"/>
      <c r="S1173" s="282"/>
      <c r="T1173" s="269"/>
      <c r="U1173" s="269"/>
      <c r="V1173" s="269"/>
      <c r="W1173" s="269"/>
      <c r="X1173" s="31"/>
    </row>
    <row r="1174" spans="4:24" x14ac:dyDescent="0.25">
      <c r="D1174" s="31"/>
      <c r="E1174" s="31"/>
      <c r="F1174" s="31"/>
      <c r="G1174" s="31"/>
      <c r="H1174" s="31"/>
      <c r="I1174" s="31"/>
      <c r="J1174" s="31"/>
      <c r="K1174" s="31"/>
      <c r="L1174" s="269"/>
      <c r="M1174" s="269"/>
      <c r="N1174" s="269"/>
      <c r="O1174" s="282"/>
      <c r="P1174" s="269"/>
      <c r="Q1174" s="269"/>
      <c r="R1174" s="269"/>
      <c r="S1174" s="282"/>
      <c r="T1174" s="269"/>
      <c r="U1174" s="269"/>
      <c r="V1174" s="269"/>
      <c r="W1174" s="269"/>
      <c r="X1174" s="31"/>
    </row>
    <row r="1175" spans="4:24" x14ac:dyDescent="0.25">
      <c r="D1175" s="31"/>
      <c r="E1175" s="31"/>
      <c r="F1175" s="31"/>
      <c r="G1175" s="31"/>
      <c r="H1175" s="31"/>
      <c r="I1175" s="31"/>
      <c r="J1175" s="31"/>
      <c r="K1175" s="31"/>
      <c r="L1175" s="269"/>
      <c r="M1175" s="269"/>
      <c r="N1175" s="269"/>
      <c r="O1175" s="282"/>
      <c r="P1175" s="269"/>
      <c r="Q1175" s="269"/>
      <c r="R1175" s="269"/>
      <c r="S1175" s="282"/>
      <c r="T1175" s="269"/>
      <c r="U1175" s="269"/>
      <c r="V1175" s="269"/>
      <c r="W1175" s="269"/>
      <c r="X1175" s="31"/>
    </row>
    <row r="1176" spans="4:24" x14ac:dyDescent="0.25">
      <c r="D1176" s="31"/>
      <c r="E1176" s="31"/>
      <c r="F1176" s="31"/>
      <c r="G1176" s="31"/>
      <c r="H1176" s="31"/>
      <c r="I1176" s="31"/>
      <c r="J1176" s="31"/>
      <c r="K1176" s="31"/>
      <c r="L1176" s="269"/>
      <c r="M1176" s="269"/>
      <c r="N1176" s="269"/>
      <c r="O1176" s="282"/>
      <c r="P1176" s="269"/>
      <c r="Q1176" s="269"/>
      <c r="R1176" s="269"/>
      <c r="S1176" s="282"/>
      <c r="T1176" s="269"/>
      <c r="U1176" s="269"/>
      <c r="V1176" s="269"/>
      <c r="W1176" s="269"/>
      <c r="X1176" s="31"/>
    </row>
    <row r="1177" spans="4:24" x14ac:dyDescent="0.25">
      <c r="D1177" s="31"/>
      <c r="E1177" s="31"/>
      <c r="F1177" s="31"/>
      <c r="G1177" s="31"/>
      <c r="H1177" s="31"/>
      <c r="I1177" s="31"/>
      <c r="J1177" s="31"/>
      <c r="K1177" s="31"/>
      <c r="L1177" s="269"/>
      <c r="M1177" s="269"/>
      <c r="N1177" s="269"/>
      <c r="O1177" s="282"/>
      <c r="P1177" s="269"/>
      <c r="Q1177" s="269"/>
      <c r="R1177" s="269"/>
      <c r="S1177" s="282"/>
      <c r="T1177" s="269"/>
      <c r="U1177" s="269"/>
      <c r="V1177" s="269"/>
      <c r="W1177" s="269"/>
      <c r="X1177" s="31"/>
    </row>
    <row r="1178" spans="4:24" x14ac:dyDescent="0.25">
      <c r="D1178" s="31"/>
      <c r="E1178" s="31"/>
      <c r="F1178" s="31"/>
      <c r="G1178" s="31"/>
      <c r="H1178" s="31"/>
      <c r="I1178" s="31"/>
      <c r="J1178" s="31"/>
      <c r="K1178" s="31"/>
      <c r="L1178" s="269"/>
      <c r="M1178" s="269"/>
      <c r="N1178" s="269"/>
      <c r="O1178" s="282"/>
      <c r="P1178" s="269"/>
      <c r="Q1178" s="269"/>
      <c r="R1178" s="269"/>
      <c r="S1178" s="282"/>
      <c r="T1178" s="269"/>
      <c r="U1178" s="269"/>
      <c r="V1178" s="269"/>
      <c r="W1178" s="269"/>
      <c r="X1178" s="31"/>
    </row>
    <row r="1179" spans="4:24" x14ac:dyDescent="0.25">
      <c r="D1179" s="31"/>
      <c r="E1179" s="31"/>
      <c r="F1179" s="31"/>
      <c r="G1179" s="31"/>
      <c r="H1179" s="31"/>
      <c r="I1179" s="31"/>
      <c r="J1179" s="31"/>
      <c r="K1179" s="31"/>
      <c r="L1179" s="269"/>
      <c r="M1179" s="269"/>
      <c r="N1179" s="269"/>
      <c r="O1179" s="282"/>
      <c r="P1179" s="269"/>
      <c r="Q1179" s="269"/>
      <c r="R1179" s="269"/>
      <c r="S1179" s="282"/>
      <c r="T1179" s="269"/>
      <c r="U1179" s="269"/>
      <c r="V1179" s="269"/>
      <c r="W1179" s="269"/>
      <c r="X1179" s="31"/>
    </row>
    <row r="1180" spans="4:24" x14ac:dyDescent="0.25">
      <c r="D1180" s="31"/>
      <c r="E1180" s="31"/>
      <c r="F1180" s="31"/>
      <c r="G1180" s="31"/>
      <c r="H1180" s="31"/>
      <c r="I1180" s="31"/>
      <c r="J1180" s="31"/>
      <c r="K1180" s="31"/>
      <c r="L1180" s="269"/>
      <c r="M1180" s="269"/>
      <c r="N1180" s="269"/>
      <c r="O1180" s="282"/>
      <c r="P1180" s="269"/>
      <c r="Q1180" s="269"/>
      <c r="R1180" s="269"/>
      <c r="S1180" s="282"/>
      <c r="T1180" s="269"/>
      <c r="U1180" s="269"/>
      <c r="V1180" s="269"/>
      <c r="W1180" s="269"/>
      <c r="X1180" s="31"/>
    </row>
    <row r="1181" spans="4:24" x14ac:dyDescent="0.25">
      <c r="D1181" s="31"/>
      <c r="E1181" s="31"/>
      <c r="F1181" s="31"/>
      <c r="G1181" s="31"/>
      <c r="H1181" s="31"/>
      <c r="I1181" s="31"/>
      <c r="J1181" s="31"/>
      <c r="K1181" s="31"/>
      <c r="L1181" s="269"/>
      <c r="M1181" s="269"/>
      <c r="N1181" s="269"/>
      <c r="O1181" s="282"/>
      <c r="P1181" s="269"/>
      <c r="Q1181" s="269"/>
      <c r="R1181" s="269"/>
      <c r="S1181" s="282"/>
      <c r="T1181" s="269"/>
      <c r="U1181" s="269"/>
      <c r="V1181" s="269"/>
      <c r="W1181" s="269"/>
      <c r="X1181" s="31"/>
    </row>
    <row r="1182" spans="4:24" x14ac:dyDescent="0.25">
      <c r="D1182" s="31"/>
      <c r="E1182" s="31"/>
      <c r="F1182" s="31"/>
      <c r="G1182" s="31"/>
      <c r="H1182" s="31"/>
      <c r="I1182" s="31"/>
      <c r="J1182" s="31"/>
      <c r="K1182" s="31"/>
      <c r="L1182" s="269"/>
      <c r="M1182" s="269"/>
      <c r="N1182" s="269"/>
      <c r="O1182" s="282"/>
      <c r="P1182" s="269"/>
      <c r="Q1182" s="269"/>
      <c r="R1182" s="269"/>
      <c r="S1182" s="282"/>
      <c r="T1182" s="269"/>
      <c r="U1182" s="269"/>
      <c r="V1182" s="269"/>
      <c r="W1182" s="269"/>
      <c r="X1182" s="31"/>
    </row>
    <row r="1183" spans="4:24" x14ac:dyDescent="0.25">
      <c r="D1183" s="31"/>
      <c r="E1183" s="31"/>
      <c r="F1183" s="31"/>
      <c r="G1183" s="31"/>
      <c r="H1183" s="31"/>
      <c r="I1183" s="31"/>
      <c r="J1183" s="31"/>
      <c r="K1183" s="31"/>
      <c r="L1183" s="269"/>
      <c r="M1183" s="269"/>
      <c r="N1183" s="269"/>
      <c r="O1183" s="282"/>
      <c r="P1183" s="269"/>
      <c r="Q1183" s="269"/>
      <c r="R1183" s="269"/>
      <c r="S1183" s="282"/>
      <c r="T1183" s="269"/>
      <c r="U1183" s="269"/>
      <c r="V1183" s="269"/>
      <c r="W1183" s="269"/>
      <c r="X1183" s="31"/>
    </row>
    <row r="1184" spans="4:24" x14ac:dyDescent="0.25">
      <c r="D1184" s="31"/>
      <c r="E1184" s="31"/>
      <c r="F1184" s="31"/>
      <c r="G1184" s="31"/>
      <c r="H1184" s="31"/>
      <c r="I1184" s="31"/>
      <c r="J1184" s="31"/>
      <c r="K1184" s="31"/>
      <c r="L1184" s="269"/>
      <c r="M1184" s="269"/>
      <c r="N1184" s="269"/>
      <c r="O1184" s="282"/>
      <c r="P1184" s="269"/>
      <c r="Q1184" s="269"/>
      <c r="R1184" s="269"/>
      <c r="S1184" s="282"/>
      <c r="T1184" s="269"/>
      <c r="U1184" s="269"/>
      <c r="V1184" s="269"/>
      <c r="W1184" s="269"/>
      <c r="X1184" s="31"/>
    </row>
    <row r="1185" spans="4:24" x14ac:dyDescent="0.25">
      <c r="D1185" s="31"/>
      <c r="E1185" s="31"/>
      <c r="F1185" s="31"/>
      <c r="G1185" s="31"/>
      <c r="H1185" s="31"/>
      <c r="I1185" s="31"/>
      <c r="J1185" s="31"/>
      <c r="K1185" s="31"/>
      <c r="L1185" s="269"/>
      <c r="M1185" s="269"/>
      <c r="N1185" s="269"/>
      <c r="O1185" s="282"/>
      <c r="P1185" s="269"/>
      <c r="Q1185" s="269"/>
      <c r="R1185" s="269"/>
      <c r="S1185" s="282"/>
      <c r="T1185" s="269"/>
      <c r="U1185" s="269"/>
      <c r="V1185" s="269"/>
      <c r="W1185" s="269"/>
      <c r="X1185" s="31"/>
    </row>
    <row r="1186" spans="4:24" x14ac:dyDescent="0.25">
      <c r="D1186" s="31"/>
      <c r="E1186" s="31"/>
      <c r="F1186" s="31"/>
      <c r="G1186" s="31"/>
      <c r="H1186" s="31"/>
      <c r="I1186" s="31"/>
      <c r="J1186" s="31"/>
      <c r="K1186" s="31"/>
      <c r="L1186" s="269"/>
      <c r="M1186" s="269"/>
      <c r="N1186" s="269"/>
      <c r="O1186" s="282"/>
      <c r="P1186" s="269"/>
      <c r="Q1186" s="269"/>
      <c r="R1186" s="269"/>
      <c r="S1186" s="282"/>
      <c r="T1186" s="269"/>
      <c r="U1186" s="269"/>
      <c r="V1186" s="269"/>
      <c r="W1186" s="269"/>
      <c r="X1186" s="31"/>
    </row>
    <row r="1187" spans="4:24" x14ac:dyDescent="0.25">
      <c r="D1187" s="31"/>
      <c r="E1187" s="31"/>
      <c r="F1187" s="31"/>
      <c r="G1187" s="31"/>
      <c r="H1187" s="31"/>
      <c r="I1187" s="31"/>
      <c r="J1187" s="31"/>
      <c r="K1187" s="31"/>
      <c r="L1187" s="269"/>
      <c r="M1187" s="269"/>
      <c r="N1187" s="269"/>
      <c r="O1187" s="282"/>
      <c r="P1187" s="269"/>
      <c r="Q1187" s="269"/>
      <c r="R1187" s="269"/>
      <c r="S1187" s="282"/>
      <c r="T1187" s="269"/>
      <c r="U1187" s="269"/>
      <c r="V1187" s="269"/>
      <c r="W1187" s="269"/>
      <c r="X1187" s="31"/>
    </row>
    <row r="1188" spans="4:24" x14ac:dyDescent="0.25">
      <c r="D1188" s="31"/>
      <c r="E1188" s="31"/>
      <c r="F1188" s="31"/>
      <c r="G1188" s="31"/>
      <c r="H1188" s="31"/>
      <c r="I1188" s="31"/>
      <c r="J1188" s="31"/>
      <c r="K1188" s="31"/>
      <c r="L1188" s="269"/>
      <c r="M1188" s="269"/>
      <c r="N1188" s="269"/>
      <c r="O1188" s="282"/>
      <c r="P1188" s="269"/>
      <c r="Q1188" s="269"/>
      <c r="R1188" s="269"/>
      <c r="S1188" s="282"/>
      <c r="T1188" s="269"/>
      <c r="U1188" s="269"/>
      <c r="V1188" s="269"/>
      <c r="W1188" s="269"/>
      <c r="X1188" s="31"/>
    </row>
    <row r="1189" spans="4:24" x14ac:dyDescent="0.25">
      <c r="D1189" s="31"/>
      <c r="E1189" s="31"/>
      <c r="F1189" s="31"/>
      <c r="G1189" s="31"/>
      <c r="H1189" s="31"/>
      <c r="I1189" s="31"/>
      <c r="J1189" s="31"/>
      <c r="K1189" s="31"/>
      <c r="L1189" s="269"/>
      <c r="M1189" s="269"/>
      <c r="N1189" s="269"/>
      <c r="O1189" s="282"/>
      <c r="P1189" s="269"/>
      <c r="Q1189" s="269"/>
      <c r="R1189" s="269"/>
      <c r="S1189" s="282"/>
      <c r="T1189" s="269"/>
      <c r="U1189" s="269"/>
      <c r="V1189" s="269"/>
      <c r="W1189" s="269"/>
      <c r="X1189" s="31"/>
    </row>
    <row r="1190" spans="4:24" x14ac:dyDescent="0.25">
      <c r="D1190" s="31"/>
      <c r="E1190" s="31"/>
      <c r="F1190" s="31"/>
      <c r="G1190" s="31"/>
      <c r="H1190" s="31"/>
      <c r="I1190" s="31"/>
      <c r="J1190" s="31"/>
      <c r="K1190" s="31"/>
      <c r="L1190" s="269"/>
      <c r="M1190" s="269"/>
      <c r="N1190" s="269"/>
      <c r="O1190" s="282"/>
      <c r="P1190" s="269"/>
      <c r="Q1190" s="269"/>
      <c r="R1190" s="269"/>
      <c r="S1190" s="282"/>
      <c r="T1190" s="269"/>
      <c r="U1190" s="269"/>
      <c r="V1190" s="269"/>
      <c r="W1190" s="269"/>
      <c r="X1190" s="31"/>
    </row>
    <row r="1191" spans="4:24" x14ac:dyDescent="0.25">
      <c r="D1191" s="31"/>
      <c r="E1191" s="31"/>
      <c r="F1191" s="31"/>
      <c r="G1191" s="31"/>
      <c r="H1191" s="31"/>
      <c r="I1191" s="31"/>
      <c r="J1191" s="31"/>
      <c r="K1191" s="31"/>
      <c r="L1191" s="269"/>
      <c r="M1191" s="269"/>
      <c r="N1191" s="269"/>
      <c r="O1191" s="282"/>
      <c r="P1191" s="269"/>
      <c r="Q1191" s="269"/>
      <c r="R1191" s="269"/>
      <c r="S1191" s="282"/>
      <c r="T1191" s="269"/>
      <c r="U1191" s="269"/>
      <c r="V1191" s="269"/>
      <c r="W1191" s="269"/>
      <c r="X1191" s="31"/>
    </row>
    <row r="1192" spans="4:24" x14ac:dyDescent="0.25">
      <c r="D1192" s="31"/>
      <c r="E1192" s="31"/>
      <c r="F1192" s="31"/>
      <c r="G1192" s="31"/>
      <c r="H1192" s="31"/>
      <c r="I1192" s="31"/>
      <c r="J1192" s="31"/>
      <c r="K1192" s="31"/>
      <c r="L1192" s="269"/>
      <c r="M1192" s="269"/>
      <c r="N1192" s="269"/>
      <c r="O1192" s="282"/>
      <c r="P1192" s="269"/>
      <c r="Q1192" s="269"/>
      <c r="R1192" s="269"/>
      <c r="S1192" s="282"/>
      <c r="T1192" s="269"/>
      <c r="U1192" s="269"/>
      <c r="V1192" s="269"/>
      <c r="W1192" s="269"/>
      <c r="X1192" s="31"/>
    </row>
    <row r="1193" spans="4:24" x14ac:dyDescent="0.25">
      <c r="D1193" s="31"/>
      <c r="E1193" s="31"/>
      <c r="F1193" s="31"/>
      <c r="G1193" s="31"/>
      <c r="H1193" s="31"/>
      <c r="I1193" s="31"/>
      <c r="J1193" s="31"/>
      <c r="K1193" s="31"/>
      <c r="L1193" s="269"/>
      <c r="M1193" s="269"/>
      <c r="N1193" s="269"/>
      <c r="O1193" s="282"/>
      <c r="P1193" s="269"/>
      <c r="Q1193" s="269"/>
      <c r="R1193" s="269"/>
      <c r="S1193" s="282"/>
      <c r="T1193" s="269"/>
      <c r="U1193" s="269"/>
      <c r="V1193" s="269"/>
      <c r="W1193" s="269"/>
      <c r="X1193" s="31"/>
    </row>
    <row r="1194" spans="4:24" x14ac:dyDescent="0.25">
      <c r="D1194" s="31"/>
      <c r="E1194" s="31"/>
      <c r="F1194" s="31"/>
      <c r="G1194" s="31"/>
      <c r="H1194" s="31"/>
      <c r="I1194" s="31"/>
      <c r="J1194" s="31"/>
      <c r="K1194" s="31"/>
      <c r="L1194" s="269"/>
      <c r="M1194" s="269"/>
      <c r="N1194" s="269"/>
      <c r="O1194" s="282"/>
      <c r="P1194" s="269"/>
      <c r="Q1194" s="269"/>
      <c r="R1194" s="269"/>
      <c r="S1194" s="282"/>
      <c r="T1194" s="269"/>
      <c r="U1194" s="269"/>
      <c r="V1194" s="269"/>
      <c r="W1194" s="269"/>
      <c r="X1194" s="31"/>
    </row>
    <row r="1195" spans="4:24" x14ac:dyDescent="0.25">
      <c r="D1195" s="31"/>
      <c r="E1195" s="31"/>
      <c r="F1195" s="31"/>
      <c r="G1195" s="31"/>
      <c r="H1195" s="31"/>
      <c r="I1195" s="31"/>
      <c r="J1195" s="31"/>
      <c r="K1195" s="31"/>
      <c r="L1195" s="269"/>
      <c r="M1195" s="269"/>
      <c r="N1195" s="269"/>
      <c r="O1195" s="282"/>
      <c r="P1195" s="269"/>
      <c r="Q1195" s="269"/>
      <c r="R1195" s="269"/>
      <c r="S1195" s="282"/>
      <c r="T1195" s="269"/>
      <c r="U1195" s="269"/>
      <c r="V1195" s="269"/>
      <c r="W1195" s="269"/>
      <c r="X1195" s="31"/>
    </row>
    <row r="1196" spans="4:24" x14ac:dyDescent="0.25">
      <c r="D1196" s="31"/>
      <c r="E1196" s="31"/>
      <c r="F1196" s="31"/>
      <c r="G1196" s="31"/>
      <c r="H1196" s="31"/>
      <c r="I1196" s="31"/>
      <c r="J1196" s="31"/>
      <c r="K1196" s="31"/>
      <c r="L1196" s="269"/>
      <c r="M1196" s="269"/>
      <c r="N1196" s="269"/>
      <c r="O1196" s="282"/>
      <c r="P1196" s="269"/>
      <c r="Q1196" s="269"/>
      <c r="R1196" s="269"/>
      <c r="S1196" s="282"/>
      <c r="T1196" s="269"/>
      <c r="U1196" s="269"/>
      <c r="V1196" s="269"/>
      <c r="W1196" s="269"/>
      <c r="X1196" s="31"/>
    </row>
    <row r="1197" spans="4:24" x14ac:dyDescent="0.25">
      <c r="D1197" s="31"/>
      <c r="E1197" s="31"/>
      <c r="F1197" s="31"/>
      <c r="G1197" s="31"/>
      <c r="H1197" s="31"/>
      <c r="I1197" s="31"/>
      <c r="J1197" s="31"/>
      <c r="K1197" s="31"/>
      <c r="L1197" s="269"/>
      <c r="M1197" s="269"/>
      <c r="N1197" s="269"/>
      <c r="O1197" s="282"/>
      <c r="P1197" s="269"/>
      <c r="Q1197" s="269"/>
      <c r="R1197" s="269"/>
      <c r="S1197" s="282"/>
      <c r="T1197" s="269"/>
      <c r="U1197" s="269"/>
      <c r="V1197" s="269"/>
      <c r="W1197" s="269"/>
      <c r="X1197" s="31"/>
    </row>
    <row r="1198" spans="4:24" x14ac:dyDescent="0.25">
      <c r="D1198" s="31"/>
      <c r="E1198" s="31"/>
      <c r="F1198" s="31"/>
      <c r="G1198" s="31"/>
      <c r="H1198" s="31"/>
      <c r="I1198" s="31"/>
      <c r="J1198" s="31"/>
      <c r="K1198" s="31"/>
      <c r="L1198" s="269"/>
      <c r="M1198" s="269"/>
      <c r="N1198" s="269"/>
      <c r="O1198" s="282"/>
      <c r="P1198" s="269"/>
      <c r="Q1198" s="269"/>
      <c r="R1198" s="269"/>
      <c r="S1198" s="282"/>
      <c r="T1198" s="269"/>
      <c r="U1198" s="269"/>
      <c r="V1198" s="269"/>
      <c r="W1198" s="269"/>
      <c r="X1198" s="31"/>
    </row>
    <row r="1199" spans="4:24" x14ac:dyDescent="0.25">
      <c r="D1199" s="31"/>
      <c r="E1199" s="31"/>
      <c r="F1199" s="31"/>
      <c r="G1199" s="31"/>
      <c r="H1199" s="31"/>
      <c r="I1199" s="31"/>
      <c r="J1199" s="31"/>
      <c r="K1199" s="31"/>
      <c r="L1199" s="269"/>
      <c r="M1199" s="269"/>
      <c r="N1199" s="269"/>
      <c r="O1199" s="282"/>
      <c r="P1199" s="269"/>
      <c r="Q1199" s="269"/>
      <c r="R1199" s="269"/>
      <c r="S1199" s="282"/>
      <c r="T1199" s="269"/>
      <c r="U1199" s="269"/>
      <c r="V1199" s="269"/>
      <c r="W1199" s="269"/>
      <c r="X1199" s="31"/>
    </row>
    <row r="1200" spans="4:24" x14ac:dyDescent="0.25">
      <c r="D1200" s="31"/>
      <c r="E1200" s="31"/>
      <c r="F1200" s="31"/>
      <c r="G1200" s="31"/>
      <c r="H1200" s="31"/>
      <c r="I1200" s="31"/>
      <c r="J1200" s="31"/>
      <c r="K1200" s="31"/>
      <c r="L1200" s="269"/>
      <c r="M1200" s="269"/>
      <c r="N1200" s="269"/>
      <c r="O1200" s="282"/>
      <c r="P1200" s="269"/>
      <c r="Q1200" s="269"/>
      <c r="R1200" s="269"/>
      <c r="S1200" s="282"/>
      <c r="T1200" s="269"/>
      <c r="U1200" s="269"/>
      <c r="V1200" s="269"/>
      <c r="W1200" s="269"/>
      <c r="X1200" s="31"/>
    </row>
    <row r="1201" spans="4:24" x14ac:dyDescent="0.25">
      <c r="D1201" s="31"/>
      <c r="E1201" s="31"/>
      <c r="F1201" s="31"/>
      <c r="G1201" s="31"/>
      <c r="H1201" s="31"/>
      <c r="I1201" s="31"/>
      <c r="J1201" s="31"/>
      <c r="K1201" s="31"/>
      <c r="L1201" s="269"/>
      <c r="M1201" s="269"/>
      <c r="N1201" s="269"/>
      <c r="O1201" s="282"/>
      <c r="P1201" s="269"/>
      <c r="Q1201" s="269"/>
      <c r="R1201" s="269"/>
      <c r="S1201" s="282"/>
      <c r="T1201" s="269"/>
      <c r="U1201" s="269"/>
      <c r="V1201" s="269"/>
      <c r="W1201" s="269"/>
      <c r="X1201" s="31"/>
    </row>
    <row r="1202" spans="4:24" x14ac:dyDescent="0.25">
      <c r="D1202" s="31"/>
      <c r="E1202" s="31"/>
      <c r="F1202" s="31"/>
      <c r="G1202" s="31"/>
      <c r="H1202" s="31"/>
      <c r="I1202" s="31"/>
      <c r="J1202" s="31"/>
      <c r="K1202" s="31"/>
      <c r="L1202" s="269"/>
      <c r="M1202" s="269"/>
      <c r="N1202" s="269"/>
      <c r="O1202" s="282"/>
      <c r="P1202" s="269"/>
      <c r="Q1202" s="269"/>
      <c r="R1202" s="269"/>
      <c r="S1202" s="282"/>
      <c r="T1202" s="269"/>
      <c r="U1202" s="269"/>
      <c r="V1202" s="269"/>
      <c r="W1202" s="269"/>
      <c r="X1202" s="31"/>
    </row>
    <row r="1203" spans="4:24" x14ac:dyDescent="0.25">
      <c r="D1203" s="31"/>
      <c r="E1203" s="31"/>
      <c r="F1203" s="31"/>
      <c r="G1203" s="31"/>
      <c r="H1203" s="31"/>
      <c r="I1203" s="31"/>
      <c r="J1203" s="31"/>
      <c r="K1203" s="31"/>
      <c r="L1203" s="269"/>
      <c r="M1203" s="269"/>
      <c r="N1203" s="269"/>
      <c r="O1203" s="282"/>
      <c r="P1203" s="269"/>
      <c r="Q1203" s="269"/>
      <c r="R1203" s="269"/>
      <c r="S1203" s="282"/>
      <c r="T1203" s="269"/>
      <c r="U1203" s="269"/>
      <c r="V1203" s="269"/>
      <c r="W1203" s="269"/>
      <c r="X1203" s="31"/>
    </row>
    <row r="1204" spans="4:24" x14ac:dyDescent="0.25">
      <c r="D1204" s="31"/>
      <c r="E1204" s="31"/>
      <c r="F1204" s="31"/>
      <c r="G1204" s="31"/>
      <c r="H1204" s="31"/>
      <c r="I1204" s="31"/>
      <c r="J1204" s="31"/>
      <c r="K1204" s="31"/>
      <c r="L1204" s="269"/>
      <c r="M1204" s="269"/>
      <c r="N1204" s="269"/>
      <c r="O1204" s="282"/>
      <c r="P1204" s="269"/>
      <c r="Q1204" s="269"/>
      <c r="R1204" s="269"/>
      <c r="S1204" s="282"/>
      <c r="T1204" s="269"/>
      <c r="U1204" s="269"/>
      <c r="V1204" s="269"/>
      <c r="W1204" s="269"/>
      <c r="X1204" s="31"/>
    </row>
    <row r="1205" spans="4:24" x14ac:dyDescent="0.25">
      <c r="D1205" s="31"/>
      <c r="E1205" s="31"/>
      <c r="F1205" s="31"/>
      <c r="G1205" s="31"/>
      <c r="H1205" s="31"/>
      <c r="I1205" s="31"/>
      <c r="J1205" s="31"/>
      <c r="K1205" s="31"/>
      <c r="L1205" s="269"/>
      <c r="M1205" s="269"/>
      <c r="N1205" s="269"/>
      <c r="O1205" s="282"/>
      <c r="P1205" s="269"/>
      <c r="Q1205" s="269"/>
      <c r="R1205" s="269"/>
      <c r="S1205" s="282"/>
      <c r="T1205" s="269"/>
      <c r="U1205" s="269"/>
      <c r="V1205" s="269"/>
      <c r="W1205" s="269"/>
      <c r="X1205" s="31"/>
    </row>
    <row r="1206" spans="4:24" x14ac:dyDescent="0.25">
      <c r="D1206" s="31"/>
      <c r="E1206" s="31"/>
      <c r="F1206" s="31"/>
      <c r="G1206" s="31"/>
      <c r="H1206" s="31"/>
      <c r="I1206" s="31"/>
      <c r="J1206" s="31"/>
      <c r="K1206" s="31"/>
      <c r="L1206" s="269"/>
      <c r="M1206" s="269"/>
      <c r="N1206" s="269"/>
      <c r="O1206" s="282"/>
      <c r="P1206" s="269"/>
      <c r="Q1206" s="269"/>
      <c r="R1206" s="269"/>
      <c r="S1206" s="282"/>
      <c r="T1206" s="269"/>
      <c r="U1206" s="269"/>
      <c r="V1206" s="269"/>
      <c r="W1206" s="269"/>
      <c r="X1206" s="31"/>
    </row>
    <row r="1207" spans="4:24" x14ac:dyDescent="0.25">
      <c r="D1207" s="31"/>
      <c r="E1207" s="31"/>
      <c r="F1207" s="31"/>
      <c r="G1207" s="31"/>
      <c r="H1207" s="31"/>
      <c r="I1207" s="31"/>
      <c r="J1207" s="31"/>
      <c r="K1207" s="31"/>
      <c r="L1207" s="269"/>
      <c r="M1207" s="269"/>
      <c r="N1207" s="269"/>
      <c r="O1207" s="282"/>
      <c r="P1207" s="269"/>
      <c r="Q1207" s="269"/>
      <c r="R1207" s="269"/>
      <c r="S1207" s="282"/>
      <c r="T1207" s="269"/>
      <c r="U1207" s="269"/>
      <c r="V1207" s="269"/>
      <c r="W1207" s="269"/>
      <c r="X1207" s="31"/>
    </row>
    <row r="1208" spans="4:24" x14ac:dyDescent="0.25">
      <c r="D1208" s="31"/>
      <c r="E1208" s="31"/>
      <c r="F1208" s="31"/>
      <c r="G1208" s="31"/>
      <c r="H1208" s="31"/>
      <c r="I1208" s="31"/>
      <c r="J1208" s="31"/>
      <c r="K1208" s="31"/>
      <c r="L1208" s="269"/>
      <c r="M1208" s="269"/>
      <c r="N1208" s="269"/>
      <c r="O1208" s="282"/>
      <c r="P1208" s="269"/>
      <c r="Q1208" s="269"/>
      <c r="R1208" s="269"/>
      <c r="S1208" s="282"/>
      <c r="T1208" s="269"/>
      <c r="U1208" s="269"/>
      <c r="V1208" s="269"/>
      <c r="W1208" s="269"/>
      <c r="X1208" s="31"/>
    </row>
    <row r="1209" spans="4:24" x14ac:dyDescent="0.25">
      <c r="D1209" s="31"/>
      <c r="E1209" s="31"/>
      <c r="F1209" s="31"/>
      <c r="G1209" s="31"/>
      <c r="H1209" s="31"/>
      <c r="I1209" s="31"/>
      <c r="J1209" s="31"/>
      <c r="K1209" s="31"/>
      <c r="L1209" s="269"/>
      <c r="M1209" s="269"/>
      <c r="N1209" s="269"/>
      <c r="O1209" s="282"/>
      <c r="P1209" s="269"/>
      <c r="Q1209" s="269"/>
      <c r="R1209" s="269"/>
      <c r="S1209" s="282"/>
      <c r="T1209" s="269"/>
      <c r="U1209" s="269"/>
      <c r="V1209" s="269"/>
      <c r="W1209" s="269"/>
      <c r="X1209" s="31"/>
    </row>
    <row r="1210" spans="4:24" x14ac:dyDescent="0.25">
      <c r="D1210" s="31"/>
      <c r="E1210" s="31"/>
      <c r="F1210" s="31"/>
      <c r="G1210" s="31"/>
      <c r="H1210" s="31"/>
      <c r="I1210" s="31"/>
      <c r="J1210" s="31"/>
      <c r="K1210" s="31"/>
      <c r="L1210" s="269"/>
      <c r="M1210" s="269"/>
      <c r="N1210" s="269"/>
      <c r="O1210" s="282"/>
      <c r="P1210" s="269"/>
      <c r="Q1210" s="269"/>
      <c r="R1210" s="269"/>
      <c r="S1210" s="282"/>
      <c r="T1210" s="269"/>
      <c r="U1210" s="269"/>
      <c r="V1210" s="269"/>
      <c r="W1210" s="269"/>
      <c r="X1210" s="31"/>
    </row>
    <row r="1211" spans="4:24" x14ac:dyDescent="0.25">
      <c r="D1211" s="31"/>
      <c r="E1211" s="31"/>
      <c r="F1211" s="31"/>
      <c r="G1211" s="31"/>
      <c r="H1211" s="31"/>
      <c r="I1211" s="31"/>
      <c r="J1211" s="31"/>
      <c r="K1211" s="31"/>
      <c r="L1211" s="269"/>
      <c r="M1211" s="269"/>
      <c r="N1211" s="269"/>
      <c r="O1211" s="282"/>
      <c r="P1211" s="269"/>
      <c r="Q1211" s="269"/>
      <c r="R1211" s="269"/>
      <c r="S1211" s="282"/>
      <c r="T1211" s="269"/>
      <c r="U1211" s="269"/>
      <c r="V1211" s="269"/>
      <c r="W1211" s="269"/>
      <c r="X1211" s="31"/>
    </row>
    <row r="1212" spans="4:24" x14ac:dyDescent="0.25">
      <c r="D1212" s="31"/>
      <c r="E1212" s="31"/>
      <c r="F1212" s="31"/>
      <c r="G1212" s="31"/>
      <c r="H1212" s="31"/>
      <c r="I1212" s="31"/>
      <c r="J1212" s="31"/>
      <c r="K1212" s="31"/>
      <c r="L1212" s="269"/>
      <c r="M1212" s="269"/>
      <c r="N1212" s="269"/>
      <c r="O1212" s="282"/>
      <c r="P1212" s="269"/>
      <c r="Q1212" s="269"/>
      <c r="R1212" s="269"/>
      <c r="S1212" s="282"/>
      <c r="T1212" s="269"/>
      <c r="U1212" s="269"/>
      <c r="V1212" s="269"/>
      <c r="W1212" s="269"/>
      <c r="X1212" s="31"/>
    </row>
    <row r="1213" spans="4:24" x14ac:dyDescent="0.25">
      <c r="D1213" s="31"/>
      <c r="E1213" s="31"/>
      <c r="F1213" s="31"/>
      <c r="G1213" s="31"/>
      <c r="H1213" s="31"/>
      <c r="I1213" s="31"/>
      <c r="J1213" s="31"/>
      <c r="K1213" s="31"/>
      <c r="L1213" s="269"/>
      <c r="M1213" s="269"/>
      <c r="N1213" s="269"/>
      <c r="O1213" s="282"/>
      <c r="P1213" s="269"/>
      <c r="Q1213" s="269"/>
      <c r="R1213" s="269"/>
      <c r="S1213" s="282"/>
      <c r="T1213" s="269"/>
      <c r="U1213" s="269"/>
      <c r="V1213" s="269"/>
      <c r="W1213" s="269"/>
      <c r="X1213" s="31"/>
    </row>
    <row r="1214" spans="4:24" x14ac:dyDescent="0.25">
      <c r="D1214" s="31"/>
      <c r="E1214" s="31"/>
      <c r="F1214" s="31"/>
      <c r="G1214" s="31"/>
      <c r="H1214" s="31"/>
      <c r="I1214" s="31"/>
      <c r="J1214" s="31"/>
      <c r="K1214" s="31"/>
      <c r="L1214" s="269"/>
      <c r="M1214" s="269"/>
      <c r="N1214" s="269"/>
      <c r="O1214" s="282"/>
      <c r="P1214" s="269"/>
      <c r="Q1214" s="269"/>
      <c r="R1214" s="269"/>
      <c r="S1214" s="282"/>
      <c r="T1214" s="269"/>
      <c r="U1214" s="269"/>
      <c r="V1214" s="269"/>
      <c r="W1214" s="269"/>
      <c r="X1214" s="31"/>
    </row>
    <row r="1215" spans="4:24" x14ac:dyDescent="0.25">
      <c r="D1215" s="31"/>
      <c r="E1215" s="31"/>
      <c r="F1215" s="31"/>
      <c r="G1215" s="31"/>
      <c r="H1215" s="31"/>
      <c r="I1215" s="31"/>
      <c r="J1215" s="31"/>
      <c r="K1215" s="31"/>
      <c r="L1215" s="269"/>
      <c r="M1215" s="269"/>
      <c r="N1215" s="269"/>
      <c r="O1215" s="282"/>
      <c r="P1215" s="269"/>
      <c r="Q1215" s="269"/>
      <c r="R1215" s="269"/>
      <c r="S1215" s="282"/>
      <c r="T1215" s="269"/>
      <c r="U1215" s="269"/>
      <c r="V1215" s="269"/>
      <c r="W1215" s="269"/>
      <c r="X1215" s="31"/>
    </row>
    <row r="1216" spans="4:24" x14ac:dyDescent="0.25">
      <c r="D1216" s="31"/>
      <c r="E1216" s="31"/>
      <c r="F1216" s="31"/>
      <c r="G1216" s="31"/>
      <c r="H1216" s="31"/>
      <c r="I1216" s="31"/>
      <c r="J1216" s="31"/>
      <c r="K1216" s="31"/>
      <c r="L1216" s="269"/>
      <c r="M1216" s="269"/>
      <c r="N1216" s="269"/>
      <c r="O1216" s="282"/>
      <c r="P1216" s="269"/>
      <c r="Q1216" s="269"/>
      <c r="R1216" s="269"/>
      <c r="S1216" s="282"/>
      <c r="T1216" s="269"/>
      <c r="U1216" s="269"/>
      <c r="V1216" s="269"/>
      <c r="W1216" s="269"/>
      <c r="X1216" s="31"/>
    </row>
    <row r="1217" spans="4:24" x14ac:dyDescent="0.25">
      <c r="D1217" s="31"/>
      <c r="E1217" s="31"/>
      <c r="F1217" s="31"/>
      <c r="G1217" s="31"/>
      <c r="H1217" s="31"/>
      <c r="I1217" s="31"/>
      <c r="J1217" s="31"/>
      <c r="K1217" s="31"/>
      <c r="L1217" s="269"/>
      <c r="M1217" s="269"/>
      <c r="N1217" s="269"/>
      <c r="O1217" s="282"/>
      <c r="P1217" s="269"/>
      <c r="Q1217" s="269"/>
      <c r="R1217" s="269"/>
      <c r="S1217" s="282"/>
      <c r="T1217" s="269"/>
      <c r="U1217" s="269"/>
      <c r="V1217" s="269"/>
      <c r="W1217" s="269"/>
      <c r="X1217" s="31"/>
    </row>
    <row r="1218" spans="4:24" x14ac:dyDescent="0.25">
      <c r="D1218" s="31"/>
      <c r="E1218" s="31"/>
      <c r="F1218" s="31"/>
      <c r="G1218" s="31"/>
      <c r="H1218" s="31"/>
      <c r="I1218" s="31"/>
      <c r="J1218" s="31"/>
      <c r="K1218" s="31"/>
      <c r="L1218" s="269"/>
      <c r="M1218" s="269"/>
      <c r="N1218" s="269"/>
      <c r="O1218" s="282"/>
      <c r="P1218" s="269"/>
      <c r="Q1218" s="269"/>
      <c r="R1218" s="269"/>
      <c r="S1218" s="282"/>
      <c r="T1218" s="269"/>
      <c r="U1218" s="269"/>
      <c r="V1218" s="269"/>
      <c r="W1218" s="269"/>
      <c r="X1218" s="31"/>
    </row>
    <row r="1219" spans="4:24" x14ac:dyDescent="0.25">
      <c r="D1219" s="31"/>
      <c r="E1219" s="31"/>
      <c r="F1219" s="31"/>
      <c r="G1219" s="31"/>
      <c r="H1219" s="31"/>
      <c r="I1219" s="31"/>
      <c r="J1219" s="31"/>
      <c r="K1219" s="31"/>
      <c r="L1219" s="269"/>
      <c r="M1219" s="269"/>
      <c r="N1219" s="269"/>
      <c r="O1219" s="282"/>
      <c r="P1219" s="269"/>
      <c r="Q1219" s="269"/>
      <c r="R1219" s="269"/>
      <c r="S1219" s="282"/>
      <c r="T1219" s="269"/>
      <c r="U1219" s="269"/>
      <c r="V1219" s="269"/>
      <c r="W1219" s="269"/>
      <c r="X1219" s="31"/>
    </row>
    <row r="1220" spans="4:24" x14ac:dyDescent="0.25">
      <c r="D1220" s="31"/>
      <c r="E1220" s="31"/>
      <c r="F1220" s="31"/>
      <c r="G1220" s="31"/>
      <c r="H1220" s="31"/>
      <c r="I1220" s="31"/>
      <c r="J1220" s="31"/>
      <c r="K1220" s="31"/>
      <c r="L1220" s="269"/>
      <c r="M1220" s="269"/>
      <c r="N1220" s="269"/>
      <c r="O1220" s="282"/>
      <c r="P1220" s="269"/>
      <c r="Q1220" s="269"/>
      <c r="R1220" s="269"/>
      <c r="S1220" s="282"/>
      <c r="T1220" s="269"/>
      <c r="U1220" s="269"/>
      <c r="V1220" s="269"/>
      <c r="W1220" s="269"/>
      <c r="X1220" s="31"/>
    </row>
    <row r="1221" spans="4:24" x14ac:dyDescent="0.25">
      <c r="D1221" s="31"/>
      <c r="E1221" s="31"/>
      <c r="F1221" s="31"/>
      <c r="G1221" s="31"/>
      <c r="H1221" s="31"/>
      <c r="I1221" s="31"/>
      <c r="J1221" s="31"/>
      <c r="K1221" s="31"/>
      <c r="L1221" s="269"/>
      <c r="M1221" s="269"/>
      <c r="N1221" s="269"/>
      <c r="O1221" s="282"/>
      <c r="P1221" s="269"/>
      <c r="Q1221" s="269"/>
      <c r="R1221" s="269"/>
      <c r="S1221" s="282"/>
      <c r="T1221" s="269"/>
      <c r="U1221" s="269"/>
      <c r="V1221" s="269"/>
      <c r="W1221" s="269"/>
      <c r="X1221" s="31"/>
    </row>
    <row r="1222" spans="4:24" x14ac:dyDescent="0.25">
      <c r="D1222" s="31"/>
      <c r="E1222" s="31"/>
      <c r="F1222" s="31"/>
      <c r="G1222" s="31"/>
      <c r="H1222" s="31"/>
      <c r="I1222" s="31"/>
      <c r="J1222" s="31"/>
      <c r="K1222" s="31"/>
      <c r="L1222" s="269"/>
      <c r="M1222" s="269"/>
      <c r="N1222" s="269"/>
      <c r="O1222" s="282"/>
      <c r="P1222" s="269"/>
      <c r="Q1222" s="269"/>
      <c r="R1222" s="269"/>
      <c r="S1222" s="282"/>
      <c r="T1222" s="269"/>
      <c r="U1222" s="269"/>
      <c r="V1222" s="269"/>
      <c r="W1222" s="269"/>
      <c r="X1222" s="31"/>
    </row>
    <row r="1223" spans="4:24" x14ac:dyDescent="0.25">
      <c r="D1223" s="31"/>
      <c r="E1223" s="31"/>
      <c r="F1223" s="31"/>
      <c r="G1223" s="31"/>
      <c r="H1223" s="31"/>
      <c r="I1223" s="31"/>
      <c r="J1223" s="31"/>
      <c r="K1223" s="31"/>
      <c r="L1223" s="269"/>
      <c r="M1223" s="269"/>
      <c r="N1223" s="269"/>
      <c r="O1223" s="282"/>
      <c r="P1223" s="269"/>
      <c r="Q1223" s="269"/>
      <c r="R1223" s="269"/>
      <c r="S1223" s="282"/>
      <c r="T1223" s="269"/>
      <c r="U1223" s="269"/>
      <c r="V1223" s="269"/>
      <c r="W1223" s="269"/>
      <c r="X1223" s="31"/>
    </row>
    <row r="1224" spans="4:24" x14ac:dyDescent="0.25">
      <c r="D1224" s="31"/>
      <c r="E1224" s="31"/>
      <c r="F1224" s="31"/>
      <c r="G1224" s="31"/>
      <c r="H1224" s="31"/>
      <c r="I1224" s="31"/>
      <c r="J1224" s="31"/>
      <c r="K1224" s="31"/>
      <c r="L1224" s="269"/>
      <c r="M1224" s="269"/>
      <c r="N1224" s="269"/>
      <c r="O1224" s="282"/>
      <c r="P1224" s="269"/>
      <c r="Q1224" s="269"/>
      <c r="R1224" s="269"/>
      <c r="S1224" s="282"/>
      <c r="T1224" s="269"/>
      <c r="U1224" s="269"/>
      <c r="V1224" s="269"/>
      <c r="W1224" s="269"/>
      <c r="X1224" s="31"/>
    </row>
    <row r="1225" spans="4:24" x14ac:dyDescent="0.25">
      <c r="D1225" s="31"/>
      <c r="E1225" s="31"/>
      <c r="F1225" s="31"/>
      <c r="G1225" s="31"/>
      <c r="H1225" s="31"/>
      <c r="I1225" s="31"/>
      <c r="J1225" s="31"/>
      <c r="K1225" s="31"/>
      <c r="L1225" s="269"/>
      <c r="M1225" s="269"/>
      <c r="N1225" s="269"/>
      <c r="O1225" s="282"/>
      <c r="P1225" s="269"/>
      <c r="Q1225" s="269"/>
      <c r="R1225" s="269"/>
      <c r="S1225" s="282"/>
      <c r="T1225" s="269"/>
      <c r="U1225" s="269"/>
      <c r="V1225" s="269"/>
      <c r="W1225" s="269"/>
      <c r="X1225" s="31"/>
    </row>
    <row r="1226" spans="4:24" x14ac:dyDescent="0.25">
      <c r="D1226" s="31"/>
      <c r="E1226" s="31"/>
      <c r="F1226" s="31"/>
      <c r="G1226" s="31"/>
      <c r="H1226" s="31"/>
      <c r="I1226" s="31"/>
      <c r="J1226" s="31"/>
      <c r="K1226" s="31"/>
      <c r="L1226" s="269"/>
      <c r="M1226" s="269"/>
      <c r="N1226" s="269"/>
      <c r="O1226" s="282"/>
      <c r="P1226" s="269"/>
      <c r="Q1226" s="269"/>
      <c r="R1226" s="269"/>
      <c r="S1226" s="282"/>
      <c r="T1226" s="269"/>
      <c r="U1226" s="269"/>
      <c r="V1226" s="269"/>
      <c r="W1226" s="269"/>
      <c r="X1226" s="31"/>
    </row>
    <row r="1227" spans="4:24" x14ac:dyDescent="0.25">
      <c r="D1227" s="31"/>
      <c r="E1227" s="31"/>
      <c r="F1227" s="31"/>
      <c r="G1227" s="31"/>
      <c r="H1227" s="31"/>
      <c r="I1227" s="31"/>
      <c r="J1227" s="31"/>
      <c r="K1227" s="31"/>
      <c r="L1227" s="269"/>
      <c r="M1227" s="269"/>
      <c r="N1227" s="269"/>
      <c r="O1227" s="282"/>
      <c r="P1227" s="269"/>
      <c r="Q1227" s="269"/>
      <c r="R1227" s="269"/>
      <c r="S1227" s="282"/>
      <c r="T1227" s="269"/>
      <c r="U1227" s="269"/>
      <c r="V1227" s="269"/>
      <c r="W1227" s="269"/>
      <c r="X1227" s="31"/>
    </row>
    <row r="1228" spans="4:24" x14ac:dyDescent="0.25">
      <c r="D1228" s="31"/>
      <c r="E1228" s="31"/>
      <c r="F1228" s="31"/>
      <c r="G1228" s="31"/>
      <c r="H1228" s="31"/>
      <c r="I1228" s="31"/>
      <c r="J1228" s="31"/>
      <c r="K1228" s="31"/>
      <c r="L1228" s="269"/>
      <c r="M1228" s="269"/>
      <c r="N1228" s="269"/>
      <c r="O1228" s="282"/>
      <c r="P1228" s="269"/>
      <c r="Q1228" s="269"/>
      <c r="R1228" s="269"/>
      <c r="S1228" s="282"/>
      <c r="T1228" s="269"/>
      <c r="U1228" s="269"/>
      <c r="V1228" s="269"/>
      <c r="W1228" s="269"/>
      <c r="X1228" s="31"/>
    </row>
    <row r="1229" spans="4:24" x14ac:dyDescent="0.25">
      <c r="D1229" s="31"/>
      <c r="E1229" s="31"/>
      <c r="F1229" s="31"/>
      <c r="G1229" s="31"/>
      <c r="H1229" s="31"/>
      <c r="I1229" s="31"/>
      <c r="J1229" s="31"/>
      <c r="K1229" s="31"/>
      <c r="L1229" s="269"/>
      <c r="M1229" s="269"/>
      <c r="N1229" s="269"/>
      <c r="O1229" s="282"/>
      <c r="P1229" s="269"/>
      <c r="Q1229" s="269"/>
      <c r="R1229" s="269"/>
      <c r="S1229" s="282"/>
      <c r="T1229" s="269"/>
      <c r="U1229" s="269"/>
      <c r="V1229" s="269"/>
      <c r="W1229" s="269"/>
      <c r="X1229" s="31"/>
    </row>
    <row r="1230" spans="4:24" x14ac:dyDescent="0.25">
      <c r="D1230" s="31"/>
      <c r="E1230" s="31"/>
      <c r="F1230" s="31"/>
      <c r="G1230" s="31"/>
      <c r="H1230" s="31"/>
      <c r="I1230" s="31"/>
      <c r="J1230" s="31"/>
      <c r="K1230" s="31"/>
      <c r="L1230" s="269"/>
      <c r="M1230" s="269"/>
      <c r="N1230" s="269"/>
      <c r="O1230" s="282"/>
      <c r="P1230" s="269"/>
      <c r="Q1230" s="269"/>
      <c r="R1230" s="269"/>
      <c r="S1230" s="282"/>
      <c r="T1230" s="269"/>
      <c r="U1230" s="269"/>
      <c r="V1230" s="269"/>
      <c r="W1230" s="269"/>
      <c r="X1230" s="31"/>
    </row>
    <row r="1231" spans="4:24" x14ac:dyDescent="0.25">
      <c r="D1231" s="31"/>
      <c r="E1231" s="31"/>
      <c r="F1231" s="31"/>
      <c r="G1231" s="31"/>
      <c r="H1231" s="31"/>
      <c r="I1231" s="31"/>
      <c r="J1231" s="31"/>
      <c r="K1231" s="31"/>
      <c r="L1231" s="269"/>
      <c r="M1231" s="269"/>
      <c r="N1231" s="269"/>
      <c r="O1231" s="282"/>
      <c r="P1231" s="269"/>
      <c r="Q1231" s="269"/>
      <c r="R1231" s="269"/>
      <c r="S1231" s="282"/>
      <c r="T1231" s="269"/>
      <c r="U1231" s="269"/>
      <c r="V1231" s="269"/>
      <c r="W1231" s="269"/>
      <c r="X1231" s="31"/>
    </row>
    <row r="1232" spans="4:24" x14ac:dyDescent="0.25">
      <c r="D1232" s="31"/>
      <c r="E1232" s="31"/>
      <c r="F1232" s="31"/>
      <c r="G1232" s="31"/>
      <c r="H1232" s="31"/>
      <c r="I1232" s="31"/>
      <c r="J1232" s="31"/>
      <c r="K1232" s="31"/>
      <c r="L1232" s="269"/>
      <c r="M1232" s="269"/>
      <c r="N1232" s="269"/>
      <c r="O1232" s="282"/>
      <c r="P1232" s="269"/>
      <c r="Q1232" s="269"/>
      <c r="R1232" s="269"/>
      <c r="S1232" s="282"/>
      <c r="T1232" s="269"/>
      <c r="U1232" s="269"/>
      <c r="V1232" s="269"/>
      <c r="W1232" s="269"/>
      <c r="X1232" s="31"/>
    </row>
    <row r="1233" spans="4:24" x14ac:dyDescent="0.25">
      <c r="D1233" s="31"/>
      <c r="E1233" s="31"/>
      <c r="F1233" s="31"/>
      <c r="G1233" s="31"/>
      <c r="H1233" s="31"/>
      <c r="I1233" s="31"/>
      <c r="J1233" s="31"/>
      <c r="K1233" s="31"/>
      <c r="L1233" s="269"/>
      <c r="M1233" s="269"/>
      <c r="N1233" s="269"/>
      <c r="O1233" s="282"/>
      <c r="P1233" s="269"/>
      <c r="Q1233" s="269"/>
      <c r="R1233" s="269"/>
      <c r="S1233" s="282"/>
      <c r="T1233" s="269"/>
      <c r="U1233" s="269"/>
      <c r="V1233" s="269"/>
      <c r="W1233" s="269"/>
      <c r="X1233" s="31"/>
    </row>
    <row r="1234" spans="4:24" x14ac:dyDescent="0.25">
      <c r="D1234" s="31"/>
      <c r="E1234" s="31"/>
      <c r="F1234" s="31"/>
      <c r="G1234" s="31"/>
      <c r="H1234" s="31"/>
      <c r="I1234" s="31"/>
      <c r="J1234" s="31"/>
      <c r="K1234" s="31"/>
      <c r="L1234" s="269"/>
      <c r="M1234" s="269"/>
      <c r="N1234" s="269"/>
      <c r="O1234" s="282"/>
      <c r="P1234" s="269"/>
      <c r="Q1234" s="269"/>
      <c r="R1234" s="269"/>
      <c r="S1234" s="282"/>
      <c r="T1234" s="269"/>
      <c r="U1234" s="269"/>
      <c r="V1234" s="269"/>
      <c r="W1234" s="269"/>
      <c r="X1234" s="31"/>
    </row>
    <row r="1235" spans="4:24" x14ac:dyDescent="0.25">
      <c r="D1235" s="31"/>
      <c r="E1235" s="31"/>
      <c r="F1235" s="31"/>
      <c r="G1235" s="31"/>
      <c r="H1235" s="31"/>
      <c r="I1235" s="31"/>
      <c r="J1235" s="31"/>
      <c r="K1235" s="31"/>
      <c r="L1235" s="269"/>
      <c r="M1235" s="269"/>
      <c r="N1235" s="269"/>
      <c r="O1235" s="282"/>
      <c r="P1235" s="269"/>
      <c r="Q1235" s="269"/>
      <c r="R1235" s="269"/>
      <c r="S1235" s="282"/>
      <c r="T1235" s="269"/>
      <c r="U1235" s="269"/>
      <c r="V1235" s="269"/>
      <c r="W1235" s="269"/>
      <c r="X1235" s="31"/>
    </row>
    <row r="1236" spans="4:24" x14ac:dyDescent="0.25">
      <c r="D1236" s="31"/>
      <c r="E1236" s="31"/>
      <c r="F1236" s="31"/>
      <c r="G1236" s="31"/>
      <c r="H1236" s="31"/>
      <c r="I1236" s="31"/>
      <c r="J1236" s="31"/>
      <c r="K1236" s="31"/>
      <c r="L1236" s="269"/>
      <c r="M1236" s="269"/>
      <c r="N1236" s="269"/>
      <c r="O1236" s="282"/>
      <c r="P1236" s="269"/>
      <c r="Q1236" s="269"/>
      <c r="R1236" s="269"/>
      <c r="S1236" s="282"/>
      <c r="T1236" s="269"/>
      <c r="U1236" s="269"/>
      <c r="V1236" s="269"/>
      <c r="W1236" s="269"/>
      <c r="X1236" s="31"/>
    </row>
    <row r="1237" spans="4:24" x14ac:dyDescent="0.25">
      <c r="D1237" s="31"/>
      <c r="E1237" s="31"/>
      <c r="F1237" s="31"/>
      <c r="G1237" s="31"/>
      <c r="H1237" s="31"/>
      <c r="I1237" s="31"/>
      <c r="J1237" s="31"/>
      <c r="K1237" s="31"/>
      <c r="L1237" s="269"/>
      <c r="M1237" s="269"/>
      <c r="N1237" s="269"/>
      <c r="O1237" s="282"/>
      <c r="P1237" s="269"/>
      <c r="Q1237" s="269"/>
      <c r="R1237" s="269"/>
      <c r="S1237" s="282"/>
      <c r="T1237" s="269"/>
      <c r="U1237" s="269"/>
      <c r="V1237" s="269"/>
      <c r="W1237" s="269"/>
      <c r="X1237" s="31"/>
    </row>
    <row r="1238" spans="4:24" x14ac:dyDescent="0.25">
      <c r="D1238" s="31"/>
      <c r="E1238" s="31"/>
      <c r="F1238" s="31"/>
      <c r="G1238" s="31"/>
      <c r="H1238" s="31"/>
      <c r="I1238" s="31"/>
      <c r="J1238" s="31"/>
      <c r="K1238" s="31"/>
      <c r="L1238" s="269"/>
      <c r="M1238" s="269"/>
      <c r="N1238" s="269"/>
      <c r="O1238" s="282"/>
      <c r="P1238" s="269"/>
      <c r="Q1238" s="269"/>
      <c r="R1238" s="269"/>
      <c r="S1238" s="282"/>
      <c r="T1238" s="269"/>
      <c r="U1238" s="269"/>
      <c r="V1238" s="269"/>
      <c r="W1238" s="269"/>
      <c r="X1238" s="31"/>
    </row>
    <row r="1239" spans="4:24" x14ac:dyDescent="0.25">
      <c r="D1239" s="31"/>
      <c r="E1239" s="31"/>
      <c r="F1239" s="31"/>
      <c r="G1239" s="31"/>
      <c r="H1239" s="31"/>
      <c r="I1239" s="31"/>
      <c r="J1239" s="31"/>
      <c r="K1239" s="31"/>
      <c r="L1239" s="269"/>
      <c r="M1239" s="269"/>
      <c r="N1239" s="269"/>
      <c r="O1239" s="282"/>
      <c r="P1239" s="269"/>
      <c r="Q1239" s="269"/>
      <c r="R1239" s="269"/>
      <c r="S1239" s="282"/>
      <c r="T1239" s="269"/>
      <c r="U1239" s="269"/>
      <c r="V1239" s="269"/>
      <c r="W1239" s="269"/>
      <c r="X1239" s="31"/>
    </row>
    <row r="1240" spans="4:24" x14ac:dyDescent="0.25">
      <c r="D1240" s="31"/>
      <c r="E1240" s="31"/>
      <c r="F1240" s="31"/>
      <c r="G1240" s="31"/>
      <c r="H1240" s="31"/>
      <c r="I1240" s="31"/>
      <c r="J1240" s="31"/>
      <c r="K1240" s="31"/>
      <c r="L1240" s="269"/>
      <c r="M1240" s="269"/>
      <c r="N1240" s="269"/>
      <c r="O1240" s="282"/>
      <c r="P1240" s="269"/>
      <c r="Q1240" s="269"/>
      <c r="R1240" s="269"/>
      <c r="S1240" s="282"/>
      <c r="T1240" s="269"/>
      <c r="U1240" s="269"/>
      <c r="V1240" s="269"/>
      <c r="W1240" s="269"/>
      <c r="X1240" s="31"/>
    </row>
    <row r="1241" spans="4:24" x14ac:dyDescent="0.25">
      <c r="D1241" s="31"/>
      <c r="E1241" s="31"/>
      <c r="F1241" s="31"/>
      <c r="G1241" s="31"/>
      <c r="H1241" s="31"/>
      <c r="I1241" s="31"/>
      <c r="J1241" s="31"/>
      <c r="K1241" s="31"/>
      <c r="L1241" s="269"/>
      <c r="M1241" s="269"/>
      <c r="N1241" s="269"/>
      <c r="O1241" s="282"/>
      <c r="P1241" s="269"/>
      <c r="Q1241" s="269"/>
      <c r="R1241" s="269"/>
      <c r="S1241" s="282"/>
      <c r="T1241" s="269"/>
      <c r="U1241" s="269"/>
      <c r="V1241" s="269"/>
      <c r="W1241" s="269"/>
      <c r="X1241" s="31"/>
    </row>
    <row r="1242" spans="4:24" x14ac:dyDescent="0.25">
      <c r="D1242" s="31"/>
      <c r="E1242" s="31"/>
      <c r="F1242" s="31"/>
      <c r="G1242" s="31"/>
      <c r="H1242" s="31"/>
      <c r="I1242" s="31"/>
      <c r="J1242" s="31"/>
      <c r="K1242" s="31"/>
      <c r="L1242" s="269"/>
      <c r="M1242" s="269"/>
      <c r="N1242" s="269"/>
      <c r="O1242" s="282"/>
      <c r="P1242" s="269"/>
      <c r="Q1242" s="269"/>
      <c r="R1242" s="269"/>
      <c r="S1242" s="282"/>
      <c r="T1242" s="269"/>
      <c r="U1242" s="269"/>
      <c r="V1242" s="269"/>
      <c r="W1242" s="269"/>
      <c r="X1242" s="31"/>
    </row>
    <row r="1243" spans="4:24" x14ac:dyDescent="0.25">
      <c r="D1243" s="31"/>
      <c r="E1243" s="31"/>
      <c r="F1243" s="31"/>
      <c r="G1243" s="31"/>
      <c r="H1243" s="31"/>
      <c r="I1243" s="31"/>
      <c r="J1243" s="31"/>
      <c r="K1243" s="31"/>
      <c r="L1243" s="269"/>
      <c r="M1243" s="269"/>
      <c r="N1243" s="269"/>
      <c r="O1243" s="282"/>
      <c r="P1243" s="269"/>
      <c r="Q1243" s="269"/>
      <c r="R1243" s="269"/>
      <c r="S1243" s="282"/>
      <c r="T1243" s="269"/>
      <c r="U1243" s="269"/>
      <c r="V1243" s="269"/>
      <c r="W1243" s="269"/>
      <c r="X1243" s="31"/>
    </row>
    <row r="1244" spans="4:24" x14ac:dyDescent="0.25">
      <c r="D1244" s="31"/>
      <c r="E1244" s="31"/>
      <c r="F1244" s="31"/>
      <c r="G1244" s="31"/>
      <c r="H1244" s="31"/>
      <c r="I1244" s="31"/>
      <c r="J1244" s="31"/>
      <c r="K1244" s="31"/>
      <c r="L1244" s="269"/>
      <c r="M1244" s="269"/>
      <c r="N1244" s="269"/>
      <c r="O1244" s="282"/>
      <c r="P1244" s="269"/>
      <c r="Q1244" s="269"/>
      <c r="R1244" s="269"/>
      <c r="S1244" s="282"/>
      <c r="T1244" s="269"/>
      <c r="U1244" s="269"/>
      <c r="V1244" s="269"/>
      <c r="W1244" s="269"/>
      <c r="X1244" s="31"/>
    </row>
    <row r="1245" spans="4:24" x14ac:dyDescent="0.25">
      <c r="D1245" s="31"/>
      <c r="E1245" s="31"/>
      <c r="F1245" s="31"/>
      <c r="G1245" s="31"/>
      <c r="H1245" s="31"/>
      <c r="I1245" s="31"/>
      <c r="J1245" s="31"/>
      <c r="K1245" s="31"/>
      <c r="L1245" s="269"/>
      <c r="M1245" s="269"/>
      <c r="N1245" s="269"/>
      <c r="O1245" s="282"/>
      <c r="P1245" s="269"/>
      <c r="Q1245" s="269"/>
      <c r="R1245" s="269"/>
      <c r="S1245" s="282"/>
      <c r="T1245" s="269"/>
      <c r="U1245" s="269"/>
      <c r="V1245" s="269"/>
      <c r="W1245" s="269"/>
      <c r="X1245" s="31"/>
    </row>
    <row r="1246" spans="4:24" x14ac:dyDescent="0.25">
      <c r="D1246" s="31"/>
      <c r="E1246" s="31"/>
      <c r="F1246" s="31"/>
      <c r="G1246" s="31"/>
      <c r="H1246" s="31"/>
      <c r="I1246" s="31"/>
      <c r="J1246" s="31"/>
      <c r="K1246" s="31"/>
      <c r="L1246" s="269"/>
      <c r="M1246" s="269"/>
      <c r="N1246" s="269"/>
      <c r="O1246" s="282"/>
      <c r="P1246" s="269"/>
      <c r="Q1246" s="269"/>
      <c r="R1246" s="269"/>
      <c r="S1246" s="282"/>
      <c r="T1246" s="269"/>
      <c r="U1246" s="269"/>
      <c r="V1246" s="269"/>
      <c r="W1246" s="269"/>
      <c r="X1246" s="31"/>
    </row>
    <row r="1247" spans="4:24" x14ac:dyDescent="0.25">
      <c r="D1247" s="31"/>
      <c r="E1247" s="31"/>
      <c r="F1247" s="31"/>
      <c r="G1247" s="31"/>
      <c r="H1247" s="31"/>
      <c r="I1247" s="31"/>
      <c r="J1247" s="31"/>
      <c r="K1247" s="31"/>
      <c r="L1247" s="269"/>
      <c r="M1247" s="269"/>
      <c r="N1247" s="269"/>
      <c r="O1247" s="282"/>
      <c r="P1247" s="269"/>
      <c r="Q1247" s="269"/>
      <c r="R1247" s="269"/>
      <c r="S1247" s="282"/>
      <c r="T1247" s="269"/>
      <c r="U1247" s="269"/>
      <c r="V1247" s="269"/>
      <c r="W1247" s="269"/>
      <c r="X1247" s="31"/>
    </row>
    <row r="1248" spans="4:24" x14ac:dyDescent="0.25">
      <c r="D1248" s="31"/>
      <c r="E1248" s="31"/>
      <c r="F1248" s="31"/>
      <c r="G1248" s="31"/>
      <c r="H1248" s="31"/>
      <c r="I1248" s="31"/>
      <c r="J1248" s="31"/>
      <c r="K1248" s="31"/>
      <c r="L1248" s="269"/>
      <c r="M1248" s="269"/>
      <c r="N1248" s="269"/>
      <c r="O1248" s="282"/>
      <c r="P1248" s="269"/>
      <c r="Q1248" s="269"/>
      <c r="R1248" s="269"/>
      <c r="S1248" s="282"/>
      <c r="T1248" s="269"/>
      <c r="U1248" s="269"/>
      <c r="V1248" s="269"/>
      <c r="W1248" s="269"/>
      <c r="X1248" s="31"/>
    </row>
    <row r="1249" spans="4:24" x14ac:dyDescent="0.25">
      <c r="D1249" s="31"/>
      <c r="E1249" s="31"/>
      <c r="F1249" s="31"/>
      <c r="G1249" s="31"/>
      <c r="H1249" s="31"/>
      <c r="I1249" s="31"/>
      <c r="J1249" s="31"/>
      <c r="K1249" s="31"/>
      <c r="L1249" s="269"/>
      <c r="M1249" s="269"/>
      <c r="N1249" s="269"/>
      <c r="O1249" s="282"/>
      <c r="P1249" s="269"/>
      <c r="Q1249" s="269"/>
      <c r="R1249" s="269"/>
      <c r="S1249" s="282"/>
      <c r="T1249" s="269"/>
      <c r="U1249" s="269"/>
      <c r="V1249" s="269"/>
      <c r="W1249" s="269"/>
      <c r="X1249" s="31"/>
    </row>
    <row r="1250" spans="4:24" x14ac:dyDescent="0.25">
      <c r="D1250" s="31"/>
      <c r="E1250" s="31"/>
      <c r="F1250" s="31"/>
      <c r="G1250" s="31"/>
      <c r="H1250" s="31"/>
      <c r="I1250" s="31"/>
      <c r="J1250" s="31"/>
      <c r="K1250" s="31"/>
      <c r="L1250" s="269"/>
      <c r="M1250" s="269"/>
      <c r="N1250" s="269"/>
      <c r="O1250" s="282"/>
      <c r="P1250" s="269"/>
      <c r="Q1250" s="269"/>
      <c r="R1250" s="269"/>
      <c r="S1250" s="282"/>
      <c r="T1250" s="269"/>
      <c r="U1250" s="269"/>
      <c r="V1250" s="269"/>
      <c r="W1250" s="269"/>
      <c r="X1250" s="31"/>
    </row>
    <row r="1251" spans="4:24" x14ac:dyDescent="0.25">
      <c r="D1251" s="31"/>
      <c r="E1251" s="31"/>
      <c r="F1251" s="31"/>
      <c r="G1251" s="31"/>
      <c r="H1251" s="31"/>
      <c r="I1251" s="31"/>
      <c r="J1251" s="31"/>
      <c r="K1251" s="31"/>
      <c r="L1251" s="269"/>
      <c r="M1251" s="269"/>
      <c r="N1251" s="269"/>
      <c r="O1251" s="282"/>
      <c r="P1251" s="269"/>
      <c r="Q1251" s="269"/>
      <c r="R1251" s="269"/>
      <c r="S1251" s="282"/>
      <c r="T1251" s="269"/>
      <c r="U1251" s="269"/>
      <c r="V1251" s="269"/>
      <c r="W1251" s="269"/>
      <c r="X1251" s="31"/>
    </row>
    <row r="1252" spans="4:24" x14ac:dyDescent="0.25">
      <c r="D1252" s="31"/>
      <c r="E1252" s="31"/>
      <c r="F1252" s="31"/>
      <c r="G1252" s="31"/>
      <c r="H1252" s="31"/>
      <c r="I1252" s="31"/>
      <c r="J1252" s="31"/>
      <c r="K1252" s="31"/>
      <c r="L1252" s="269"/>
      <c r="M1252" s="269"/>
      <c r="N1252" s="269"/>
      <c r="O1252" s="282"/>
      <c r="P1252" s="269"/>
      <c r="Q1252" s="269"/>
      <c r="R1252" s="269"/>
      <c r="S1252" s="282"/>
      <c r="T1252" s="269"/>
      <c r="U1252" s="269"/>
      <c r="V1252" s="269"/>
      <c r="W1252" s="269"/>
      <c r="X1252" s="31"/>
    </row>
    <row r="1253" spans="4:24" x14ac:dyDescent="0.25">
      <c r="D1253" s="31"/>
      <c r="E1253" s="31"/>
      <c r="F1253" s="31"/>
      <c r="G1253" s="31"/>
      <c r="H1253" s="31"/>
      <c r="I1253" s="31"/>
      <c r="J1253" s="31"/>
      <c r="K1253" s="31"/>
      <c r="L1253" s="269"/>
      <c r="M1253" s="269"/>
      <c r="N1253" s="269"/>
      <c r="O1253" s="282"/>
      <c r="P1253" s="269"/>
      <c r="Q1253" s="269"/>
      <c r="R1253" s="269"/>
      <c r="S1253" s="282"/>
      <c r="T1253" s="269"/>
      <c r="U1253" s="269"/>
      <c r="V1253" s="269"/>
      <c r="W1253" s="269"/>
      <c r="X1253" s="31"/>
    </row>
    <row r="1254" spans="4:24" x14ac:dyDescent="0.25">
      <c r="D1254" s="31"/>
      <c r="E1254" s="31"/>
      <c r="F1254" s="31"/>
      <c r="G1254" s="31"/>
      <c r="H1254" s="31"/>
      <c r="I1254" s="31"/>
      <c r="J1254" s="31"/>
      <c r="K1254" s="31"/>
      <c r="L1254" s="269"/>
      <c r="M1254" s="269"/>
      <c r="N1254" s="269"/>
      <c r="O1254" s="282"/>
      <c r="P1254" s="269"/>
      <c r="Q1254" s="269"/>
      <c r="R1254" s="269"/>
      <c r="S1254" s="282"/>
      <c r="T1254" s="269"/>
      <c r="U1254" s="269"/>
      <c r="V1254" s="269"/>
      <c r="W1254" s="269"/>
      <c r="X1254" s="31"/>
    </row>
    <row r="1255" spans="4:24" x14ac:dyDescent="0.25">
      <c r="D1255" s="31"/>
      <c r="E1255" s="31"/>
      <c r="F1255" s="31"/>
      <c r="G1255" s="31"/>
      <c r="H1255" s="31"/>
      <c r="I1255" s="31"/>
      <c r="J1255" s="31"/>
      <c r="K1255" s="31"/>
      <c r="L1255" s="269"/>
      <c r="M1255" s="269"/>
      <c r="N1255" s="269"/>
      <c r="O1255" s="282"/>
      <c r="P1255" s="269"/>
      <c r="Q1255" s="269"/>
      <c r="R1255" s="269"/>
      <c r="S1255" s="282"/>
      <c r="T1255" s="269"/>
      <c r="U1255" s="269"/>
      <c r="V1255" s="269"/>
      <c r="W1255" s="269"/>
      <c r="X1255" s="31"/>
    </row>
    <row r="1256" spans="4:24" x14ac:dyDescent="0.25">
      <c r="D1256" s="31"/>
      <c r="E1256" s="31"/>
      <c r="F1256" s="31"/>
      <c r="G1256" s="31"/>
      <c r="H1256" s="31"/>
      <c r="I1256" s="31"/>
      <c r="J1256" s="31"/>
      <c r="K1256" s="31"/>
      <c r="L1256" s="269"/>
      <c r="M1256" s="269"/>
      <c r="N1256" s="269"/>
      <c r="O1256" s="282"/>
      <c r="P1256" s="269"/>
      <c r="Q1256" s="269"/>
      <c r="R1256" s="269"/>
      <c r="S1256" s="282"/>
      <c r="T1256" s="269"/>
      <c r="U1256" s="269"/>
      <c r="V1256" s="269"/>
      <c r="W1256" s="269"/>
      <c r="X1256" s="31"/>
    </row>
    <row r="1257" spans="4:24" x14ac:dyDescent="0.25">
      <c r="D1257" s="31"/>
      <c r="E1257" s="31"/>
      <c r="F1257" s="31"/>
      <c r="G1257" s="31"/>
      <c r="H1257" s="31"/>
      <c r="I1257" s="31"/>
      <c r="J1257" s="31"/>
      <c r="K1257" s="31"/>
      <c r="L1257" s="269"/>
      <c r="M1257" s="269"/>
      <c r="N1257" s="269"/>
      <c r="O1257" s="282"/>
      <c r="P1257" s="269"/>
      <c r="Q1257" s="269"/>
      <c r="R1257" s="269"/>
      <c r="S1257" s="282"/>
      <c r="T1257" s="269"/>
      <c r="U1257" s="269"/>
      <c r="V1257" s="269"/>
      <c r="W1257" s="269"/>
      <c r="X1257" s="31"/>
    </row>
    <row r="1258" spans="4:24" x14ac:dyDescent="0.25">
      <c r="D1258" s="31"/>
      <c r="E1258" s="31"/>
      <c r="F1258" s="31"/>
      <c r="G1258" s="31"/>
      <c r="H1258" s="31"/>
      <c r="I1258" s="31"/>
      <c r="J1258" s="31"/>
      <c r="K1258" s="31"/>
      <c r="L1258" s="269"/>
      <c r="M1258" s="269"/>
      <c r="N1258" s="269"/>
      <c r="O1258" s="282"/>
      <c r="P1258" s="269"/>
      <c r="Q1258" s="269"/>
      <c r="R1258" s="269"/>
      <c r="S1258" s="282"/>
      <c r="T1258" s="269"/>
      <c r="U1258" s="269"/>
      <c r="V1258" s="269"/>
      <c r="W1258" s="269"/>
      <c r="X1258" s="31"/>
    </row>
    <row r="1259" spans="4:24" x14ac:dyDescent="0.25">
      <c r="D1259" s="31"/>
      <c r="E1259" s="31"/>
      <c r="F1259" s="31"/>
      <c r="G1259" s="31"/>
      <c r="H1259" s="31"/>
      <c r="I1259" s="31"/>
      <c r="J1259" s="31"/>
      <c r="K1259" s="31"/>
      <c r="L1259" s="269"/>
      <c r="M1259" s="269"/>
      <c r="N1259" s="269"/>
      <c r="O1259" s="282"/>
      <c r="P1259" s="269"/>
      <c r="Q1259" s="269"/>
      <c r="R1259" s="269"/>
      <c r="S1259" s="282"/>
      <c r="T1259" s="269"/>
      <c r="U1259" s="269"/>
      <c r="V1259" s="269"/>
      <c r="W1259" s="269"/>
      <c r="X1259" s="31"/>
    </row>
    <row r="1260" spans="4:24" x14ac:dyDescent="0.25">
      <c r="D1260" s="31"/>
      <c r="E1260" s="31"/>
      <c r="F1260" s="31"/>
      <c r="G1260" s="31"/>
      <c r="H1260" s="31"/>
      <c r="I1260" s="31"/>
      <c r="J1260" s="31"/>
      <c r="K1260" s="31"/>
      <c r="L1260" s="269"/>
      <c r="M1260" s="269"/>
      <c r="N1260" s="269"/>
      <c r="O1260" s="282"/>
      <c r="P1260" s="269"/>
      <c r="Q1260" s="269"/>
      <c r="R1260" s="269"/>
      <c r="S1260" s="282"/>
      <c r="T1260" s="269"/>
      <c r="U1260" s="269"/>
      <c r="V1260" s="269"/>
      <c r="W1260" s="269"/>
      <c r="X1260" s="31"/>
    </row>
    <row r="1261" spans="4:24" x14ac:dyDescent="0.25">
      <c r="D1261" s="31"/>
      <c r="E1261" s="31"/>
      <c r="F1261" s="31"/>
      <c r="G1261" s="31"/>
      <c r="H1261" s="31"/>
      <c r="I1261" s="31"/>
      <c r="J1261" s="31"/>
      <c r="K1261" s="31"/>
      <c r="L1261" s="269"/>
      <c r="M1261" s="269"/>
      <c r="N1261" s="269"/>
      <c r="O1261" s="282"/>
      <c r="P1261" s="269"/>
      <c r="Q1261" s="269"/>
      <c r="R1261" s="269"/>
      <c r="S1261" s="282"/>
      <c r="T1261" s="269"/>
      <c r="U1261" s="269"/>
      <c r="V1261" s="269"/>
      <c r="W1261" s="269"/>
      <c r="X1261" s="31"/>
    </row>
    <row r="1262" spans="4:24" x14ac:dyDescent="0.25">
      <c r="D1262" s="31"/>
      <c r="E1262" s="31"/>
      <c r="F1262" s="31"/>
      <c r="G1262" s="31"/>
      <c r="H1262" s="31"/>
      <c r="I1262" s="31"/>
      <c r="J1262" s="31"/>
      <c r="K1262" s="31"/>
      <c r="L1262" s="269"/>
      <c r="M1262" s="269"/>
      <c r="N1262" s="269"/>
      <c r="O1262" s="282"/>
      <c r="P1262" s="269"/>
      <c r="Q1262" s="269"/>
      <c r="R1262" s="269"/>
      <c r="S1262" s="282"/>
      <c r="T1262" s="269"/>
      <c r="U1262" s="269"/>
      <c r="V1262" s="269"/>
      <c r="W1262" s="269"/>
      <c r="X1262" s="31"/>
    </row>
    <row r="1263" spans="4:24" x14ac:dyDescent="0.25">
      <c r="D1263" s="31"/>
      <c r="E1263" s="31"/>
      <c r="F1263" s="31"/>
      <c r="G1263" s="31"/>
      <c r="H1263" s="31"/>
      <c r="I1263" s="31"/>
      <c r="J1263" s="31"/>
      <c r="K1263" s="31"/>
      <c r="L1263" s="269"/>
      <c r="M1263" s="269"/>
      <c r="N1263" s="269"/>
      <c r="O1263" s="282"/>
      <c r="P1263" s="269"/>
      <c r="Q1263" s="269"/>
      <c r="R1263" s="269"/>
      <c r="S1263" s="282"/>
      <c r="T1263" s="269"/>
      <c r="U1263" s="269"/>
      <c r="V1263" s="269"/>
      <c r="W1263" s="269"/>
      <c r="X1263" s="31"/>
    </row>
    <row r="1264" spans="4:24" x14ac:dyDescent="0.25">
      <c r="D1264" s="31"/>
      <c r="E1264" s="31"/>
      <c r="F1264" s="31"/>
      <c r="G1264" s="31"/>
      <c r="H1264" s="31"/>
      <c r="I1264" s="31"/>
      <c r="J1264" s="31"/>
      <c r="K1264" s="31"/>
      <c r="L1264" s="269"/>
      <c r="M1264" s="269"/>
      <c r="N1264" s="269"/>
      <c r="O1264" s="282"/>
      <c r="P1264" s="269"/>
      <c r="Q1264" s="269"/>
      <c r="R1264" s="269"/>
      <c r="S1264" s="282"/>
      <c r="T1264" s="269"/>
      <c r="U1264" s="269"/>
      <c r="V1264" s="269"/>
      <c r="W1264" s="269"/>
      <c r="X1264" s="31"/>
    </row>
    <row r="1265" spans="4:24" x14ac:dyDescent="0.25">
      <c r="D1265" s="31"/>
      <c r="E1265" s="31"/>
      <c r="F1265" s="31"/>
      <c r="G1265" s="31"/>
      <c r="H1265" s="31"/>
      <c r="I1265" s="31"/>
      <c r="J1265" s="31"/>
      <c r="K1265" s="31"/>
      <c r="L1265" s="269"/>
      <c r="M1265" s="269"/>
      <c r="N1265" s="269"/>
      <c r="O1265" s="282"/>
      <c r="P1265" s="269"/>
      <c r="Q1265" s="269"/>
      <c r="R1265" s="269"/>
      <c r="S1265" s="282"/>
      <c r="T1265" s="269"/>
      <c r="U1265" s="269"/>
      <c r="V1265" s="269"/>
      <c r="W1265" s="269"/>
      <c r="X1265" s="31"/>
    </row>
    <row r="1266" spans="4:24" x14ac:dyDescent="0.25">
      <c r="D1266" s="31"/>
      <c r="E1266" s="31"/>
      <c r="F1266" s="31"/>
      <c r="G1266" s="31"/>
      <c r="H1266" s="31"/>
      <c r="I1266" s="31"/>
      <c r="J1266" s="31"/>
      <c r="K1266" s="31"/>
      <c r="L1266" s="269"/>
      <c r="M1266" s="269"/>
      <c r="N1266" s="269"/>
      <c r="O1266" s="282"/>
      <c r="P1266" s="269"/>
      <c r="Q1266" s="269"/>
      <c r="R1266" s="269"/>
      <c r="S1266" s="282"/>
      <c r="T1266" s="269"/>
      <c r="U1266" s="269"/>
      <c r="V1266" s="269"/>
      <c r="W1266" s="269"/>
      <c r="X1266" s="31"/>
    </row>
    <row r="1267" spans="4:24" x14ac:dyDescent="0.25">
      <c r="D1267" s="31"/>
      <c r="E1267" s="31"/>
      <c r="F1267" s="31"/>
      <c r="G1267" s="31"/>
      <c r="H1267" s="31"/>
      <c r="I1267" s="31"/>
      <c r="J1267" s="31"/>
      <c r="K1267" s="31"/>
      <c r="L1267" s="269"/>
      <c r="M1267" s="269"/>
      <c r="N1267" s="269"/>
      <c r="O1267" s="282"/>
      <c r="P1267" s="269"/>
      <c r="Q1267" s="269"/>
      <c r="R1267" s="269"/>
      <c r="S1267" s="282"/>
      <c r="T1267" s="269"/>
      <c r="U1267" s="269"/>
      <c r="V1267" s="269"/>
      <c r="W1267" s="269"/>
      <c r="X1267" s="31"/>
    </row>
    <row r="1268" spans="4:24" x14ac:dyDescent="0.25">
      <c r="D1268" s="31"/>
      <c r="E1268" s="31"/>
      <c r="F1268" s="31"/>
      <c r="G1268" s="31"/>
      <c r="H1268" s="31"/>
      <c r="I1268" s="31"/>
      <c r="J1268" s="31"/>
      <c r="K1268" s="31"/>
      <c r="L1268" s="269"/>
      <c r="M1268" s="269"/>
      <c r="N1268" s="269"/>
      <c r="O1268" s="282"/>
      <c r="P1268" s="269"/>
      <c r="Q1268" s="269"/>
      <c r="R1268" s="269"/>
      <c r="S1268" s="282"/>
      <c r="T1268" s="269"/>
      <c r="U1268" s="269"/>
      <c r="V1268" s="269"/>
      <c r="W1268" s="269"/>
      <c r="X1268" s="31"/>
    </row>
    <row r="1269" spans="4:24" x14ac:dyDescent="0.25">
      <c r="D1269" s="31"/>
      <c r="E1269" s="31"/>
      <c r="F1269" s="31"/>
      <c r="G1269" s="31"/>
      <c r="H1269" s="31"/>
      <c r="I1269" s="31"/>
      <c r="J1269" s="31"/>
      <c r="K1269" s="31"/>
      <c r="L1269" s="269"/>
      <c r="M1269" s="269"/>
      <c r="N1269" s="269"/>
      <c r="O1269" s="282"/>
      <c r="P1269" s="269"/>
      <c r="Q1269" s="269"/>
      <c r="R1269" s="269"/>
      <c r="S1269" s="282"/>
      <c r="T1269" s="269"/>
      <c r="U1269" s="269"/>
      <c r="V1269" s="269"/>
      <c r="W1269" s="269"/>
      <c r="X1269" s="31"/>
    </row>
    <row r="1270" spans="4:24" x14ac:dyDescent="0.25">
      <c r="D1270" s="31"/>
      <c r="E1270" s="31"/>
      <c r="F1270" s="31"/>
      <c r="G1270" s="31"/>
      <c r="H1270" s="31"/>
      <c r="I1270" s="31"/>
      <c r="J1270" s="31"/>
      <c r="K1270" s="31"/>
      <c r="L1270" s="269"/>
      <c r="M1270" s="269"/>
      <c r="N1270" s="269"/>
      <c r="O1270" s="282"/>
      <c r="P1270" s="269"/>
      <c r="Q1270" s="269"/>
      <c r="R1270" s="269"/>
      <c r="S1270" s="282"/>
      <c r="T1270" s="269"/>
      <c r="U1270" s="269"/>
      <c r="V1270" s="269"/>
      <c r="W1270" s="269"/>
      <c r="X1270" s="31"/>
    </row>
    <row r="1271" spans="4:24" x14ac:dyDescent="0.25">
      <c r="D1271" s="31"/>
      <c r="E1271" s="31"/>
      <c r="F1271" s="31"/>
      <c r="G1271" s="31"/>
      <c r="H1271" s="31"/>
      <c r="I1271" s="31"/>
      <c r="J1271" s="31"/>
      <c r="K1271" s="31"/>
      <c r="L1271" s="269"/>
      <c r="M1271" s="269"/>
      <c r="N1271" s="269"/>
      <c r="O1271" s="282"/>
      <c r="P1271" s="269"/>
      <c r="Q1271" s="269"/>
      <c r="R1271" s="269"/>
      <c r="S1271" s="282"/>
      <c r="T1271" s="269"/>
      <c r="U1271" s="269"/>
      <c r="V1271" s="269"/>
      <c r="W1271" s="269"/>
      <c r="X1271" s="31"/>
    </row>
    <row r="1272" spans="4:24" x14ac:dyDescent="0.25">
      <c r="D1272" s="31"/>
      <c r="E1272" s="31"/>
      <c r="F1272" s="31"/>
      <c r="G1272" s="31"/>
      <c r="H1272" s="31"/>
      <c r="I1272" s="31"/>
      <c r="J1272" s="31"/>
      <c r="K1272" s="31"/>
      <c r="L1272" s="269"/>
      <c r="M1272" s="269"/>
      <c r="N1272" s="269"/>
      <c r="O1272" s="282"/>
      <c r="P1272" s="269"/>
      <c r="Q1272" s="269"/>
      <c r="R1272" s="269"/>
      <c r="S1272" s="282"/>
      <c r="T1272" s="269"/>
      <c r="U1272" s="269"/>
      <c r="V1272" s="269"/>
      <c r="W1272" s="269"/>
      <c r="X1272" s="31"/>
    </row>
    <row r="1273" spans="4:24" x14ac:dyDescent="0.25">
      <c r="D1273" s="31"/>
      <c r="E1273" s="31"/>
      <c r="F1273" s="31"/>
      <c r="G1273" s="31"/>
      <c r="H1273" s="31"/>
      <c r="I1273" s="31"/>
      <c r="J1273" s="31"/>
      <c r="K1273" s="31"/>
      <c r="L1273" s="269"/>
      <c r="M1273" s="269"/>
      <c r="N1273" s="269"/>
      <c r="O1273" s="282"/>
      <c r="P1273" s="269"/>
      <c r="Q1273" s="269"/>
      <c r="R1273" s="269"/>
      <c r="S1273" s="282"/>
      <c r="T1273" s="269"/>
      <c r="U1273" s="269"/>
      <c r="V1273" s="269"/>
      <c r="W1273" s="269"/>
      <c r="X1273" s="31"/>
    </row>
    <row r="1274" spans="4:24" x14ac:dyDescent="0.25">
      <c r="D1274" s="31"/>
      <c r="E1274" s="31"/>
      <c r="F1274" s="31"/>
      <c r="G1274" s="31"/>
      <c r="H1274" s="31"/>
      <c r="I1274" s="31"/>
      <c r="J1274" s="31"/>
      <c r="K1274" s="31"/>
      <c r="L1274" s="269"/>
      <c r="M1274" s="269"/>
      <c r="N1274" s="269"/>
      <c r="O1274" s="282"/>
      <c r="P1274" s="269"/>
      <c r="Q1274" s="269"/>
      <c r="R1274" s="269"/>
      <c r="S1274" s="282"/>
      <c r="T1274" s="269"/>
      <c r="U1274" s="269"/>
      <c r="V1274" s="269"/>
      <c r="W1274" s="269"/>
      <c r="X1274" s="31"/>
    </row>
    <row r="1275" spans="4:24" x14ac:dyDescent="0.25">
      <c r="D1275" s="31"/>
      <c r="E1275" s="31"/>
      <c r="F1275" s="31"/>
      <c r="G1275" s="31"/>
      <c r="H1275" s="31"/>
      <c r="I1275" s="31"/>
      <c r="J1275" s="31"/>
      <c r="K1275" s="31"/>
      <c r="L1275" s="269"/>
      <c r="M1275" s="269"/>
      <c r="N1275" s="269"/>
      <c r="O1275" s="282"/>
      <c r="P1275" s="269"/>
      <c r="Q1275" s="269"/>
      <c r="R1275" s="269"/>
      <c r="S1275" s="282"/>
      <c r="T1275" s="269"/>
      <c r="U1275" s="269"/>
      <c r="V1275" s="269"/>
      <c r="W1275" s="269"/>
      <c r="X1275" s="31"/>
    </row>
    <row r="1276" spans="4:24" x14ac:dyDescent="0.25">
      <c r="D1276" s="31"/>
      <c r="E1276" s="31"/>
      <c r="F1276" s="31"/>
      <c r="G1276" s="31"/>
      <c r="H1276" s="31"/>
      <c r="I1276" s="31"/>
      <c r="J1276" s="31"/>
      <c r="K1276" s="31"/>
      <c r="L1276" s="269"/>
      <c r="M1276" s="269"/>
      <c r="N1276" s="269"/>
      <c r="O1276" s="282"/>
      <c r="P1276" s="269"/>
      <c r="Q1276" s="269"/>
      <c r="R1276" s="269"/>
      <c r="S1276" s="282"/>
      <c r="T1276" s="269"/>
      <c r="U1276" s="269"/>
      <c r="V1276" s="269"/>
      <c r="W1276" s="269"/>
      <c r="X1276" s="31"/>
    </row>
    <row r="1277" spans="4:24" x14ac:dyDescent="0.25">
      <c r="D1277" s="31"/>
      <c r="E1277" s="31"/>
      <c r="F1277" s="31"/>
      <c r="G1277" s="31"/>
      <c r="H1277" s="31"/>
      <c r="I1277" s="31"/>
      <c r="J1277" s="31"/>
      <c r="K1277" s="31"/>
      <c r="L1277" s="269"/>
      <c r="M1277" s="269"/>
      <c r="N1277" s="269"/>
      <c r="O1277" s="282"/>
      <c r="P1277" s="269"/>
      <c r="Q1277" s="269"/>
      <c r="R1277" s="269"/>
      <c r="S1277" s="282"/>
      <c r="T1277" s="269"/>
      <c r="U1277" s="269"/>
      <c r="V1277" s="269"/>
      <c r="W1277" s="269"/>
      <c r="X1277" s="31"/>
    </row>
    <row r="1278" spans="4:24" x14ac:dyDescent="0.25">
      <c r="D1278" s="31"/>
      <c r="E1278" s="31"/>
      <c r="F1278" s="31"/>
      <c r="G1278" s="31"/>
      <c r="H1278" s="31"/>
      <c r="I1278" s="31"/>
      <c r="J1278" s="31"/>
      <c r="K1278" s="31"/>
      <c r="L1278" s="269"/>
      <c r="M1278" s="269"/>
      <c r="N1278" s="269"/>
      <c r="O1278" s="282"/>
      <c r="P1278" s="269"/>
      <c r="Q1278" s="269"/>
      <c r="R1278" s="269"/>
      <c r="S1278" s="282"/>
      <c r="T1278" s="269"/>
      <c r="U1278" s="269"/>
      <c r="V1278" s="269"/>
      <c r="W1278" s="269"/>
      <c r="X1278" s="31"/>
    </row>
    <row r="1279" spans="4:24" x14ac:dyDescent="0.25">
      <c r="D1279" s="31"/>
      <c r="E1279" s="31"/>
      <c r="F1279" s="31"/>
      <c r="G1279" s="31"/>
      <c r="H1279" s="31"/>
      <c r="I1279" s="31"/>
      <c r="J1279" s="31"/>
      <c r="K1279" s="31"/>
      <c r="L1279" s="269"/>
      <c r="M1279" s="269"/>
      <c r="N1279" s="269"/>
      <c r="O1279" s="282"/>
      <c r="P1279" s="269"/>
      <c r="Q1279" s="269"/>
      <c r="R1279" s="269"/>
      <c r="S1279" s="282"/>
      <c r="T1279" s="269"/>
      <c r="U1279" s="269"/>
      <c r="V1279" s="269"/>
      <c r="W1279" s="269"/>
      <c r="X1279" s="31"/>
    </row>
    <row r="1280" spans="4:24" x14ac:dyDescent="0.25">
      <c r="D1280" s="31"/>
      <c r="E1280" s="31"/>
      <c r="F1280" s="31"/>
      <c r="G1280" s="31"/>
      <c r="H1280" s="31"/>
      <c r="I1280" s="31"/>
      <c r="J1280" s="31"/>
      <c r="K1280" s="31"/>
      <c r="L1280" s="269"/>
      <c r="M1280" s="269"/>
      <c r="N1280" s="269"/>
      <c r="O1280" s="282"/>
      <c r="P1280" s="269"/>
      <c r="Q1280" s="269"/>
      <c r="R1280" s="269"/>
      <c r="S1280" s="282"/>
      <c r="T1280" s="269"/>
      <c r="U1280" s="269"/>
      <c r="V1280" s="269"/>
      <c r="W1280" s="269"/>
      <c r="X1280" s="31"/>
    </row>
    <row r="1281" spans="4:24" x14ac:dyDescent="0.25">
      <c r="D1281" s="31"/>
      <c r="E1281" s="31"/>
      <c r="F1281" s="31"/>
      <c r="G1281" s="31"/>
      <c r="H1281" s="31"/>
      <c r="I1281" s="31"/>
      <c r="J1281" s="31"/>
      <c r="K1281" s="31"/>
      <c r="L1281" s="269"/>
      <c r="M1281" s="269"/>
      <c r="N1281" s="269"/>
      <c r="O1281" s="282"/>
      <c r="P1281" s="269"/>
      <c r="Q1281" s="269"/>
      <c r="R1281" s="269"/>
      <c r="S1281" s="282"/>
      <c r="T1281" s="269"/>
      <c r="U1281" s="269"/>
      <c r="V1281" s="269"/>
      <c r="W1281" s="269"/>
      <c r="X1281" s="31"/>
    </row>
    <row r="1282" spans="4:24" x14ac:dyDescent="0.25">
      <c r="D1282" s="31"/>
      <c r="E1282" s="31"/>
      <c r="F1282" s="31"/>
      <c r="G1282" s="31"/>
      <c r="H1282" s="31"/>
      <c r="I1282" s="31"/>
      <c r="J1282" s="31"/>
      <c r="K1282" s="31"/>
      <c r="L1282" s="269"/>
      <c r="M1282" s="269"/>
      <c r="N1282" s="269"/>
      <c r="O1282" s="282"/>
      <c r="P1282" s="269"/>
      <c r="Q1282" s="269"/>
      <c r="R1282" s="269"/>
      <c r="S1282" s="282"/>
      <c r="T1282" s="269"/>
      <c r="U1282" s="269"/>
      <c r="V1282" s="269"/>
      <c r="W1282" s="269"/>
      <c r="X1282" s="31"/>
    </row>
    <row r="1283" spans="4:24" x14ac:dyDescent="0.25">
      <c r="D1283" s="31"/>
      <c r="E1283" s="31"/>
      <c r="F1283" s="31"/>
      <c r="G1283" s="31"/>
      <c r="H1283" s="31"/>
      <c r="I1283" s="31"/>
      <c r="J1283" s="31"/>
      <c r="K1283" s="31"/>
      <c r="L1283" s="269"/>
      <c r="M1283" s="269"/>
      <c r="N1283" s="269"/>
      <c r="O1283" s="282"/>
      <c r="P1283" s="269"/>
      <c r="Q1283" s="269"/>
      <c r="R1283" s="269"/>
      <c r="S1283" s="282"/>
      <c r="T1283" s="269"/>
      <c r="U1283" s="269"/>
      <c r="V1283" s="269"/>
      <c r="W1283" s="269"/>
      <c r="X1283" s="31"/>
    </row>
    <row r="1284" spans="4:24" x14ac:dyDescent="0.25">
      <c r="D1284" s="31"/>
      <c r="E1284" s="31"/>
      <c r="F1284" s="31"/>
      <c r="G1284" s="31"/>
      <c r="H1284" s="31"/>
      <c r="I1284" s="31"/>
      <c r="J1284" s="31"/>
      <c r="K1284" s="31"/>
      <c r="L1284" s="269"/>
      <c r="M1284" s="269"/>
      <c r="N1284" s="269"/>
      <c r="O1284" s="282"/>
      <c r="P1284" s="269"/>
      <c r="Q1284" s="269"/>
      <c r="R1284" s="269"/>
      <c r="S1284" s="282"/>
      <c r="T1284" s="269"/>
      <c r="U1284" s="269"/>
      <c r="V1284" s="269"/>
      <c r="W1284" s="269"/>
      <c r="X1284" s="31"/>
    </row>
    <row r="1285" spans="4:24" x14ac:dyDescent="0.25">
      <c r="D1285" s="31"/>
      <c r="E1285" s="31"/>
      <c r="F1285" s="31"/>
      <c r="G1285" s="31"/>
      <c r="H1285" s="31"/>
      <c r="I1285" s="31"/>
      <c r="J1285" s="31"/>
      <c r="K1285" s="31"/>
      <c r="L1285" s="269"/>
      <c r="M1285" s="269"/>
      <c r="N1285" s="269"/>
      <c r="O1285" s="282"/>
      <c r="P1285" s="269"/>
      <c r="Q1285" s="269"/>
      <c r="R1285" s="269"/>
      <c r="S1285" s="282"/>
      <c r="T1285" s="269"/>
      <c r="U1285" s="269"/>
      <c r="V1285" s="269"/>
      <c r="W1285" s="269"/>
      <c r="X1285" s="31"/>
    </row>
    <row r="1286" spans="4:24" x14ac:dyDescent="0.25">
      <c r="D1286" s="31"/>
      <c r="E1286" s="31"/>
      <c r="F1286" s="31"/>
      <c r="G1286" s="31"/>
      <c r="H1286" s="31"/>
      <c r="I1286" s="31"/>
      <c r="J1286" s="31"/>
      <c r="K1286" s="31"/>
      <c r="L1286" s="269"/>
      <c r="M1286" s="269"/>
      <c r="N1286" s="269"/>
      <c r="O1286" s="282"/>
      <c r="P1286" s="269"/>
      <c r="Q1286" s="269"/>
      <c r="R1286" s="269"/>
      <c r="S1286" s="282"/>
      <c r="T1286" s="269"/>
      <c r="U1286" s="269"/>
      <c r="V1286" s="269"/>
      <c r="W1286" s="269"/>
      <c r="X1286" s="31"/>
    </row>
    <row r="1287" spans="4:24" x14ac:dyDescent="0.25">
      <c r="D1287" s="31"/>
      <c r="E1287" s="31"/>
      <c r="F1287" s="31"/>
      <c r="G1287" s="31"/>
      <c r="H1287" s="31"/>
      <c r="I1287" s="31"/>
      <c r="J1287" s="31"/>
      <c r="K1287" s="31"/>
      <c r="L1287" s="269"/>
      <c r="M1287" s="269"/>
      <c r="N1287" s="269"/>
      <c r="O1287" s="282"/>
      <c r="P1287" s="269"/>
      <c r="Q1287" s="269"/>
      <c r="R1287" s="269"/>
      <c r="S1287" s="282"/>
      <c r="T1287" s="269"/>
      <c r="U1287" s="269"/>
      <c r="V1287" s="269"/>
      <c r="W1287" s="269"/>
      <c r="X1287" s="31"/>
    </row>
    <row r="1288" spans="4:24" x14ac:dyDescent="0.25">
      <c r="D1288" s="31"/>
      <c r="E1288" s="31"/>
      <c r="F1288" s="31"/>
      <c r="G1288" s="31"/>
      <c r="H1288" s="31"/>
      <c r="I1288" s="31"/>
      <c r="J1288" s="31"/>
      <c r="K1288" s="31"/>
      <c r="L1288" s="269"/>
      <c r="M1288" s="269"/>
      <c r="N1288" s="269"/>
      <c r="O1288" s="282"/>
      <c r="P1288" s="269"/>
      <c r="Q1288" s="269"/>
      <c r="R1288" s="269"/>
      <c r="S1288" s="282"/>
      <c r="T1288" s="269"/>
      <c r="U1288" s="269"/>
      <c r="V1288" s="269"/>
      <c r="W1288" s="269"/>
      <c r="X1288" s="31"/>
    </row>
    <row r="1289" spans="4:24" x14ac:dyDescent="0.25">
      <c r="D1289" s="31"/>
      <c r="E1289" s="31"/>
      <c r="F1289" s="31"/>
      <c r="G1289" s="31"/>
      <c r="H1289" s="31"/>
      <c r="I1289" s="31"/>
      <c r="J1289" s="31"/>
      <c r="K1289" s="31"/>
      <c r="L1289" s="269"/>
      <c r="M1289" s="269"/>
      <c r="N1289" s="269"/>
      <c r="O1289" s="282"/>
      <c r="P1289" s="269"/>
      <c r="Q1289" s="269"/>
      <c r="R1289" s="269"/>
      <c r="S1289" s="282"/>
      <c r="T1289" s="269"/>
      <c r="U1289" s="269"/>
      <c r="V1289" s="269"/>
      <c r="W1289" s="269"/>
      <c r="X1289" s="31"/>
    </row>
    <row r="1290" spans="4:24" x14ac:dyDescent="0.25">
      <c r="D1290" s="31"/>
      <c r="E1290" s="31"/>
      <c r="F1290" s="31"/>
      <c r="G1290" s="31"/>
      <c r="H1290" s="31"/>
      <c r="I1290" s="31"/>
      <c r="J1290" s="31"/>
      <c r="K1290" s="31"/>
      <c r="L1290" s="269"/>
      <c r="M1290" s="269"/>
      <c r="N1290" s="269"/>
      <c r="O1290" s="282"/>
      <c r="P1290" s="269"/>
      <c r="Q1290" s="269"/>
      <c r="R1290" s="269"/>
      <c r="S1290" s="282"/>
      <c r="T1290" s="269"/>
      <c r="U1290" s="269"/>
      <c r="V1290" s="269"/>
      <c r="W1290" s="269"/>
      <c r="X1290" s="31"/>
    </row>
    <row r="1291" spans="4:24" x14ac:dyDescent="0.25">
      <c r="D1291" s="31"/>
      <c r="E1291" s="31"/>
      <c r="F1291" s="31"/>
      <c r="G1291" s="31"/>
      <c r="H1291" s="31"/>
      <c r="I1291" s="31"/>
      <c r="J1291" s="31"/>
      <c r="K1291" s="31"/>
      <c r="L1291" s="269"/>
      <c r="M1291" s="269"/>
      <c r="N1291" s="269"/>
      <c r="O1291" s="282"/>
      <c r="P1291" s="269"/>
      <c r="Q1291" s="269"/>
      <c r="R1291" s="269"/>
      <c r="S1291" s="282"/>
      <c r="T1291" s="269"/>
      <c r="U1291" s="269"/>
      <c r="V1291" s="269"/>
      <c r="W1291" s="269"/>
      <c r="X1291" s="31"/>
    </row>
    <row r="1292" spans="4:24" x14ac:dyDescent="0.25">
      <c r="D1292" s="31"/>
      <c r="E1292" s="31"/>
      <c r="F1292" s="31"/>
      <c r="G1292" s="31"/>
      <c r="H1292" s="31"/>
      <c r="I1292" s="31"/>
      <c r="J1292" s="31"/>
      <c r="K1292" s="31"/>
      <c r="L1292" s="269"/>
      <c r="M1292" s="269"/>
      <c r="N1292" s="269"/>
      <c r="O1292" s="282"/>
      <c r="P1292" s="269"/>
      <c r="Q1292" s="269"/>
      <c r="R1292" s="269"/>
      <c r="S1292" s="282"/>
      <c r="T1292" s="269"/>
      <c r="U1292" s="269"/>
      <c r="V1292" s="269"/>
      <c r="W1292" s="269"/>
      <c r="X1292" s="31"/>
    </row>
    <row r="1293" spans="4:24" x14ac:dyDescent="0.25">
      <c r="D1293" s="31"/>
      <c r="E1293" s="31"/>
      <c r="F1293" s="31"/>
      <c r="G1293" s="31"/>
      <c r="H1293" s="31"/>
      <c r="I1293" s="31"/>
      <c r="J1293" s="31"/>
      <c r="K1293" s="31"/>
      <c r="L1293" s="269"/>
      <c r="M1293" s="269"/>
      <c r="N1293" s="269"/>
      <c r="O1293" s="282"/>
      <c r="P1293" s="269"/>
      <c r="Q1293" s="269"/>
      <c r="R1293" s="269"/>
      <c r="S1293" s="282"/>
      <c r="T1293" s="269"/>
      <c r="U1293" s="269"/>
      <c r="V1293" s="269"/>
      <c r="W1293" s="269"/>
      <c r="X1293" s="31"/>
    </row>
    <row r="1294" spans="4:24" x14ac:dyDescent="0.25">
      <c r="D1294" s="31"/>
      <c r="E1294" s="31"/>
      <c r="F1294" s="31"/>
      <c r="G1294" s="31"/>
      <c r="H1294" s="31"/>
      <c r="I1294" s="31"/>
      <c r="J1294" s="31"/>
      <c r="K1294" s="31"/>
      <c r="L1294" s="269"/>
      <c r="M1294" s="269"/>
      <c r="N1294" s="269"/>
      <c r="O1294" s="282"/>
      <c r="P1294" s="269"/>
      <c r="Q1294" s="269"/>
      <c r="R1294" s="269"/>
      <c r="S1294" s="282"/>
      <c r="T1294" s="269"/>
      <c r="U1294" s="269"/>
      <c r="V1294" s="269"/>
      <c r="W1294" s="269"/>
      <c r="X1294" s="31"/>
    </row>
    <row r="1295" spans="4:24" x14ac:dyDescent="0.25">
      <c r="D1295" s="31"/>
      <c r="E1295" s="31"/>
      <c r="F1295" s="31"/>
      <c r="G1295" s="31"/>
      <c r="H1295" s="31"/>
      <c r="I1295" s="31"/>
      <c r="J1295" s="31"/>
      <c r="K1295" s="31"/>
      <c r="L1295" s="269"/>
      <c r="M1295" s="269"/>
      <c r="N1295" s="269"/>
      <c r="O1295" s="282"/>
      <c r="P1295" s="269"/>
      <c r="Q1295" s="269"/>
      <c r="R1295" s="269"/>
      <c r="S1295" s="282"/>
      <c r="T1295" s="269"/>
      <c r="U1295" s="269"/>
      <c r="V1295" s="269"/>
      <c r="W1295" s="269"/>
      <c r="X1295" s="31"/>
    </row>
    <row r="1296" spans="4:24" x14ac:dyDescent="0.25">
      <c r="D1296" s="31"/>
      <c r="E1296" s="31"/>
      <c r="F1296" s="31"/>
      <c r="G1296" s="31"/>
      <c r="H1296" s="31"/>
      <c r="I1296" s="31"/>
      <c r="J1296" s="31"/>
      <c r="K1296" s="31"/>
      <c r="L1296" s="269"/>
      <c r="M1296" s="269"/>
      <c r="N1296" s="269"/>
      <c r="O1296" s="282"/>
      <c r="P1296" s="269"/>
      <c r="Q1296" s="269"/>
      <c r="R1296" s="269"/>
      <c r="S1296" s="282"/>
      <c r="T1296" s="269"/>
      <c r="U1296" s="269"/>
      <c r="V1296" s="269"/>
      <c r="W1296" s="269"/>
      <c r="X1296" s="31"/>
    </row>
    <row r="1297" spans="4:24" x14ac:dyDescent="0.25">
      <c r="D1297" s="31"/>
      <c r="E1297" s="31"/>
      <c r="F1297" s="31"/>
      <c r="G1297" s="31"/>
      <c r="H1297" s="31"/>
      <c r="I1297" s="31"/>
      <c r="J1297" s="31"/>
      <c r="K1297" s="31"/>
      <c r="L1297" s="269"/>
      <c r="M1297" s="269"/>
      <c r="N1297" s="269"/>
      <c r="O1297" s="282"/>
      <c r="P1297" s="269"/>
      <c r="Q1297" s="269"/>
      <c r="R1297" s="269"/>
      <c r="S1297" s="282"/>
      <c r="T1297" s="269"/>
      <c r="U1297" s="269"/>
      <c r="V1297" s="269"/>
      <c r="W1297" s="269"/>
      <c r="X1297" s="31"/>
    </row>
    <row r="1298" spans="4:24" x14ac:dyDescent="0.25">
      <c r="D1298" s="31"/>
      <c r="E1298" s="31"/>
      <c r="F1298" s="31"/>
      <c r="G1298" s="31"/>
      <c r="H1298" s="31"/>
      <c r="I1298" s="31"/>
      <c r="J1298" s="31"/>
      <c r="K1298" s="31"/>
      <c r="L1298" s="269"/>
      <c r="M1298" s="269"/>
      <c r="N1298" s="269"/>
      <c r="O1298" s="282"/>
      <c r="P1298" s="269"/>
      <c r="Q1298" s="269"/>
      <c r="R1298" s="269"/>
      <c r="S1298" s="282"/>
      <c r="T1298" s="269"/>
      <c r="U1298" s="269"/>
      <c r="V1298" s="269"/>
      <c r="W1298" s="269"/>
      <c r="X1298" s="31"/>
    </row>
    <row r="1299" spans="4:24" x14ac:dyDescent="0.25">
      <c r="D1299" s="31"/>
      <c r="E1299" s="31"/>
      <c r="F1299" s="31"/>
      <c r="G1299" s="31"/>
      <c r="H1299" s="31"/>
      <c r="I1299" s="31"/>
      <c r="J1299" s="31"/>
      <c r="K1299" s="31"/>
      <c r="L1299" s="269"/>
      <c r="M1299" s="269"/>
      <c r="N1299" s="269"/>
      <c r="O1299" s="282"/>
      <c r="P1299" s="269"/>
      <c r="Q1299" s="269"/>
      <c r="R1299" s="269"/>
      <c r="S1299" s="282"/>
      <c r="T1299" s="269"/>
      <c r="U1299" s="269"/>
      <c r="V1299" s="269"/>
      <c r="W1299" s="269"/>
      <c r="X1299" s="31"/>
    </row>
    <row r="1300" spans="4:24" x14ac:dyDescent="0.25">
      <c r="D1300" s="31"/>
      <c r="E1300" s="31"/>
      <c r="F1300" s="31"/>
      <c r="G1300" s="31"/>
      <c r="H1300" s="31"/>
      <c r="I1300" s="31"/>
      <c r="J1300" s="31"/>
      <c r="K1300" s="31"/>
      <c r="L1300" s="269"/>
      <c r="M1300" s="269"/>
      <c r="N1300" s="269"/>
      <c r="O1300" s="282"/>
      <c r="P1300" s="269"/>
      <c r="Q1300" s="269"/>
      <c r="R1300" s="269"/>
      <c r="S1300" s="282"/>
      <c r="T1300" s="269"/>
      <c r="U1300" s="269"/>
      <c r="V1300" s="269"/>
      <c r="W1300" s="269"/>
      <c r="X1300" s="31"/>
    </row>
    <row r="1301" spans="4:24" x14ac:dyDescent="0.25">
      <c r="D1301" s="31"/>
      <c r="E1301" s="31"/>
      <c r="F1301" s="31"/>
      <c r="G1301" s="31"/>
      <c r="H1301" s="31"/>
      <c r="I1301" s="31"/>
      <c r="J1301" s="31"/>
      <c r="K1301" s="31"/>
      <c r="L1301" s="269"/>
      <c r="M1301" s="269"/>
      <c r="N1301" s="269"/>
      <c r="O1301" s="282"/>
      <c r="P1301" s="269"/>
      <c r="Q1301" s="269"/>
      <c r="R1301" s="269"/>
      <c r="S1301" s="282"/>
      <c r="T1301" s="269"/>
      <c r="U1301" s="269"/>
      <c r="V1301" s="269"/>
      <c r="W1301" s="269"/>
      <c r="X1301" s="31"/>
    </row>
    <row r="1302" spans="4:24" x14ac:dyDescent="0.25">
      <c r="D1302" s="31"/>
      <c r="E1302" s="31"/>
      <c r="F1302" s="31"/>
      <c r="G1302" s="31"/>
      <c r="H1302" s="31"/>
      <c r="I1302" s="31"/>
      <c r="J1302" s="31"/>
      <c r="K1302" s="31"/>
      <c r="L1302" s="269"/>
      <c r="M1302" s="269"/>
      <c r="N1302" s="269"/>
      <c r="O1302" s="282"/>
      <c r="P1302" s="269"/>
      <c r="Q1302" s="269"/>
      <c r="R1302" s="269"/>
      <c r="S1302" s="282"/>
      <c r="T1302" s="269"/>
      <c r="U1302" s="269"/>
      <c r="V1302" s="269"/>
      <c r="W1302" s="269"/>
      <c r="X1302" s="31"/>
    </row>
    <row r="1303" spans="4:24" x14ac:dyDescent="0.25">
      <c r="D1303" s="31"/>
      <c r="E1303" s="31"/>
      <c r="F1303" s="31"/>
      <c r="G1303" s="31"/>
      <c r="H1303" s="31"/>
      <c r="I1303" s="31"/>
      <c r="J1303" s="31"/>
      <c r="K1303" s="31"/>
      <c r="L1303" s="269"/>
      <c r="M1303" s="269"/>
      <c r="N1303" s="269"/>
      <c r="O1303" s="282"/>
      <c r="P1303" s="269"/>
      <c r="Q1303" s="269"/>
      <c r="R1303" s="269"/>
      <c r="S1303" s="282"/>
      <c r="T1303" s="269"/>
      <c r="U1303" s="269"/>
      <c r="V1303" s="269"/>
      <c r="W1303" s="269"/>
      <c r="X1303" s="31"/>
    </row>
    <row r="1304" spans="4:24" x14ac:dyDescent="0.25">
      <c r="D1304" s="31"/>
      <c r="E1304" s="31"/>
      <c r="F1304" s="31"/>
      <c r="G1304" s="31"/>
      <c r="H1304" s="31"/>
      <c r="I1304" s="31"/>
      <c r="J1304" s="31"/>
      <c r="K1304" s="31"/>
      <c r="L1304" s="269"/>
      <c r="M1304" s="269"/>
      <c r="N1304" s="269"/>
      <c r="O1304" s="282"/>
      <c r="P1304" s="269"/>
      <c r="Q1304" s="269"/>
      <c r="R1304" s="269"/>
      <c r="S1304" s="282"/>
      <c r="T1304" s="269"/>
      <c r="U1304" s="269"/>
      <c r="V1304" s="269"/>
      <c r="W1304" s="269"/>
      <c r="X1304" s="31"/>
    </row>
    <row r="1305" spans="4:24" x14ac:dyDescent="0.25">
      <c r="D1305" s="31"/>
      <c r="E1305" s="31"/>
      <c r="F1305" s="31"/>
      <c r="G1305" s="31"/>
      <c r="H1305" s="31"/>
      <c r="I1305" s="31"/>
      <c r="J1305" s="31"/>
      <c r="K1305" s="31"/>
      <c r="L1305" s="269"/>
      <c r="M1305" s="269"/>
      <c r="N1305" s="269"/>
      <c r="O1305" s="282"/>
      <c r="P1305" s="269"/>
      <c r="Q1305" s="269"/>
      <c r="R1305" s="269"/>
      <c r="S1305" s="282"/>
      <c r="T1305" s="269"/>
      <c r="U1305" s="269"/>
      <c r="V1305" s="269"/>
      <c r="W1305" s="269"/>
      <c r="X1305" s="31"/>
    </row>
    <row r="1306" spans="4:24" x14ac:dyDescent="0.25">
      <c r="D1306" s="31"/>
      <c r="E1306" s="31"/>
      <c r="F1306" s="31"/>
      <c r="G1306" s="31"/>
      <c r="H1306" s="31"/>
      <c r="I1306" s="31"/>
      <c r="J1306" s="31"/>
      <c r="K1306" s="31"/>
      <c r="L1306" s="269"/>
      <c r="M1306" s="269"/>
      <c r="N1306" s="269"/>
      <c r="O1306" s="282"/>
      <c r="P1306" s="269"/>
      <c r="Q1306" s="269"/>
      <c r="R1306" s="269"/>
      <c r="S1306" s="282"/>
      <c r="T1306" s="269"/>
      <c r="U1306" s="269"/>
      <c r="V1306" s="269"/>
      <c r="W1306" s="269"/>
      <c r="X1306" s="31"/>
    </row>
    <row r="1307" spans="4:24" x14ac:dyDescent="0.25">
      <c r="D1307" s="31"/>
      <c r="E1307" s="31"/>
      <c r="F1307" s="31"/>
      <c r="G1307" s="31"/>
      <c r="H1307" s="31"/>
      <c r="I1307" s="31"/>
      <c r="J1307" s="31"/>
      <c r="K1307" s="31"/>
      <c r="L1307" s="269"/>
      <c r="M1307" s="269"/>
      <c r="N1307" s="269"/>
      <c r="O1307" s="282"/>
      <c r="P1307" s="269"/>
      <c r="Q1307" s="269"/>
      <c r="R1307" s="269"/>
      <c r="S1307" s="282"/>
      <c r="T1307" s="269"/>
      <c r="U1307" s="269"/>
      <c r="V1307" s="269"/>
      <c r="W1307" s="269"/>
      <c r="X1307" s="31"/>
    </row>
    <row r="1308" spans="4:24" x14ac:dyDescent="0.25">
      <c r="D1308" s="31"/>
      <c r="E1308" s="31"/>
      <c r="F1308" s="31"/>
      <c r="G1308" s="31"/>
      <c r="H1308" s="31"/>
      <c r="I1308" s="31"/>
      <c r="J1308" s="31"/>
      <c r="K1308" s="31"/>
      <c r="L1308" s="269"/>
      <c r="M1308" s="269"/>
      <c r="N1308" s="269"/>
      <c r="O1308" s="282"/>
      <c r="P1308" s="269"/>
      <c r="Q1308" s="269"/>
      <c r="R1308" s="269"/>
      <c r="S1308" s="282"/>
      <c r="T1308" s="269"/>
      <c r="U1308" s="269"/>
      <c r="V1308" s="269"/>
      <c r="W1308" s="269"/>
      <c r="X1308" s="31"/>
    </row>
    <row r="1309" spans="4:24" x14ac:dyDescent="0.25">
      <c r="D1309" s="31"/>
      <c r="E1309" s="31"/>
      <c r="F1309" s="31"/>
      <c r="G1309" s="31"/>
      <c r="H1309" s="31"/>
      <c r="I1309" s="31"/>
      <c r="J1309" s="31"/>
      <c r="K1309" s="31"/>
      <c r="L1309" s="269"/>
      <c r="M1309" s="269"/>
      <c r="N1309" s="269"/>
      <c r="O1309" s="282"/>
      <c r="P1309" s="269"/>
      <c r="Q1309" s="269"/>
      <c r="R1309" s="269"/>
      <c r="S1309" s="282"/>
      <c r="T1309" s="269"/>
      <c r="U1309" s="269"/>
      <c r="V1309" s="269"/>
      <c r="W1309" s="269"/>
      <c r="X1309" s="31"/>
    </row>
    <row r="1310" spans="4:24" x14ac:dyDescent="0.25">
      <c r="D1310" s="31"/>
      <c r="E1310" s="31"/>
      <c r="F1310" s="31"/>
      <c r="G1310" s="31"/>
      <c r="H1310" s="31"/>
      <c r="I1310" s="31"/>
      <c r="J1310" s="31"/>
      <c r="K1310" s="31"/>
      <c r="L1310" s="269"/>
      <c r="M1310" s="269"/>
      <c r="N1310" s="269"/>
      <c r="O1310" s="282"/>
      <c r="P1310" s="269"/>
      <c r="Q1310" s="269"/>
      <c r="R1310" s="269"/>
      <c r="S1310" s="282"/>
      <c r="T1310" s="269"/>
      <c r="U1310" s="269"/>
      <c r="V1310" s="269"/>
      <c r="W1310" s="269"/>
      <c r="X1310" s="31"/>
    </row>
    <row r="1311" spans="4:24" x14ac:dyDescent="0.25">
      <c r="D1311" s="31"/>
      <c r="E1311" s="31"/>
      <c r="F1311" s="31"/>
      <c r="G1311" s="31"/>
      <c r="H1311" s="31"/>
      <c r="I1311" s="31"/>
      <c r="J1311" s="31"/>
      <c r="K1311" s="31"/>
      <c r="L1311" s="269"/>
      <c r="M1311" s="269"/>
      <c r="N1311" s="269"/>
      <c r="O1311" s="282"/>
      <c r="P1311" s="269"/>
      <c r="Q1311" s="269"/>
      <c r="R1311" s="269"/>
      <c r="S1311" s="282"/>
      <c r="T1311" s="269"/>
      <c r="U1311" s="269"/>
      <c r="V1311" s="269"/>
      <c r="W1311" s="269"/>
      <c r="X1311" s="31"/>
    </row>
    <row r="1312" spans="4:24" x14ac:dyDescent="0.25">
      <c r="D1312" s="31"/>
      <c r="E1312" s="31"/>
      <c r="F1312" s="31"/>
      <c r="G1312" s="31"/>
      <c r="H1312" s="31"/>
      <c r="I1312" s="31"/>
      <c r="J1312" s="31"/>
      <c r="K1312" s="31"/>
      <c r="L1312" s="269"/>
      <c r="M1312" s="269"/>
      <c r="N1312" s="269"/>
      <c r="O1312" s="282"/>
      <c r="P1312" s="269"/>
      <c r="Q1312" s="269"/>
      <c r="R1312" s="269"/>
      <c r="S1312" s="282"/>
      <c r="T1312" s="269"/>
      <c r="U1312" s="269"/>
      <c r="V1312" s="269"/>
      <c r="W1312" s="269"/>
      <c r="X1312" s="31"/>
    </row>
    <row r="1313" spans="4:24" x14ac:dyDescent="0.25">
      <c r="D1313" s="31"/>
      <c r="E1313" s="31"/>
      <c r="F1313" s="31"/>
      <c r="G1313" s="31"/>
      <c r="H1313" s="31"/>
      <c r="I1313" s="31"/>
      <c r="J1313" s="31"/>
      <c r="K1313" s="31"/>
      <c r="L1313" s="269"/>
      <c r="M1313" s="269"/>
      <c r="N1313" s="269"/>
      <c r="O1313" s="282"/>
      <c r="P1313" s="269"/>
      <c r="Q1313" s="269"/>
      <c r="R1313" s="269"/>
      <c r="S1313" s="282"/>
      <c r="T1313" s="269"/>
      <c r="U1313" s="269"/>
      <c r="V1313" s="269"/>
      <c r="W1313" s="269"/>
      <c r="X1313" s="31"/>
    </row>
    <row r="1314" spans="4:24" x14ac:dyDescent="0.25">
      <c r="D1314" s="31"/>
      <c r="E1314" s="31"/>
      <c r="F1314" s="31"/>
      <c r="G1314" s="31"/>
      <c r="H1314" s="31"/>
      <c r="I1314" s="31"/>
      <c r="J1314" s="31"/>
      <c r="K1314" s="31"/>
      <c r="L1314" s="269"/>
      <c r="M1314" s="269"/>
      <c r="N1314" s="269"/>
      <c r="O1314" s="282"/>
      <c r="P1314" s="269"/>
      <c r="Q1314" s="269"/>
      <c r="R1314" s="269"/>
      <c r="S1314" s="282"/>
      <c r="T1314" s="269"/>
      <c r="U1314" s="269"/>
      <c r="V1314" s="269"/>
      <c r="W1314" s="269"/>
      <c r="X1314" s="31"/>
    </row>
    <row r="1315" spans="4:24" x14ac:dyDescent="0.25">
      <c r="D1315" s="31"/>
      <c r="E1315" s="31"/>
      <c r="F1315" s="31"/>
      <c r="G1315" s="31"/>
      <c r="H1315" s="31"/>
      <c r="I1315" s="31"/>
      <c r="J1315" s="31"/>
      <c r="K1315" s="31"/>
      <c r="L1315" s="269"/>
      <c r="M1315" s="269"/>
      <c r="N1315" s="269"/>
      <c r="O1315" s="282"/>
      <c r="P1315" s="269"/>
      <c r="Q1315" s="269"/>
      <c r="R1315" s="269"/>
      <c r="S1315" s="282"/>
      <c r="T1315" s="269"/>
      <c r="U1315" s="269"/>
      <c r="V1315" s="269"/>
      <c r="W1315" s="269"/>
      <c r="X1315" s="31"/>
    </row>
    <row r="1316" spans="4:24" x14ac:dyDescent="0.25">
      <c r="D1316" s="31"/>
      <c r="E1316" s="31"/>
      <c r="F1316" s="31"/>
      <c r="G1316" s="31"/>
      <c r="H1316" s="31"/>
      <c r="I1316" s="31"/>
      <c r="J1316" s="31"/>
      <c r="K1316" s="31"/>
      <c r="L1316" s="269"/>
      <c r="M1316" s="269"/>
      <c r="N1316" s="269"/>
      <c r="O1316" s="282"/>
      <c r="P1316" s="269"/>
      <c r="Q1316" s="269"/>
      <c r="R1316" s="269"/>
      <c r="S1316" s="282"/>
      <c r="T1316" s="269"/>
      <c r="U1316" s="269"/>
      <c r="V1316" s="269"/>
      <c r="W1316" s="269"/>
      <c r="X1316" s="31"/>
    </row>
    <row r="1317" spans="4:24" x14ac:dyDescent="0.25">
      <c r="D1317" s="31"/>
      <c r="E1317" s="31"/>
      <c r="F1317" s="31"/>
      <c r="G1317" s="31"/>
      <c r="H1317" s="31"/>
      <c r="I1317" s="31"/>
      <c r="J1317" s="31"/>
      <c r="K1317" s="31"/>
      <c r="L1317" s="269"/>
      <c r="M1317" s="269"/>
      <c r="N1317" s="269"/>
      <c r="O1317" s="282"/>
      <c r="P1317" s="269"/>
      <c r="Q1317" s="269"/>
      <c r="R1317" s="269"/>
      <c r="S1317" s="282"/>
      <c r="T1317" s="269"/>
      <c r="U1317" s="269"/>
      <c r="V1317" s="269"/>
      <c r="W1317" s="269"/>
      <c r="X1317" s="31"/>
    </row>
    <row r="1318" spans="4:24" x14ac:dyDescent="0.25">
      <c r="D1318" s="31"/>
      <c r="E1318" s="31"/>
      <c r="F1318" s="31"/>
      <c r="G1318" s="31"/>
      <c r="H1318" s="31"/>
      <c r="I1318" s="31"/>
      <c r="J1318" s="31"/>
      <c r="K1318" s="31"/>
      <c r="L1318" s="269"/>
      <c r="M1318" s="269"/>
      <c r="N1318" s="269"/>
      <c r="O1318" s="282"/>
      <c r="P1318" s="269"/>
      <c r="Q1318" s="269"/>
      <c r="R1318" s="269"/>
      <c r="S1318" s="282"/>
      <c r="T1318" s="269"/>
      <c r="U1318" s="269"/>
      <c r="V1318" s="269"/>
      <c r="W1318" s="269"/>
      <c r="X1318" s="31"/>
    </row>
    <row r="1319" spans="4:24" x14ac:dyDescent="0.25">
      <c r="D1319" s="31"/>
      <c r="E1319" s="31"/>
      <c r="F1319" s="31"/>
      <c r="G1319" s="31"/>
      <c r="H1319" s="31"/>
      <c r="I1319" s="31"/>
      <c r="J1319" s="31"/>
      <c r="K1319" s="31"/>
      <c r="L1319" s="269"/>
      <c r="M1319" s="269"/>
      <c r="N1319" s="269"/>
      <c r="O1319" s="282"/>
      <c r="P1319" s="269"/>
      <c r="Q1319" s="269"/>
      <c r="R1319" s="269"/>
      <c r="S1319" s="282"/>
      <c r="T1319" s="269"/>
      <c r="U1319" s="269"/>
      <c r="V1319" s="269"/>
      <c r="W1319" s="269"/>
      <c r="X1319" s="31"/>
    </row>
    <row r="1320" spans="4:24" x14ac:dyDescent="0.25">
      <c r="D1320" s="31"/>
      <c r="E1320" s="31"/>
      <c r="F1320" s="31"/>
      <c r="G1320" s="31"/>
      <c r="H1320" s="31"/>
      <c r="I1320" s="31"/>
      <c r="J1320" s="31"/>
      <c r="K1320" s="31"/>
      <c r="L1320" s="269"/>
      <c r="M1320" s="269"/>
      <c r="N1320" s="269"/>
      <c r="O1320" s="282"/>
      <c r="P1320" s="269"/>
      <c r="Q1320" s="269"/>
      <c r="R1320" s="269"/>
      <c r="S1320" s="282"/>
      <c r="T1320" s="269"/>
      <c r="U1320" s="269"/>
      <c r="V1320" s="269"/>
      <c r="W1320" s="269"/>
      <c r="X1320" s="31"/>
    </row>
    <row r="1321" spans="4:24" x14ac:dyDescent="0.25">
      <c r="D1321" s="31"/>
      <c r="E1321" s="31"/>
      <c r="F1321" s="31"/>
      <c r="G1321" s="31"/>
      <c r="H1321" s="31"/>
      <c r="I1321" s="31"/>
      <c r="J1321" s="31"/>
      <c r="K1321" s="31"/>
      <c r="L1321" s="269"/>
      <c r="M1321" s="269"/>
      <c r="N1321" s="269"/>
      <c r="O1321" s="282"/>
      <c r="P1321" s="269"/>
      <c r="Q1321" s="269"/>
      <c r="R1321" s="269"/>
      <c r="S1321" s="282"/>
      <c r="T1321" s="269"/>
      <c r="U1321" s="269"/>
      <c r="V1321" s="269"/>
      <c r="W1321" s="269"/>
      <c r="X1321" s="31"/>
    </row>
    <row r="1322" spans="4:24" x14ac:dyDescent="0.25">
      <c r="D1322" s="31"/>
      <c r="E1322" s="31"/>
      <c r="F1322" s="31"/>
      <c r="G1322" s="31"/>
      <c r="H1322" s="31"/>
      <c r="I1322" s="31"/>
      <c r="J1322" s="31"/>
      <c r="K1322" s="31"/>
      <c r="L1322" s="269"/>
      <c r="M1322" s="269"/>
      <c r="N1322" s="269"/>
      <c r="O1322" s="282"/>
      <c r="P1322" s="269"/>
      <c r="Q1322" s="269"/>
      <c r="R1322" s="269"/>
      <c r="S1322" s="282"/>
      <c r="T1322" s="269"/>
      <c r="U1322" s="269"/>
      <c r="V1322" s="269"/>
      <c r="W1322" s="269"/>
      <c r="X1322" s="31"/>
    </row>
    <row r="1323" spans="4:24" x14ac:dyDescent="0.25">
      <c r="D1323" s="31"/>
      <c r="E1323" s="31"/>
      <c r="F1323" s="31"/>
      <c r="G1323" s="31"/>
      <c r="H1323" s="31"/>
      <c r="I1323" s="31"/>
      <c r="J1323" s="31"/>
      <c r="K1323" s="31"/>
      <c r="L1323" s="269"/>
      <c r="M1323" s="269"/>
      <c r="N1323" s="269"/>
      <c r="O1323" s="282"/>
      <c r="P1323" s="269"/>
      <c r="Q1323" s="269"/>
      <c r="R1323" s="269"/>
      <c r="S1323" s="282"/>
      <c r="T1323" s="269"/>
      <c r="U1323" s="269"/>
      <c r="V1323" s="269"/>
      <c r="W1323" s="269"/>
      <c r="X1323" s="31"/>
    </row>
    <row r="1324" spans="4:24" x14ac:dyDescent="0.25">
      <c r="D1324" s="31"/>
      <c r="E1324" s="31"/>
      <c r="F1324" s="31"/>
      <c r="G1324" s="31"/>
      <c r="H1324" s="31"/>
      <c r="I1324" s="31"/>
      <c r="J1324" s="31"/>
      <c r="K1324" s="31"/>
      <c r="L1324" s="269"/>
      <c r="M1324" s="269"/>
      <c r="N1324" s="269"/>
      <c r="O1324" s="282"/>
      <c r="P1324" s="269"/>
      <c r="Q1324" s="269"/>
      <c r="R1324" s="269"/>
      <c r="S1324" s="282"/>
      <c r="T1324" s="269"/>
      <c r="U1324" s="269"/>
      <c r="V1324" s="269"/>
      <c r="W1324" s="269"/>
      <c r="X1324" s="31"/>
    </row>
    <row r="1325" spans="4:24" x14ac:dyDescent="0.25">
      <c r="D1325" s="31"/>
      <c r="E1325" s="31"/>
      <c r="F1325" s="31"/>
      <c r="G1325" s="31"/>
      <c r="H1325" s="31"/>
      <c r="I1325" s="31"/>
      <c r="J1325" s="31"/>
      <c r="K1325" s="31"/>
      <c r="L1325" s="269"/>
      <c r="M1325" s="269"/>
      <c r="N1325" s="269"/>
      <c r="O1325" s="282"/>
      <c r="P1325" s="269"/>
      <c r="Q1325" s="269"/>
      <c r="R1325" s="269"/>
      <c r="S1325" s="282"/>
      <c r="T1325" s="269"/>
      <c r="U1325" s="269"/>
      <c r="V1325" s="269"/>
      <c r="W1325" s="269"/>
      <c r="X1325" s="31"/>
    </row>
    <row r="1326" spans="4:24" x14ac:dyDescent="0.25">
      <c r="D1326" s="31"/>
      <c r="E1326" s="31"/>
      <c r="F1326" s="31"/>
      <c r="G1326" s="31"/>
      <c r="H1326" s="31"/>
      <c r="I1326" s="31"/>
      <c r="J1326" s="31"/>
      <c r="K1326" s="31"/>
      <c r="L1326" s="269"/>
      <c r="M1326" s="269"/>
      <c r="N1326" s="269"/>
      <c r="O1326" s="282"/>
      <c r="P1326" s="269"/>
      <c r="Q1326" s="269"/>
      <c r="R1326" s="269"/>
      <c r="S1326" s="282"/>
      <c r="T1326" s="269"/>
      <c r="U1326" s="269"/>
      <c r="V1326" s="269"/>
      <c r="W1326" s="269"/>
      <c r="X1326" s="31"/>
    </row>
    <row r="1327" spans="4:24" x14ac:dyDescent="0.25">
      <c r="D1327" s="31"/>
      <c r="E1327" s="31"/>
      <c r="F1327" s="31"/>
      <c r="G1327" s="31"/>
      <c r="H1327" s="31"/>
      <c r="I1327" s="31"/>
      <c r="J1327" s="31"/>
      <c r="K1327" s="31"/>
      <c r="L1327" s="269"/>
      <c r="M1327" s="269"/>
      <c r="N1327" s="269"/>
      <c r="O1327" s="282"/>
      <c r="P1327" s="269"/>
      <c r="Q1327" s="269"/>
      <c r="R1327" s="269"/>
      <c r="S1327" s="282"/>
      <c r="T1327" s="269"/>
      <c r="U1327" s="269"/>
      <c r="V1327" s="269"/>
      <c r="W1327" s="269"/>
      <c r="X1327" s="31"/>
    </row>
    <row r="1328" spans="4:24" x14ac:dyDescent="0.25">
      <c r="D1328" s="31"/>
      <c r="E1328" s="31"/>
      <c r="F1328" s="31"/>
      <c r="G1328" s="31"/>
      <c r="H1328" s="31"/>
      <c r="I1328" s="31"/>
      <c r="J1328" s="31"/>
      <c r="K1328" s="31"/>
      <c r="L1328" s="269"/>
      <c r="M1328" s="269"/>
      <c r="N1328" s="269"/>
      <c r="O1328" s="282"/>
      <c r="P1328" s="269"/>
      <c r="Q1328" s="269"/>
      <c r="R1328" s="269"/>
      <c r="S1328" s="282"/>
      <c r="T1328" s="269"/>
      <c r="U1328" s="269"/>
      <c r="V1328" s="269"/>
      <c r="W1328" s="269"/>
      <c r="X1328" s="31"/>
    </row>
    <row r="1329" spans="4:24" x14ac:dyDescent="0.25">
      <c r="D1329" s="31"/>
      <c r="E1329" s="31"/>
      <c r="F1329" s="31"/>
      <c r="G1329" s="31"/>
      <c r="H1329" s="31"/>
      <c r="I1329" s="31"/>
      <c r="J1329" s="31"/>
      <c r="K1329" s="31"/>
      <c r="L1329" s="269"/>
      <c r="M1329" s="269"/>
      <c r="N1329" s="269"/>
      <c r="O1329" s="282"/>
      <c r="P1329" s="269"/>
      <c r="Q1329" s="269"/>
      <c r="R1329" s="269"/>
      <c r="S1329" s="282"/>
      <c r="T1329" s="269"/>
      <c r="U1329" s="269"/>
      <c r="V1329" s="269"/>
      <c r="W1329" s="269"/>
      <c r="X1329" s="31"/>
    </row>
    <row r="1330" spans="4:24" x14ac:dyDescent="0.25">
      <c r="D1330" s="31"/>
      <c r="E1330" s="31"/>
      <c r="F1330" s="31"/>
      <c r="G1330" s="31"/>
      <c r="H1330" s="31"/>
      <c r="I1330" s="31"/>
      <c r="J1330" s="31"/>
      <c r="K1330" s="31"/>
      <c r="L1330" s="269"/>
      <c r="M1330" s="269"/>
      <c r="N1330" s="269"/>
      <c r="O1330" s="282"/>
      <c r="P1330" s="269"/>
      <c r="Q1330" s="269"/>
      <c r="R1330" s="269"/>
      <c r="S1330" s="282"/>
      <c r="T1330" s="269"/>
      <c r="U1330" s="269"/>
      <c r="V1330" s="269"/>
      <c r="W1330" s="269"/>
      <c r="X1330" s="31"/>
    </row>
    <row r="1331" spans="4:24" x14ac:dyDescent="0.25">
      <c r="D1331" s="31"/>
      <c r="E1331" s="31"/>
      <c r="F1331" s="31"/>
      <c r="G1331" s="31"/>
      <c r="H1331" s="31"/>
      <c r="I1331" s="31"/>
      <c r="J1331" s="31"/>
      <c r="K1331" s="31"/>
      <c r="L1331" s="269"/>
      <c r="M1331" s="269"/>
      <c r="N1331" s="269"/>
      <c r="O1331" s="282"/>
      <c r="P1331" s="269"/>
      <c r="Q1331" s="269"/>
      <c r="R1331" s="269"/>
      <c r="S1331" s="282"/>
      <c r="T1331" s="269"/>
      <c r="U1331" s="269"/>
      <c r="V1331" s="269"/>
      <c r="W1331" s="269"/>
      <c r="X1331" s="31"/>
    </row>
    <row r="1332" spans="4:24" x14ac:dyDescent="0.25">
      <c r="D1332" s="31"/>
      <c r="E1332" s="31"/>
      <c r="F1332" s="31"/>
      <c r="G1332" s="31"/>
      <c r="H1332" s="31"/>
      <c r="I1332" s="31"/>
      <c r="J1332" s="31"/>
      <c r="K1332" s="31"/>
      <c r="L1332" s="269"/>
      <c r="M1332" s="269"/>
      <c r="N1332" s="269"/>
      <c r="O1332" s="282"/>
      <c r="P1332" s="269"/>
      <c r="Q1332" s="269"/>
      <c r="R1332" s="269"/>
      <c r="S1332" s="282"/>
      <c r="T1332" s="269"/>
      <c r="U1332" s="269"/>
      <c r="V1332" s="269"/>
      <c r="W1332" s="269"/>
      <c r="X1332" s="31"/>
    </row>
    <row r="1333" spans="4:24" x14ac:dyDescent="0.25">
      <c r="D1333" s="31"/>
      <c r="E1333" s="31"/>
      <c r="F1333" s="31"/>
      <c r="G1333" s="31"/>
      <c r="H1333" s="31"/>
      <c r="I1333" s="31"/>
      <c r="J1333" s="31"/>
      <c r="K1333" s="31"/>
      <c r="L1333" s="269"/>
      <c r="M1333" s="269"/>
      <c r="N1333" s="269"/>
      <c r="O1333" s="282"/>
      <c r="P1333" s="269"/>
      <c r="Q1333" s="269"/>
      <c r="R1333" s="269"/>
      <c r="S1333" s="282"/>
      <c r="T1333" s="269"/>
      <c r="U1333" s="269"/>
      <c r="V1333" s="269"/>
      <c r="W1333" s="269"/>
      <c r="X1333" s="31"/>
    </row>
    <row r="1334" spans="4:24" x14ac:dyDescent="0.25">
      <c r="D1334" s="31"/>
      <c r="E1334" s="31"/>
      <c r="F1334" s="31"/>
      <c r="G1334" s="31"/>
      <c r="H1334" s="31"/>
      <c r="I1334" s="31"/>
      <c r="J1334" s="31"/>
      <c r="K1334" s="31"/>
      <c r="L1334" s="269"/>
      <c r="M1334" s="269"/>
      <c r="N1334" s="269"/>
      <c r="O1334" s="282"/>
      <c r="P1334" s="269"/>
      <c r="Q1334" s="269"/>
      <c r="R1334" s="269"/>
      <c r="S1334" s="282"/>
      <c r="T1334" s="269"/>
      <c r="U1334" s="269"/>
      <c r="V1334" s="269"/>
      <c r="W1334" s="269"/>
      <c r="X1334" s="31"/>
    </row>
    <row r="1335" spans="4:24" x14ac:dyDescent="0.25">
      <c r="D1335" s="31"/>
      <c r="E1335" s="31"/>
      <c r="F1335" s="31"/>
      <c r="G1335" s="31"/>
      <c r="H1335" s="31"/>
      <c r="I1335" s="31"/>
      <c r="J1335" s="31"/>
      <c r="K1335" s="31"/>
      <c r="L1335" s="269"/>
      <c r="M1335" s="269"/>
      <c r="N1335" s="269"/>
      <c r="O1335" s="282"/>
      <c r="P1335" s="269"/>
      <c r="Q1335" s="269"/>
      <c r="R1335" s="269"/>
      <c r="S1335" s="282"/>
      <c r="T1335" s="269"/>
      <c r="U1335" s="269"/>
      <c r="V1335" s="269"/>
      <c r="W1335" s="269"/>
      <c r="X1335" s="31"/>
    </row>
    <row r="1336" spans="4:24" x14ac:dyDescent="0.25">
      <c r="D1336" s="31"/>
      <c r="E1336" s="31"/>
      <c r="F1336" s="31"/>
      <c r="G1336" s="31"/>
      <c r="H1336" s="31"/>
      <c r="I1336" s="31"/>
      <c r="J1336" s="31"/>
      <c r="K1336" s="31"/>
      <c r="L1336" s="269"/>
      <c r="M1336" s="269"/>
      <c r="N1336" s="269"/>
      <c r="O1336" s="282"/>
      <c r="P1336" s="269"/>
      <c r="Q1336" s="269"/>
      <c r="R1336" s="269"/>
      <c r="S1336" s="282"/>
      <c r="T1336" s="269"/>
      <c r="U1336" s="269"/>
      <c r="V1336" s="269"/>
      <c r="W1336" s="269"/>
      <c r="X1336" s="31"/>
    </row>
    <row r="1337" spans="4:24" x14ac:dyDescent="0.25">
      <c r="D1337" s="31"/>
      <c r="E1337" s="31"/>
      <c r="F1337" s="31"/>
      <c r="G1337" s="31"/>
      <c r="H1337" s="31"/>
      <c r="I1337" s="31"/>
      <c r="J1337" s="31"/>
      <c r="K1337" s="31"/>
      <c r="L1337" s="269"/>
      <c r="M1337" s="269"/>
      <c r="N1337" s="269"/>
      <c r="O1337" s="282"/>
      <c r="P1337" s="269"/>
      <c r="Q1337" s="269"/>
      <c r="R1337" s="269"/>
      <c r="S1337" s="282"/>
      <c r="T1337" s="269"/>
      <c r="U1337" s="269"/>
      <c r="V1337" s="269"/>
      <c r="W1337" s="269"/>
      <c r="X1337" s="31"/>
    </row>
    <row r="1338" spans="4:24" x14ac:dyDescent="0.25">
      <c r="D1338" s="31"/>
      <c r="E1338" s="31"/>
      <c r="F1338" s="31"/>
      <c r="G1338" s="31"/>
      <c r="H1338" s="31"/>
      <c r="I1338" s="31"/>
      <c r="J1338" s="31"/>
      <c r="K1338" s="31"/>
      <c r="L1338" s="269"/>
      <c r="M1338" s="269"/>
      <c r="N1338" s="269"/>
      <c r="O1338" s="282"/>
      <c r="P1338" s="269"/>
      <c r="Q1338" s="269"/>
      <c r="R1338" s="269"/>
      <c r="S1338" s="282"/>
      <c r="T1338" s="269"/>
      <c r="U1338" s="269"/>
      <c r="V1338" s="269"/>
      <c r="W1338" s="269"/>
      <c r="X1338" s="31"/>
    </row>
    <row r="1339" spans="4:24" x14ac:dyDescent="0.25">
      <c r="D1339" s="31"/>
      <c r="E1339" s="31"/>
      <c r="F1339" s="31"/>
      <c r="G1339" s="31"/>
      <c r="H1339" s="31"/>
      <c r="I1339" s="31"/>
      <c r="J1339" s="31"/>
      <c r="K1339" s="31"/>
      <c r="L1339" s="269"/>
      <c r="M1339" s="269"/>
      <c r="N1339" s="269"/>
      <c r="O1339" s="282"/>
      <c r="P1339" s="269"/>
      <c r="Q1339" s="269"/>
      <c r="R1339" s="269"/>
      <c r="S1339" s="282"/>
      <c r="T1339" s="269"/>
      <c r="U1339" s="269"/>
      <c r="V1339" s="269"/>
      <c r="W1339" s="269"/>
      <c r="X1339" s="31"/>
    </row>
    <row r="1340" spans="4:24" x14ac:dyDescent="0.25">
      <c r="D1340" s="31"/>
      <c r="E1340" s="31"/>
      <c r="F1340" s="31"/>
      <c r="G1340" s="31"/>
      <c r="H1340" s="31"/>
      <c r="I1340" s="31"/>
      <c r="J1340" s="31"/>
      <c r="K1340" s="31"/>
      <c r="L1340" s="269"/>
      <c r="M1340" s="269"/>
      <c r="N1340" s="269"/>
      <c r="O1340" s="282"/>
      <c r="P1340" s="269"/>
      <c r="Q1340" s="269"/>
      <c r="R1340" s="269"/>
      <c r="S1340" s="282"/>
      <c r="T1340" s="269"/>
      <c r="U1340" s="269"/>
      <c r="V1340" s="269"/>
      <c r="W1340" s="269"/>
      <c r="X1340" s="31"/>
    </row>
    <row r="1341" spans="4:24" x14ac:dyDescent="0.25">
      <c r="D1341" s="31"/>
      <c r="E1341" s="31"/>
      <c r="F1341" s="31"/>
      <c r="G1341" s="31"/>
      <c r="H1341" s="31"/>
      <c r="I1341" s="31"/>
      <c r="J1341" s="31"/>
      <c r="K1341" s="31"/>
      <c r="L1341" s="269"/>
      <c r="M1341" s="269"/>
      <c r="N1341" s="269"/>
      <c r="O1341" s="282"/>
      <c r="P1341" s="269"/>
      <c r="Q1341" s="269"/>
      <c r="R1341" s="269"/>
      <c r="S1341" s="282"/>
      <c r="T1341" s="269"/>
      <c r="U1341" s="269"/>
      <c r="V1341" s="269"/>
      <c r="W1341" s="269"/>
      <c r="X1341" s="31"/>
    </row>
    <row r="1342" spans="4:24" x14ac:dyDescent="0.25">
      <c r="D1342" s="31"/>
      <c r="E1342" s="31"/>
      <c r="F1342" s="31"/>
      <c r="G1342" s="31"/>
      <c r="H1342" s="31"/>
      <c r="I1342" s="31"/>
      <c r="J1342" s="31"/>
      <c r="K1342" s="31"/>
      <c r="L1342" s="269"/>
      <c r="M1342" s="269"/>
      <c r="N1342" s="269"/>
      <c r="O1342" s="282"/>
      <c r="P1342" s="269"/>
      <c r="Q1342" s="269"/>
      <c r="R1342" s="269"/>
      <c r="S1342" s="282"/>
      <c r="T1342" s="269"/>
      <c r="U1342" s="269"/>
      <c r="V1342" s="269"/>
      <c r="W1342" s="269"/>
      <c r="X1342" s="31"/>
    </row>
    <row r="1343" spans="4:24" x14ac:dyDescent="0.25">
      <c r="D1343" s="31"/>
      <c r="E1343" s="31"/>
      <c r="F1343" s="31"/>
      <c r="G1343" s="31"/>
      <c r="H1343" s="31"/>
      <c r="I1343" s="31"/>
      <c r="J1343" s="31"/>
      <c r="K1343" s="31"/>
      <c r="L1343" s="269"/>
      <c r="M1343" s="269"/>
      <c r="N1343" s="269"/>
      <c r="O1343" s="282"/>
      <c r="P1343" s="269"/>
      <c r="Q1343" s="269"/>
      <c r="R1343" s="269"/>
      <c r="S1343" s="282"/>
      <c r="T1343" s="269"/>
      <c r="U1343" s="269"/>
      <c r="V1343" s="269"/>
      <c r="W1343" s="269"/>
      <c r="X1343" s="31"/>
    </row>
    <row r="1344" spans="4:24" x14ac:dyDescent="0.25">
      <c r="D1344" s="31"/>
      <c r="E1344" s="31"/>
      <c r="F1344" s="31"/>
      <c r="G1344" s="31"/>
      <c r="H1344" s="31"/>
      <c r="I1344" s="31"/>
      <c r="J1344" s="31"/>
      <c r="K1344" s="31"/>
      <c r="L1344" s="269"/>
      <c r="M1344" s="269"/>
      <c r="N1344" s="269"/>
      <c r="O1344" s="282"/>
      <c r="P1344" s="269"/>
      <c r="Q1344" s="269"/>
      <c r="R1344" s="269"/>
      <c r="S1344" s="282"/>
      <c r="T1344" s="269"/>
      <c r="U1344" s="269"/>
      <c r="V1344" s="269"/>
      <c r="W1344" s="269"/>
      <c r="X1344" s="31"/>
    </row>
    <row r="1345" spans="4:24" x14ac:dyDescent="0.25">
      <c r="D1345" s="31"/>
      <c r="E1345" s="31"/>
      <c r="F1345" s="31"/>
      <c r="G1345" s="31"/>
      <c r="H1345" s="31"/>
      <c r="I1345" s="31"/>
      <c r="J1345" s="31"/>
      <c r="K1345" s="31"/>
      <c r="L1345" s="269"/>
      <c r="M1345" s="269"/>
      <c r="N1345" s="269"/>
      <c r="O1345" s="282"/>
      <c r="P1345" s="269"/>
      <c r="Q1345" s="269"/>
      <c r="R1345" s="269"/>
      <c r="S1345" s="282"/>
      <c r="T1345" s="269"/>
      <c r="U1345" s="269"/>
      <c r="V1345" s="269"/>
      <c r="W1345" s="269"/>
      <c r="X1345" s="31"/>
    </row>
    <row r="1346" spans="4:24" x14ac:dyDescent="0.25">
      <c r="D1346" s="31"/>
      <c r="E1346" s="31"/>
      <c r="F1346" s="31"/>
      <c r="G1346" s="31"/>
      <c r="H1346" s="31"/>
      <c r="I1346" s="31"/>
      <c r="J1346" s="31"/>
      <c r="K1346" s="31"/>
      <c r="L1346" s="269"/>
      <c r="M1346" s="269"/>
      <c r="N1346" s="269"/>
      <c r="O1346" s="282"/>
      <c r="P1346" s="269"/>
      <c r="Q1346" s="269"/>
      <c r="R1346" s="269"/>
      <c r="S1346" s="282"/>
      <c r="T1346" s="269"/>
      <c r="U1346" s="269"/>
      <c r="V1346" s="269"/>
      <c r="W1346" s="269"/>
      <c r="X1346" s="31"/>
    </row>
    <row r="1347" spans="4:24" x14ac:dyDescent="0.25">
      <c r="D1347" s="31"/>
      <c r="E1347" s="31"/>
      <c r="F1347" s="31"/>
      <c r="G1347" s="31"/>
      <c r="H1347" s="31"/>
      <c r="I1347" s="31"/>
      <c r="J1347" s="31"/>
      <c r="K1347" s="31"/>
      <c r="L1347" s="269"/>
      <c r="M1347" s="269"/>
      <c r="N1347" s="269"/>
      <c r="O1347" s="282"/>
      <c r="P1347" s="269"/>
      <c r="Q1347" s="269"/>
      <c r="R1347" s="269"/>
      <c r="S1347" s="282"/>
      <c r="T1347" s="269"/>
      <c r="U1347" s="269"/>
      <c r="V1347" s="269"/>
      <c r="W1347" s="269"/>
      <c r="X1347" s="31"/>
    </row>
    <row r="1348" spans="4:24" x14ac:dyDescent="0.25">
      <c r="D1348" s="31"/>
      <c r="E1348" s="31"/>
      <c r="F1348" s="31"/>
      <c r="G1348" s="31"/>
      <c r="H1348" s="31"/>
      <c r="I1348" s="31"/>
      <c r="J1348" s="31"/>
      <c r="K1348" s="31"/>
      <c r="L1348" s="269"/>
      <c r="M1348" s="269"/>
      <c r="N1348" s="269"/>
      <c r="O1348" s="282"/>
      <c r="P1348" s="269"/>
      <c r="Q1348" s="269"/>
      <c r="R1348" s="269"/>
      <c r="S1348" s="282"/>
      <c r="T1348" s="269"/>
      <c r="U1348" s="269"/>
      <c r="V1348" s="269"/>
      <c r="W1348" s="269"/>
      <c r="X1348" s="31"/>
    </row>
    <row r="1349" spans="4:24" x14ac:dyDescent="0.25">
      <c r="D1349" s="31"/>
      <c r="E1349" s="31"/>
      <c r="F1349" s="31"/>
      <c r="G1349" s="31"/>
      <c r="H1349" s="31"/>
      <c r="I1349" s="31"/>
      <c r="J1349" s="31"/>
      <c r="K1349" s="31"/>
      <c r="L1349" s="269"/>
      <c r="M1349" s="269"/>
      <c r="N1349" s="269"/>
      <c r="O1349" s="282"/>
      <c r="P1349" s="269"/>
      <c r="Q1349" s="269"/>
      <c r="R1349" s="269"/>
      <c r="S1349" s="282"/>
      <c r="T1349" s="269"/>
      <c r="U1349" s="269"/>
      <c r="V1349" s="269"/>
      <c r="W1349" s="269"/>
      <c r="X1349" s="31"/>
    </row>
    <row r="1350" spans="4:24" x14ac:dyDescent="0.25">
      <c r="D1350" s="31"/>
      <c r="E1350" s="31"/>
      <c r="F1350" s="31"/>
      <c r="G1350" s="31"/>
      <c r="H1350" s="31"/>
      <c r="I1350" s="31"/>
      <c r="J1350" s="31"/>
      <c r="K1350" s="31"/>
      <c r="L1350" s="269"/>
      <c r="M1350" s="269"/>
      <c r="N1350" s="269"/>
      <c r="O1350" s="282"/>
      <c r="P1350" s="269"/>
      <c r="Q1350" s="269"/>
      <c r="R1350" s="269"/>
      <c r="S1350" s="282"/>
      <c r="T1350" s="269"/>
      <c r="U1350" s="269"/>
      <c r="V1350" s="269"/>
      <c r="W1350" s="269"/>
      <c r="X1350" s="31"/>
    </row>
    <row r="1351" spans="4:24" x14ac:dyDescent="0.25">
      <c r="D1351" s="31"/>
      <c r="E1351" s="31"/>
      <c r="F1351" s="31"/>
      <c r="G1351" s="31"/>
      <c r="H1351" s="31"/>
      <c r="I1351" s="31"/>
      <c r="J1351" s="31"/>
      <c r="K1351" s="31"/>
      <c r="L1351" s="269"/>
      <c r="M1351" s="269"/>
      <c r="N1351" s="269"/>
      <c r="O1351" s="282"/>
      <c r="P1351" s="269"/>
      <c r="Q1351" s="269"/>
      <c r="R1351" s="269"/>
      <c r="S1351" s="282"/>
      <c r="T1351" s="269"/>
      <c r="U1351" s="269"/>
      <c r="V1351" s="269"/>
      <c r="W1351" s="269"/>
      <c r="X1351" s="31"/>
    </row>
    <row r="1352" spans="4:24" x14ac:dyDescent="0.25">
      <c r="D1352" s="31"/>
      <c r="E1352" s="31"/>
      <c r="F1352" s="31"/>
      <c r="G1352" s="31"/>
      <c r="H1352" s="31"/>
      <c r="I1352" s="31"/>
      <c r="J1352" s="31"/>
      <c r="K1352" s="31"/>
      <c r="L1352" s="269"/>
      <c r="M1352" s="269"/>
      <c r="N1352" s="269"/>
      <c r="O1352" s="282"/>
      <c r="P1352" s="269"/>
      <c r="Q1352" s="269"/>
      <c r="R1352" s="269"/>
      <c r="S1352" s="282"/>
      <c r="T1352" s="269"/>
      <c r="U1352" s="269"/>
      <c r="V1352" s="269"/>
      <c r="W1352" s="269"/>
      <c r="X1352" s="31"/>
    </row>
    <row r="1353" spans="4:24" x14ac:dyDescent="0.25">
      <c r="D1353" s="31"/>
      <c r="E1353" s="31"/>
      <c r="F1353" s="31"/>
      <c r="G1353" s="31"/>
      <c r="H1353" s="31"/>
      <c r="I1353" s="31"/>
      <c r="J1353" s="31"/>
      <c r="K1353" s="31"/>
      <c r="L1353" s="269"/>
      <c r="M1353" s="269"/>
      <c r="N1353" s="269"/>
      <c r="O1353" s="282"/>
      <c r="P1353" s="269"/>
      <c r="Q1353" s="269"/>
      <c r="R1353" s="269"/>
      <c r="S1353" s="282"/>
      <c r="T1353" s="269"/>
      <c r="U1353" s="269"/>
      <c r="V1353" s="269"/>
      <c r="W1353" s="269"/>
      <c r="X1353" s="31"/>
    </row>
    <row r="1354" spans="4:24" x14ac:dyDescent="0.25">
      <c r="D1354" s="31"/>
      <c r="E1354" s="31"/>
      <c r="F1354" s="31"/>
      <c r="G1354" s="31"/>
      <c r="H1354" s="31"/>
      <c r="I1354" s="31"/>
      <c r="J1354" s="31"/>
      <c r="K1354" s="31"/>
      <c r="L1354" s="269"/>
      <c r="M1354" s="269"/>
      <c r="N1354" s="269"/>
      <c r="O1354" s="282"/>
      <c r="P1354" s="269"/>
      <c r="Q1354" s="269"/>
      <c r="R1354" s="269"/>
      <c r="S1354" s="282"/>
      <c r="T1354" s="269"/>
      <c r="U1354" s="269"/>
      <c r="V1354" s="269"/>
      <c r="W1354" s="269"/>
      <c r="X1354" s="31"/>
    </row>
    <row r="1355" spans="4:24" x14ac:dyDescent="0.25">
      <c r="D1355" s="31"/>
      <c r="E1355" s="31"/>
      <c r="F1355" s="31"/>
      <c r="G1355" s="31"/>
      <c r="H1355" s="31"/>
      <c r="I1355" s="31"/>
      <c r="J1355" s="31"/>
      <c r="K1355" s="31"/>
      <c r="L1355" s="269"/>
      <c r="M1355" s="269"/>
      <c r="N1355" s="269"/>
      <c r="O1355" s="282"/>
      <c r="P1355" s="269"/>
      <c r="Q1355" s="269"/>
      <c r="R1355" s="269"/>
      <c r="S1355" s="282"/>
      <c r="T1355" s="269"/>
      <c r="U1355" s="269"/>
      <c r="V1355" s="269"/>
      <c r="W1355" s="269"/>
      <c r="X1355" s="31"/>
    </row>
    <row r="1356" spans="4:24" x14ac:dyDescent="0.25">
      <c r="D1356" s="31"/>
      <c r="E1356" s="31"/>
      <c r="F1356" s="31"/>
      <c r="G1356" s="31"/>
      <c r="H1356" s="31"/>
      <c r="I1356" s="31"/>
      <c r="J1356" s="31"/>
      <c r="K1356" s="31"/>
      <c r="L1356" s="269"/>
      <c r="M1356" s="269"/>
      <c r="N1356" s="269"/>
      <c r="O1356" s="282"/>
      <c r="P1356" s="269"/>
      <c r="Q1356" s="269"/>
      <c r="R1356" s="269"/>
      <c r="S1356" s="282"/>
      <c r="T1356" s="269"/>
      <c r="U1356" s="269"/>
      <c r="V1356" s="269"/>
      <c r="W1356" s="269"/>
      <c r="X1356" s="31"/>
    </row>
    <row r="1357" spans="4:24" x14ac:dyDescent="0.25">
      <c r="D1357" s="31"/>
      <c r="E1357" s="31"/>
      <c r="F1357" s="31"/>
      <c r="G1357" s="31"/>
      <c r="H1357" s="31"/>
      <c r="I1357" s="31"/>
      <c r="J1357" s="31"/>
      <c r="K1357" s="31"/>
      <c r="L1357" s="269"/>
      <c r="M1357" s="269"/>
      <c r="N1357" s="269"/>
      <c r="O1357" s="282"/>
      <c r="P1357" s="269"/>
      <c r="Q1357" s="269"/>
      <c r="R1357" s="269"/>
      <c r="S1357" s="282"/>
      <c r="T1357" s="269"/>
      <c r="U1357" s="269"/>
      <c r="V1357" s="269"/>
      <c r="W1357" s="269"/>
      <c r="X1357" s="31"/>
    </row>
    <row r="1358" spans="4:24" x14ac:dyDescent="0.25">
      <c r="D1358" s="31"/>
      <c r="E1358" s="31"/>
      <c r="F1358" s="31"/>
      <c r="G1358" s="31"/>
      <c r="H1358" s="31"/>
      <c r="I1358" s="31"/>
      <c r="J1358" s="31"/>
      <c r="K1358" s="31"/>
      <c r="L1358" s="269"/>
      <c r="M1358" s="269"/>
      <c r="N1358" s="269"/>
      <c r="O1358" s="282"/>
      <c r="P1358" s="269"/>
      <c r="Q1358" s="269"/>
      <c r="R1358" s="269"/>
      <c r="S1358" s="282"/>
      <c r="T1358" s="269"/>
      <c r="U1358" s="269"/>
      <c r="V1358" s="269"/>
      <c r="W1358" s="269"/>
      <c r="X1358" s="31"/>
    </row>
    <row r="1359" spans="4:24" x14ac:dyDescent="0.25">
      <c r="D1359" s="31"/>
      <c r="E1359" s="31"/>
      <c r="F1359" s="31"/>
      <c r="G1359" s="31"/>
      <c r="H1359" s="31"/>
      <c r="I1359" s="31"/>
      <c r="J1359" s="31"/>
      <c r="K1359" s="31"/>
      <c r="L1359" s="269"/>
      <c r="M1359" s="269"/>
      <c r="N1359" s="269"/>
      <c r="O1359" s="282"/>
      <c r="P1359" s="269"/>
      <c r="Q1359" s="269"/>
      <c r="R1359" s="269"/>
      <c r="S1359" s="282"/>
      <c r="T1359" s="269"/>
      <c r="U1359" s="269"/>
      <c r="V1359" s="269"/>
      <c r="W1359" s="269"/>
      <c r="X1359" s="31"/>
    </row>
    <row r="1360" spans="4:24" x14ac:dyDescent="0.25">
      <c r="D1360" s="31"/>
      <c r="E1360" s="31"/>
      <c r="F1360" s="31"/>
      <c r="G1360" s="31"/>
      <c r="H1360" s="31"/>
      <c r="I1360" s="31"/>
      <c r="J1360" s="31"/>
      <c r="K1360" s="31"/>
      <c r="L1360" s="269"/>
      <c r="M1360" s="269"/>
      <c r="N1360" s="269"/>
      <c r="O1360" s="282"/>
      <c r="P1360" s="269"/>
      <c r="Q1360" s="269"/>
      <c r="R1360" s="269"/>
      <c r="S1360" s="282"/>
      <c r="T1360" s="269"/>
      <c r="U1360" s="269"/>
      <c r="V1360" s="269"/>
      <c r="W1360" s="269"/>
      <c r="X1360" s="31"/>
    </row>
    <row r="1361" spans="4:24" x14ac:dyDescent="0.25">
      <c r="D1361" s="31"/>
      <c r="E1361" s="31"/>
      <c r="F1361" s="31"/>
      <c r="G1361" s="31"/>
      <c r="H1361" s="31"/>
      <c r="I1361" s="31"/>
      <c r="J1361" s="31"/>
      <c r="K1361" s="31"/>
      <c r="L1361" s="269"/>
      <c r="M1361" s="269"/>
      <c r="N1361" s="269"/>
      <c r="O1361" s="282"/>
      <c r="P1361" s="269"/>
      <c r="Q1361" s="269"/>
      <c r="R1361" s="269"/>
      <c r="S1361" s="282"/>
      <c r="T1361" s="269"/>
      <c r="U1361" s="269"/>
      <c r="V1361" s="269"/>
      <c r="W1361" s="269"/>
      <c r="X1361" s="31"/>
    </row>
    <row r="1362" spans="4:24" x14ac:dyDescent="0.25">
      <c r="D1362" s="31"/>
      <c r="E1362" s="31"/>
      <c r="F1362" s="31"/>
      <c r="G1362" s="31"/>
      <c r="H1362" s="31"/>
      <c r="I1362" s="31"/>
      <c r="J1362" s="31"/>
      <c r="K1362" s="31"/>
      <c r="L1362" s="269"/>
      <c r="M1362" s="269"/>
      <c r="N1362" s="269"/>
      <c r="O1362" s="282"/>
      <c r="P1362" s="269"/>
      <c r="Q1362" s="269"/>
      <c r="R1362" s="269"/>
      <c r="S1362" s="282"/>
      <c r="T1362" s="269"/>
      <c r="U1362" s="269"/>
      <c r="V1362" s="269"/>
      <c r="W1362" s="269"/>
      <c r="X1362" s="31"/>
    </row>
    <row r="1363" spans="4:24" x14ac:dyDescent="0.25">
      <c r="D1363" s="31"/>
      <c r="E1363" s="31"/>
      <c r="F1363" s="31"/>
      <c r="G1363" s="31"/>
      <c r="H1363" s="31"/>
      <c r="I1363" s="31"/>
      <c r="J1363" s="31"/>
      <c r="K1363" s="31"/>
      <c r="L1363" s="269"/>
      <c r="M1363" s="269"/>
      <c r="N1363" s="269"/>
      <c r="O1363" s="282"/>
      <c r="P1363" s="269"/>
      <c r="Q1363" s="269"/>
      <c r="R1363" s="269"/>
      <c r="S1363" s="282"/>
      <c r="T1363" s="269"/>
      <c r="U1363" s="269"/>
      <c r="V1363" s="269"/>
      <c r="W1363" s="269"/>
      <c r="X1363" s="31"/>
    </row>
    <row r="1364" spans="4:24" x14ac:dyDescent="0.25">
      <c r="D1364" s="31"/>
      <c r="E1364" s="31"/>
      <c r="F1364" s="31"/>
      <c r="G1364" s="31"/>
      <c r="H1364" s="31"/>
      <c r="I1364" s="31"/>
      <c r="J1364" s="31"/>
      <c r="K1364" s="31"/>
      <c r="L1364" s="269"/>
      <c r="M1364" s="269"/>
      <c r="N1364" s="269"/>
      <c r="O1364" s="282"/>
      <c r="P1364" s="269"/>
      <c r="Q1364" s="269"/>
      <c r="R1364" s="269"/>
      <c r="S1364" s="282"/>
      <c r="T1364" s="269"/>
      <c r="U1364" s="269"/>
      <c r="V1364" s="269"/>
      <c r="W1364" s="269"/>
      <c r="X1364" s="31"/>
    </row>
    <row r="1365" spans="4:24" x14ac:dyDescent="0.25">
      <c r="D1365" s="31"/>
      <c r="E1365" s="31"/>
      <c r="F1365" s="31"/>
      <c r="G1365" s="31"/>
      <c r="H1365" s="31"/>
      <c r="I1365" s="31"/>
      <c r="J1365" s="31"/>
      <c r="K1365" s="31"/>
      <c r="L1365" s="269"/>
      <c r="M1365" s="269"/>
      <c r="N1365" s="269"/>
      <c r="O1365" s="282"/>
      <c r="P1365" s="269"/>
      <c r="Q1365" s="269"/>
      <c r="R1365" s="269"/>
      <c r="S1365" s="282"/>
      <c r="T1365" s="269"/>
      <c r="U1365" s="269"/>
      <c r="V1365" s="269"/>
      <c r="W1365" s="269"/>
      <c r="X1365" s="31"/>
    </row>
    <row r="1366" spans="4:24" x14ac:dyDescent="0.25">
      <c r="D1366" s="31"/>
      <c r="E1366" s="31"/>
      <c r="F1366" s="31"/>
      <c r="G1366" s="31"/>
      <c r="H1366" s="31"/>
      <c r="I1366" s="31"/>
      <c r="J1366" s="31"/>
      <c r="K1366" s="31"/>
      <c r="L1366" s="269"/>
      <c r="M1366" s="269"/>
      <c r="N1366" s="269"/>
      <c r="O1366" s="282"/>
      <c r="P1366" s="269"/>
      <c r="Q1366" s="269"/>
      <c r="R1366" s="269"/>
      <c r="S1366" s="282"/>
      <c r="T1366" s="269"/>
      <c r="U1366" s="269"/>
      <c r="V1366" s="269"/>
      <c r="W1366" s="269"/>
      <c r="X1366" s="31"/>
    </row>
    <row r="1367" spans="4:24" x14ac:dyDescent="0.25">
      <c r="D1367" s="31"/>
      <c r="E1367" s="31"/>
      <c r="F1367" s="31"/>
      <c r="G1367" s="31"/>
      <c r="H1367" s="31"/>
      <c r="I1367" s="31"/>
      <c r="J1367" s="31"/>
      <c r="K1367" s="31"/>
      <c r="L1367" s="269"/>
      <c r="M1367" s="269"/>
      <c r="N1367" s="269"/>
      <c r="O1367" s="282"/>
      <c r="P1367" s="269"/>
      <c r="Q1367" s="269"/>
      <c r="R1367" s="269"/>
      <c r="S1367" s="282"/>
      <c r="T1367" s="269"/>
      <c r="U1367" s="269"/>
      <c r="V1367" s="269"/>
      <c r="W1367" s="269"/>
      <c r="X1367" s="31"/>
    </row>
    <row r="1368" spans="4:24" x14ac:dyDescent="0.25">
      <c r="D1368" s="31"/>
      <c r="E1368" s="31"/>
      <c r="F1368" s="31"/>
      <c r="G1368" s="31"/>
      <c r="H1368" s="31"/>
      <c r="I1368" s="31"/>
      <c r="J1368" s="31"/>
      <c r="K1368" s="31"/>
      <c r="L1368" s="269"/>
      <c r="M1368" s="269"/>
      <c r="N1368" s="269"/>
      <c r="O1368" s="282"/>
      <c r="P1368" s="269"/>
      <c r="Q1368" s="269"/>
      <c r="R1368" s="269"/>
      <c r="S1368" s="282"/>
      <c r="T1368" s="269"/>
      <c r="U1368" s="269"/>
      <c r="V1368" s="269"/>
      <c r="W1368" s="269"/>
      <c r="X1368" s="31"/>
    </row>
    <row r="1369" spans="4:24" x14ac:dyDescent="0.25">
      <c r="D1369" s="31"/>
      <c r="E1369" s="31"/>
      <c r="F1369" s="31"/>
      <c r="G1369" s="31"/>
      <c r="H1369" s="31"/>
      <c r="I1369" s="31"/>
      <c r="J1369" s="31"/>
      <c r="K1369" s="31"/>
      <c r="L1369" s="269"/>
      <c r="M1369" s="269"/>
      <c r="N1369" s="269"/>
      <c r="O1369" s="282"/>
      <c r="P1369" s="269"/>
      <c r="Q1369" s="269"/>
      <c r="R1369" s="269"/>
      <c r="S1369" s="282"/>
      <c r="T1369" s="269"/>
      <c r="U1369" s="269"/>
      <c r="V1369" s="269"/>
      <c r="W1369" s="269"/>
      <c r="X1369" s="31"/>
    </row>
    <row r="1370" spans="4:24" x14ac:dyDescent="0.25">
      <c r="D1370" s="31"/>
      <c r="E1370" s="31"/>
      <c r="F1370" s="31"/>
      <c r="G1370" s="31"/>
      <c r="H1370" s="31"/>
      <c r="I1370" s="31"/>
      <c r="J1370" s="31"/>
      <c r="K1370" s="31"/>
      <c r="L1370" s="269"/>
      <c r="M1370" s="269"/>
      <c r="N1370" s="269"/>
      <c r="O1370" s="282"/>
      <c r="P1370" s="269"/>
      <c r="Q1370" s="269"/>
      <c r="R1370" s="269"/>
      <c r="S1370" s="282"/>
      <c r="T1370" s="269"/>
      <c r="U1370" s="269"/>
      <c r="V1370" s="269"/>
      <c r="W1370" s="269"/>
      <c r="X1370" s="31"/>
    </row>
    <row r="1371" spans="4:24" x14ac:dyDescent="0.25">
      <c r="D1371" s="31"/>
      <c r="E1371" s="31"/>
      <c r="F1371" s="31"/>
      <c r="G1371" s="31"/>
      <c r="H1371" s="31"/>
      <c r="I1371" s="31"/>
      <c r="J1371" s="31"/>
      <c r="K1371" s="31"/>
      <c r="L1371" s="269"/>
      <c r="M1371" s="269"/>
      <c r="N1371" s="269"/>
      <c r="O1371" s="282"/>
      <c r="P1371" s="269"/>
      <c r="Q1371" s="269"/>
      <c r="R1371" s="269"/>
      <c r="S1371" s="282"/>
      <c r="T1371" s="269"/>
      <c r="U1371" s="269"/>
      <c r="V1371" s="269"/>
      <c r="W1371" s="269"/>
      <c r="X1371" s="31"/>
    </row>
    <row r="1372" spans="4:24" x14ac:dyDescent="0.25">
      <c r="D1372" s="31"/>
      <c r="E1372" s="31"/>
      <c r="F1372" s="31"/>
      <c r="G1372" s="31"/>
      <c r="H1372" s="31"/>
      <c r="I1372" s="31"/>
      <c r="J1372" s="31"/>
      <c r="K1372" s="31"/>
      <c r="L1372" s="269"/>
      <c r="M1372" s="269"/>
      <c r="N1372" s="269"/>
      <c r="O1372" s="282"/>
      <c r="P1372" s="269"/>
      <c r="Q1372" s="269"/>
      <c r="R1372" s="269"/>
      <c r="S1372" s="282"/>
      <c r="T1372" s="269"/>
      <c r="U1372" s="269"/>
      <c r="V1372" s="269"/>
      <c r="W1372" s="269"/>
      <c r="X1372" s="31"/>
    </row>
    <row r="1373" spans="4:24" x14ac:dyDescent="0.25">
      <c r="D1373" s="31"/>
      <c r="E1373" s="31"/>
      <c r="F1373" s="31"/>
      <c r="G1373" s="31"/>
      <c r="H1373" s="31"/>
      <c r="I1373" s="31"/>
      <c r="J1373" s="31"/>
      <c r="K1373" s="31"/>
      <c r="L1373" s="269"/>
      <c r="M1373" s="269"/>
      <c r="N1373" s="269"/>
      <c r="O1373" s="282"/>
      <c r="P1373" s="269"/>
      <c r="Q1373" s="269"/>
      <c r="R1373" s="269"/>
      <c r="S1373" s="282"/>
      <c r="T1373" s="269"/>
      <c r="U1373" s="269"/>
      <c r="V1373" s="269"/>
      <c r="W1373" s="269"/>
      <c r="X1373" s="31"/>
    </row>
    <row r="1374" spans="4:24" x14ac:dyDescent="0.25">
      <c r="D1374" s="31"/>
      <c r="E1374" s="31"/>
      <c r="F1374" s="31"/>
      <c r="G1374" s="31"/>
      <c r="H1374" s="31"/>
      <c r="I1374" s="31"/>
      <c r="J1374" s="31"/>
      <c r="K1374" s="31"/>
      <c r="L1374" s="269"/>
      <c r="M1374" s="269"/>
      <c r="N1374" s="269"/>
      <c r="O1374" s="282"/>
      <c r="P1374" s="269"/>
      <c r="Q1374" s="269"/>
      <c r="R1374" s="269"/>
      <c r="S1374" s="282"/>
      <c r="T1374" s="269"/>
      <c r="U1374" s="269"/>
      <c r="V1374" s="269"/>
      <c r="W1374" s="269"/>
      <c r="X1374" s="31"/>
    </row>
    <row r="1375" spans="4:24" x14ac:dyDescent="0.25">
      <c r="D1375" s="31"/>
      <c r="E1375" s="31"/>
      <c r="F1375" s="31"/>
      <c r="G1375" s="31"/>
      <c r="H1375" s="31"/>
      <c r="I1375" s="31"/>
      <c r="J1375" s="31"/>
      <c r="K1375" s="31"/>
      <c r="L1375" s="269"/>
      <c r="M1375" s="269"/>
      <c r="N1375" s="269"/>
      <c r="O1375" s="282"/>
      <c r="P1375" s="269"/>
      <c r="Q1375" s="269"/>
      <c r="R1375" s="269"/>
      <c r="S1375" s="282"/>
      <c r="T1375" s="269"/>
      <c r="U1375" s="269"/>
      <c r="V1375" s="269"/>
      <c r="W1375" s="269"/>
      <c r="X1375" s="31"/>
    </row>
    <row r="1376" spans="4:24" x14ac:dyDescent="0.25">
      <c r="D1376" s="31"/>
      <c r="E1376" s="31"/>
      <c r="F1376" s="31"/>
      <c r="G1376" s="31"/>
      <c r="H1376" s="31"/>
      <c r="I1376" s="31"/>
      <c r="J1376" s="31"/>
      <c r="K1376" s="31"/>
      <c r="L1376" s="269"/>
      <c r="M1376" s="269"/>
      <c r="N1376" s="269"/>
      <c r="O1376" s="282"/>
      <c r="P1376" s="269"/>
      <c r="Q1376" s="269"/>
      <c r="R1376" s="269"/>
      <c r="S1376" s="282"/>
      <c r="T1376" s="269"/>
      <c r="U1376" s="269"/>
      <c r="V1376" s="269"/>
      <c r="W1376" s="269"/>
      <c r="X1376" s="31"/>
    </row>
    <row r="1377" spans="4:24" x14ac:dyDescent="0.25">
      <c r="D1377" s="31"/>
      <c r="E1377" s="31"/>
      <c r="F1377" s="31"/>
      <c r="G1377" s="31"/>
      <c r="H1377" s="31"/>
      <c r="I1377" s="31"/>
      <c r="J1377" s="31"/>
      <c r="K1377" s="31"/>
      <c r="L1377" s="269"/>
      <c r="M1377" s="269"/>
      <c r="N1377" s="269"/>
      <c r="O1377" s="282"/>
      <c r="P1377" s="269"/>
      <c r="Q1377" s="269"/>
      <c r="R1377" s="269"/>
      <c r="S1377" s="282"/>
      <c r="T1377" s="269"/>
      <c r="U1377" s="269"/>
      <c r="V1377" s="269"/>
      <c r="W1377" s="269"/>
      <c r="X1377" s="31"/>
    </row>
    <row r="1378" spans="4:24" x14ac:dyDescent="0.25">
      <c r="D1378" s="31"/>
      <c r="E1378" s="31"/>
      <c r="F1378" s="31"/>
      <c r="G1378" s="31"/>
      <c r="H1378" s="31"/>
      <c r="I1378" s="31"/>
      <c r="J1378" s="31"/>
      <c r="K1378" s="31"/>
      <c r="L1378" s="269"/>
      <c r="M1378" s="269"/>
      <c r="N1378" s="269"/>
      <c r="O1378" s="282"/>
      <c r="P1378" s="269"/>
      <c r="Q1378" s="269"/>
      <c r="R1378" s="269"/>
      <c r="S1378" s="282"/>
      <c r="T1378" s="269"/>
      <c r="U1378" s="269"/>
      <c r="V1378" s="269"/>
      <c r="W1378" s="269"/>
      <c r="X1378" s="31"/>
    </row>
    <row r="1379" spans="4:24" x14ac:dyDescent="0.25">
      <c r="D1379" s="31"/>
      <c r="E1379" s="31"/>
      <c r="F1379" s="31"/>
      <c r="G1379" s="31"/>
      <c r="H1379" s="31"/>
      <c r="I1379" s="31"/>
      <c r="J1379" s="31"/>
      <c r="K1379" s="31"/>
      <c r="L1379" s="269"/>
      <c r="M1379" s="269"/>
      <c r="N1379" s="269"/>
      <c r="O1379" s="282"/>
      <c r="P1379" s="269"/>
      <c r="Q1379" s="269"/>
      <c r="R1379" s="269"/>
      <c r="S1379" s="282"/>
      <c r="T1379" s="269"/>
      <c r="U1379" s="269"/>
      <c r="V1379" s="269"/>
      <c r="W1379" s="269"/>
      <c r="X1379" s="31"/>
    </row>
    <row r="1380" spans="4:24" x14ac:dyDescent="0.25">
      <c r="D1380" s="31"/>
      <c r="E1380" s="31"/>
      <c r="F1380" s="31"/>
      <c r="G1380" s="31"/>
      <c r="H1380" s="31"/>
      <c r="I1380" s="31"/>
      <c r="J1380" s="31"/>
      <c r="K1380" s="31"/>
      <c r="L1380" s="269"/>
      <c r="M1380" s="269"/>
      <c r="N1380" s="269"/>
      <c r="O1380" s="282"/>
      <c r="P1380" s="269"/>
      <c r="Q1380" s="269"/>
      <c r="R1380" s="269"/>
      <c r="S1380" s="282"/>
      <c r="T1380" s="269"/>
      <c r="U1380" s="269"/>
      <c r="V1380" s="269"/>
      <c r="W1380" s="269"/>
      <c r="X1380" s="31"/>
    </row>
    <row r="1381" spans="4:24" x14ac:dyDescent="0.25">
      <c r="D1381" s="31"/>
      <c r="E1381" s="31"/>
      <c r="F1381" s="31"/>
      <c r="G1381" s="31"/>
      <c r="H1381" s="31"/>
      <c r="I1381" s="31"/>
      <c r="J1381" s="31"/>
      <c r="K1381" s="31"/>
      <c r="L1381" s="269"/>
      <c r="M1381" s="269"/>
      <c r="N1381" s="269"/>
      <c r="O1381" s="282"/>
      <c r="P1381" s="269"/>
      <c r="Q1381" s="269"/>
      <c r="R1381" s="269"/>
      <c r="S1381" s="282"/>
      <c r="T1381" s="269"/>
      <c r="U1381" s="269"/>
      <c r="V1381" s="269"/>
      <c r="W1381" s="269"/>
      <c r="X1381" s="31"/>
    </row>
    <row r="1382" spans="4:24" x14ac:dyDescent="0.25">
      <c r="D1382" s="31"/>
      <c r="E1382" s="31"/>
      <c r="F1382" s="31"/>
      <c r="G1382" s="31"/>
      <c r="H1382" s="31"/>
      <c r="I1382" s="31"/>
      <c r="J1382" s="31"/>
      <c r="K1382" s="31"/>
      <c r="L1382" s="269"/>
      <c r="M1382" s="269"/>
      <c r="N1382" s="269"/>
      <c r="O1382" s="282"/>
      <c r="P1382" s="269"/>
      <c r="Q1382" s="269"/>
      <c r="R1382" s="269"/>
      <c r="S1382" s="282"/>
      <c r="T1382" s="269"/>
      <c r="U1382" s="269"/>
      <c r="V1382" s="269"/>
      <c r="W1382" s="269"/>
      <c r="X1382" s="31"/>
    </row>
    <row r="1383" spans="4:24" x14ac:dyDescent="0.25">
      <c r="D1383" s="31"/>
      <c r="E1383" s="31"/>
      <c r="F1383" s="31"/>
      <c r="G1383" s="31"/>
      <c r="H1383" s="31"/>
      <c r="I1383" s="31"/>
      <c r="J1383" s="31"/>
      <c r="K1383" s="31"/>
      <c r="L1383" s="269"/>
      <c r="M1383" s="269"/>
      <c r="N1383" s="269"/>
      <c r="O1383" s="282"/>
      <c r="P1383" s="269"/>
      <c r="Q1383" s="269"/>
      <c r="R1383" s="269"/>
      <c r="S1383" s="282"/>
      <c r="T1383" s="269"/>
      <c r="U1383" s="269"/>
      <c r="V1383" s="269"/>
      <c r="W1383" s="269"/>
      <c r="X1383" s="31"/>
    </row>
    <row r="1384" spans="4:24" x14ac:dyDescent="0.25">
      <c r="D1384" s="31"/>
      <c r="E1384" s="31"/>
      <c r="F1384" s="31"/>
      <c r="G1384" s="31"/>
      <c r="H1384" s="31"/>
      <c r="I1384" s="31"/>
      <c r="J1384" s="31"/>
      <c r="K1384" s="31"/>
      <c r="L1384" s="269"/>
      <c r="M1384" s="269"/>
      <c r="N1384" s="269"/>
      <c r="O1384" s="282"/>
      <c r="P1384" s="269"/>
      <c r="Q1384" s="269"/>
      <c r="R1384" s="269"/>
      <c r="S1384" s="282"/>
      <c r="T1384" s="269"/>
      <c r="U1384" s="269"/>
      <c r="V1384" s="269"/>
      <c r="W1384" s="269"/>
      <c r="X1384" s="31"/>
    </row>
    <row r="1385" spans="4:24" x14ac:dyDescent="0.25">
      <c r="D1385" s="31"/>
      <c r="E1385" s="31"/>
      <c r="F1385" s="31"/>
      <c r="G1385" s="31"/>
      <c r="H1385" s="31"/>
      <c r="I1385" s="31"/>
      <c r="J1385" s="31"/>
      <c r="K1385" s="31"/>
      <c r="L1385" s="269"/>
      <c r="M1385" s="269"/>
      <c r="N1385" s="269"/>
      <c r="O1385" s="282"/>
      <c r="P1385" s="269"/>
      <c r="Q1385" s="269"/>
      <c r="R1385" s="269"/>
      <c r="S1385" s="282"/>
      <c r="T1385" s="269"/>
      <c r="U1385" s="269"/>
      <c r="V1385" s="269"/>
      <c r="W1385" s="269"/>
      <c r="X1385" s="31"/>
    </row>
    <row r="1386" spans="4:24" x14ac:dyDescent="0.25">
      <c r="D1386" s="31"/>
      <c r="E1386" s="31"/>
      <c r="F1386" s="31"/>
      <c r="G1386" s="31"/>
      <c r="H1386" s="31"/>
      <c r="I1386" s="31"/>
      <c r="J1386" s="31"/>
      <c r="K1386" s="31"/>
      <c r="L1386" s="269"/>
      <c r="M1386" s="269"/>
      <c r="N1386" s="269"/>
      <c r="O1386" s="282"/>
      <c r="P1386" s="269"/>
      <c r="Q1386" s="269"/>
      <c r="R1386" s="269"/>
      <c r="S1386" s="282"/>
      <c r="T1386" s="269"/>
      <c r="U1386" s="269"/>
      <c r="V1386" s="269"/>
      <c r="W1386" s="269"/>
      <c r="X1386" s="31"/>
    </row>
    <row r="1387" spans="4:24" x14ac:dyDescent="0.25">
      <c r="D1387" s="31"/>
      <c r="E1387" s="31"/>
      <c r="F1387" s="31"/>
      <c r="G1387" s="31"/>
      <c r="H1387" s="31"/>
      <c r="I1387" s="31"/>
      <c r="J1387" s="31"/>
      <c r="K1387" s="31"/>
      <c r="L1387" s="269"/>
      <c r="M1387" s="269"/>
      <c r="N1387" s="269"/>
      <c r="O1387" s="282"/>
      <c r="P1387" s="269"/>
      <c r="Q1387" s="269"/>
      <c r="R1387" s="269"/>
      <c r="S1387" s="282"/>
      <c r="T1387" s="269"/>
      <c r="U1387" s="269"/>
      <c r="V1387" s="269"/>
      <c r="W1387" s="269"/>
      <c r="X1387" s="31"/>
    </row>
    <row r="1388" spans="4:24" x14ac:dyDescent="0.25">
      <c r="D1388" s="31"/>
      <c r="E1388" s="31"/>
      <c r="F1388" s="31"/>
      <c r="G1388" s="31"/>
      <c r="H1388" s="31"/>
      <c r="I1388" s="31"/>
      <c r="J1388" s="31"/>
      <c r="K1388" s="31"/>
      <c r="L1388" s="269"/>
      <c r="M1388" s="269"/>
      <c r="N1388" s="269"/>
      <c r="O1388" s="282"/>
      <c r="P1388" s="269"/>
      <c r="Q1388" s="269"/>
      <c r="R1388" s="269"/>
      <c r="S1388" s="282"/>
      <c r="T1388" s="269"/>
      <c r="U1388" s="269"/>
      <c r="V1388" s="269"/>
      <c r="W1388" s="269"/>
      <c r="X1388" s="31"/>
    </row>
    <row r="1389" spans="4:24" x14ac:dyDescent="0.25">
      <c r="D1389" s="31"/>
      <c r="E1389" s="31"/>
      <c r="F1389" s="31"/>
      <c r="G1389" s="31"/>
      <c r="H1389" s="31"/>
      <c r="I1389" s="31"/>
      <c r="J1389" s="31"/>
      <c r="K1389" s="31"/>
      <c r="L1389" s="269"/>
      <c r="M1389" s="269"/>
      <c r="N1389" s="269"/>
      <c r="O1389" s="282"/>
      <c r="P1389" s="269"/>
      <c r="Q1389" s="269"/>
      <c r="R1389" s="269"/>
      <c r="S1389" s="282"/>
      <c r="T1389" s="269"/>
      <c r="U1389" s="269"/>
      <c r="V1389" s="269"/>
      <c r="W1389" s="269"/>
      <c r="X1389" s="31"/>
    </row>
    <row r="1390" spans="4:24" x14ac:dyDescent="0.25">
      <c r="D1390" s="31"/>
      <c r="E1390" s="31"/>
      <c r="F1390" s="31"/>
      <c r="G1390" s="31"/>
      <c r="H1390" s="31"/>
      <c r="I1390" s="31"/>
      <c r="J1390" s="31"/>
      <c r="K1390" s="31"/>
      <c r="L1390" s="269"/>
      <c r="M1390" s="269"/>
      <c r="N1390" s="269"/>
      <c r="O1390" s="282"/>
      <c r="P1390" s="269"/>
      <c r="Q1390" s="269"/>
      <c r="R1390" s="269"/>
      <c r="S1390" s="282"/>
      <c r="T1390" s="269"/>
      <c r="U1390" s="269"/>
      <c r="V1390" s="269"/>
      <c r="W1390" s="269"/>
      <c r="X1390" s="31"/>
    </row>
    <row r="1391" spans="4:24" x14ac:dyDescent="0.25">
      <c r="D1391" s="31"/>
      <c r="E1391" s="31"/>
      <c r="F1391" s="31"/>
      <c r="G1391" s="31"/>
      <c r="H1391" s="31"/>
      <c r="I1391" s="31"/>
      <c r="J1391" s="31"/>
      <c r="K1391" s="31"/>
      <c r="L1391" s="269"/>
      <c r="M1391" s="269"/>
      <c r="N1391" s="269"/>
      <c r="O1391" s="282"/>
      <c r="P1391" s="269"/>
      <c r="Q1391" s="269"/>
      <c r="R1391" s="269"/>
      <c r="S1391" s="282"/>
      <c r="T1391" s="269"/>
      <c r="U1391" s="269"/>
      <c r="V1391" s="269"/>
      <c r="W1391" s="269"/>
      <c r="X1391" s="31"/>
    </row>
    <row r="1392" spans="4:24" x14ac:dyDescent="0.25">
      <c r="D1392" s="31"/>
      <c r="E1392" s="31"/>
      <c r="F1392" s="31"/>
      <c r="G1392" s="31"/>
      <c r="H1392" s="31"/>
      <c r="I1392" s="31"/>
      <c r="J1392" s="31"/>
      <c r="K1392" s="31"/>
      <c r="L1392" s="269"/>
      <c r="M1392" s="269"/>
      <c r="N1392" s="269"/>
      <c r="O1392" s="282"/>
      <c r="P1392" s="269"/>
      <c r="Q1392" s="269"/>
      <c r="R1392" s="269"/>
      <c r="S1392" s="282"/>
      <c r="T1392" s="269"/>
      <c r="U1392" s="269"/>
      <c r="V1392" s="269"/>
      <c r="W1392" s="269"/>
      <c r="X1392" s="31"/>
    </row>
    <row r="1393" spans="4:24" x14ac:dyDescent="0.25">
      <c r="D1393" s="31"/>
      <c r="E1393" s="31"/>
      <c r="F1393" s="31"/>
      <c r="G1393" s="31"/>
      <c r="H1393" s="31"/>
      <c r="I1393" s="31"/>
      <c r="J1393" s="31"/>
      <c r="K1393" s="31"/>
      <c r="L1393" s="269"/>
      <c r="M1393" s="269"/>
      <c r="N1393" s="269"/>
      <c r="O1393" s="282"/>
      <c r="P1393" s="269"/>
      <c r="Q1393" s="269"/>
      <c r="R1393" s="269"/>
      <c r="S1393" s="282"/>
      <c r="T1393" s="269"/>
      <c r="U1393" s="269"/>
      <c r="V1393" s="269"/>
      <c r="W1393" s="269"/>
      <c r="X1393" s="31"/>
    </row>
    <row r="1394" spans="4:24" x14ac:dyDescent="0.25">
      <c r="D1394" s="31"/>
      <c r="E1394" s="31"/>
      <c r="F1394" s="31"/>
      <c r="G1394" s="31"/>
      <c r="H1394" s="31"/>
      <c r="I1394" s="31"/>
      <c r="J1394" s="31"/>
      <c r="K1394" s="31"/>
      <c r="L1394" s="269"/>
      <c r="M1394" s="269"/>
      <c r="N1394" s="269"/>
      <c r="O1394" s="282"/>
      <c r="P1394" s="269"/>
      <c r="Q1394" s="269"/>
      <c r="R1394" s="269"/>
      <c r="S1394" s="282"/>
      <c r="T1394" s="269"/>
      <c r="U1394" s="269"/>
      <c r="V1394" s="269"/>
      <c r="W1394" s="269"/>
      <c r="X1394" s="31"/>
    </row>
    <row r="1395" spans="4:24" x14ac:dyDescent="0.25">
      <c r="D1395" s="31"/>
      <c r="E1395" s="31"/>
      <c r="F1395" s="31"/>
      <c r="G1395" s="31"/>
      <c r="H1395" s="31"/>
      <c r="I1395" s="31"/>
      <c r="J1395" s="31"/>
      <c r="K1395" s="31"/>
      <c r="L1395" s="269"/>
      <c r="M1395" s="269"/>
      <c r="N1395" s="269"/>
      <c r="O1395" s="282"/>
      <c r="P1395" s="269"/>
      <c r="Q1395" s="269"/>
      <c r="R1395" s="269"/>
      <c r="S1395" s="282"/>
      <c r="T1395" s="269"/>
      <c r="U1395" s="269"/>
      <c r="V1395" s="269"/>
      <c r="W1395" s="269"/>
      <c r="X1395" s="31"/>
    </row>
    <row r="1396" spans="4:24" x14ac:dyDescent="0.25">
      <c r="D1396" s="31"/>
      <c r="E1396" s="31"/>
      <c r="F1396" s="31"/>
      <c r="G1396" s="31"/>
      <c r="H1396" s="31"/>
      <c r="I1396" s="31"/>
      <c r="J1396" s="31"/>
      <c r="K1396" s="31"/>
      <c r="L1396" s="269"/>
      <c r="M1396" s="269"/>
      <c r="N1396" s="269"/>
      <c r="O1396" s="282"/>
      <c r="P1396" s="269"/>
      <c r="Q1396" s="269"/>
      <c r="R1396" s="269"/>
      <c r="S1396" s="282"/>
      <c r="T1396" s="269"/>
      <c r="U1396" s="269"/>
      <c r="V1396" s="269"/>
      <c r="W1396" s="269"/>
      <c r="X1396" s="31"/>
    </row>
    <row r="1397" spans="4:24" x14ac:dyDescent="0.25">
      <c r="D1397" s="31"/>
      <c r="E1397" s="31"/>
      <c r="F1397" s="31"/>
      <c r="G1397" s="31"/>
      <c r="H1397" s="31"/>
      <c r="I1397" s="31"/>
      <c r="J1397" s="31"/>
      <c r="K1397" s="31"/>
      <c r="L1397" s="269"/>
      <c r="M1397" s="269"/>
      <c r="N1397" s="269"/>
      <c r="O1397" s="282"/>
      <c r="P1397" s="269"/>
      <c r="Q1397" s="269"/>
      <c r="R1397" s="269"/>
      <c r="S1397" s="282"/>
      <c r="T1397" s="269"/>
      <c r="U1397" s="269"/>
      <c r="V1397" s="269"/>
      <c r="W1397" s="269"/>
      <c r="X1397" s="31"/>
    </row>
    <row r="1398" spans="4:24" x14ac:dyDescent="0.25">
      <c r="D1398" s="31"/>
      <c r="E1398" s="31"/>
      <c r="F1398" s="31"/>
      <c r="G1398" s="31"/>
      <c r="H1398" s="31"/>
      <c r="I1398" s="31"/>
      <c r="J1398" s="31"/>
      <c r="K1398" s="31"/>
      <c r="L1398" s="269"/>
      <c r="M1398" s="269"/>
      <c r="N1398" s="269"/>
      <c r="O1398" s="282"/>
      <c r="P1398" s="269"/>
      <c r="Q1398" s="269"/>
      <c r="R1398" s="269"/>
      <c r="S1398" s="282"/>
      <c r="T1398" s="269"/>
      <c r="U1398" s="269"/>
      <c r="V1398" s="269"/>
      <c r="W1398" s="269"/>
      <c r="X1398" s="31"/>
    </row>
    <row r="1399" spans="4:24" x14ac:dyDescent="0.25">
      <c r="D1399" s="31"/>
      <c r="E1399" s="31"/>
      <c r="F1399" s="31"/>
      <c r="G1399" s="31"/>
      <c r="H1399" s="31"/>
      <c r="I1399" s="31"/>
      <c r="J1399" s="31"/>
      <c r="K1399" s="31"/>
      <c r="L1399" s="269"/>
      <c r="M1399" s="269"/>
      <c r="N1399" s="269"/>
      <c r="O1399" s="282"/>
      <c r="P1399" s="269"/>
      <c r="Q1399" s="269"/>
      <c r="R1399" s="269"/>
      <c r="S1399" s="282"/>
      <c r="T1399" s="269"/>
      <c r="U1399" s="269"/>
      <c r="V1399" s="269"/>
      <c r="W1399" s="269"/>
      <c r="X1399" s="31"/>
    </row>
    <row r="1400" spans="4:24" x14ac:dyDescent="0.25">
      <c r="D1400" s="31"/>
      <c r="E1400" s="31"/>
      <c r="F1400" s="31"/>
      <c r="G1400" s="31"/>
      <c r="H1400" s="31"/>
      <c r="I1400" s="31"/>
      <c r="J1400" s="31"/>
      <c r="K1400" s="31"/>
      <c r="L1400" s="269"/>
      <c r="M1400" s="269"/>
      <c r="N1400" s="269"/>
      <c r="O1400" s="282"/>
      <c r="P1400" s="269"/>
      <c r="Q1400" s="269"/>
      <c r="R1400" s="269"/>
      <c r="S1400" s="282"/>
      <c r="T1400" s="269"/>
      <c r="U1400" s="269"/>
      <c r="V1400" s="269"/>
      <c r="W1400" s="269"/>
      <c r="X1400" s="31"/>
    </row>
    <row r="1401" spans="4:24" x14ac:dyDescent="0.25">
      <c r="D1401" s="31"/>
      <c r="E1401" s="31"/>
      <c r="F1401" s="31"/>
      <c r="G1401" s="31"/>
      <c r="H1401" s="31"/>
      <c r="I1401" s="31"/>
      <c r="J1401" s="31"/>
      <c r="K1401" s="31"/>
      <c r="L1401" s="269"/>
      <c r="M1401" s="269"/>
      <c r="N1401" s="269"/>
      <c r="O1401" s="282"/>
      <c r="P1401" s="269"/>
      <c r="Q1401" s="269"/>
      <c r="R1401" s="269"/>
      <c r="S1401" s="282"/>
      <c r="T1401" s="269"/>
      <c r="U1401" s="269"/>
      <c r="V1401" s="269"/>
      <c r="W1401" s="269"/>
      <c r="X1401" s="31"/>
    </row>
    <row r="1402" spans="4:24" x14ac:dyDescent="0.25">
      <c r="D1402" s="31"/>
      <c r="E1402" s="31"/>
      <c r="F1402" s="31"/>
      <c r="G1402" s="31"/>
      <c r="H1402" s="31"/>
      <c r="I1402" s="31"/>
      <c r="J1402" s="31"/>
      <c r="K1402" s="31"/>
      <c r="L1402" s="269"/>
      <c r="M1402" s="269"/>
      <c r="N1402" s="269"/>
      <c r="O1402" s="282"/>
      <c r="P1402" s="269"/>
      <c r="Q1402" s="269"/>
      <c r="R1402" s="269"/>
      <c r="S1402" s="282"/>
      <c r="T1402" s="269"/>
      <c r="U1402" s="269"/>
      <c r="V1402" s="269"/>
      <c r="W1402" s="269"/>
      <c r="X1402" s="31"/>
    </row>
    <row r="1403" spans="4:24" x14ac:dyDescent="0.25">
      <c r="D1403" s="31"/>
      <c r="E1403" s="31"/>
      <c r="F1403" s="31"/>
      <c r="G1403" s="31"/>
      <c r="H1403" s="31"/>
      <c r="I1403" s="31"/>
      <c r="J1403" s="31"/>
      <c r="K1403" s="31"/>
      <c r="L1403" s="269"/>
      <c r="M1403" s="269"/>
      <c r="N1403" s="269"/>
      <c r="O1403" s="282"/>
      <c r="P1403" s="269"/>
      <c r="Q1403" s="269"/>
      <c r="R1403" s="269"/>
      <c r="S1403" s="282"/>
      <c r="T1403" s="269"/>
      <c r="U1403" s="269"/>
      <c r="V1403" s="269"/>
      <c r="W1403" s="269"/>
      <c r="X1403" s="31"/>
    </row>
    <row r="1404" spans="4:24" x14ac:dyDescent="0.25">
      <c r="D1404" s="31"/>
      <c r="E1404" s="31"/>
      <c r="F1404" s="31"/>
      <c r="G1404" s="31"/>
      <c r="H1404" s="31"/>
      <c r="I1404" s="31"/>
      <c r="J1404" s="31"/>
      <c r="K1404" s="31"/>
      <c r="L1404" s="269"/>
      <c r="M1404" s="269"/>
      <c r="N1404" s="269"/>
      <c r="O1404" s="282"/>
      <c r="P1404" s="269"/>
      <c r="Q1404" s="269"/>
      <c r="R1404" s="269"/>
      <c r="S1404" s="282"/>
      <c r="T1404" s="269"/>
      <c r="U1404" s="269"/>
      <c r="V1404" s="269"/>
      <c r="W1404" s="269"/>
      <c r="X1404" s="31"/>
    </row>
    <row r="1405" spans="4:24" x14ac:dyDescent="0.25">
      <c r="D1405" s="31"/>
      <c r="E1405" s="31"/>
      <c r="F1405" s="31"/>
      <c r="G1405" s="31"/>
      <c r="H1405" s="31"/>
      <c r="I1405" s="31"/>
      <c r="J1405" s="31"/>
      <c r="K1405" s="31"/>
      <c r="L1405" s="269"/>
      <c r="M1405" s="269"/>
      <c r="N1405" s="269"/>
      <c r="O1405" s="282"/>
      <c r="P1405" s="269"/>
      <c r="Q1405" s="269"/>
      <c r="R1405" s="269"/>
      <c r="S1405" s="282"/>
      <c r="T1405" s="269"/>
      <c r="U1405" s="269"/>
      <c r="V1405" s="269"/>
      <c r="W1405" s="269"/>
      <c r="X1405" s="31"/>
    </row>
    <row r="1406" spans="4:24" x14ac:dyDescent="0.25">
      <c r="D1406" s="31"/>
      <c r="E1406" s="31"/>
      <c r="F1406" s="31"/>
      <c r="G1406" s="31"/>
      <c r="H1406" s="31"/>
      <c r="I1406" s="31"/>
      <c r="J1406" s="31"/>
      <c r="K1406" s="31"/>
      <c r="L1406" s="269"/>
      <c r="M1406" s="269"/>
      <c r="N1406" s="269"/>
      <c r="O1406" s="282"/>
      <c r="P1406" s="269"/>
      <c r="Q1406" s="269"/>
      <c r="R1406" s="269"/>
      <c r="S1406" s="282"/>
      <c r="T1406" s="269"/>
      <c r="U1406" s="269"/>
      <c r="V1406" s="269"/>
      <c r="W1406" s="269"/>
      <c r="X1406" s="31"/>
    </row>
    <row r="1407" spans="4:24" x14ac:dyDescent="0.25">
      <c r="D1407" s="31"/>
      <c r="E1407" s="31"/>
      <c r="F1407" s="31"/>
      <c r="G1407" s="31"/>
      <c r="H1407" s="31"/>
      <c r="I1407" s="31"/>
      <c r="J1407" s="31"/>
      <c r="K1407" s="31"/>
      <c r="L1407" s="269"/>
      <c r="M1407" s="269"/>
      <c r="N1407" s="269"/>
      <c r="O1407" s="282"/>
      <c r="P1407" s="269"/>
      <c r="Q1407" s="269"/>
      <c r="R1407" s="269"/>
      <c r="S1407" s="282"/>
      <c r="T1407" s="269"/>
      <c r="U1407" s="269"/>
      <c r="V1407" s="269"/>
      <c r="W1407" s="269"/>
      <c r="X1407" s="31"/>
    </row>
    <row r="1408" spans="4:24" x14ac:dyDescent="0.25">
      <c r="D1408" s="31"/>
      <c r="E1408" s="31"/>
      <c r="F1408" s="31"/>
      <c r="G1408" s="31"/>
      <c r="H1408" s="31"/>
      <c r="I1408" s="31"/>
      <c r="J1408" s="31"/>
      <c r="K1408" s="31"/>
      <c r="L1408" s="269"/>
      <c r="M1408" s="269"/>
      <c r="N1408" s="269"/>
      <c r="O1408" s="282"/>
      <c r="P1408" s="269"/>
      <c r="Q1408" s="269"/>
      <c r="R1408" s="269"/>
      <c r="S1408" s="282"/>
      <c r="T1408" s="269"/>
      <c r="U1408" s="269"/>
      <c r="V1408" s="269"/>
      <c r="W1408" s="269"/>
      <c r="X1408" s="31"/>
    </row>
    <row r="1409" spans="4:24" x14ac:dyDescent="0.25">
      <c r="D1409" s="31"/>
      <c r="E1409" s="31"/>
      <c r="F1409" s="31"/>
      <c r="G1409" s="31"/>
      <c r="H1409" s="31"/>
      <c r="I1409" s="31"/>
      <c r="J1409" s="31"/>
      <c r="K1409" s="31"/>
      <c r="L1409" s="269"/>
      <c r="M1409" s="269"/>
      <c r="N1409" s="269"/>
      <c r="O1409" s="282"/>
      <c r="P1409" s="269"/>
      <c r="Q1409" s="269"/>
      <c r="R1409" s="269"/>
      <c r="S1409" s="282"/>
      <c r="T1409" s="269"/>
      <c r="U1409" s="269"/>
      <c r="V1409" s="269"/>
      <c r="W1409" s="269"/>
      <c r="X1409" s="31"/>
    </row>
    <row r="1410" spans="4:24" x14ac:dyDescent="0.25">
      <c r="D1410" s="31"/>
      <c r="E1410" s="31"/>
      <c r="F1410" s="31"/>
      <c r="G1410" s="31"/>
      <c r="H1410" s="31"/>
      <c r="I1410" s="31"/>
      <c r="J1410" s="31"/>
      <c r="K1410" s="31"/>
      <c r="L1410" s="269"/>
      <c r="M1410" s="269"/>
      <c r="N1410" s="269"/>
      <c r="O1410" s="282"/>
      <c r="P1410" s="269"/>
      <c r="Q1410" s="269"/>
      <c r="R1410" s="269"/>
      <c r="S1410" s="282"/>
      <c r="T1410" s="269"/>
      <c r="U1410" s="269"/>
      <c r="V1410" s="269"/>
      <c r="W1410" s="269"/>
      <c r="X1410" s="31"/>
    </row>
    <row r="1411" spans="4:24" x14ac:dyDescent="0.25">
      <c r="D1411" s="31"/>
      <c r="E1411" s="31"/>
      <c r="F1411" s="31"/>
      <c r="G1411" s="31"/>
      <c r="H1411" s="31"/>
      <c r="I1411" s="31"/>
      <c r="J1411" s="31"/>
      <c r="K1411" s="31"/>
      <c r="L1411" s="269"/>
      <c r="M1411" s="269"/>
      <c r="N1411" s="269"/>
      <c r="O1411" s="282"/>
      <c r="P1411" s="269"/>
      <c r="Q1411" s="269"/>
      <c r="R1411" s="269"/>
      <c r="S1411" s="282"/>
      <c r="T1411" s="269"/>
      <c r="U1411" s="269"/>
      <c r="V1411" s="269"/>
      <c r="W1411" s="269"/>
      <c r="X1411" s="31"/>
    </row>
    <row r="1412" spans="4:24" x14ac:dyDescent="0.25">
      <c r="D1412" s="31"/>
      <c r="E1412" s="31"/>
      <c r="F1412" s="31"/>
      <c r="G1412" s="31"/>
      <c r="H1412" s="31"/>
      <c r="I1412" s="31"/>
      <c r="J1412" s="31"/>
      <c r="K1412" s="31"/>
      <c r="L1412" s="269"/>
      <c r="M1412" s="269"/>
      <c r="N1412" s="269"/>
      <c r="O1412" s="282"/>
      <c r="P1412" s="269"/>
      <c r="Q1412" s="269"/>
      <c r="R1412" s="269"/>
      <c r="S1412" s="282"/>
      <c r="T1412" s="269"/>
      <c r="U1412" s="269"/>
      <c r="V1412" s="269"/>
      <c r="W1412" s="269"/>
      <c r="X1412" s="31"/>
    </row>
    <row r="1413" spans="4:24" x14ac:dyDescent="0.25">
      <c r="D1413" s="31"/>
      <c r="E1413" s="31"/>
      <c r="F1413" s="31"/>
      <c r="G1413" s="31"/>
      <c r="H1413" s="31"/>
      <c r="I1413" s="31"/>
      <c r="J1413" s="31"/>
      <c r="K1413" s="31"/>
      <c r="L1413" s="269"/>
      <c r="M1413" s="269"/>
      <c r="N1413" s="269"/>
      <c r="O1413" s="282"/>
      <c r="P1413" s="269"/>
      <c r="Q1413" s="269"/>
      <c r="R1413" s="269"/>
      <c r="S1413" s="282"/>
      <c r="T1413" s="269"/>
      <c r="U1413" s="269"/>
      <c r="V1413" s="269"/>
      <c r="W1413" s="269"/>
      <c r="X1413" s="31"/>
    </row>
    <row r="1414" spans="4:24" x14ac:dyDescent="0.25">
      <c r="D1414" s="31"/>
      <c r="E1414" s="31"/>
      <c r="F1414" s="31"/>
      <c r="G1414" s="31"/>
      <c r="H1414" s="31"/>
      <c r="I1414" s="31"/>
      <c r="J1414" s="31"/>
      <c r="K1414" s="31"/>
      <c r="L1414" s="269"/>
      <c r="M1414" s="269"/>
      <c r="N1414" s="269"/>
      <c r="O1414" s="282"/>
      <c r="P1414" s="269"/>
      <c r="Q1414" s="269"/>
      <c r="R1414" s="269"/>
      <c r="S1414" s="282"/>
      <c r="T1414" s="269"/>
      <c r="U1414" s="269"/>
      <c r="V1414" s="269"/>
      <c r="W1414" s="269"/>
      <c r="X1414" s="31"/>
    </row>
    <row r="1415" spans="4:24" x14ac:dyDescent="0.25">
      <c r="D1415" s="31"/>
      <c r="E1415" s="31"/>
      <c r="F1415" s="31"/>
      <c r="G1415" s="31"/>
      <c r="H1415" s="31"/>
      <c r="I1415" s="31"/>
      <c r="J1415" s="31"/>
      <c r="K1415" s="31"/>
      <c r="L1415" s="269"/>
      <c r="M1415" s="269"/>
      <c r="N1415" s="269"/>
      <c r="O1415" s="282"/>
      <c r="P1415" s="269"/>
      <c r="Q1415" s="269"/>
      <c r="R1415" s="269"/>
      <c r="S1415" s="282"/>
      <c r="T1415" s="269"/>
      <c r="U1415" s="269"/>
      <c r="V1415" s="269"/>
      <c r="W1415" s="269"/>
      <c r="X1415" s="31"/>
    </row>
    <row r="1416" spans="4:24" x14ac:dyDescent="0.25">
      <c r="D1416" s="31"/>
      <c r="E1416" s="31"/>
      <c r="F1416" s="31"/>
      <c r="G1416" s="31"/>
      <c r="H1416" s="31"/>
      <c r="I1416" s="31"/>
      <c r="J1416" s="31"/>
      <c r="K1416" s="31"/>
      <c r="L1416" s="269"/>
      <c r="M1416" s="269"/>
      <c r="N1416" s="269"/>
      <c r="O1416" s="282"/>
      <c r="P1416" s="269"/>
      <c r="Q1416" s="269"/>
      <c r="R1416" s="269"/>
      <c r="S1416" s="282"/>
      <c r="T1416" s="269"/>
      <c r="U1416" s="269"/>
      <c r="V1416" s="269"/>
      <c r="W1416" s="269"/>
      <c r="X1416" s="31"/>
    </row>
    <row r="1417" spans="4:24" x14ac:dyDescent="0.25">
      <c r="D1417" s="31"/>
      <c r="E1417" s="31"/>
      <c r="F1417" s="31"/>
      <c r="G1417" s="31"/>
      <c r="H1417" s="31"/>
      <c r="I1417" s="31"/>
      <c r="J1417" s="31"/>
      <c r="K1417" s="31"/>
      <c r="L1417" s="269"/>
      <c r="M1417" s="269"/>
      <c r="N1417" s="269"/>
      <c r="O1417" s="282"/>
      <c r="P1417" s="269"/>
      <c r="Q1417" s="269"/>
      <c r="R1417" s="269"/>
      <c r="S1417" s="282"/>
      <c r="T1417" s="269"/>
      <c r="U1417" s="269"/>
      <c r="V1417" s="269"/>
      <c r="W1417" s="269"/>
      <c r="X1417" s="31"/>
    </row>
    <row r="1418" spans="4:24" x14ac:dyDescent="0.25">
      <c r="D1418" s="31"/>
      <c r="E1418" s="31"/>
      <c r="F1418" s="31"/>
      <c r="G1418" s="31"/>
      <c r="H1418" s="31"/>
      <c r="I1418" s="31"/>
      <c r="J1418" s="31"/>
      <c r="K1418" s="31"/>
      <c r="L1418" s="269"/>
      <c r="M1418" s="269"/>
      <c r="N1418" s="269"/>
      <c r="O1418" s="282"/>
      <c r="P1418" s="269"/>
      <c r="Q1418" s="269"/>
      <c r="R1418" s="269"/>
      <c r="S1418" s="282"/>
      <c r="T1418" s="269"/>
      <c r="U1418" s="269"/>
      <c r="V1418" s="269"/>
      <c r="W1418" s="269"/>
      <c r="X1418" s="31"/>
    </row>
    <row r="1419" spans="4:24" x14ac:dyDescent="0.25">
      <c r="D1419" s="31"/>
      <c r="E1419" s="31"/>
      <c r="F1419" s="31"/>
      <c r="G1419" s="31"/>
      <c r="H1419" s="31"/>
      <c r="I1419" s="31"/>
      <c r="J1419" s="31"/>
      <c r="K1419" s="31"/>
      <c r="L1419" s="269"/>
      <c r="M1419" s="269"/>
      <c r="N1419" s="269"/>
      <c r="O1419" s="282"/>
      <c r="P1419" s="269"/>
      <c r="Q1419" s="269"/>
      <c r="R1419" s="269"/>
      <c r="S1419" s="282"/>
      <c r="T1419" s="269"/>
      <c r="U1419" s="269"/>
      <c r="V1419" s="269"/>
      <c r="W1419" s="269"/>
      <c r="X1419" s="31"/>
    </row>
    <row r="1420" spans="4:24" x14ac:dyDescent="0.25">
      <c r="D1420" s="31"/>
      <c r="E1420" s="31"/>
      <c r="F1420" s="31"/>
      <c r="G1420" s="31"/>
      <c r="H1420" s="31"/>
      <c r="I1420" s="31"/>
      <c r="J1420" s="31"/>
      <c r="K1420" s="31"/>
      <c r="L1420" s="269"/>
      <c r="M1420" s="269"/>
      <c r="N1420" s="269"/>
      <c r="O1420" s="282"/>
      <c r="P1420" s="269"/>
      <c r="Q1420" s="269"/>
      <c r="R1420" s="269"/>
      <c r="S1420" s="282"/>
      <c r="T1420" s="269"/>
      <c r="U1420" s="269"/>
      <c r="V1420" s="269"/>
      <c r="W1420" s="269"/>
      <c r="X1420" s="31"/>
    </row>
    <row r="1421" spans="4:24" x14ac:dyDescent="0.25">
      <c r="D1421" s="31"/>
      <c r="E1421" s="31"/>
      <c r="F1421" s="31"/>
      <c r="G1421" s="31"/>
      <c r="H1421" s="31"/>
      <c r="I1421" s="31"/>
      <c r="J1421" s="31"/>
      <c r="K1421" s="31"/>
      <c r="L1421" s="269"/>
      <c r="M1421" s="269"/>
      <c r="N1421" s="269"/>
      <c r="O1421" s="282"/>
      <c r="P1421" s="269"/>
      <c r="Q1421" s="269"/>
      <c r="R1421" s="269"/>
      <c r="S1421" s="282"/>
      <c r="T1421" s="269"/>
      <c r="U1421" s="269"/>
      <c r="V1421" s="269"/>
      <c r="W1421" s="269"/>
      <c r="X1421" s="31"/>
    </row>
    <row r="1422" spans="4:24" x14ac:dyDescent="0.25">
      <c r="D1422" s="31"/>
      <c r="E1422" s="31"/>
      <c r="F1422" s="31"/>
      <c r="G1422" s="31"/>
      <c r="H1422" s="31"/>
      <c r="I1422" s="31"/>
      <c r="J1422" s="31"/>
      <c r="K1422" s="31"/>
      <c r="L1422" s="269"/>
      <c r="M1422" s="269"/>
      <c r="N1422" s="269"/>
      <c r="O1422" s="282"/>
      <c r="P1422" s="269"/>
      <c r="Q1422" s="269"/>
      <c r="R1422" s="269"/>
      <c r="S1422" s="282"/>
      <c r="T1422" s="269"/>
      <c r="U1422" s="269"/>
      <c r="V1422" s="269"/>
      <c r="W1422" s="269"/>
      <c r="X1422" s="31"/>
    </row>
    <row r="1423" spans="4:24" x14ac:dyDescent="0.25">
      <c r="D1423" s="31"/>
      <c r="E1423" s="31"/>
      <c r="F1423" s="31"/>
      <c r="G1423" s="31"/>
      <c r="H1423" s="31"/>
      <c r="I1423" s="31"/>
      <c r="J1423" s="31"/>
      <c r="K1423" s="31"/>
      <c r="L1423" s="269"/>
      <c r="M1423" s="269"/>
      <c r="N1423" s="269"/>
      <c r="O1423" s="282"/>
      <c r="P1423" s="269"/>
      <c r="Q1423" s="269"/>
      <c r="R1423" s="269"/>
      <c r="S1423" s="282"/>
      <c r="T1423" s="269"/>
      <c r="U1423" s="269"/>
      <c r="V1423" s="269"/>
      <c r="W1423" s="269"/>
      <c r="X1423" s="31"/>
    </row>
    <row r="1424" spans="4:24" x14ac:dyDescent="0.25">
      <c r="D1424" s="31"/>
      <c r="E1424" s="31"/>
      <c r="F1424" s="31"/>
      <c r="G1424" s="31"/>
      <c r="H1424" s="31"/>
      <c r="I1424" s="31"/>
      <c r="J1424" s="31"/>
      <c r="K1424" s="31"/>
      <c r="L1424" s="269"/>
      <c r="M1424" s="269"/>
      <c r="N1424" s="269"/>
      <c r="O1424" s="282"/>
      <c r="P1424" s="269"/>
      <c r="Q1424" s="269"/>
      <c r="R1424" s="269"/>
      <c r="S1424" s="282"/>
      <c r="T1424" s="269"/>
      <c r="U1424" s="269"/>
      <c r="V1424" s="269"/>
      <c r="W1424" s="269"/>
      <c r="X1424" s="31"/>
    </row>
    <row r="1425" spans="4:24" x14ac:dyDescent="0.25">
      <c r="D1425" s="31"/>
      <c r="E1425" s="31"/>
      <c r="F1425" s="31"/>
      <c r="G1425" s="31"/>
      <c r="H1425" s="31"/>
      <c r="I1425" s="31"/>
      <c r="J1425" s="31"/>
      <c r="K1425" s="31"/>
      <c r="L1425" s="269"/>
      <c r="M1425" s="269"/>
      <c r="N1425" s="269"/>
      <c r="O1425" s="282"/>
      <c r="P1425" s="269"/>
      <c r="Q1425" s="269"/>
      <c r="R1425" s="269"/>
      <c r="S1425" s="282"/>
      <c r="T1425" s="269"/>
      <c r="U1425" s="269"/>
      <c r="V1425" s="269"/>
      <c r="W1425" s="269"/>
      <c r="X1425" s="31"/>
    </row>
    <row r="1426" spans="4:24" x14ac:dyDescent="0.25">
      <c r="D1426" s="31"/>
      <c r="E1426" s="31"/>
      <c r="F1426" s="31"/>
      <c r="G1426" s="31"/>
      <c r="H1426" s="31"/>
      <c r="I1426" s="31"/>
      <c r="J1426" s="31"/>
      <c r="K1426" s="31"/>
      <c r="L1426" s="269"/>
      <c r="M1426" s="269"/>
      <c r="N1426" s="269"/>
      <c r="O1426" s="282"/>
      <c r="P1426" s="269"/>
      <c r="Q1426" s="269"/>
      <c r="R1426" s="269"/>
      <c r="S1426" s="282"/>
      <c r="T1426" s="269"/>
      <c r="U1426" s="269"/>
      <c r="V1426" s="269"/>
      <c r="W1426" s="269"/>
      <c r="X1426" s="31"/>
    </row>
    <row r="1427" spans="4:24" x14ac:dyDescent="0.25">
      <c r="D1427" s="31"/>
      <c r="E1427" s="31"/>
      <c r="F1427" s="31"/>
      <c r="G1427" s="31"/>
      <c r="H1427" s="31"/>
      <c r="I1427" s="31"/>
      <c r="J1427" s="31"/>
      <c r="K1427" s="31"/>
      <c r="L1427" s="269"/>
      <c r="M1427" s="269"/>
      <c r="N1427" s="269"/>
      <c r="O1427" s="282"/>
      <c r="P1427" s="269"/>
      <c r="Q1427" s="269"/>
      <c r="R1427" s="269"/>
      <c r="S1427" s="282"/>
      <c r="T1427" s="269"/>
      <c r="U1427" s="269"/>
      <c r="V1427" s="269"/>
      <c r="W1427" s="269"/>
      <c r="X1427" s="31"/>
    </row>
    <row r="1428" spans="4:24" x14ac:dyDescent="0.25">
      <c r="D1428" s="31"/>
      <c r="E1428" s="31"/>
      <c r="F1428" s="31"/>
      <c r="G1428" s="31"/>
      <c r="H1428" s="31"/>
      <c r="I1428" s="31"/>
      <c r="J1428" s="31"/>
      <c r="K1428" s="31"/>
      <c r="L1428" s="269"/>
      <c r="M1428" s="269"/>
      <c r="N1428" s="269"/>
      <c r="O1428" s="282"/>
      <c r="P1428" s="269"/>
      <c r="Q1428" s="269"/>
      <c r="R1428" s="269"/>
      <c r="S1428" s="282"/>
      <c r="T1428" s="269"/>
      <c r="U1428" s="269"/>
      <c r="V1428" s="269"/>
      <c r="W1428" s="269"/>
      <c r="X1428" s="31"/>
    </row>
    <row r="1429" spans="4:24" x14ac:dyDescent="0.25">
      <c r="D1429" s="31"/>
      <c r="E1429" s="31"/>
      <c r="F1429" s="31"/>
      <c r="G1429" s="31"/>
      <c r="H1429" s="31"/>
      <c r="I1429" s="31"/>
      <c r="J1429" s="31"/>
      <c r="K1429" s="31"/>
      <c r="L1429" s="269"/>
      <c r="M1429" s="269"/>
      <c r="N1429" s="269"/>
      <c r="O1429" s="282"/>
      <c r="P1429" s="269"/>
      <c r="Q1429" s="269"/>
      <c r="R1429" s="269"/>
      <c r="S1429" s="282"/>
      <c r="T1429" s="269"/>
      <c r="U1429" s="269"/>
      <c r="V1429" s="269"/>
      <c r="W1429" s="269"/>
      <c r="X1429" s="31"/>
    </row>
    <row r="1430" spans="4:24" x14ac:dyDescent="0.25">
      <c r="D1430" s="31"/>
      <c r="E1430" s="31"/>
      <c r="F1430" s="31"/>
      <c r="G1430" s="31"/>
      <c r="H1430" s="31"/>
      <c r="I1430" s="31"/>
      <c r="J1430" s="31"/>
      <c r="K1430" s="31"/>
      <c r="L1430" s="269"/>
      <c r="M1430" s="269"/>
      <c r="N1430" s="269"/>
      <c r="O1430" s="282"/>
      <c r="P1430" s="269"/>
      <c r="Q1430" s="269"/>
      <c r="R1430" s="269"/>
      <c r="S1430" s="282"/>
      <c r="T1430" s="269"/>
      <c r="U1430" s="269"/>
      <c r="V1430" s="269"/>
      <c r="W1430" s="269"/>
      <c r="X1430" s="31"/>
    </row>
    <row r="1431" spans="4:24" x14ac:dyDescent="0.25">
      <c r="D1431" s="31"/>
      <c r="E1431" s="31"/>
      <c r="F1431" s="31"/>
      <c r="G1431" s="31"/>
      <c r="H1431" s="31"/>
      <c r="I1431" s="31"/>
      <c r="J1431" s="31"/>
      <c r="K1431" s="31"/>
      <c r="L1431" s="269"/>
      <c r="M1431" s="269"/>
      <c r="N1431" s="269"/>
      <c r="O1431" s="282"/>
      <c r="P1431" s="269"/>
      <c r="Q1431" s="269"/>
      <c r="R1431" s="269"/>
      <c r="S1431" s="282"/>
      <c r="T1431" s="269"/>
      <c r="U1431" s="269"/>
      <c r="V1431" s="269"/>
      <c r="W1431" s="269"/>
      <c r="X1431" s="31"/>
    </row>
    <row r="1432" spans="4:24" x14ac:dyDescent="0.25">
      <c r="D1432" s="31"/>
      <c r="E1432" s="31"/>
      <c r="F1432" s="31"/>
      <c r="G1432" s="31"/>
      <c r="H1432" s="31"/>
      <c r="I1432" s="31"/>
      <c r="J1432" s="31"/>
      <c r="K1432" s="31"/>
      <c r="L1432" s="269"/>
      <c r="M1432" s="269"/>
      <c r="N1432" s="269"/>
      <c r="O1432" s="282"/>
      <c r="P1432" s="269"/>
      <c r="Q1432" s="269"/>
      <c r="R1432" s="269"/>
      <c r="S1432" s="282"/>
      <c r="T1432" s="269"/>
      <c r="U1432" s="269"/>
      <c r="V1432" s="269"/>
      <c r="W1432" s="269"/>
      <c r="X1432" s="31"/>
    </row>
    <row r="1433" spans="4:24" x14ac:dyDescent="0.25">
      <c r="D1433" s="31"/>
      <c r="E1433" s="31"/>
      <c r="F1433" s="31"/>
      <c r="G1433" s="31"/>
      <c r="H1433" s="31"/>
      <c r="I1433" s="31"/>
      <c r="J1433" s="31"/>
      <c r="K1433" s="31"/>
      <c r="L1433" s="269"/>
      <c r="M1433" s="269"/>
      <c r="N1433" s="269"/>
      <c r="O1433" s="282"/>
      <c r="P1433" s="269"/>
      <c r="Q1433" s="269"/>
      <c r="R1433" s="269"/>
      <c r="S1433" s="282"/>
      <c r="T1433" s="269"/>
      <c r="U1433" s="269"/>
      <c r="V1433" s="269"/>
      <c r="W1433" s="269"/>
      <c r="X1433" s="31"/>
    </row>
    <row r="1434" spans="4:24" x14ac:dyDescent="0.25">
      <c r="D1434" s="31"/>
      <c r="E1434" s="31"/>
      <c r="F1434" s="31"/>
      <c r="G1434" s="31"/>
      <c r="H1434" s="31"/>
      <c r="I1434" s="31"/>
      <c r="J1434" s="31"/>
      <c r="K1434" s="31"/>
      <c r="L1434" s="269"/>
      <c r="M1434" s="269"/>
      <c r="N1434" s="269"/>
      <c r="O1434" s="282"/>
      <c r="P1434" s="269"/>
      <c r="Q1434" s="269"/>
      <c r="R1434" s="269"/>
      <c r="S1434" s="282"/>
      <c r="T1434" s="269"/>
      <c r="U1434" s="269"/>
      <c r="V1434" s="269"/>
      <c r="W1434" s="269"/>
      <c r="X1434" s="31"/>
    </row>
    <row r="1435" spans="4:24" x14ac:dyDescent="0.25">
      <c r="D1435" s="31"/>
      <c r="E1435" s="31"/>
      <c r="F1435" s="31"/>
      <c r="G1435" s="31"/>
      <c r="H1435" s="31"/>
      <c r="I1435" s="31"/>
      <c r="J1435" s="31"/>
      <c r="K1435" s="31"/>
      <c r="L1435" s="269"/>
      <c r="M1435" s="269"/>
      <c r="N1435" s="269"/>
      <c r="O1435" s="282"/>
      <c r="P1435" s="269"/>
      <c r="Q1435" s="269"/>
      <c r="R1435" s="269"/>
      <c r="S1435" s="282"/>
      <c r="T1435" s="269"/>
      <c r="U1435" s="269"/>
      <c r="V1435" s="269"/>
      <c r="W1435" s="269"/>
      <c r="X1435" s="31"/>
    </row>
    <row r="1436" spans="4:24" x14ac:dyDescent="0.25">
      <c r="D1436" s="31"/>
      <c r="E1436" s="31"/>
      <c r="F1436" s="31"/>
      <c r="G1436" s="31"/>
      <c r="H1436" s="31"/>
      <c r="I1436" s="31"/>
      <c r="J1436" s="31"/>
      <c r="K1436" s="31"/>
      <c r="L1436" s="269"/>
      <c r="M1436" s="269"/>
      <c r="N1436" s="269"/>
      <c r="O1436" s="282"/>
      <c r="P1436" s="269"/>
      <c r="Q1436" s="269"/>
      <c r="R1436" s="269"/>
      <c r="S1436" s="282"/>
      <c r="T1436" s="269"/>
      <c r="U1436" s="269"/>
      <c r="V1436" s="269"/>
      <c r="W1436" s="269"/>
      <c r="X1436" s="31"/>
    </row>
    <row r="1437" spans="4:24" x14ac:dyDescent="0.25">
      <c r="D1437" s="31"/>
      <c r="E1437" s="31"/>
      <c r="F1437" s="31"/>
      <c r="G1437" s="31"/>
      <c r="H1437" s="31"/>
      <c r="I1437" s="31"/>
      <c r="J1437" s="31"/>
      <c r="K1437" s="31"/>
      <c r="L1437" s="269"/>
      <c r="M1437" s="269"/>
      <c r="N1437" s="269"/>
      <c r="O1437" s="282"/>
      <c r="P1437" s="269"/>
      <c r="Q1437" s="269"/>
      <c r="R1437" s="269"/>
      <c r="S1437" s="282"/>
      <c r="T1437" s="269"/>
      <c r="U1437" s="269"/>
      <c r="V1437" s="269"/>
      <c r="W1437" s="269"/>
      <c r="X1437" s="31"/>
    </row>
    <row r="1438" spans="4:24" x14ac:dyDescent="0.25">
      <c r="D1438" s="31"/>
      <c r="E1438" s="31"/>
      <c r="F1438" s="31"/>
      <c r="G1438" s="31"/>
      <c r="H1438" s="31"/>
      <c r="I1438" s="31"/>
      <c r="J1438" s="31"/>
      <c r="K1438" s="31"/>
      <c r="L1438" s="269"/>
      <c r="M1438" s="269"/>
      <c r="N1438" s="269"/>
      <c r="O1438" s="282"/>
      <c r="P1438" s="269"/>
      <c r="Q1438" s="269"/>
      <c r="R1438" s="269"/>
      <c r="S1438" s="282"/>
      <c r="T1438" s="269"/>
      <c r="U1438" s="269"/>
      <c r="V1438" s="269"/>
      <c r="W1438" s="269"/>
      <c r="X1438" s="31"/>
    </row>
    <row r="1439" spans="4:24" x14ac:dyDescent="0.25">
      <c r="D1439" s="31"/>
      <c r="E1439" s="31"/>
      <c r="F1439" s="31"/>
      <c r="G1439" s="31"/>
      <c r="H1439" s="31"/>
      <c r="I1439" s="31"/>
      <c r="J1439" s="31"/>
      <c r="K1439" s="31"/>
      <c r="L1439" s="269"/>
      <c r="M1439" s="269"/>
      <c r="N1439" s="269"/>
      <c r="O1439" s="282"/>
      <c r="P1439" s="269"/>
      <c r="Q1439" s="269"/>
      <c r="R1439" s="269"/>
      <c r="S1439" s="282"/>
      <c r="T1439" s="269"/>
      <c r="U1439" s="269"/>
      <c r="V1439" s="269"/>
      <c r="W1439" s="269"/>
      <c r="X1439" s="31"/>
    </row>
    <row r="1440" spans="4:24" x14ac:dyDescent="0.25">
      <c r="D1440" s="31"/>
      <c r="E1440" s="31"/>
      <c r="F1440" s="31"/>
      <c r="G1440" s="31"/>
      <c r="H1440" s="31"/>
      <c r="I1440" s="31"/>
      <c r="J1440" s="31"/>
      <c r="K1440" s="31"/>
      <c r="L1440" s="269"/>
      <c r="M1440" s="269"/>
      <c r="N1440" s="269"/>
      <c r="O1440" s="282"/>
      <c r="P1440" s="269"/>
      <c r="Q1440" s="269"/>
      <c r="R1440" s="269"/>
      <c r="S1440" s="282"/>
      <c r="T1440" s="269"/>
      <c r="U1440" s="269"/>
      <c r="V1440" s="269"/>
      <c r="W1440" s="269"/>
      <c r="X1440" s="31"/>
    </row>
    <row r="1441" spans="4:24" x14ac:dyDescent="0.25">
      <c r="D1441" s="31"/>
      <c r="E1441" s="31"/>
      <c r="F1441" s="31"/>
      <c r="G1441" s="31"/>
      <c r="H1441" s="31"/>
      <c r="I1441" s="31"/>
      <c r="J1441" s="31"/>
      <c r="K1441" s="31"/>
      <c r="L1441" s="269"/>
      <c r="M1441" s="269"/>
      <c r="N1441" s="269"/>
      <c r="O1441" s="282"/>
      <c r="P1441" s="269"/>
      <c r="Q1441" s="269"/>
      <c r="R1441" s="269"/>
      <c r="S1441" s="282"/>
      <c r="T1441" s="269"/>
      <c r="U1441" s="269"/>
      <c r="V1441" s="269"/>
      <c r="W1441" s="269"/>
      <c r="X1441" s="31"/>
    </row>
    <row r="1442" spans="4:24" x14ac:dyDescent="0.25">
      <c r="D1442" s="31"/>
      <c r="E1442" s="31"/>
      <c r="F1442" s="31"/>
      <c r="G1442" s="31"/>
      <c r="H1442" s="31"/>
      <c r="I1442" s="31"/>
      <c r="J1442" s="31"/>
      <c r="K1442" s="31"/>
      <c r="L1442" s="269"/>
      <c r="M1442" s="269"/>
      <c r="N1442" s="269"/>
      <c r="O1442" s="282"/>
      <c r="P1442" s="269"/>
      <c r="Q1442" s="269"/>
      <c r="R1442" s="269"/>
      <c r="S1442" s="282"/>
      <c r="T1442" s="269"/>
      <c r="U1442" s="269"/>
      <c r="V1442" s="269"/>
      <c r="W1442" s="269"/>
      <c r="X1442" s="31"/>
    </row>
    <row r="1443" spans="4:24" x14ac:dyDescent="0.25">
      <c r="D1443" s="31"/>
      <c r="E1443" s="31"/>
      <c r="F1443" s="31"/>
      <c r="G1443" s="31"/>
      <c r="H1443" s="31"/>
      <c r="I1443" s="31"/>
      <c r="J1443" s="31"/>
      <c r="K1443" s="31"/>
      <c r="L1443" s="269"/>
      <c r="M1443" s="269"/>
      <c r="N1443" s="269"/>
      <c r="O1443" s="282"/>
      <c r="P1443" s="269"/>
      <c r="Q1443" s="269"/>
      <c r="R1443" s="269"/>
      <c r="S1443" s="282"/>
      <c r="T1443" s="269"/>
      <c r="U1443" s="269"/>
      <c r="V1443" s="269"/>
      <c r="W1443" s="269"/>
      <c r="X1443" s="31"/>
    </row>
    <row r="1444" spans="4:24" x14ac:dyDescent="0.25">
      <c r="D1444" s="31"/>
      <c r="E1444" s="31"/>
      <c r="F1444" s="31"/>
      <c r="G1444" s="31"/>
      <c r="H1444" s="31"/>
      <c r="I1444" s="31"/>
      <c r="J1444" s="31"/>
      <c r="K1444" s="31"/>
      <c r="L1444" s="269"/>
      <c r="M1444" s="269"/>
      <c r="N1444" s="269"/>
      <c r="O1444" s="282"/>
      <c r="P1444" s="269"/>
      <c r="Q1444" s="269"/>
      <c r="R1444" s="269"/>
      <c r="S1444" s="282"/>
      <c r="T1444" s="269"/>
      <c r="U1444" s="269"/>
      <c r="V1444" s="269"/>
      <c r="W1444" s="269"/>
      <c r="X1444" s="31"/>
    </row>
    <row r="1445" spans="4:24" x14ac:dyDescent="0.25">
      <c r="D1445" s="31"/>
      <c r="E1445" s="31"/>
      <c r="F1445" s="31"/>
      <c r="G1445" s="31"/>
      <c r="H1445" s="31"/>
      <c r="I1445" s="31"/>
      <c r="J1445" s="31"/>
      <c r="K1445" s="31"/>
      <c r="L1445" s="269"/>
      <c r="M1445" s="269"/>
      <c r="N1445" s="269"/>
      <c r="O1445" s="282"/>
      <c r="P1445" s="269"/>
      <c r="Q1445" s="269"/>
      <c r="R1445" s="269"/>
      <c r="S1445" s="282"/>
      <c r="T1445" s="269"/>
      <c r="U1445" s="269"/>
      <c r="V1445" s="269"/>
      <c r="W1445" s="269"/>
      <c r="X1445" s="31"/>
    </row>
    <row r="1446" spans="4:24" x14ac:dyDescent="0.25">
      <c r="D1446" s="31"/>
      <c r="E1446" s="31"/>
      <c r="F1446" s="31"/>
      <c r="G1446" s="31"/>
      <c r="H1446" s="31"/>
      <c r="I1446" s="31"/>
      <c r="J1446" s="31"/>
      <c r="K1446" s="31"/>
      <c r="L1446" s="269"/>
      <c r="M1446" s="269"/>
      <c r="N1446" s="269"/>
      <c r="O1446" s="282"/>
      <c r="P1446" s="269"/>
      <c r="Q1446" s="269"/>
      <c r="R1446" s="269"/>
      <c r="S1446" s="282"/>
      <c r="T1446" s="269"/>
      <c r="U1446" s="269"/>
      <c r="V1446" s="269"/>
      <c r="W1446" s="269"/>
      <c r="X1446" s="31"/>
    </row>
    <row r="1447" spans="4:24" x14ac:dyDescent="0.25">
      <c r="D1447" s="31"/>
      <c r="E1447" s="31"/>
      <c r="F1447" s="31"/>
      <c r="G1447" s="31"/>
      <c r="H1447" s="31"/>
      <c r="I1447" s="31"/>
      <c r="J1447" s="31"/>
      <c r="K1447" s="31"/>
      <c r="L1447" s="269"/>
      <c r="M1447" s="269"/>
      <c r="N1447" s="269"/>
      <c r="O1447" s="282"/>
      <c r="P1447" s="269"/>
      <c r="Q1447" s="269"/>
      <c r="R1447" s="269"/>
      <c r="S1447" s="282"/>
      <c r="T1447" s="269"/>
      <c r="U1447" s="269"/>
      <c r="V1447" s="269"/>
      <c r="W1447" s="269"/>
      <c r="X1447" s="31"/>
    </row>
    <row r="1448" spans="4:24" x14ac:dyDescent="0.25">
      <c r="D1448" s="31"/>
      <c r="E1448" s="31"/>
      <c r="F1448" s="31"/>
      <c r="G1448" s="31"/>
      <c r="H1448" s="31"/>
      <c r="I1448" s="31"/>
      <c r="J1448" s="31"/>
      <c r="K1448" s="31"/>
      <c r="L1448" s="269"/>
      <c r="M1448" s="269"/>
      <c r="N1448" s="269"/>
      <c r="O1448" s="282"/>
      <c r="P1448" s="269"/>
      <c r="Q1448" s="269"/>
      <c r="R1448" s="269"/>
      <c r="S1448" s="282"/>
      <c r="T1448" s="269"/>
      <c r="U1448" s="269"/>
      <c r="V1448" s="269"/>
      <c r="W1448" s="269"/>
      <c r="X1448" s="31"/>
    </row>
    <row r="1449" spans="4:24" x14ac:dyDescent="0.25">
      <c r="D1449" s="31"/>
      <c r="E1449" s="31"/>
      <c r="F1449" s="31"/>
      <c r="G1449" s="31"/>
      <c r="H1449" s="31"/>
      <c r="I1449" s="31"/>
      <c r="J1449" s="31"/>
      <c r="K1449" s="31"/>
      <c r="L1449" s="269"/>
      <c r="M1449" s="269"/>
      <c r="N1449" s="269"/>
      <c r="O1449" s="282"/>
      <c r="P1449" s="269"/>
      <c r="Q1449" s="269"/>
      <c r="R1449" s="269"/>
      <c r="S1449" s="282"/>
      <c r="T1449" s="269"/>
      <c r="U1449" s="269"/>
      <c r="V1449" s="269"/>
      <c r="W1449" s="269"/>
      <c r="X1449" s="31"/>
    </row>
    <row r="1450" spans="4:24" x14ac:dyDescent="0.25">
      <c r="D1450" s="31"/>
      <c r="E1450" s="31"/>
      <c r="F1450" s="31"/>
      <c r="G1450" s="31"/>
      <c r="H1450" s="31"/>
      <c r="I1450" s="31"/>
      <c r="J1450" s="31"/>
      <c r="K1450" s="31"/>
      <c r="L1450" s="269"/>
      <c r="M1450" s="269"/>
      <c r="N1450" s="269"/>
      <c r="O1450" s="282"/>
      <c r="P1450" s="269"/>
      <c r="Q1450" s="269"/>
      <c r="R1450" s="269"/>
      <c r="S1450" s="282"/>
      <c r="T1450" s="269"/>
      <c r="U1450" s="269"/>
      <c r="V1450" s="269"/>
      <c r="W1450" s="269"/>
      <c r="X1450" s="31"/>
    </row>
    <row r="1451" spans="4:24" x14ac:dyDescent="0.25">
      <c r="D1451" s="31"/>
      <c r="E1451" s="31"/>
      <c r="F1451" s="31"/>
      <c r="G1451" s="31"/>
      <c r="H1451" s="31"/>
      <c r="I1451" s="31"/>
      <c r="J1451" s="31"/>
      <c r="K1451" s="31"/>
      <c r="L1451" s="269"/>
      <c r="M1451" s="269"/>
      <c r="N1451" s="269"/>
      <c r="O1451" s="282"/>
      <c r="P1451" s="269"/>
      <c r="Q1451" s="269"/>
      <c r="R1451" s="269"/>
      <c r="S1451" s="282"/>
      <c r="T1451" s="269"/>
      <c r="U1451" s="269"/>
      <c r="V1451" s="269"/>
      <c r="W1451" s="269"/>
      <c r="X1451" s="31"/>
    </row>
    <row r="1452" spans="4:24" x14ac:dyDescent="0.25">
      <c r="D1452" s="31"/>
      <c r="E1452" s="31"/>
      <c r="F1452" s="31"/>
      <c r="G1452" s="31"/>
      <c r="H1452" s="31"/>
      <c r="I1452" s="31"/>
      <c r="J1452" s="31"/>
      <c r="K1452" s="31"/>
      <c r="L1452" s="269"/>
      <c r="M1452" s="269"/>
      <c r="N1452" s="269"/>
      <c r="O1452" s="282"/>
      <c r="P1452" s="269"/>
      <c r="Q1452" s="269"/>
      <c r="R1452" s="269"/>
      <c r="S1452" s="282"/>
      <c r="T1452" s="269"/>
      <c r="U1452" s="269"/>
      <c r="V1452" s="269"/>
      <c r="W1452" s="269"/>
      <c r="X1452" s="31"/>
    </row>
    <row r="1453" spans="4:24" x14ac:dyDescent="0.25">
      <c r="D1453" s="31"/>
      <c r="E1453" s="31"/>
      <c r="F1453" s="31"/>
      <c r="G1453" s="31"/>
      <c r="H1453" s="31"/>
      <c r="I1453" s="31"/>
      <c r="J1453" s="31"/>
      <c r="K1453" s="31"/>
      <c r="L1453" s="269"/>
      <c r="M1453" s="269"/>
      <c r="N1453" s="269"/>
      <c r="O1453" s="282"/>
      <c r="P1453" s="269"/>
      <c r="Q1453" s="269"/>
      <c r="R1453" s="269"/>
      <c r="S1453" s="282"/>
      <c r="T1453" s="269"/>
      <c r="U1453" s="269"/>
      <c r="V1453" s="269"/>
      <c r="W1453" s="269"/>
      <c r="X1453" s="31"/>
    </row>
    <row r="1454" spans="4:24" x14ac:dyDescent="0.25">
      <c r="D1454" s="31"/>
      <c r="E1454" s="31"/>
      <c r="F1454" s="31"/>
      <c r="G1454" s="31"/>
      <c r="H1454" s="31"/>
      <c r="I1454" s="31"/>
      <c r="J1454" s="31"/>
      <c r="K1454" s="31"/>
      <c r="L1454" s="269"/>
      <c r="M1454" s="269"/>
      <c r="N1454" s="269"/>
      <c r="O1454" s="282"/>
      <c r="P1454" s="269"/>
      <c r="Q1454" s="269"/>
      <c r="R1454" s="269"/>
      <c r="S1454" s="282"/>
      <c r="T1454" s="269"/>
      <c r="U1454" s="269"/>
      <c r="V1454" s="269"/>
      <c r="W1454" s="269"/>
      <c r="X1454" s="31"/>
    </row>
    <row r="1455" spans="4:24" x14ac:dyDescent="0.25">
      <c r="D1455" s="31"/>
      <c r="E1455" s="31"/>
      <c r="F1455" s="31"/>
      <c r="G1455" s="31"/>
      <c r="H1455" s="31"/>
      <c r="I1455" s="31"/>
      <c r="J1455" s="31"/>
      <c r="K1455" s="31"/>
      <c r="L1455" s="269"/>
      <c r="M1455" s="269"/>
      <c r="N1455" s="269"/>
      <c r="O1455" s="282"/>
      <c r="P1455" s="269"/>
      <c r="Q1455" s="269"/>
      <c r="R1455" s="269"/>
      <c r="S1455" s="282"/>
      <c r="T1455" s="269"/>
      <c r="U1455" s="269"/>
      <c r="V1455" s="269"/>
      <c r="W1455" s="269"/>
      <c r="X1455" s="31"/>
    </row>
    <row r="1456" spans="4:24" x14ac:dyDescent="0.25">
      <c r="D1456" s="31"/>
      <c r="E1456" s="31"/>
      <c r="F1456" s="31"/>
      <c r="G1456" s="31"/>
      <c r="H1456" s="31"/>
      <c r="I1456" s="31"/>
      <c r="J1456" s="31"/>
      <c r="K1456" s="31"/>
      <c r="L1456" s="269"/>
      <c r="M1456" s="269"/>
      <c r="N1456" s="269"/>
      <c r="O1456" s="282"/>
      <c r="P1456" s="269"/>
      <c r="Q1456" s="269"/>
      <c r="R1456" s="269"/>
      <c r="S1456" s="282"/>
      <c r="T1456" s="269"/>
      <c r="U1456" s="269"/>
      <c r="V1456" s="269"/>
      <c r="W1456" s="269"/>
      <c r="X1456" s="31"/>
    </row>
    <row r="1457" spans="4:24" x14ac:dyDescent="0.25">
      <c r="D1457" s="31"/>
      <c r="E1457" s="31"/>
      <c r="F1457" s="31"/>
      <c r="G1457" s="31"/>
      <c r="H1457" s="31"/>
      <c r="I1457" s="31"/>
      <c r="J1457" s="31"/>
      <c r="K1457" s="31"/>
      <c r="L1457" s="269"/>
      <c r="M1457" s="269"/>
      <c r="N1457" s="269"/>
      <c r="O1457" s="282"/>
      <c r="P1457" s="269"/>
      <c r="Q1457" s="269"/>
      <c r="R1457" s="269"/>
      <c r="S1457" s="282"/>
      <c r="T1457" s="269"/>
      <c r="U1457" s="269"/>
      <c r="V1457" s="269"/>
      <c r="W1457" s="269"/>
      <c r="X1457" s="31"/>
    </row>
    <row r="1458" spans="4:24" x14ac:dyDescent="0.25">
      <c r="D1458" s="31"/>
      <c r="E1458" s="31"/>
      <c r="F1458" s="31"/>
      <c r="G1458" s="31"/>
      <c r="H1458" s="31"/>
      <c r="I1458" s="31"/>
      <c r="J1458" s="31"/>
      <c r="K1458" s="31"/>
      <c r="L1458" s="269"/>
      <c r="M1458" s="269"/>
      <c r="N1458" s="269"/>
      <c r="O1458" s="282"/>
      <c r="P1458" s="269"/>
      <c r="Q1458" s="269"/>
      <c r="R1458" s="269"/>
      <c r="S1458" s="282"/>
      <c r="T1458" s="269"/>
      <c r="U1458" s="269"/>
      <c r="V1458" s="269"/>
      <c r="W1458" s="269"/>
      <c r="X1458" s="31"/>
    </row>
    <row r="1459" spans="4:24" x14ac:dyDescent="0.25">
      <c r="D1459" s="31"/>
      <c r="E1459" s="31"/>
      <c r="F1459" s="31"/>
      <c r="G1459" s="31"/>
      <c r="H1459" s="31"/>
      <c r="I1459" s="31"/>
      <c r="J1459" s="31"/>
      <c r="K1459" s="31"/>
      <c r="L1459" s="269"/>
      <c r="M1459" s="269"/>
      <c r="N1459" s="269"/>
      <c r="O1459" s="282"/>
      <c r="P1459" s="269"/>
      <c r="Q1459" s="269"/>
      <c r="R1459" s="269"/>
      <c r="S1459" s="282"/>
      <c r="T1459" s="269"/>
      <c r="U1459" s="269"/>
      <c r="V1459" s="269"/>
      <c r="W1459" s="269"/>
      <c r="X1459" s="31"/>
    </row>
    <row r="1460" spans="4:24" x14ac:dyDescent="0.25">
      <c r="D1460" s="31"/>
      <c r="E1460" s="31"/>
      <c r="F1460" s="31"/>
      <c r="G1460" s="31"/>
      <c r="H1460" s="31"/>
      <c r="I1460" s="31"/>
      <c r="J1460" s="31"/>
      <c r="K1460" s="31"/>
      <c r="L1460" s="269"/>
      <c r="M1460" s="269"/>
      <c r="N1460" s="269"/>
      <c r="O1460" s="282"/>
      <c r="P1460" s="269"/>
      <c r="Q1460" s="269"/>
      <c r="R1460" s="269"/>
      <c r="S1460" s="282"/>
      <c r="T1460" s="269"/>
      <c r="U1460" s="269"/>
      <c r="V1460" s="269"/>
      <c r="W1460" s="269"/>
      <c r="X1460" s="31"/>
    </row>
    <row r="1461" spans="4:24" x14ac:dyDescent="0.25">
      <c r="D1461" s="31"/>
      <c r="E1461" s="31"/>
      <c r="F1461" s="31"/>
      <c r="G1461" s="31"/>
      <c r="H1461" s="31"/>
      <c r="I1461" s="31"/>
      <c r="J1461" s="31"/>
      <c r="K1461" s="31"/>
      <c r="L1461" s="269"/>
      <c r="M1461" s="269"/>
      <c r="N1461" s="269"/>
      <c r="O1461" s="282"/>
      <c r="P1461" s="269"/>
      <c r="Q1461" s="269"/>
      <c r="R1461" s="269"/>
      <c r="S1461" s="282"/>
      <c r="T1461" s="269"/>
      <c r="U1461" s="269"/>
      <c r="V1461" s="269"/>
      <c r="W1461" s="269"/>
      <c r="X1461" s="31"/>
    </row>
    <row r="1462" spans="4:24" x14ac:dyDescent="0.25">
      <c r="D1462" s="31"/>
      <c r="E1462" s="31"/>
      <c r="F1462" s="31"/>
      <c r="G1462" s="31"/>
      <c r="H1462" s="31"/>
      <c r="I1462" s="31"/>
      <c r="J1462" s="31"/>
      <c r="K1462" s="31"/>
      <c r="L1462" s="269"/>
      <c r="M1462" s="269"/>
      <c r="N1462" s="269"/>
      <c r="O1462" s="282"/>
      <c r="P1462" s="269"/>
      <c r="Q1462" s="269"/>
      <c r="R1462" s="269"/>
      <c r="S1462" s="282"/>
      <c r="T1462" s="269"/>
      <c r="U1462" s="269"/>
      <c r="V1462" s="269"/>
      <c r="W1462" s="269"/>
      <c r="X1462" s="31"/>
    </row>
    <row r="1463" spans="4:24" x14ac:dyDescent="0.25">
      <c r="D1463" s="31"/>
      <c r="E1463" s="31"/>
      <c r="F1463" s="31"/>
      <c r="G1463" s="31"/>
      <c r="H1463" s="31"/>
      <c r="I1463" s="31"/>
      <c r="J1463" s="31"/>
      <c r="K1463" s="31"/>
      <c r="L1463" s="269"/>
      <c r="M1463" s="269"/>
      <c r="N1463" s="269"/>
      <c r="O1463" s="282"/>
      <c r="P1463" s="269"/>
      <c r="Q1463" s="269"/>
      <c r="R1463" s="269"/>
      <c r="S1463" s="282"/>
      <c r="T1463" s="269"/>
      <c r="U1463" s="269"/>
      <c r="V1463" s="269"/>
      <c r="W1463" s="269"/>
      <c r="X1463" s="31"/>
    </row>
    <row r="1464" spans="4:24" x14ac:dyDescent="0.25">
      <c r="D1464" s="31"/>
      <c r="E1464" s="31"/>
      <c r="F1464" s="31"/>
      <c r="G1464" s="31"/>
      <c r="H1464" s="31"/>
      <c r="I1464" s="31"/>
      <c r="J1464" s="31"/>
      <c r="K1464" s="31"/>
      <c r="L1464" s="269"/>
      <c r="M1464" s="269"/>
      <c r="N1464" s="269"/>
      <c r="O1464" s="282"/>
      <c r="P1464" s="269"/>
      <c r="Q1464" s="269"/>
      <c r="R1464" s="269"/>
      <c r="S1464" s="282"/>
      <c r="T1464" s="269"/>
      <c r="U1464" s="269"/>
      <c r="V1464" s="269"/>
      <c r="W1464" s="269"/>
      <c r="X1464" s="31"/>
    </row>
    <row r="1465" spans="4:24" x14ac:dyDescent="0.25">
      <c r="D1465" s="31"/>
      <c r="E1465" s="31"/>
      <c r="F1465" s="31"/>
      <c r="G1465" s="31"/>
      <c r="H1465" s="31"/>
      <c r="I1465" s="31"/>
      <c r="J1465" s="31"/>
      <c r="K1465" s="31"/>
      <c r="L1465" s="269"/>
      <c r="M1465" s="269"/>
      <c r="N1465" s="269"/>
      <c r="O1465" s="282"/>
      <c r="P1465" s="269"/>
      <c r="Q1465" s="269"/>
      <c r="R1465" s="269"/>
      <c r="S1465" s="282"/>
      <c r="T1465" s="269"/>
      <c r="U1465" s="269"/>
      <c r="V1465" s="269"/>
      <c r="W1465" s="269"/>
      <c r="X1465" s="31"/>
    </row>
    <row r="1466" spans="4:24" x14ac:dyDescent="0.25">
      <c r="D1466" s="31"/>
      <c r="E1466" s="31"/>
      <c r="F1466" s="31"/>
      <c r="G1466" s="31"/>
      <c r="H1466" s="31"/>
      <c r="I1466" s="31"/>
      <c r="J1466" s="31"/>
      <c r="K1466" s="31"/>
      <c r="L1466" s="269"/>
      <c r="M1466" s="269"/>
      <c r="N1466" s="269"/>
      <c r="O1466" s="282"/>
      <c r="P1466" s="269"/>
      <c r="Q1466" s="269"/>
      <c r="R1466" s="269"/>
      <c r="S1466" s="282"/>
      <c r="T1466" s="269"/>
      <c r="U1466" s="269"/>
      <c r="V1466" s="269"/>
      <c r="W1466" s="269"/>
      <c r="X1466" s="31"/>
    </row>
    <row r="1467" spans="4:24" x14ac:dyDescent="0.25">
      <c r="D1467" s="31"/>
      <c r="E1467" s="31"/>
      <c r="F1467" s="31"/>
      <c r="G1467" s="31"/>
      <c r="H1467" s="31"/>
      <c r="I1467" s="31"/>
      <c r="J1467" s="31"/>
      <c r="K1467" s="31"/>
      <c r="L1467" s="269"/>
      <c r="M1467" s="269"/>
      <c r="N1467" s="269"/>
      <c r="O1467" s="282"/>
      <c r="P1467" s="269"/>
      <c r="Q1467" s="269"/>
      <c r="R1467" s="269"/>
      <c r="S1467" s="282"/>
      <c r="T1467" s="269"/>
      <c r="U1467" s="269"/>
      <c r="V1467" s="269"/>
      <c r="W1467" s="269"/>
      <c r="X1467" s="31"/>
    </row>
    <row r="1468" spans="4:24" x14ac:dyDescent="0.25">
      <c r="D1468" s="31"/>
      <c r="E1468" s="31"/>
      <c r="F1468" s="31"/>
      <c r="G1468" s="31"/>
      <c r="H1468" s="31"/>
      <c r="I1468" s="31"/>
      <c r="J1468" s="31"/>
      <c r="K1468" s="31"/>
      <c r="L1468" s="269"/>
      <c r="M1468" s="269"/>
      <c r="N1468" s="269"/>
      <c r="O1468" s="282"/>
      <c r="P1468" s="269"/>
      <c r="Q1468" s="269"/>
      <c r="R1468" s="269"/>
      <c r="S1468" s="282"/>
      <c r="T1468" s="269"/>
      <c r="U1468" s="269"/>
      <c r="V1468" s="269"/>
      <c r="W1468" s="269"/>
      <c r="X1468" s="31"/>
    </row>
    <row r="1469" spans="4:24" x14ac:dyDescent="0.25">
      <c r="D1469" s="31"/>
      <c r="E1469" s="31"/>
      <c r="F1469" s="31"/>
      <c r="G1469" s="31"/>
      <c r="H1469" s="31"/>
      <c r="I1469" s="31"/>
      <c r="J1469" s="31"/>
      <c r="K1469" s="31"/>
      <c r="L1469" s="269"/>
      <c r="M1469" s="269"/>
      <c r="N1469" s="269"/>
      <c r="O1469" s="282"/>
      <c r="P1469" s="269"/>
      <c r="Q1469" s="269"/>
      <c r="R1469" s="269"/>
      <c r="S1469" s="282"/>
      <c r="T1469" s="269"/>
      <c r="U1469" s="269"/>
      <c r="V1469" s="269"/>
      <c r="W1469" s="269"/>
      <c r="X1469" s="31"/>
    </row>
    <row r="1470" spans="4:24" x14ac:dyDescent="0.25">
      <c r="D1470" s="31"/>
      <c r="E1470" s="31"/>
      <c r="F1470" s="31"/>
      <c r="G1470" s="31"/>
      <c r="H1470" s="31"/>
      <c r="I1470" s="31"/>
      <c r="J1470" s="31"/>
      <c r="K1470" s="31"/>
      <c r="L1470" s="269"/>
      <c r="M1470" s="269"/>
      <c r="N1470" s="269"/>
      <c r="O1470" s="282"/>
      <c r="P1470" s="269"/>
      <c r="Q1470" s="269"/>
      <c r="R1470" s="269"/>
      <c r="S1470" s="282"/>
      <c r="T1470" s="269"/>
      <c r="U1470" s="269"/>
      <c r="V1470" s="269"/>
      <c r="W1470" s="269"/>
      <c r="X1470" s="31"/>
    </row>
    <row r="1471" spans="4:24" x14ac:dyDescent="0.25">
      <c r="D1471" s="31"/>
      <c r="E1471" s="31"/>
      <c r="F1471" s="31"/>
      <c r="G1471" s="31"/>
      <c r="H1471" s="31"/>
      <c r="I1471" s="31"/>
      <c r="J1471" s="31"/>
      <c r="K1471" s="31"/>
      <c r="L1471" s="269"/>
      <c r="M1471" s="269"/>
      <c r="N1471" s="269"/>
      <c r="O1471" s="282"/>
      <c r="P1471" s="269"/>
      <c r="Q1471" s="269"/>
      <c r="R1471" s="269"/>
      <c r="S1471" s="282"/>
      <c r="T1471" s="269"/>
      <c r="U1471" s="269"/>
      <c r="V1471" s="269"/>
      <c r="W1471" s="269"/>
      <c r="X1471" s="31"/>
    </row>
    <row r="1472" spans="4:24" x14ac:dyDescent="0.25">
      <c r="D1472" s="31"/>
      <c r="E1472" s="31"/>
      <c r="F1472" s="31"/>
      <c r="G1472" s="31"/>
      <c r="H1472" s="31"/>
      <c r="I1472" s="31"/>
      <c r="J1472" s="31"/>
      <c r="K1472" s="31"/>
      <c r="L1472" s="269"/>
      <c r="M1472" s="269"/>
      <c r="N1472" s="269"/>
      <c r="O1472" s="282"/>
      <c r="P1472" s="269"/>
      <c r="Q1472" s="269"/>
      <c r="R1472" s="269"/>
      <c r="S1472" s="282"/>
      <c r="T1472" s="269"/>
      <c r="U1472" s="269"/>
      <c r="V1472" s="269"/>
      <c r="W1472" s="269"/>
      <c r="X1472" s="31"/>
    </row>
    <row r="1473" spans="4:24" x14ac:dyDescent="0.25">
      <c r="D1473" s="31"/>
      <c r="E1473" s="31"/>
      <c r="F1473" s="31"/>
      <c r="G1473" s="31"/>
      <c r="H1473" s="31"/>
      <c r="I1473" s="31"/>
      <c r="J1473" s="31"/>
      <c r="K1473" s="31"/>
      <c r="L1473" s="269"/>
      <c r="M1473" s="269"/>
      <c r="N1473" s="269"/>
      <c r="O1473" s="282"/>
      <c r="P1473" s="269"/>
      <c r="Q1473" s="269"/>
      <c r="R1473" s="269"/>
      <c r="S1473" s="282"/>
      <c r="T1473" s="269"/>
      <c r="U1473" s="269"/>
      <c r="V1473" s="269"/>
      <c r="W1473" s="269"/>
      <c r="X1473" s="31"/>
    </row>
    <row r="1474" spans="4:24" x14ac:dyDescent="0.25">
      <c r="D1474" s="31"/>
      <c r="E1474" s="31"/>
      <c r="F1474" s="31"/>
      <c r="G1474" s="31"/>
      <c r="H1474" s="31"/>
      <c r="I1474" s="31"/>
      <c r="J1474" s="31"/>
      <c r="K1474" s="31"/>
      <c r="L1474" s="269"/>
      <c r="M1474" s="269"/>
      <c r="N1474" s="269"/>
      <c r="O1474" s="282"/>
      <c r="P1474" s="269"/>
      <c r="Q1474" s="269"/>
      <c r="R1474" s="269"/>
      <c r="S1474" s="282"/>
      <c r="T1474" s="269"/>
      <c r="U1474" s="269"/>
      <c r="V1474" s="269"/>
      <c r="W1474" s="269"/>
      <c r="X1474" s="31"/>
    </row>
    <row r="1475" spans="4:24" x14ac:dyDescent="0.25">
      <c r="D1475" s="31"/>
      <c r="E1475" s="31"/>
      <c r="F1475" s="31"/>
      <c r="G1475" s="31"/>
      <c r="H1475" s="31"/>
      <c r="I1475" s="31"/>
      <c r="J1475" s="31"/>
      <c r="K1475" s="31"/>
      <c r="L1475" s="269"/>
      <c r="M1475" s="269"/>
      <c r="N1475" s="269"/>
      <c r="O1475" s="282"/>
      <c r="P1475" s="269"/>
      <c r="Q1475" s="269"/>
      <c r="R1475" s="269"/>
      <c r="S1475" s="282"/>
      <c r="T1475" s="269"/>
      <c r="U1475" s="269"/>
      <c r="V1475" s="269"/>
      <c r="W1475" s="269"/>
      <c r="X1475" s="31"/>
    </row>
    <row r="1476" spans="4:24" x14ac:dyDescent="0.25">
      <c r="D1476" s="31"/>
      <c r="E1476" s="31"/>
      <c r="F1476" s="31"/>
      <c r="G1476" s="31"/>
      <c r="H1476" s="31"/>
      <c r="I1476" s="31"/>
      <c r="J1476" s="31"/>
      <c r="K1476" s="31"/>
      <c r="L1476" s="269"/>
      <c r="M1476" s="269"/>
      <c r="N1476" s="269"/>
      <c r="O1476" s="282"/>
      <c r="P1476" s="269"/>
      <c r="Q1476" s="269"/>
      <c r="R1476" s="269"/>
      <c r="S1476" s="282"/>
      <c r="T1476" s="269"/>
      <c r="U1476" s="269"/>
      <c r="V1476" s="269"/>
      <c r="W1476" s="269"/>
      <c r="X1476" s="31"/>
    </row>
    <row r="1477" spans="4:24" x14ac:dyDescent="0.25">
      <c r="D1477" s="31"/>
      <c r="E1477" s="31"/>
      <c r="F1477" s="31"/>
      <c r="G1477" s="31"/>
      <c r="H1477" s="31"/>
      <c r="I1477" s="31"/>
      <c r="J1477" s="31"/>
      <c r="K1477" s="31"/>
      <c r="L1477" s="269"/>
      <c r="M1477" s="269"/>
      <c r="N1477" s="269"/>
      <c r="O1477" s="282"/>
      <c r="P1477" s="269"/>
      <c r="Q1477" s="269"/>
      <c r="R1477" s="269"/>
      <c r="S1477" s="282"/>
      <c r="T1477" s="269"/>
      <c r="U1477" s="269"/>
      <c r="V1477" s="269"/>
      <c r="W1477" s="269"/>
      <c r="X1477" s="31"/>
    </row>
    <row r="1478" spans="4:24" x14ac:dyDescent="0.25">
      <c r="D1478" s="31"/>
      <c r="E1478" s="31"/>
      <c r="F1478" s="31"/>
      <c r="G1478" s="31"/>
      <c r="H1478" s="31"/>
      <c r="I1478" s="31"/>
      <c r="J1478" s="31"/>
      <c r="K1478" s="31"/>
      <c r="L1478" s="269"/>
      <c r="M1478" s="269"/>
      <c r="N1478" s="269"/>
      <c r="O1478" s="282"/>
      <c r="P1478" s="269"/>
      <c r="Q1478" s="269"/>
      <c r="R1478" s="269"/>
      <c r="S1478" s="282"/>
      <c r="T1478" s="269"/>
      <c r="U1478" s="269"/>
      <c r="V1478" s="269"/>
      <c r="W1478" s="269"/>
      <c r="X1478" s="31"/>
    </row>
    <row r="1479" spans="4:24" x14ac:dyDescent="0.25">
      <c r="D1479" s="31"/>
      <c r="E1479" s="31"/>
      <c r="F1479" s="31"/>
      <c r="G1479" s="31"/>
      <c r="H1479" s="31"/>
      <c r="I1479" s="31"/>
      <c r="J1479" s="31"/>
      <c r="K1479" s="31"/>
      <c r="L1479" s="269"/>
      <c r="M1479" s="269"/>
      <c r="N1479" s="269"/>
      <c r="O1479" s="282"/>
      <c r="P1479" s="269"/>
      <c r="Q1479" s="269"/>
      <c r="R1479" s="269"/>
      <c r="S1479" s="282"/>
      <c r="T1479" s="269"/>
      <c r="U1479" s="269"/>
      <c r="V1479" s="269"/>
      <c r="W1479" s="269"/>
      <c r="X1479" s="31"/>
    </row>
    <row r="1480" spans="4:24" x14ac:dyDescent="0.25">
      <c r="D1480" s="31"/>
      <c r="E1480" s="31"/>
      <c r="F1480" s="31"/>
      <c r="G1480" s="31"/>
      <c r="H1480" s="31"/>
      <c r="I1480" s="31"/>
      <c r="J1480" s="31"/>
      <c r="K1480" s="31"/>
      <c r="L1480" s="269"/>
      <c r="M1480" s="269"/>
      <c r="N1480" s="269"/>
      <c r="O1480" s="282"/>
      <c r="P1480" s="269"/>
      <c r="Q1480" s="269"/>
      <c r="R1480" s="269"/>
      <c r="S1480" s="282"/>
      <c r="T1480" s="269"/>
      <c r="U1480" s="269"/>
      <c r="V1480" s="269"/>
      <c r="W1480" s="269"/>
      <c r="X1480" s="31"/>
    </row>
    <row r="1481" spans="4:24" x14ac:dyDescent="0.25">
      <c r="D1481" s="31"/>
      <c r="E1481" s="31"/>
      <c r="F1481" s="31"/>
      <c r="G1481" s="31"/>
      <c r="H1481" s="31"/>
      <c r="I1481" s="31"/>
      <c r="J1481" s="31"/>
      <c r="K1481" s="31"/>
      <c r="L1481" s="269"/>
      <c r="M1481" s="269"/>
      <c r="N1481" s="269"/>
      <c r="O1481" s="282"/>
      <c r="P1481" s="269"/>
      <c r="Q1481" s="269"/>
      <c r="R1481" s="269"/>
      <c r="S1481" s="282"/>
      <c r="T1481" s="269"/>
      <c r="U1481" s="269"/>
      <c r="V1481" s="269"/>
      <c r="W1481" s="269"/>
      <c r="X1481" s="31"/>
    </row>
    <row r="1482" spans="4:24" x14ac:dyDescent="0.25">
      <c r="D1482" s="31"/>
      <c r="E1482" s="31"/>
      <c r="F1482" s="31"/>
      <c r="G1482" s="31"/>
      <c r="H1482" s="31"/>
      <c r="I1482" s="31"/>
      <c r="J1482" s="31"/>
      <c r="K1482" s="31"/>
      <c r="L1482" s="269"/>
      <c r="M1482" s="269"/>
      <c r="N1482" s="269"/>
      <c r="O1482" s="282"/>
      <c r="P1482" s="269"/>
      <c r="Q1482" s="269"/>
      <c r="R1482" s="269"/>
      <c r="S1482" s="282"/>
      <c r="T1482" s="269"/>
      <c r="U1482" s="269"/>
      <c r="V1482" s="269"/>
      <c r="W1482" s="269"/>
      <c r="X1482" s="31"/>
    </row>
    <row r="1483" spans="4:24" x14ac:dyDescent="0.25">
      <c r="D1483" s="31"/>
      <c r="E1483" s="31"/>
      <c r="F1483" s="31"/>
      <c r="G1483" s="31"/>
      <c r="H1483" s="31"/>
      <c r="I1483" s="31"/>
      <c r="J1483" s="31"/>
      <c r="K1483" s="31"/>
      <c r="L1483" s="269"/>
      <c r="M1483" s="269"/>
      <c r="N1483" s="269"/>
      <c r="O1483" s="282"/>
      <c r="P1483" s="269"/>
      <c r="Q1483" s="269"/>
      <c r="R1483" s="269"/>
      <c r="S1483" s="282"/>
      <c r="T1483" s="269"/>
      <c r="U1483" s="269"/>
      <c r="V1483" s="269"/>
      <c r="W1483" s="269"/>
      <c r="X1483" s="31"/>
    </row>
    <row r="1484" spans="4:24" x14ac:dyDescent="0.25">
      <c r="D1484" s="31"/>
      <c r="E1484" s="31"/>
      <c r="F1484" s="31"/>
      <c r="G1484" s="31"/>
      <c r="H1484" s="31"/>
      <c r="I1484" s="31"/>
      <c r="J1484" s="31"/>
      <c r="K1484" s="31"/>
      <c r="L1484" s="269"/>
      <c r="M1484" s="269"/>
      <c r="N1484" s="269"/>
      <c r="O1484" s="282"/>
      <c r="P1484" s="269"/>
      <c r="Q1484" s="269"/>
      <c r="R1484" s="269"/>
      <c r="S1484" s="282"/>
      <c r="T1484" s="269"/>
      <c r="U1484" s="269"/>
      <c r="V1484" s="269"/>
      <c r="W1484" s="269"/>
      <c r="X1484" s="31"/>
    </row>
    <row r="1485" spans="4:24" x14ac:dyDescent="0.25">
      <c r="D1485" s="31"/>
      <c r="E1485" s="31"/>
      <c r="F1485" s="31"/>
      <c r="G1485" s="31"/>
      <c r="H1485" s="31"/>
      <c r="I1485" s="31"/>
      <c r="J1485" s="31"/>
      <c r="K1485" s="31"/>
      <c r="L1485" s="269"/>
      <c r="M1485" s="269"/>
      <c r="N1485" s="269"/>
      <c r="O1485" s="282"/>
      <c r="P1485" s="269"/>
      <c r="Q1485" s="269"/>
      <c r="R1485" s="269"/>
      <c r="S1485" s="282"/>
      <c r="T1485" s="269"/>
      <c r="U1485" s="269"/>
      <c r="V1485" s="269"/>
      <c r="W1485" s="269"/>
      <c r="X1485" s="31"/>
    </row>
    <row r="1486" spans="4:24" x14ac:dyDescent="0.25">
      <c r="D1486" s="31"/>
      <c r="E1486" s="31"/>
      <c r="F1486" s="31"/>
      <c r="G1486" s="31"/>
      <c r="H1486" s="31"/>
      <c r="I1486" s="31"/>
      <c r="J1486" s="31"/>
      <c r="K1486" s="31"/>
      <c r="L1486" s="269"/>
      <c r="M1486" s="269"/>
      <c r="N1486" s="269"/>
      <c r="O1486" s="282"/>
      <c r="P1486" s="269"/>
      <c r="Q1486" s="269"/>
      <c r="R1486" s="269"/>
      <c r="S1486" s="282"/>
      <c r="T1486" s="269"/>
      <c r="U1486" s="269"/>
      <c r="V1486" s="269"/>
      <c r="W1486" s="269"/>
      <c r="X1486" s="31"/>
    </row>
    <row r="1487" spans="4:24" x14ac:dyDescent="0.25">
      <c r="D1487" s="31"/>
      <c r="E1487" s="31"/>
      <c r="F1487" s="31"/>
      <c r="G1487" s="31"/>
      <c r="H1487" s="31"/>
      <c r="I1487" s="31"/>
      <c r="J1487" s="31"/>
      <c r="K1487" s="31"/>
      <c r="L1487" s="269"/>
      <c r="M1487" s="269"/>
      <c r="N1487" s="269"/>
      <c r="O1487" s="282"/>
      <c r="P1487" s="269"/>
      <c r="Q1487" s="269"/>
      <c r="R1487" s="269"/>
      <c r="S1487" s="282"/>
      <c r="T1487" s="269"/>
      <c r="U1487" s="269"/>
      <c r="V1487" s="269"/>
      <c r="W1487" s="269"/>
      <c r="X1487" s="31"/>
    </row>
    <row r="1488" spans="4:24" x14ac:dyDescent="0.25">
      <c r="D1488" s="31"/>
      <c r="E1488" s="31"/>
      <c r="F1488" s="31"/>
      <c r="G1488" s="31"/>
      <c r="H1488" s="31"/>
      <c r="I1488" s="31"/>
      <c r="J1488" s="31"/>
      <c r="K1488" s="31"/>
      <c r="L1488" s="269"/>
      <c r="M1488" s="269"/>
      <c r="N1488" s="269"/>
      <c r="O1488" s="282"/>
      <c r="P1488" s="269"/>
      <c r="Q1488" s="269"/>
      <c r="R1488" s="269"/>
      <c r="S1488" s="282"/>
      <c r="T1488" s="269"/>
      <c r="U1488" s="269"/>
      <c r="V1488" s="269"/>
      <c r="W1488" s="269"/>
      <c r="X1488" s="31"/>
    </row>
    <row r="1489" spans="4:24" x14ac:dyDescent="0.25">
      <c r="D1489" s="31"/>
      <c r="E1489" s="31"/>
      <c r="F1489" s="31"/>
      <c r="G1489" s="31"/>
      <c r="H1489" s="31"/>
      <c r="I1489" s="31"/>
      <c r="J1489" s="31"/>
      <c r="K1489" s="31"/>
      <c r="L1489" s="269"/>
      <c r="M1489" s="269"/>
      <c r="N1489" s="269"/>
      <c r="O1489" s="282"/>
      <c r="P1489" s="269"/>
      <c r="Q1489" s="269"/>
      <c r="R1489" s="269"/>
      <c r="S1489" s="282"/>
      <c r="T1489" s="269"/>
      <c r="U1489" s="269"/>
      <c r="V1489" s="269"/>
      <c r="W1489" s="269"/>
      <c r="X1489" s="31"/>
    </row>
    <row r="1490" spans="4:24" x14ac:dyDescent="0.25">
      <c r="D1490" s="31"/>
      <c r="E1490" s="31"/>
      <c r="F1490" s="31"/>
      <c r="G1490" s="31"/>
      <c r="H1490" s="31"/>
      <c r="I1490" s="31"/>
      <c r="J1490" s="31"/>
      <c r="K1490" s="31"/>
      <c r="L1490" s="269"/>
      <c r="M1490" s="269"/>
      <c r="N1490" s="269"/>
      <c r="O1490" s="282"/>
      <c r="P1490" s="269"/>
      <c r="Q1490" s="269"/>
      <c r="R1490" s="269"/>
      <c r="S1490" s="282"/>
      <c r="T1490" s="269"/>
      <c r="U1490" s="269"/>
      <c r="V1490" s="269"/>
      <c r="W1490" s="269"/>
      <c r="X1490" s="31"/>
    </row>
    <row r="1491" spans="4:24" x14ac:dyDescent="0.25">
      <c r="D1491" s="31"/>
      <c r="E1491" s="31"/>
      <c r="F1491" s="31"/>
      <c r="G1491" s="31"/>
      <c r="H1491" s="31"/>
      <c r="I1491" s="31"/>
      <c r="J1491" s="31"/>
      <c r="K1491" s="31"/>
      <c r="L1491" s="269"/>
      <c r="M1491" s="269"/>
      <c r="N1491" s="269"/>
      <c r="O1491" s="282"/>
      <c r="P1491" s="269"/>
      <c r="Q1491" s="269"/>
      <c r="R1491" s="269"/>
      <c r="S1491" s="282"/>
      <c r="T1491" s="269"/>
      <c r="U1491" s="269"/>
      <c r="V1491" s="269"/>
      <c r="W1491" s="269"/>
      <c r="X1491" s="31"/>
    </row>
    <row r="1492" spans="4:24" x14ac:dyDescent="0.25">
      <c r="D1492" s="31"/>
      <c r="E1492" s="31"/>
      <c r="F1492" s="31"/>
      <c r="G1492" s="31"/>
      <c r="H1492" s="31"/>
      <c r="I1492" s="31"/>
      <c r="J1492" s="31"/>
      <c r="K1492" s="31"/>
      <c r="L1492" s="269"/>
      <c r="M1492" s="269"/>
      <c r="N1492" s="269"/>
      <c r="O1492" s="282"/>
      <c r="P1492" s="269"/>
      <c r="Q1492" s="269"/>
      <c r="R1492" s="269"/>
      <c r="S1492" s="282"/>
      <c r="T1492" s="269"/>
      <c r="U1492" s="269"/>
      <c r="V1492" s="269"/>
      <c r="W1492" s="269"/>
      <c r="X1492" s="31"/>
    </row>
    <row r="1493" spans="4:24" x14ac:dyDescent="0.25">
      <c r="D1493" s="31"/>
      <c r="E1493" s="31"/>
      <c r="F1493" s="31"/>
      <c r="G1493" s="31"/>
      <c r="H1493" s="31"/>
      <c r="I1493" s="31"/>
      <c r="J1493" s="31"/>
      <c r="K1493" s="31"/>
      <c r="L1493" s="269"/>
      <c r="M1493" s="269"/>
      <c r="N1493" s="269"/>
      <c r="O1493" s="282"/>
      <c r="P1493" s="269"/>
      <c r="Q1493" s="269"/>
      <c r="R1493" s="269"/>
      <c r="S1493" s="282"/>
      <c r="T1493" s="269"/>
      <c r="U1493" s="269"/>
      <c r="V1493" s="269"/>
      <c r="W1493" s="269"/>
      <c r="X1493" s="31"/>
    </row>
    <row r="1494" spans="4:24" x14ac:dyDescent="0.25">
      <c r="D1494" s="31"/>
      <c r="E1494" s="31"/>
      <c r="F1494" s="31"/>
      <c r="G1494" s="31"/>
      <c r="H1494" s="31"/>
      <c r="I1494" s="31"/>
      <c r="J1494" s="31"/>
      <c r="K1494" s="31"/>
      <c r="L1494" s="269"/>
      <c r="M1494" s="269"/>
      <c r="N1494" s="269"/>
      <c r="O1494" s="282"/>
      <c r="P1494" s="269"/>
      <c r="Q1494" s="269"/>
      <c r="R1494" s="269"/>
      <c r="S1494" s="282"/>
      <c r="T1494" s="269"/>
      <c r="U1494" s="269"/>
      <c r="V1494" s="269"/>
      <c r="W1494" s="269"/>
      <c r="X1494" s="31"/>
    </row>
    <row r="1495" spans="4:24" x14ac:dyDescent="0.25">
      <c r="D1495" s="31"/>
      <c r="E1495" s="31"/>
      <c r="F1495" s="31"/>
      <c r="G1495" s="31"/>
      <c r="H1495" s="31"/>
      <c r="I1495" s="31"/>
      <c r="J1495" s="31"/>
      <c r="K1495" s="31"/>
      <c r="L1495" s="269"/>
      <c r="M1495" s="269"/>
      <c r="N1495" s="269"/>
      <c r="O1495" s="282"/>
      <c r="P1495" s="269"/>
      <c r="Q1495" s="269"/>
      <c r="R1495" s="269"/>
      <c r="S1495" s="282"/>
      <c r="T1495" s="269"/>
      <c r="U1495" s="269"/>
      <c r="V1495" s="269"/>
      <c r="W1495" s="269"/>
      <c r="X1495" s="31"/>
    </row>
    <row r="1496" spans="4:24" x14ac:dyDescent="0.25">
      <c r="D1496" s="31"/>
      <c r="E1496" s="31"/>
      <c r="F1496" s="31"/>
      <c r="G1496" s="31"/>
      <c r="H1496" s="31"/>
      <c r="I1496" s="31"/>
      <c r="J1496" s="31"/>
      <c r="K1496" s="31"/>
      <c r="L1496" s="269"/>
      <c r="M1496" s="269"/>
      <c r="N1496" s="269"/>
      <c r="O1496" s="282"/>
      <c r="P1496" s="269"/>
      <c r="Q1496" s="269"/>
      <c r="R1496" s="269"/>
      <c r="S1496" s="282"/>
      <c r="T1496" s="269"/>
      <c r="U1496" s="269"/>
      <c r="V1496" s="269"/>
      <c r="W1496" s="269"/>
      <c r="X1496" s="31"/>
    </row>
    <row r="1497" spans="4:24" x14ac:dyDescent="0.25">
      <c r="D1497" s="31"/>
      <c r="E1497" s="31"/>
      <c r="F1497" s="31"/>
      <c r="G1497" s="31"/>
      <c r="H1497" s="31"/>
      <c r="I1497" s="31"/>
      <c r="J1497" s="31"/>
      <c r="K1497" s="31"/>
      <c r="L1497" s="269"/>
      <c r="M1497" s="269"/>
      <c r="N1497" s="269"/>
      <c r="O1497" s="282"/>
      <c r="P1497" s="269"/>
      <c r="Q1497" s="269"/>
      <c r="R1497" s="269"/>
      <c r="S1497" s="282"/>
      <c r="T1497" s="269"/>
      <c r="U1497" s="269"/>
      <c r="V1497" s="269"/>
      <c r="W1497" s="269"/>
      <c r="X1497" s="31"/>
    </row>
    <row r="1498" spans="4:24" x14ac:dyDescent="0.25">
      <c r="D1498" s="31"/>
      <c r="E1498" s="31"/>
      <c r="F1498" s="31"/>
      <c r="G1498" s="31"/>
      <c r="H1498" s="31"/>
      <c r="I1498" s="31"/>
      <c r="J1498" s="31"/>
      <c r="K1498" s="31"/>
      <c r="L1498" s="269"/>
      <c r="M1498" s="269"/>
      <c r="N1498" s="269"/>
      <c r="O1498" s="282"/>
      <c r="P1498" s="269"/>
      <c r="Q1498" s="269"/>
      <c r="R1498" s="269"/>
      <c r="S1498" s="282"/>
      <c r="T1498" s="269"/>
      <c r="U1498" s="269"/>
      <c r="V1498" s="269"/>
      <c r="W1498" s="269"/>
      <c r="X1498" s="31"/>
    </row>
    <row r="1499" spans="4:24" x14ac:dyDescent="0.25">
      <c r="D1499" s="31"/>
      <c r="E1499" s="31"/>
      <c r="F1499" s="31"/>
      <c r="G1499" s="31"/>
      <c r="H1499" s="31"/>
      <c r="I1499" s="31"/>
      <c r="J1499" s="31"/>
      <c r="K1499" s="31"/>
      <c r="L1499" s="269"/>
      <c r="M1499" s="269"/>
      <c r="N1499" s="269"/>
      <c r="O1499" s="282"/>
      <c r="P1499" s="269"/>
      <c r="Q1499" s="269"/>
      <c r="R1499" s="269"/>
      <c r="S1499" s="282"/>
      <c r="T1499" s="269"/>
      <c r="U1499" s="269"/>
      <c r="V1499" s="269"/>
      <c r="W1499" s="269"/>
      <c r="X1499" s="31"/>
    </row>
    <row r="1500" spans="4:24" x14ac:dyDescent="0.25">
      <c r="D1500" s="31"/>
      <c r="E1500" s="31"/>
      <c r="F1500" s="31"/>
      <c r="G1500" s="31"/>
      <c r="H1500" s="31"/>
      <c r="I1500" s="31"/>
      <c r="J1500" s="31"/>
      <c r="K1500" s="31"/>
      <c r="L1500" s="269"/>
      <c r="M1500" s="269"/>
      <c r="N1500" s="269"/>
      <c r="O1500" s="282"/>
      <c r="P1500" s="269"/>
      <c r="Q1500" s="269"/>
      <c r="R1500" s="269"/>
      <c r="S1500" s="282"/>
      <c r="T1500" s="269"/>
      <c r="U1500" s="269"/>
      <c r="V1500" s="269"/>
      <c r="W1500" s="269"/>
      <c r="X1500" s="31"/>
    </row>
    <row r="1501" spans="4:24" x14ac:dyDescent="0.25">
      <c r="D1501" s="31"/>
      <c r="E1501" s="31"/>
      <c r="F1501" s="31"/>
      <c r="G1501" s="31"/>
      <c r="H1501" s="31"/>
      <c r="I1501" s="31"/>
      <c r="J1501" s="31"/>
      <c r="K1501" s="31"/>
      <c r="L1501" s="269"/>
      <c r="M1501" s="269"/>
      <c r="N1501" s="269"/>
      <c r="O1501" s="282"/>
      <c r="P1501" s="269"/>
      <c r="Q1501" s="269"/>
      <c r="R1501" s="269"/>
      <c r="S1501" s="282"/>
      <c r="T1501" s="269"/>
      <c r="U1501" s="269"/>
      <c r="V1501" s="269"/>
      <c r="W1501" s="269"/>
      <c r="X1501" s="31"/>
    </row>
    <row r="1502" spans="4:24" x14ac:dyDescent="0.25">
      <c r="D1502" s="31"/>
      <c r="E1502" s="31"/>
      <c r="F1502" s="31"/>
      <c r="G1502" s="31"/>
      <c r="H1502" s="31"/>
      <c r="I1502" s="31"/>
      <c r="J1502" s="31"/>
      <c r="K1502" s="31"/>
      <c r="L1502" s="269"/>
      <c r="M1502" s="269"/>
      <c r="N1502" s="269"/>
      <c r="O1502" s="282"/>
      <c r="P1502" s="269"/>
      <c r="Q1502" s="269"/>
      <c r="R1502" s="269"/>
      <c r="S1502" s="282"/>
      <c r="T1502" s="269"/>
      <c r="U1502" s="269"/>
      <c r="V1502" s="269"/>
      <c r="W1502" s="269"/>
      <c r="X1502" s="31"/>
    </row>
    <row r="1503" spans="4:24" x14ac:dyDescent="0.25">
      <c r="D1503" s="31"/>
      <c r="E1503" s="31"/>
      <c r="F1503" s="31"/>
      <c r="G1503" s="31"/>
      <c r="H1503" s="31"/>
      <c r="I1503" s="31"/>
      <c r="J1503" s="31"/>
      <c r="K1503" s="31"/>
      <c r="L1503" s="269"/>
      <c r="M1503" s="269"/>
      <c r="N1503" s="269"/>
      <c r="O1503" s="282"/>
      <c r="P1503" s="269"/>
      <c r="Q1503" s="269"/>
      <c r="R1503" s="269"/>
      <c r="S1503" s="282"/>
      <c r="T1503" s="269"/>
      <c r="U1503" s="269"/>
      <c r="V1503" s="269"/>
      <c r="W1503" s="269"/>
      <c r="X1503" s="31"/>
    </row>
    <row r="1504" spans="4:24" x14ac:dyDescent="0.25">
      <c r="D1504" s="31"/>
      <c r="E1504" s="31"/>
      <c r="F1504" s="31"/>
      <c r="G1504" s="31"/>
      <c r="H1504" s="31"/>
      <c r="I1504" s="31"/>
      <c r="J1504" s="31"/>
      <c r="K1504" s="31"/>
      <c r="L1504" s="269"/>
      <c r="M1504" s="269"/>
      <c r="N1504" s="269"/>
      <c r="O1504" s="282"/>
      <c r="P1504" s="269"/>
      <c r="Q1504" s="269"/>
      <c r="R1504" s="269"/>
      <c r="S1504" s="282"/>
      <c r="T1504" s="269"/>
      <c r="U1504" s="269"/>
      <c r="V1504" s="269"/>
      <c r="W1504" s="269"/>
      <c r="X1504" s="31"/>
    </row>
    <row r="1505" spans="4:24" x14ac:dyDescent="0.25">
      <c r="D1505" s="31"/>
      <c r="E1505" s="31"/>
      <c r="F1505" s="31"/>
      <c r="G1505" s="31"/>
      <c r="H1505" s="31"/>
      <c r="I1505" s="31"/>
      <c r="J1505" s="31"/>
      <c r="K1505" s="31"/>
      <c r="L1505" s="269"/>
      <c r="M1505" s="269"/>
      <c r="N1505" s="269"/>
      <c r="O1505" s="282"/>
      <c r="P1505" s="269"/>
      <c r="Q1505" s="269"/>
      <c r="R1505" s="269"/>
      <c r="S1505" s="282"/>
      <c r="T1505" s="269"/>
      <c r="U1505" s="269"/>
      <c r="V1505" s="269"/>
      <c r="W1505" s="269"/>
      <c r="X1505" s="31"/>
    </row>
    <row r="1506" spans="4:24" x14ac:dyDescent="0.25">
      <c r="D1506" s="31"/>
      <c r="E1506" s="31"/>
      <c r="F1506" s="31"/>
      <c r="G1506" s="31"/>
      <c r="H1506" s="31"/>
      <c r="I1506" s="31"/>
      <c r="J1506" s="31"/>
      <c r="K1506" s="31"/>
      <c r="L1506" s="269"/>
      <c r="M1506" s="269"/>
      <c r="N1506" s="269"/>
      <c r="O1506" s="282"/>
      <c r="P1506" s="269"/>
      <c r="Q1506" s="269"/>
      <c r="R1506" s="269"/>
      <c r="S1506" s="282"/>
      <c r="T1506" s="269"/>
      <c r="U1506" s="269"/>
      <c r="V1506" s="269"/>
      <c r="W1506" s="269"/>
      <c r="X1506" s="31"/>
    </row>
    <row r="1507" spans="4:24" x14ac:dyDescent="0.25">
      <c r="D1507" s="31"/>
      <c r="E1507" s="31"/>
      <c r="F1507" s="31"/>
      <c r="G1507" s="31"/>
      <c r="H1507" s="31"/>
      <c r="I1507" s="31"/>
      <c r="J1507" s="31"/>
      <c r="K1507" s="31"/>
      <c r="L1507" s="269"/>
      <c r="M1507" s="269"/>
      <c r="N1507" s="269"/>
      <c r="O1507" s="282"/>
      <c r="P1507" s="269"/>
      <c r="Q1507" s="269"/>
      <c r="R1507" s="269"/>
      <c r="S1507" s="282"/>
      <c r="T1507" s="269"/>
      <c r="U1507" s="269"/>
      <c r="V1507" s="269"/>
      <c r="W1507" s="269"/>
      <c r="X1507" s="31"/>
    </row>
    <row r="1508" spans="4:24" x14ac:dyDescent="0.25">
      <c r="D1508" s="31"/>
      <c r="E1508" s="31"/>
      <c r="F1508" s="31"/>
      <c r="G1508" s="31"/>
      <c r="H1508" s="31"/>
      <c r="I1508" s="31"/>
      <c r="J1508" s="31"/>
      <c r="K1508" s="31"/>
      <c r="L1508" s="269"/>
      <c r="M1508" s="269"/>
      <c r="N1508" s="269"/>
      <c r="O1508" s="282"/>
      <c r="P1508" s="269"/>
      <c r="Q1508" s="269"/>
      <c r="R1508" s="269"/>
      <c r="S1508" s="282"/>
      <c r="T1508" s="269"/>
      <c r="U1508" s="269"/>
      <c r="V1508" s="269"/>
      <c r="W1508" s="269"/>
      <c r="X1508" s="31"/>
    </row>
    <row r="1509" spans="4:24" x14ac:dyDescent="0.25">
      <c r="D1509" s="31"/>
      <c r="E1509" s="31"/>
      <c r="F1509" s="31"/>
      <c r="G1509" s="31"/>
      <c r="H1509" s="31"/>
      <c r="I1509" s="31"/>
      <c r="J1509" s="31"/>
      <c r="K1509" s="31"/>
      <c r="L1509" s="269"/>
      <c r="M1509" s="269"/>
      <c r="N1509" s="269"/>
      <c r="O1509" s="282"/>
      <c r="P1509" s="269"/>
      <c r="Q1509" s="269"/>
      <c r="R1509" s="269"/>
      <c r="S1509" s="282"/>
      <c r="T1509" s="269"/>
      <c r="U1509" s="269"/>
      <c r="V1509" s="269"/>
      <c r="W1509" s="269"/>
      <c r="X1509" s="31"/>
    </row>
    <row r="1510" spans="4:24" x14ac:dyDescent="0.25">
      <c r="D1510" s="31"/>
      <c r="E1510" s="31"/>
      <c r="F1510" s="31"/>
      <c r="G1510" s="31"/>
      <c r="H1510" s="31"/>
      <c r="I1510" s="31"/>
      <c r="J1510" s="31"/>
      <c r="K1510" s="31"/>
      <c r="L1510" s="269"/>
      <c r="M1510" s="269"/>
      <c r="N1510" s="269"/>
      <c r="O1510" s="282"/>
      <c r="P1510" s="269"/>
      <c r="Q1510" s="269"/>
      <c r="R1510" s="269"/>
      <c r="S1510" s="282"/>
      <c r="T1510" s="269"/>
      <c r="U1510" s="269"/>
      <c r="V1510" s="269"/>
      <c r="W1510" s="269"/>
      <c r="X1510" s="31"/>
    </row>
    <row r="1511" spans="4:24" x14ac:dyDescent="0.25">
      <c r="D1511" s="31"/>
      <c r="E1511" s="31"/>
      <c r="F1511" s="31"/>
      <c r="G1511" s="31"/>
      <c r="H1511" s="31"/>
      <c r="I1511" s="31"/>
      <c r="J1511" s="31"/>
      <c r="K1511" s="31"/>
      <c r="L1511" s="269"/>
      <c r="M1511" s="269"/>
      <c r="N1511" s="269"/>
      <c r="O1511" s="282"/>
      <c r="P1511" s="269"/>
      <c r="Q1511" s="269"/>
      <c r="R1511" s="269"/>
      <c r="S1511" s="282"/>
      <c r="T1511" s="269"/>
      <c r="U1511" s="269"/>
      <c r="V1511" s="269"/>
      <c r="W1511" s="269"/>
      <c r="X1511" s="31"/>
    </row>
    <row r="1512" spans="4:24" x14ac:dyDescent="0.25">
      <c r="D1512" s="31"/>
      <c r="E1512" s="31"/>
      <c r="F1512" s="31"/>
      <c r="G1512" s="31"/>
      <c r="H1512" s="31"/>
      <c r="I1512" s="31"/>
      <c r="J1512" s="31"/>
      <c r="K1512" s="31"/>
      <c r="L1512" s="269"/>
      <c r="M1512" s="269"/>
      <c r="N1512" s="269"/>
      <c r="O1512" s="282"/>
      <c r="P1512" s="269"/>
      <c r="Q1512" s="269"/>
      <c r="R1512" s="269"/>
      <c r="S1512" s="282"/>
      <c r="T1512" s="269"/>
      <c r="U1512" s="269"/>
      <c r="V1512" s="269"/>
      <c r="W1512" s="269"/>
      <c r="X1512" s="31"/>
    </row>
    <row r="1513" spans="4:24" x14ac:dyDescent="0.25">
      <c r="D1513" s="31"/>
      <c r="E1513" s="31"/>
      <c r="F1513" s="31"/>
      <c r="G1513" s="31"/>
      <c r="H1513" s="31"/>
      <c r="I1513" s="31"/>
      <c r="J1513" s="31"/>
      <c r="K1513" s="31"/>
      <c r="L1513" s="269"/>
      <c r="M1513" s="269"/>
      <c r="N1513" s="269"/>
      <c r="O1513" s="282"/>
      <c r="P1513" s="269"/>
      <c r="Q1513" s="269"/>
      <c r="R1513" s="269"/>
      <c r="S1513" s="282"/>
      <c r="T1513" s="269"/>
      <c r="U1513" s="269"/>
      <c r="V1513" s="269"/>
      <c r="W1513" s="269"/>
      <c r="X1513" s="31"/>
    </row>
    <row r="1514" spans="4:24" x14ac:dyDescent="0.25">
      <c r="D1514" s="31"/>
      <c r="E1514" s="31"/>
      <c r="F1514" s="31"/>
      <c r="G1514" s="31"/>
      <c r="H1514" s="31"/>
      <c r="I1514" s="31"/>
      <c r="J1514" s="31"/>
      <c r="K1514" s="31"/>
      <c r="L1514" s="269"/>
      <c r="M1514" s="269"/>
      <c r="N1514" s="269"/>
      <c r="O1514" s="282"/>
      <c r="P1514" s="269"/>
      <c r="Q1514" s="269"/>
      <c r="R1514" s="269"/>
      <c r="S1514" s="282"/>
      <c r="T1514" s="269"/>
      <c r="U1514" s="269"/>
      <c r="V1514" s="269"/>
      <c r="W1514" s="269"/>
      <c r="X1514" s="31"/>
    </row>
    <row r="1515" spans="4:24" x14ac:dyDescent="0.25">
      <c r="D1515" s="31"/>
      <c r="E1515" s="31"/>
      <c r="F1515" s="31"/>
      <c r="G1515" s="31"/>
      <c r="H1515" s="31"/>
      <c r="I1515" s="31"/>
      <c r="J1515" s="31"/>
      <c r="K1515" s="31"/>
      <c r="L1515" s="269"/>
      <c r="M1515" s="269"/>
      <c r="N1515" s="269"/>
      <c r="O1515" s="282"/>
      <c r="P1515" s="269"/>
      <c r="Q1515" s="269"/>
      <c r="R1515" s="269"/>
      <c r="S1515" s="282"/>
      <c r="T1515" s="269"/>
      <c r="U1515" s="269"/>
      <c r="V1515" s="269"/>
      <c r="W1515" s="269"/>
      <c r="X1515" s="31"/>
    </row>
    <row r="1516" spans="4:24" x14ac:dyDescent="0.25">
      <c r="D1516" s="31"/>
      <c r="E1516" s="31"/>
      <c r="F1516" s="31"/>
      <c r="G1516" s="31"/>
      <c r="H1516" s="31"/>
      <c r="I1516" s="31"/>
      <c r="J1516" s="31"/>
      <c r="K1516" s="31"/>
      <c r="L1516" s="269"/>
      <c r="M1516" s="269"/>
      <c r="N1516" s="269"/>
      <c r="O1516" s="282"/>
      <c r="P1516" s="269"/>
      <c r="Q1516" s="269"/>
      <c r="R1516" s="269"/>
      <c r="S1516" s="282"/>
      <c r="T1516" s="269"/>
      <c r="U1516" s="269"/>
      <c r="V1516" s="269"/>
      <c r="W1516" s="269"/>
      <c r="X1516" s="31"/>
    </row>
    <row r="1517" spans="4:24" x14ac:dyDescent="0.25">
      <c r="D1517" s="31"/>
      <c r="E1517" s="31"/>
      <c r="F1517" s="31"/>
      <c r="G1517" s="31"/>
      <c r="H1517" s="31"/>
      <c r="I1517" s="31"/>
      <c r="J1517" s="31"/>
      <c r="K1517" s="31"/>
      <c r="L1517" s="269"/>
      <c r="M1517" s="269"/>
      <c r="N1517" s="269"/>
      <c r="O1517" s="282"/>
      <c r="P1517" s="269"/>
      <c r="Q1517" s="269"/>
      <c r="R1517" s="269"/>
      <c r="S1517" s="282"/>
      <c r="T1517" s="269"/>
      <c r="U1517" s="269"/>
      <c r="V1517" s="269"/>
      <c r="W1517" s="269"/>
      <c r="X1517" s="31"/>
    </row>
    <row r="1518" spans="4:24" x14ac:dyDescent="0.25">
      <c r="D1518" s="31"/>
      <c r="E1518" s="31"/>
      <c r="F1518" s="31"/>
      <c r="G1518" s="31"/>
      <c r="H1518" s="31"/>
      <c r="I1518" s="31"/>
      <c r="J1518" s="31"/>
      <c r="K1518" s="31"/>
      <c r="L1518" s="269"/>
      <c r="M1518" s="269"/>
      <c r="N1518" s="269"/>
      <c r="O1518" s="282"/>
      <c r="P1518" s="269"/>
      <c r="Q1518" s="269"/>
      <c r="R1518" s="269"/>
      <c r="S1518" s="282"/>
      <c r="T1518" s="269"/>
      <c r="U1518" s="269"/>
      <c r="V1518" s="269"/>
      <c r="W1518" s="269"/>
      <c r="X1518" s="31"/>
    </row>
    <row r="1519" spans="4:24" x14ac:dyDescent="0.25">
      <c r="D1519" s="31"/>
      <c r="E1519" s="31"/>
      <c r="F1519" s="31"/>
      <c r="G1519" s="31"/>
      <c r="H1519" s="31"/>
      <c r="I1519" s="31"/>
      <c r="J1519" s="31"/>
      <c r="K1519" s="31"/>
      <c r="L1519" s="269"/>
      <c r="M1519" s="269"/>
      <c r="N1519" s="269"/>
      <c r="O1519" s="282"/>
      <c r="P1519" s="269"/>
      <c r="Q1519" s="269"/>
      <c r="R1519" s="269"/>
      <c r="S1519" s="282"/>
      <c r="T1519" s="269"/>
      <c r="U1519" s="269"/>
      <c r="V1519" s="269"/>
      <c r="W1519" s="269"/>
      <c r="X1519" s="31"/>
    </row>
    <row r="1520" spans="4:24" x14ac:dyDescent="0.25">
      <c r="D1520" s="31"/>
      <c r="E1520" s="31"/>
      <c r="F1520" s="31"/>
      <c r="G1520" s="31"/>
      <c r="H1520" s="31"/>
      <c r="I1520" s="31"/>
      <c r="J1520" s="31"/>
      <c r="K1520" s="31"/>
      <c r="L1520" s="269"/>
      <c r="M1520" s="269"/>
      <c r="N1520" s="269"/>
      <c r="O1520" s="282"/>
      <c r="P1520" s="269"/>
      <c r="Q1520" s="269"/>
      <c r="R1520" s="269"/>
      <c r="S1520" s="282"/>
      <c r="T1520" s="269"/>
      <c r="U1520" s="269"/>
      <c r="V1520" s="269"/>
      <c r="W1520" s="269"/>
      <c r="X1520" s="31"/>
    </row>
    <row r="1521" spans="4:24" x14ac:dyDescent="0.25">
      <c r="D1521" s="31"/>
      <c r="E1521" s="31"/>
      <c r="F1521" s="31"/>
      <c r="G1521" s="31"/>
      <c r="H1521" s="31"/>
      <c r="I1521" s="31"/>
      <c r="J1521" s="31"/>
      <c r="K1521" s="31"/>
      <c r="L1521" s="269"/>
      <c r="M1521" s="269"/>
      <c r="N1521" s="269"/>
      <c r="O1521" s="282"/>
      <c r="P1521" s="269"/>
      <c r="Q1521" s="269"/>
      <c r="R1521" s="269"/>
      <c r="S1521" s="282"/>
      <c r="T1521" s="269"/>
      <c r="U1521" s="269"/>
      <c r="V1521" s="269"/>
      <c r="W1521" s="269"/>
      <c r="X1521" s="31"/>
    </row>
    <row r="1522" spans="4:24" x14ac:dyDescent="0.25">
      <c r="D1522" s="31"/>
      <c r="E1522" s="31"/>
      <c r="F1522" s="31"/>
      <c r="G1522" s="31"/>
      <c r="H1522" s="31"/>
      <c r="I1522" s="31"/>
      <c r="J1522" s="31"/>
      <c r="K1522" s="31"/>
      <c r="L1522" s="269"/>
      <c r="M1522" s="269"/>
      <c r="N1522" s="269"/>
      <c r="O1522" s="282"/>
      <c r="P1522" s="269"/>
      <c r="Q1522" s="269"/>
      <c r="R1522" s="269"/>
      <c r="S1522" s="282"/>
      <c r="T1522" s="269"/>
      <c r="U1522" s="269"/>
      <c r="V1522" s="269"/>
      <c r="W1522" s="269"/>
      <c r="X1522" s="31"/>
    </row>
    <row r="1523" spans="4:24" x14ac:dyDescent="0.25">
      <c r="D1523" s="31"/>
      <c r="E1523" s="31"/>
      <c r="F1523" s="31"/>
      <c r="G1523" s="31"/>
      <c r="H1523" s="31"/>
      <c r="I1523" s="31"/>
      <c r="J1523" s="31"/>
      <c r="K1523" s="31"/>
      <c r="L1523" s="269"/>
      <c r="M1523" s="269"/>
      <c r="N1523" s="269"/>
      <c r="O1523" s="282"/>
      <c r="P1523" s="269"/>
      <c r="Q1523" s="269"/>
      <c r="R1523" s="269"/>
      <c r="S1523" s="282"/>
      <c r="T1523" s="269"/>
      <c r="U1523" s="269"/>
      <c r="V1523" s="269"/>
      <c r="W1523" s="269"/>
      <c r="X1523" s="31"/>
    </row>
    <row r="1524" spans="4:24" x14ac:dyDescent="0.25">
      <c r="D1524" s="31"/>
      <c r="E1524" s="31"/>
      <c r="F1524" s="31"/>
      <c r="G1524" s="31"/>
      <c r="H1524" s="31"/>
      <c r="I1524" s="31"/>
      <c r="J1524" s="31"/>
      <c r="K1524" s="31"/>
      <c r="L1524" s="269"/>
      <c r="M1524" s="269"/>
      <c r="N1524" s="269"/>
      <c r="O1524" s="282"/>
      <c r="P1524" s="269"/>
      <c r="Q1524" s="269"/>
      <c r="R1524" s="269"/>
      <c r="S1524" s="282"/>
      <c r="T1524" s="269"/>
      <c r="U1524" s="269"/>
      <c r="V1524" s="269"/>
      <c r="W1524" s="269"/>
      <c r="X1524" s="31"/>
    </row>
    <row r="1525" spans="4:24" x14ac:dyDescent="0.25">
      <c r="D1525" s="31"/>
      <c r="E1525" s="31"/>
      <c r="F1525" s="31"/>
      <c r="G1525" s="31"/>
      <c r="H1525" s="31"/>
      <c r="I1525" s="31"/>
      <c r="J1525" s="31"/>
      <c r="K1525" s="31"/>
      <c r="L1525" s="269"/>
      <c r="M1525" s="269"/>
      <c r="N1525" s="269"/>
      <c r="O1525" s="282"/>
      <c r="P1525" s="269"/>
      <c r="Q1525" s="269"/>
      <c r="R1525" s="269"/>
      <c r="S1525" s="282"/>
      <c r="T1525" s="269"/>
      <c r="U1525" s="269"/>
      <c r="V1525" s="269"/>
      <c r="W1525" s="269"/>
      <c r="X1525" s="31"/>
    </row>
    <row r="1526" spans="4:24" x14ac:dyDescent="0.25">
      <c r="D1526" s="31"/>
      <c r="E1526" s="31"/>
      <c r="F1526" s="31"/>
      <c r="G1526" s="31"/>
      <c r="H1526" s="31"/>
      <c r="I1526" s="31"/>
      <c r="J1526" s="31"/>
      <c r="K1526" s="31"/>
      <c r="L1526" s="269"/>
      <c r="M1526" s="269"/>
      <c r="N1526" s="269"/>
      <c r="O1526" s="282"/>
      <c r="P1526" s="269"/>
      <c r="Q1526" s="269"/>
      <c r="R1526" s="269"/>
      <c r="S1526" s="282"/>
      <c r="T1526" s="269"/>
      <c r="U1526" s="269"/>
      <c r="V1526" s="269"/>
      <c r="W1526" s="269"/>
      <c r="X1526" s="31"/>
    </row>
    <row r="1527" spans="4:24" x14ac:dyDescent="0.25">
      <c r="D1527" s="31"/>
      <c r="E1527" s="31"/>
      <c r="F1527" s="31"/>
      <c r="G1527" s="31"/>
      <c r="H1527" s="31"/>
      <c r="I1527" s="31"/>
      <c r="J1527" s="31"/>
      <c r="K1527" s="31"/>
      <c r="L1527" s="269"/>
      <c r="M1527" s="269"/>
      <c r="N1527" s="269"/>
      <c r="O1527" s="282"/>
      <c r="P1527" s="269"/>
      <c r="Q1527" s="269"/>
      <c r="R1527" s="269"/>
      <c r="S1527" s="282"/>
      <c r="T1527" s="269"/>
      <c r="U1527" s="269"/>
      <c r="V1527" s="269"/>
      <c r="W1527" s="269"/>
      <c r="X1527" s="31"/>
    </row>
    <row r="1528" spans="4:24" x14ac:dyDescent="0.25">
      <c r="D1528" s="31"/>
      <c r="E1528" s="31"/>
      <c r="F1528" s="31"/>
      <c r="G1528" s="31"/>
      <c r="H1528" s="31"/>
      <c r="I1528" s="31"/>
      <c r="J1528" s="31"/>
      <c r="K1528" s="31"/>
      <c r="L1528" s="269"/>
      <c r="M1528" s="269"/>
      <c r="N1528" s="269"/>
      <c r="O1528" s="282"/>
      <c r="P1528" s="269"/>
      <c r="Q1528" s="269"/>
      <c r="R1528" s="269"/>
      <c r="S1528" s="282"/>
      <c r="T1528" s="269"/>
      <c r="U1528" s="269"/>
      <c r="V1528" s="269"/>
      <c r="W1528" s="269"/>
      <c r="X1528" s="31"/>
    </row>
    <row r="1529" spans="4:24" x14ac:dyDescent="0.25">
      <c r="D1529" s="31"/>
      <c r="E1529" s="31"/>
      <c r="F1529" s="31"/>
      <c r="G1529" s="31"/>
      <c r="H1529" s="31"/>
      <c r="I1529" s="31"/>
      <c r="J1529" s="31"/>
      <c r="K1529" s="31"/>
      <c r="L1529" s="269"/>
      <c r="M1529" s="269"/>
      <c r="N1529" s="269"/>
      <c r="O1529" s="282"/>
      <c r="P1529" s="269"/>
      <c r="Q1529" s="269"/>
      <c r="R1529" s="269"/>
      <c r="S1529" s="282"/>
      <c r="T1529" s="269"/>
      <c r="U1529" s="269"/>
      <c r="V1529" s="269"/>
      <c r="W1529" s="269"/>
      <c r="X1529" s="31"/>
    </row>
    <row r="1530" spans="4:24" x14ac:dyDescent="0.25">
      <c r="D1530" s="31"/>
      <c r="E1530" s="31"/>
      <c r="F1530" s="31"/>
      <c r="G1530" s="31"/>
      <c r="H1530" s="31"/>
      <c r="I1530" s="31"/>
      <c r="J1530" s="31"/>
      <c r="K1530" s="31"/>
      <c r="L1530" s="269"/>
      <c r="M1530" s="269"/>
      <c r="N1530" s="269"/>
      <c r="O1530" s="282"/>
      <c r="P1530" s="269"/>
      <c r="Q1530" s="269"/>
      <c r="R1530" s="269"/>
      <c r="S1530" s="282"/>
      <c r="T1530" s="269"/>
      <c r="U1530" s="269"/>
      <c r="V1530" s="269"/>
      <c r="W1530" s="269"/>
      <c r="X1530" s="31"/>
    </row>
    <row r="1531" spans="4:24" x14ac:dyDescent="0.25">
      <c r="D1531" s="31"/>
      <c r="E1531" s="31"/>
      <c r="F1531" s="31"/>
      <c r="G1531" s="31"/>
      <c r="H1531" s="31"/>
      <c r="I1531" s="31"/>
      <c r="J1531" s="31"/>
      <c r="K1531" s="31"/>
      <c r="L1531" s="269"/>
      <c r="M1531" s="269"/>
      <c r="N1531" s="269"/>
      <c r="O1531" s="282"/>
      <c r="P1531" s="269"/>
      <c r="Q1531" s="269"/>
      <c r="R1531" s="269"/>
      <c r="S1531" s="282"/>
      <c r="T1531" s="269"/>
      <c r="U1531" s="269"/>
      <c r="V1531" s="269"/>
      <c r="W1531" s="269"/>
      <c r="X1531" s="31"/>
    </row>
    <row r="1532" spans="4:24" x14ac:dyDescent="0.25">
      <c r="D1532" s="31"/>
      <c r="E1532" s="31"/>
      <c r="F1532" s="31"/>
      <c r="G1532" s="31"/>
      <c r="H1532" s="31"/>
      <c r="I1532" s="31"/>
      <c r="J1532" s="31"/>
      <c r="K1532" s="31"/>
      <c r="L1532" s="269"/>
      <c r="M1532" s="269"/>
      <c r="N1532" s="269"/>
      <c r="O1532" s="282"/>
      <c r="P1532" s="269"/>
      <c r="Q1532" s="269"/>
      <c r="R1532" s="269"/>
      <c r="S1532" s="282"/>
      <c r="T1532" s="269"/>
      <c r="U1532" s="269"/>
      <c r="V1532" s="269"/>
      <c r="W1532" s="269"/>
      <c r="X1532" s="31"/>
    </row>
    <row r="1533" spans="4:24" x14ac:dyDescent="0.25">
      <c r="D1533" s="31"/>
      <c r="E1533" s="31"/>
      <c r="F1533" s="31"/>
      <c r="G1533" s="31"/>
      <c r="H1533" s="31"/>
      <c r="I1533" s="31"/>
      <c r="J1533" s="31"/>
      <c r="K1533" s="31"/>
      <c r="L1533" s="269"/>
      <c r="M1533" s="269"/>
      <c r="N1533" s="269"/>
      <c r="O1533" s="282"/>
      <c r="P1533" s="269"/>
      <c r="Q1533" s="269"/>
      <c r="R1533" s="269"/>
      <c r="S1533" s="282"/>
      <c r="T1533" s="269"/>
      <c r="U1533" s="269"/>
      <c r="V1533" s="269"/>
      <c r="W1533" s="269"/>
      <c r="X1533" s="31"/>
    </row>
    <row r="1534" spans="4:24" x14ac:dyDescent="0.25">
      <c r="D1534" s="31"/>
      <c r="E1534" s="31"/>
      <c r="F1534" s="31"/>
      <c r="G1534" s="31"/>
      <c r="H1534" s="31"/>
      <c r="I1534" s="31"/>
      <c r="J1534" s="31"/>
      <c r="K1534" s="31"/>
      <c r="L1534" s="269"/>
      <c r="M1534" s="269"/>
      <c r="N1534" s="269"/>
      <c r="O1534" s="282"/>
      <c r="P1534" s="269"/>
      <c r="Q1534" s="269"/>
      <c r="R1534" s="269"/>
      <c r="S1534" s="282"/>
      <c r="T1534" s="269"/>
      <c r="U1534" s="269"/>
      <c r="V1534" s="269"/>
      <c r="W1534" s="269"/>
      <c r="X1534" s="31"/>
    </row>
    <row r="1535" spans="4:24" x14ac:dyDescent="0.25">
      <c r="D1535" s="31"/>
      <c r="E1535" s="31"/>
      <c r="F1535" s="31"/>
      <c r="G1535" s="31"/>
      <c r="H1535" s="31"/>
      <c r="I1535" s="31"/>
      <c r="J1535" s="31"/>
      <c r="K1535" s="31"/>
      <c r="L1535" s="269"/>
      <c r="M1535" s="269"/>
      <c r="N1535" s="269"/>
      <c r="O1535" s="282"/>
      <c r="P1535" s="269"/>
      <c r="Q1535" s="269"/>
      <c r="R1535" s="269"/>
      <c r="S1535" s="282"/>
      <c r="T1535" s="269"/>
      <c r="U1535" s="269"/>
      <c r="V1535" s="269"/>
      <c r="W1535" s="269"/>
      <c r="X1535" s="31"/>
    </row>
    <row r="1536" spans="4:24" x14ac:dyDescent="0.25">
      <c r="D1536" s="31"/>
      <c r="E1536" s="31"/>
      <c r="F1536" s="31"/>
      <c r="G1536" s="31"/>
      <c r="H1536" s="31"/>
      <c r="I1536" s="31"/>
      <c r="J1536" s="31"/>
      <c r="K1536" s="31"/>
      <c r="L1536" s="269"/>
      <c r="M1536" s="269"/>
      <c r="N1536" s="269"/>
      <c r="O1536" s="282"/>
      <c r="P1536" s="269"/>
      <c r="Q1536" s="269"/>
      <c r="R1536" s="269"/>
      <c r="S1536" s="282"/>
      <c r="T1536" s="269"/>
      <c r="U1536" s="269"/>
      <c r="V1536" s="269"/>
      <c r="W1536" s="269"/>
      <c r="X1536" s="31"/>
    </row>
    <row r="1537" spans="4:24" x14ac:dyDescent="0.25">
      <c r="D1537" s="31"/>
      <c r="E1537" s="31"/>
      <c r="F1537" s="31"/>
      <c r="G1537" s="31"/>
      <c r="H1537" s="31"/>
      <c r="I1537" s="31"/>
      <c r="J1537" s="31"/>
      <c r="K1537" s="31"/>
      <c r="L1537" s="269"/>
      <c r="M1537" s="269"/>
      <c r="N1537" s="269"/>
      <c r="O1537" s="282"/>
      <c r="P1537" s="269"/>
      <c r="Q1537" s="269"/>
      <c r="R1537" s="269"/>
      <c r="S1537" s="282"/>
      <c r="T1537" s="269"/>
      <c r="U1537" s="269"/>
      <c r="V1537" s="269"/>
      <c r="W1537" s="269"/>
      <c r="X1537" s="31"/>
    </row>
    <row r="1538" spans="4:24" x14ac:dyDescent="0.25">
      <c r="D1538" s="31"/>
      <c r="E1538" s="31"/>
      <c r="F1538" s="31"/>
      <c r="G1538" s="31"/>
      <c r="H1538" s="31"/>
      <c r="I1538" s="31"/>
      <c r="J1538" s="31"/>
      <c r="K1538" s="31"/>
      <c r="L1538" s="269"/>
      <c r="M1538" s="269"/>
      <c r="N1538" s="269"/>
      <c r="O1538" s="282"/>
      <c r="P1538" s="269"/>
      <c r="Q1538" s="269"/>
      <c r="R1538" s="269"/>
      <c r="S1538" s="282"/>
      <c r="T1538" s="269"/>
      <c r="U1538" s="269"/>
      <c r="V1538" s="269"/>
      <c r="W1538" s="269"/>
      <c r="X1538" s="31"/>
    </row>
    <row r="1539" spans="4:24" x14ac:dyDescent="0.25">
      <c r="D1539" s="31"/>
      <c r="E1539" s="31"/>
      <c r="F1539" s="31"/>
      <c r="G1539" s="31"/>
      <c r="H1539" s="31"/>
      <c r="I1539" s="31"/>
      <c r="J1539" s="31"/>
      <c r="K1539" s="31"/>
      <c r="L1539" s="269"/>
      <c r="M1539" s="269"/>
      <c r="N1539" s="269"/>
      <c r="O1539" s="282"/>
      <c r="P1539" s="269"/>
      <c r="Q1539" s="269"/>
      <c r="R1539" s="269"/>
      <c r="S1539" s="282"/>
      <c r="T1539" s="269"/>
      <c r="U1539" s="269"/>
      <c r="V1539" s="269"/>
      <c r="W1539" s="269"/>
      <c r="X1539" s="31"/>
    </row>
    <row r="1540" spans="4:24" x14ac:dyDescent="0.25">
      <c r="D1540" s="31"/>
      <c r="E1540" s="31"/>
      <c r="F1540" s="31"/>
      <c r="G1540" s="31"/>
      <c r="H1540" s="31"/>
      <c r="I1540" s="31"/>
      <c r="J1540" s="31"/>
      <c r="K1540" s="31"/>
      <c r="L1540" s="269"/>
      <c r="M1540" s="269"/>
      <c r="N1540" s="269"/>
      <c r="O1540" s="282"/>
      <c r="P1540" s="269"/>
      <c r="Q1540" s="269"/>
      <c r="R1540" s="269"/>
      <c r="S1540" s="282"/>
      <c r="T1540" s="269"/>
      <c r="U1540" s="269"/>
      <c r="V1540" s="269"/>
      <c r="W1540" s="269"/>
      <c r="X1540" s="31"/>
    </row>
    <row r="1541" spans="4:24" x14ac:dyDescent="0.25">
      <c r="D1541" s="31"/>
      <c r="E1541" s="31"/>
      <c r="F1541" s="31"/>
      <c r="G1541" s="31"/>
      <c r="H1541" s="31"/>
      <c r="I1541" s="31"/>
      <c r="J1541" s="31"/>
      <c r="K1541" s="31"/>
      <c r="L1541" s="269"/>
      <c r="M1541" s="269"/>
      <c r="N1541" s="269"/>
      <c r="O1541" s="282"/>
      <c r="P1541" s="269"/>
      <c r="Q1541" s="269"/>
      <c r="R1541" s="269"/>
      <c r="S1541" s="282"/>
      <c r="T1541" s="269"/>
      <c r="U1541" s="269"/>
      <c r="V1541" s="269"/>
      <c r="W1541" s="269"/>
      <c r="X1541" s="31"/>
    </row>
    <row r="1542" spans="4:24" x14ac:dyDescent="0.25">
      <c r="D1542" s="31"/>
      <c r="E1542" s="31"/>
      <c r="F1542" s="31"/>
      <c r="G1542" s="31"/>
      <c r="H1542" s="31"/>
      <c r="I1542" s="31"/>
      <c r="J1542" s="31"/>
      <c r="K1542" s="31"/>
      <c r="L1542" s="269"/>
      <c r="M1542" s="269"/>
      <c r="N1542" s="269"/>
      <c r="O1542" s="282"/>
      <c r="P1542" s="269"/>
      <c r="Q1542" s="269"/>
      <c r="R1542" s="269"/>
      <c r="S1542" s="282"/>
      <c r="T1542" s="269"/>
      <c r="U1542" s="269"/>
      <c r="V1542" s="269"/>
      <c r="W1542" s="269"/>
      <c r="X1542" s="31"/>
    </row>
    <row r="1543" spans="4:24" x14ac:dyDescent="0.25">
      <c r="D1543" s="31"/>
      <c r="E1543" s="31"/>
      <c r="F1543" s="31"/>
      <c r="G1543" s="31"/>
      <c r="H1543" s="31"/>
      <c r="I1543" s="31"/>
      <c r="J1543" s="31"/>
      <c r="K1543" s="31"/>
      <c r="L1543" s="269"/>
      <c r="M1543" s="269"/>
      <c r="N1543" s="269"/>
      <c r="O1543" s="282"/>
      <c r="P1543" s="269"/>
      <c r="Q1543" s="269"/>
      <c r="R1543" s="269"/>
      <c r="S1543" s="282"/>
      <c r="T1543" s="269"/>
      <c r="U1543" s="269"/>
      <c r="V1543" s="269"/>
      <c r="W1543" s="269"/>
      <c r="X1543" s="31"/>
    </row>
    <row r="1544" spans="4:24" x14ac:dyDescent="0.25">
      <c r="D1544" s="31"/>
      <c r="E1544" s="31"/>
      <c r="F1544" s="31"/>
      <c r="G1544" s="31"/>
      <c r="H1544" s="31"/>
      <c r="I1544" s="31"/>
      <c r="J1544" s="31"/>
      <c r="K1544" s="31"/>
      <c r="L1544" s="269"/>
      <c r="M1544" s="269"/>
      <c r="N1544" s="269"/>
      <c r="O1544" s="282"/>
      <c r="P1544" s="269"/>
      <c r="Q1544" s="269"/>
      <c r="R1544" s="269"/>
      <c r="S1544" s="282"/>
      <c r="T1544" s="269"/>
      <c r="U1544" s="269"/>
      <c r="V1544" s="269"/>
      <c r="W1544" s="269"/>
      <c r="X1544" s="31"/>
    </row>
    <row r="1545" spans="4:24" x14ac:dyDescent="0.25">
      <c r="D1545" s="31"/>
      <c r="E1545" s="31"/>
      <c r="F1545" s="31"/>
      <c r="G1545" s="31"/>
      <c r="H1545" s="31"/>
      <c r="I1545" s="31"/>
      <c r="J1545" s="31"/>
      <c r="K1545" s="31"/>
      <c r="L1545" s="269"/>
      <c r="M1545" s="269"/>
      <c r="N1545" s="269"/>
      <c r="O1545" s="282"/>
      <c r="P1545" s="269"/>
      <c r="Q1545" s="269"/>
      <c r="R1545" s="269"/>
      <c r="S1545" s="282"/>
      <c r="T1545" s="269"/>
      <c r="U1545" s="269"/>
      <c r="V1545" s="269"/>
      <c r="W1545" s="269"/>
      <c r="X1545" s="31"/>
    </row>
    <row r="1546" spans="4:24" x14ac:dyDescent="0.25">
      <c r="D1546" s="31"/>
      <c r="E1546" s="31"/>
      <c r="F1546" s="31"/>
      <c r="G1546" s="31"/>
      <c r="H1546" s="31"/>
      <c r="I1546" s="31"/>
      <c r="J1546" s="31"/>
      <c r="K1546" s="31"/>
      <c r="L1546" s="269"/>
      <c r="M1546" s="269"/>
      <c r="N1546" s="269"/>
      <c r="O1546" s="282"/>
      <c r="P1546" s="269"/>
      <c r="Q1546" s="269"/>
      <c r="R1546" s="269"/>
      <c r="S1546" s="282"/>
      <c r="T1546" s="269"/>
      <c r="U1546" s="269"/>
      <c r="V1546" s="269"/>
      <c r="W1546" s="269"/>
      <c r="X1546" s="31"/>
    </row>
    <row r="1547" spans="4:24" x14ac:dyDescent="0.25">
      <c r="D1547" s="31"/>
      <c r="E1547" s="31"/>
      <c r="F1547" s="31"/>
      <c r="G1547" s="31"/>
      <c r="H1547" s="31"/>
      <c r="I1547" s="31"/>
      <c r="J1547" s="31"/>
      <c r="K1547" s="31"/>
      <c r="L1547" s="269"/>
      <c r="M1547" s="269"/>
      <c r="N1547" s="269"/>
      <c r="O1547" s="282"/>
      <c r="P1547" s="269"/>
      <c r="Q1547" s="269"/>
      <c r="R1547" s="269"/>
      <c r="S1547" s="282"/>
      <c r="T1547" s="269"/>
      <c r="U1547" s="269"/>
      <c r="V1547" s="269"/>
      <c r="W1547" s="269"/>
      <c r="X1547" s="31"/>
    </row>
  </sheetData>
  <mergeCells count="64">
    <mergeCell ref="X47:Z47"/>
    <mergeCell ref="X53:Z53"/>
    <mergeCell ref="X60:Z60"/>
    <mergeCell ref="X7:Z7"/>
    <mergeCell ref="X21:Z21"/>
    <mergeCell ref="X26:Z26"/>
    <mergeCell ref="X33:Z33"/>
    <mergeCell ref="X39:Z39"/>
    <mergeCell ref="X5:Z5"/>
    <mergeCell ref="B67:J67"/>
    <mergeCell ref="L67:N67"/>
    <mergeCell ref="P67:R67"/>
    <mergeCell ref="T67:V67"/>
    <mergeCell ref="B53:J53"/>
    <mergeCell ref="L53:N53"/>
    <mergeCell ref="P53:R53"/>
    <mergeCell ref="T53:V53"/>
    <mergeCell ref="B58:C58"/>
    <mergeCell ref="B47:J47"/>
    <mergeCell ref="L47:N47"/>
    <mergeCell ref="P47:R47"/>
    <mergeCell ref="T47:V47"/>
    <mergeCell ref="B51:C51"/>
    <mergeCell ref="B39:J39"/>
    <mergeCell ref="B72:C72"/>
    <mergeCell ref="B60:J60"/>
    <mergeCell ref="L60:N60"/>
    <mergeCell ref="P60:R60"/>
    <mergeCell ref="T60:V60"/>
    <mergeCell ref="B65:C65"/>
    <mergeCell ref="L39:N39"/>
    <mergeCell ref="P39:R39"/>
    <mergeCell ref="T39:V39"/>
    <mergeCell ref="B45:C45"/>
    <mergeCell ref="L33:N33"/>
    <mergeCell ref="P33:R33"/>
    <mergeCell ref="T33:V33"/>
    <mergeCell ref="B37:C37"/>
    <mergeCell ref="L38:N38"/>
    <mergeCell ref="L44:N44"/>
    <mergeCell ref="D2:N2"/>
    <mergeCell ref="T7:V7"/>
    <mergeCell ref="T26:V26"/>
    <mergeCell ref="L31:N31"/>
    <mergeCell ref="T21:V21"/>
    <mergeCell ref="L26:N26"/>
    <mergeCell ref="P26:R26"/>
    <mergeCell ref="P7:R7"/>
    <mergeCell ref="B25:C25"/>
    <mergeCell ref="B26:C26"/>
    <mergeCell ref="B27:C27"/>
    <mergeCell ref="AB75:AD75"/>
    <mergeCell ref="B7:I7"/>
    <mergeCell ref="B19:I19"/>
    <mergeCell ref="B28:C28"/>
    <mergeCell ref="L7:N19"/>
    <mergeCell ref="L52:N52"/>
    <mergeCell ref="L59:N59"/>
    <mergeCell ref="L66:N66"/>
    <mergeCell ref="L73:N73"/>
    <mergeCell ref="X75:Z75"/>
    <mergeCell ref="B16:C16"/>
    <mergeCell ref="L21:N21"/>
    <mergeCell ref="P21:R21"/>
  </mergeCells>
  <phoneticPr fontId="25" type="noConversion"/>
  <conditionalFormatting sqref="D35:J37 D41:J45 D49:J51 D55:J58 D62:J65 D69:J72 J19 D16:J18 D9:I15">
    <cfRule type="cellIs" dxfId="1455" priority="27" operator="lessThan">
      <formula>-0.03</formula>
    </cfRule>
    <cfRule type="cellIs" dxfId="1454" priority="28" operator="greaterThan">
      <formula>0.03</formula>
    </cfRule>
  </conditionalFormatting>
  <conditionalFormatting sqref="R9:R19 R23:R24 R28:R31 R35:R37 R41:R45 V9:V19 V23:V24 V28:V31 V35:V37 V41:V45 R49:R51 V49:V51 R55:R58 V55:V58 R62:R65 V62:V65 R69:R72 V69:V72">
    <cfRule type="cellIs" dxfId="1453" priority="21" operator="lessThan">
      <formula>-0.03</formula>
    </cfRule>
    <cfRule type="cellIs" dxfId="1452" priority="22" operator="greaterThan">
      <formula>0.03</formula>
    </cfRule>
  </conditionalFormatting>
  <conditionalFormatting sqref="Z9:Z19 Z23:Z24 Z28:Z31 Z35:Z37 Z41:Z45 Z49:Z51 Z55:Z58 Z62:Z64">
    <cfRule type="cellIs" dxfId="1451" priority="19" operator="lessThan">
      <formula>-0.03</formula>
    </cfRule>
    <cfRule type="cellIs" dxfId="1450" priority="20" operator="greaterThan">
      <formula>0.03</formula>
    </cfRule>
  </conditionalFormatting>
  <conditionalFormatting sqref="Z70:Z73 AD70:AD73 Z77:Z80 AD77:AD80">
    <cfRule type="cellIs" dxfId="1449" priority="17" operator="lessThan">
      <formula>-0.03</formula>
    </cfRule>
    <cfRule type="cellIs" dxfId="1448" priority="18" operator="greaterThan">
      <formula>0.03</formula>
    </cfRule>
  </conditionalFormatting>
  <conditionalFormatting sqref="D23:I24 D28:I28 I21:I22">
    <cfRule type="cellIs" dxfId="1447" priority="15" operator="lessThan">
      <formula>-0.03</formula>
    </cfRule>
    <cfRule type="cellIs" dxfId="1446" priority="16" operator="greaterThan">
      <formula>0.03</formula>
    </cfRule>
  </conditionalFormatting>
  <conditionalFormatting sqref="D25:I27">
    <cfRule type="cellIs" dxfId="1445" priority="13" operator="lessThan">
      <formula>-0.03</formula>
    </cfRule>
    <cfRule type="cellIs" dxfId="1444" priority="14" operator="greaterThan">
      <formula>0.03</formula>
    </cfRule>
  </conditionalFormatting>
  <conditionalFormatting sqref="D21:H21">
    <cfRule type="cellIs" dxfId="1443" priority="3" operator="lessThan">
      <formula>-0.03</formula>
    </cfRule>
    <cfRule type="cellIs" dxfId="1442" priority="4" operator="greaterThan">
      <formula>0.03</formula>
    </cfRule>
  </conditionalFormatting>
  <conditionalFormatting sqref="D22:H22">
    <cfRule type="cellIs" dxfId="1441" priority="1" operator="lessThan">
      <formula>-0.03</formula>
    </cfRule>
    <cfRule type="cellIs" dxfId="144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221"/>
  <sheetViews>
    <sheetView topLeftCell="A28" zoomScaleNormal="100" workbookViewId="0">
      <selection activeCell="M42" sqref="M42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1992187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19921875" bestFit="1" customWidth="1"/>
    <col min="26" max="26" width="5.19921875" bestFit="1" customWidth="1"/>
    <col min="27" max="27" width="1.69921875" bestFit="1" customWidth="1"/>
    <col min="28" max="28" width="8.19921875" style="155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5" t="s">
        <v>33</v>
      </c>
      <c r="AF1" s="15" t="s">
        <v>33</v>
      </c>
    </row>
    <row r="2" spans="1:32" x14ac:dyDescent="0.25">
      <c r="B2" s="325" t="str">
        <f>'Summary (auto)'!B3</f>
        <v>Anchor</v>
      </c>
      <c r="C2" s="325"/>
      <c r="D2" s="325"/>
      <c r="E2" s="158"/>
      <c r="F2" s="325" t="str">
        <f>'Summary (auto)'!B4</f>
        <v>Proposal</v>
      </c>
      <c r="G2" s="325"/>
      <c r="H2" s="325"/>
      <c r="I2" s="155"/>
      <c r="J2" s="156" t="s">
        <v>34</v>
      </c>
      <c r="K2" s="155"/>
      <c r="L2" s="314" t="s">
        <v>35</v>
      </c>
      <c r="M2" s="313"/>
      <c r="N2" s="313"/>
      <c r="O2" s="155"/>
      <c r="P2" s="156" t="s">
        <v>36</v>
      </c>
      <c r="U2" s="156"/>
      <c r="V2" s="156"/>
    </row>
    <row r="3" spans="1:32" ht="16.5" customHeight="1" thickBot="1" x14ac:dyDescent="0.3">
      <c r="A3" s="291" t="s">
        <v>0</v>
      </c>
      <c r="B3" s="158"/>
      <c r="C3" s="158"/>
      <c r="D3" s="158"/>
      <c r="E3" s="158"/>
      <c r="F3" s="158"/>
      <c r="G3" s="158"/>
      <c r="H3" s="158"/>
      <c r="I3" s="155"/>
      <c r="J3" s="155"/>
      <c r="K3" s="292" t="s">
        <v>0</v>
      </c>
      <c r="L3" s="137" t="s">
        <v>37</v>
      </c>
      <c r="M3" s="137" t="s">
        <v>38</v>
      </c>
      <c r="N3" s="155"/>
      <c r="O3" s="292" t="s">
        <v>0</v>
      </c>
      <c r="P3" s="155"/>
      <c r="U3" s="291" t="s">
        <v>0</v>
      </c>
      <c r="W3" s="291" t="s">
        <v>0</v>
      </c>
    </row>
    <row r="4" spans="1:32" x14ac:dyDescent="0.25">
      <c r="B4" s="315" t="s">
        <v>14</v>
      </c>
      <c r="C4" s="316"/>
      <c r="D4" s="317"/>
      <c r="E4" s="166"/>
      <c r="F4" s="315" t="str">
        <f>B4</f>
        <v>M_CG1</v>
      </c>
      <c r="G4" s="316"/>
      <c r="H4" s="317"/>
      <c r="I4" s="155"/>
      <c r="J4" s="159"/>
      <c r="K4" s="155"/>
      <c r="L4" s="318" t="str">
        <f>F4</f>
        <v>M_CG1</v>
      </c>
      <c r="M4" s="319"/>
      <c r="N4" s="320"/>
      <c r="O4" s="155"/>
      <c r="P4" s="159"/>
      <c r="U4" s="155"/>
      <c r="V4" s="155"/>
    </row>
    <row r="5" spans="1:32" x14ac:dyDescent="0.25">
      <c r="B5" s="321" t="s">
        <v>39</v>
      </c>
      <c r="C5" s="322"/>
      <c r="D5" s="116" t="s">
        <v>40</v>
      </c>
      <c r="E5" s="157"/>
      <c r="F5" s="321" t="s">
        <v>39</v>
      </c>
      <c r="G5" s="322"/>
      <c r="H5" s="116" t="s">
        <v>40</v>
      </c>
      <c r="I5" s="155"/>
      <c r="J5" s="160" t="s">
        <v>41</v>
      </c>
      <c r="K5" s="155"/>
      <c r="L5" s="323" t="s">
        <v>42</v>
      </c>
      <c r="M5" s="313"/>
      <c r="N5" s="324"/>
      <c r="O5" s="155"/>
      <c r="P5" s="7"/>
      <c r="R5" s="112"/>
      <c r="U5" s="156"/>
      <c r="V5" s="156"/>
    </row>
    <row r="6" spans="1:32" x14ac:dyDescent="0.25">
      <c r="B6" s="293" t="s">
        <v>2</v>
      </c>
      <c r="C6" s="177" t="s">
        <v>43</v>
      </c>
      <c r="D6" s="115" t="s">
        <v>44</v>
      </c>
      <c r="E6" s="117"/>
      <c r="F6" s="293" t="s">
        <v>2</v>
      </c>
      <c r="G6" s="177" t="s">
        <v>43</v>
      </c>
      <c r="H6" s="115" t="s">
        <v>44</v>
      </c>
      <c r="I6" s="113"/>
      <c r="J6" s="125"/>
      <c r="K6" s="155"/>
      <c r="L6" s="294" t="str">
        <f>CONCATENATE(B$2," ",L4)</f>
        <v>Anchor M_CG1</v>
      </c>
      <c r="M6" s="295" t="str">
        <f>CONCATENATE(F$2," ",L4)</f>
        <v>Proposal M_CG1</v>
      </c>
      <c r="N6" s="296" t="s">
        <v>45</v>
      </c>
      <c r="O6" s="155"/>
      <c r="P6" s="7" t="s">
        <v>36</v>
      </c>
      <c r="Q6" s="6"/>
      <c r="R6" s="6"/>
      <c r="S6" s="6"/>
      <c r="T6" s="6"/>
      <c r="U6" s="6"/>
      <c r="V6" s="6"/>
    </row>
    <row r="7" spans="1:32" x14ac:dyDescent="0.25">
      <c r="B7" s="166" t="str">
        <f>B4</f>
        <v>M_CG1</v>
      </c>
      <c r="C7" s="177" t="s">
        <v>46</v>
      </c>
      <c r="D7" s="118" t="e">
        <f ca="1">0.001*INDIRECT($B7&amp;"!E5")</f>
        <v>#REF!</v>
      </c>
      <c r="E7" s="32"/>
      <c r="F7" s="166" t="str">
        <f>F4</f>
        <v>M_CG1</v>
      </c>
      <c r="G7" s="177" t="s">
        <v>46</v>
      </c>
      <c r="H7" s="118" t="e">
        <f ca="1">0.001*INDIRECT($B7&amp;"!W5")</f>
        <v>#REF!</v>
      </c>
      <c r="I7" s="14"/>
      <c r="J7" s="33" t="e">
        <f ca="1">H7/D7-1</f>
        <v>#REF!</v>
      </c>
      <c r="L7" s="126" t="e">
        <f ca="1">INDIRECT($B7&amp;"!"&amp;L$3&amp;"5")</f>
        <v>#REF!</v>
      </c>
      <c r="M7" s="127" t="e">
        <f ca="1">INDIRECT($B7&amp;"!"&amp;M$3&amp;"5")</f>
        <v>#REF!</v>
      </c>
      <c r="N7" s="128" t="e">
        <f ca="1">M7-L7</f>
        <v>#REF!</v>
      </c>
      <c r="O7" s="32"/>
      <c r="P7" s="33" t="e">
        <f ca="1">bdrate(D7:D11,L7:L11,H7:H11,M7:M11)</f>
        <v>#VALUE!</v>
      </c>
      <c r="Q7" s="32"/>
      <c r="R7" s="14"/>
      <c r="S7" s="14"/>
      <c r="T7" s="14"/>
      <c r="U7" s="14"/>
      <c r="V7" s="107"/>
    </row>
    <row r="8" spans="1:32" x14ac:dyDescent="0.25">
      <c r="B8" s="166" t="str">
        <f>B7</f>
        <v>M_CG1</v>
      </c>
      <c r="C8" s="177" t="s">
        <v>47</v>
      </c>
      <c r="D8" s="118" t="e">
        <f ca="1">0.001*INDIRECT($B8&amp;"!E6")</f>
        <v>#REF!</v>
      </c>
      <c r="E8" s="32"/>
      <c r="F8" s="166" t="str">
        <f>F7</f>
        <v>M_CG1</v>
      </c>
      <c r="G8" s="177" t="s">
        <v>47</v>
      </c>
      <c r="H8" s="118" t="e">
        <f ca="1">0.001*INDIRECT($B8&amp;"!W6")</f>
        <v>#REF!</v>
      </c>
      <c r="I8" s="14"/>
      <c r="J8" s="33" t="e">
        <f ca="1">H8/D8-1</f>
        <v>#REF!</v>
      </c>
      <c r="L8" s="126" t="e">
        <f ca="1">INDIRECT($B8&amp;"!"&amp;L$3&amp;"6")</f>
        <v>#REF!</v>
      </c>
      <c r="M8" s="127" t="e">
        <f ca="1">INDIRECT($B8&amp;"!"&amp;M$3&amp;"6")</f>
        <v>#REF!</v>
      </c>
      <c r="N8" s="128" t="e">
        <f ca="1">M8-L8</f>
        <v>#REF!</v>
      </c>
      <c r="O8" s="32"/>
      <c r="P8" s="7"/>
      <c r="Q8" s="32"/>
      <c r="R8" s="14"/>
      <c r="S8" s="14"/>
      <c r="T8" s="14"/>
      <c r="U8" s="14"/>
      <c r="V8" s="107"/>
    </row>
    <row r="9" spans="1:32" x14ac:dyDescent="0.25">
      <c r="B9" s="166" t="str">
        <f>B8</f>
        <v>M_CG1</v>
      </c>
      <c r="C9" s="177" t="s">
        <v>48</v>
      </c>
      <c r="D9" s="118" t="e">
        <f ca="1">0.001*INDIRECT($B9&amp;"!E7")</f>
        <v>#REF!</v>
      </c>
      <c r="E9" s="32"/>
      <c r="F9" s="166" t="str">
        <f>F8</f>
        <v>M_CG1</v>
      </c>
      <c r="G9" s="177" t="s">
        <v>48</v>
      </c>
      <c r="H9" s="118" t="e">
        <f ca="1">0.001*INDIRECT($B9&amp;"!W7")</f>
        <v>#REF!</v>
      </c>
      <c r="I9" s="14"/>
      <c r="J9" s="33" t="e">
        <f ca="1">H9/D9-1</f>
        <v>#REF!</v>
      </c>
      <c r="L9" s="126" t="e">
        <f ca="1">INDIRECT($B9&amp;"!"&amp;L$3&amp;"7")</f>
        <v>#REF!</v>
      </c>
      <c r="M9" s="127" t="e">
        <f ca="1">INDIRECT($B9&amp;"!"&amp;M$3&amp;"7")</f>
        <v>#REF!</v>
      </c>
      <c r="N9" s="128" t="e">
        <f ca="1">M9-L9</f>
        <v>#REF!</v>
      </c>
      <c r="O9" s="32"/>
      <c r="P9" s="7" t="s">
        <v>49</v>
      </c>
      <c r="Q9" s="32"/>
      <c r="R9" s="14"/>
      <c r="S9" s="14"/>
      <c r="T9" s="14"/>
      <c r="U9" s="14"/>
      <c r="V9" s="107"/>
    </row>
    <row r="10" spans="1:32" x14ac:dyDescent="0.25">
      <c r="B10" s="166" t="str">
        <f>B9</f>
        <v>M_CG1</v>
      </c>
      <c r="C10" s="177" t="s">
        <v>50</v>
      </c>
      <c r="D10" s="118" t="e">
        <f ca="1">0.001*INDIRECT($B10&amp;"!E8")</f>
        <v>#REF!</v>
      </c>
      <c r="E10" s="32"/>
      <c r="F10" s="166" t="str">
        <f>F9</f>
        <v>M_CG1</v>
      </c>
      <c r="G10" s="177" t="s">
        <v>50</v>
      </c>
      <c r="H10" s="118" t="e">
        <f ca="1">0.001*INDIRECT($B10&amp;"!W8")</f>
        <v>#REF!</v>
      </c>
      <c r="I10" s="14"/>
      <c r="J10" s="33" t="e">
        <f ca="1">H10/D10-1</f>
        <v>#REF!</v>
      </c>
      <c r="L10" s="126" t="e">
        <f ca="1">INDIRECT($B10&amp;"!"&amp;L$3&amp;"8")</f>
        <v>#REF!</v>
      </c>
      <c r="M10" s="127" t="e">
        <f ca="1">INDIRECT($B10&amp;"!"&amp;M$3&amp;"8")</f>
        <v>#REF!</v>
      </c>
      <c r="N10" s="128" t="e">
        <f ca="1">M10-L10</f>
        <v>#REF!</v>
      </c>
      <c r="O10" s="32"/>
      <c r="P10" s="268" t="e">
        <f ca="1">bdrate(L7:L11,D7:D11,M7:M11,H7:H11)</f>
        <v>#VALUE!</v>
      </c>
      <c r="Q10" s="32"/>
      <c r="R10" s="14"/>
      <c r="S10" s="14"/>
      <c r="T10" s="14"/>
      <c r="U10" s="14"/>
      <c r="V10" s="107"/>
    </row>
    <row r="11" spans="1:32" ht="16.5" customHeight="1" thickBot="1" x14ac:dyDescent="0.3">
      <c r="B11" s="120" t="str">
        <f>B10</f>
        <v>M_CG1</v>
      </c>
      <c r="C11" s="178" t="s">
        <v>51</v>
      </c>
      <c r="D11" s="121" t="e">
        <f ca="1">0.001*INDIRECT($B11&amp;"!E9")</f>
        <v>#REF!</v>
      </c>
      <c r="E11" s="32"/>
      <c r="F11" s="120" t="str">
        <f>F10</f>
        <v>M_CG1</v>
      </c>
      <c r="G11" s="178" t="s">
        <v>51</v>
      </c>
      <c r="H11" s="118" t="e">
        <f ca="1">0.001*INDIRECT($B11&amp;"!W9")</f>
        <v>#REF!</v>
      </c>
      <c r="I11" s="14"/>
      <c r="J11" s="33" t="e">
        <f ca="1">H11/D11-1</f>
        <v>#REF!</v>
      </c>
      <c r="L11" s="126" t="e">
        <f ca="1">INDIRECT($B11&amp;"!"&amp;L$3&amp;"9")</f>
        <v>#REF!</v>
      </c>
      <c r="M11" s="127" t="e">
        <f ca="1">INDIRECT($B11&amp;"!"&amp;M$3&amp;"9")</f>
        <v>#REF!</v>
      </c>
      <c r="N11" s="129" t="e">
        <f ca="1">M11-L11</f>
        <v>#REF!</v>
      </c>
      <c r="O11" s="32"/>
      <c r="P11" s="37"/>
      <c r="Q11" s="32"/>
      <c r="R11" s="14"/>
      <c r="S11" s="14"/>
      <c r="T11" s="14"/>
      <c r="U11" s="14"/>
      <c r="V11" s="107"/>
    </row>
    <row r="12" spans="1:32" ht="16.5" customHeight="1" x14ac:dyDescent="0.25">
      <c r="B12" s="122"/>
      <c r="C12" s="153"/>
      <c r="D12" s="123"/>
      <c r="F12" s="122"/>
      <c r="G12" s="153"/>
      <c r="H12" s="123"/>
      <c r="J12" s="130" t="e">
        <f ca="1">MIN(D7:D11,H7:H11)</f>
        <v>#REF!</v>
      </c>
      <c r="L12" s="131"/>
      <c r="M12" s="132"/>
      <c r="N12" s="133"/>
      <c r="O12" s="32"/>
      <c r="P12" s="159"/>
      <c r="Q12" s="32"/>
      <c r="R12" s="14"/>
      <c r="S12" s="14"/>
      <c r="T12" s="14"/>
      <c r="U12" s="14"/>
      <c r="V12" s="110"/>
    </row>
    <row r="13" spans="1:32" ht="16.5" customHeight="1" thickBot="1" x14ac:dyDescent="0.3">
      <c r="B13" s="120"/>
      <c r="C13" s="124"/>
      <c r="D13" s="121"/>
      <c r="E13" s="119"/>
      <c r="F13" s="120"/>
      <c r="G13" s="124"/>
      <c r="H13" s="121"/>
      <c r="I13" s="114"/>
      <c r="J13" s="134" t="e">
        <f ca="1">MAX(D7:D11,H7:H11)</f>
        <v>#REF!</v>
      </c>
      <c r="K13" s="155"/>
      <c r="L13" s="135">
        <f>L12</f>
        <v>0</v>
      </c>
      <c r="M13" s="136">
        <f>M12</f>
        <v>0</v>
      </c>
      <c r="N13" s="129"/>
      <c r="O13" s="155"/>
      <c r="P13" s="10"/>
      <c r="Q13" s="32"/>
      <c r="R13" s="14"/>
      <c r="S13" s="14"/>
      <c r="T13" s="14"/>
      <c r="U13" s="14"/>
      <c r="V13" s="110"/>
    </row>
    <row r="14" spans="1:32" ht="16.5" customHeight="1" thickBot="1" x14ac:dyDescent="0.3"/>
    <row r="15" spans="1:32" x14ac:dyDescent="0.25">
      <c r="B15" s="315" t="s">
        <v>16</v>
      </c>
      <c r="C15" s="316"/>
      <c r="D15" s="317"/>
      <c r="E15" s="6"/>
      <c r="F15" s="315" t="str">
        <f>B15</f>
        <v>M_CG2</v>
      </c>
      <c r="G15" s="316"/>
      <c r="H15" s="317"/>
      <c r="I15" s="6"/>
      <c r="J15" s="159"/>
      <c r="L15" s="318" t="str">
        <f>F15</f>
        <v>M_CG2</v>
      </c>
      <c r="M15" s="319"/>
      <c r="N15" s="320"/>
      <c r="O15" s="297"/>
      <c r="P15" s="159"/>
      <c r="Q15" s="297"/>
      <c r="R15" s="297"/>
      <c r="S15" s="297"/>
      <c r="T15" s="297"/>
      <c r="U15" s="155"/>
      <c r="V15" s="155"/>
      <c r="X15" s="313"/>
      <c r="Y15" s="301"/>
      <c r="Z15" s="301"/>
    </row>
    <row r="16" spans="1:32" x14ac:dyDescent="0.25">
      <c r="B16" s="321" t="s">
        <v>39</v>
      </c>
      <c r="C16" s="322"/>
      <c r="D16" s="116" t="s">
        <v>40</v>
      </c>
      <c r="E16" s="32"/>
      <c r="F16" s="321" t="s">
        <v>39</v>
      </c>
      <c r="G16" s="322"/>
      <c r="H16" s="116" t="s">
        <v>40</v>
      </c>
      <c r="I16" s="14"/>
      <c r="J16" s="160" t="s">
        <v>41</v>
      </c>
      <c r="L16" s="323" t="s">
        <v>42</v>
      </c>
      <c r="M16" s="313"/>
      <c r="N16" s="324"/>
      <c r="O16" s="112"/>
      <c r="P16" s="7"/>
      <c r="Q16" s="112"/>
      <c r="R16" s="314"/>
      <c r="S16" s="314"/>
      <c r="T16" s="314"/>
      <c r="U16" s="156"/>
      <c r="V16" s="156"/>
      <c r="X16" s="314"/>
      <c r="Y16" s="301"/>
      <c r="Z16" s="301"/>
    </row>
    <row r="17" spans="2:28" x14ac:dyDescent="0.25">
      <c r="B17" s="293" t="s">
        <v>2</v>
      </c>
      <c r="C17" s="177" t="s">
        <v>43</v>
      </c>
      <c r="D17" s="115" t="s">
        <v>44</v>
      </c>
      <c r="E17" s="32"/>
      <c r="F17" s="293" t="s">
        <v>2</v>
      </c>
      <c r="G17" s="177" t="s">
        <v>43</v>
      </c>
      <c r="H17" s="115" t="s">
        <v>44</v>
      </c>
      <c r="I17" s="14"/>
      <c r="J17" s="125"/>
      <c r="L17" s="294" t="str">
        <f>CONCATENATE(B$2," ",L15)</f>
        <v>Anchor M_CG2</v>
      </c>
      <c r="M17" s="295" t="str">
        <f>CONCATENATE(F$2," ",L15)</f>
        <v>Proposal M_CG2</v>
      </c>
      <c r="N17" s="296" t="s">
        <v>45</v>
      </c>
      <c r="O17" s="6"/>
      <c r="P17" s="7" t="s">
        <v>36</v>
      </c>
      <c r="Q17" s="6"/>
      <c r="R17" s="6"/>
      <c r="S17" s="6"/>
      <c r="T17" s="6"/>
      <c r="U17" s="6"/>
      <c r="V17" s="6"/>
      <c r="X17" s="297"/>
      <c r="Y17" s="297"/>
      <c r="Z17" s="297"/>
    </row>
    <row r="18" spans="2:28" x14ac:dyDescent="0.25">
      <c r="B18" s="166" t="str">
        <f>B15</f>
        <v>M_CG2</v>
      </c>
      <c r="C18" s="177" t="s">
        <v>46</v>
      </c>
      <c r="D18" s="118" t="e">
        <f ca="1">0.001*INDIRECT($B18&amp;"!E5")</f>
        <v>#REF!</v>
      </c>
      <c r="E18" s="32"/>
      <c r="F18" s="166" t="str">
        <f>F15</f>
        <v>M_CG2</v>
      </c>
      <c r="G18" s="177" t="s">
        <v>46</v>
      </c>
      <c r="H18" s="118" t="e">
        <f ca="1">0.001*INDIRECT($B18&amp;"!W5")</f>
        <v>#REF!</v>
      </c>
      <c r="I18" s="14"/>
      <c r="J18" s="33" t="e">
        <f ca="1">H18/D18-1</f>
        <v>#REF!</v>
      </c>
      <c r="L18" s="126" t="e">
        <f ca="1">INDIRECT($B18&amp;"!"&amp;L$3&amp;"5")</f>
        <v>#REF!</v>
      </c>
      <c r="M18" s="127" t="e">
        <f ca="1">INDIRECT($B18&amp;"!"&amp;M$3&amp;"5")</f>
        <v>#REF!</v>
      </c>
      <c r="N18" s="128" t="e">
        <f ca="1">M18-L18</f>
        <v>#REF!</v>
      </c>
      <c r="O18" s="32"/>
      <c r="P18" s="33" t="e">
        <f ca="1">bdrate(D18:D22,L18:L22,H18:H22,M18:M22)</f>
        <v>#VALUE!</v>
      </c>
      <c r="Q18" s="32"/>
      <c r="R18" s="14"/>
      <c r="S18" s="14"/>
      <c r="T18" s="14"/>
      <c r="U18" s="14"/>
      <c r="V18" s="107"/>
      <c r="X18" s="11"/>
      <c r="Y18" s="11"/>
      <c r="Z18" s="108"/>
      <c r="AB18" s="109"/>
    </row>
    <row r="19" spans="2:28" x14ac:dyDescent="0.25">
      <c r="B19" s="166" t="str">
        <f>B18</f>
        <v>M_CG2</v>
      </c>
      <c r="C19" s="177" t="s">
        <v>47</v>
      </c>
      <c r="D19" s="118" t="e">
        <f ca="1">0.001*INDIRECT($B19&amp;"!E6")</f>
        <v>#REF!</v>
      </c>
      <c r="E19" s="32"/>
      <c r="F19" s="166" t="str">
        <f>F18</f>
        <v>M_CG2</v>
      </c>
      <c r="G19" s="177" t="s">
        <v>47</v>
      </c>
      <c r="H19" s="118" t="e">
        <f ca="1">0.001*INDIRECT($B19&amp;"!W6")</f>
        <v>#REF!</v>
      </c>
      <c r="I19" s="14"/>
      <c r="J19" s="33" t="e">
        <f ca="1">H19/D19-1</f>
        <v>#REF!</v>
      </c>
      <c r="L19" s="126" t="e">
        <f ca="1">INDIRECT($B19&amp;"!"&amp;L$3&amp;"6")</f>
        <v>#REF!</v>
      </c>
      <c r="M19" s="127" t="e">
        <f ca="1">INDIRECT($B19&amp;"!"&amp;M$3&amp;"6")</f>
        <v>#REF!</v>
      </c>
      <c r="N19" s="128" t="e">
        <f ca="1">M19-L19</f>
        <v>#REF!</v>
      </c>
      <c r="O19" s="32"/>
      <c r="P19" s="7"/>
      <c r="Q19" s="32"/>
      <c r="R19" s="14"/>
      <c r="S19" s="14"/>
      <c r="T19" s="14"/>
      <c r="U19" s="14"/>
      <c r="V19" s="107"/>
      <c r="X19" s="11"/>
      <c r="Y19" s="11"/>
      <c r="Z19" s="108"/>
    </row>
    <row r="20" spans="2:28" x14ac:dyDescent="0.25">
      <c r="B20" s="166" t="str">
        <f>B19</f>
        <v>M_CG2</v>
      </c>
      <c r="C20" s="177" t="s">
        <v>48</v>
      </c>
      <c r="D20" s="118" t="e">
        <f ca="1">0.001*INDIRECT($B20&amp;"!E7")</f>
        <v>#REF!</v>
      </c>
      <c r="E20" s="32"/>
      <c r="F20" s="166" t="str">
        <f>F19</f>
        <v>M_CG2</v>
      </c>
      <c r="G20" s="177" t="s">
        <v>48</v>
      </c>
      <c r="H20" s="118" t="e">
        <f ca="1">0.001*INDIRECT($B20&amp;"!W7")</f>
        <v>#REF!</v>
      </c>
      <c r="I20" s="14"/>
      <c r="J20" s="33" t="e">
        <f ca="1">H20/D20-1</f>
        <v>#REF!</v>
      </c>
      <c r="L20" s="126" t="e">
        <f ca="1">INDIRECT($B20&amp;"!"&amp;L$3&amp;"7")</f>
        <v>#REF!</v>
      </c>
      <c r="M20" s="127" t="e">
        <f ca="1">INDIRECT($B20&amp;"!"&amp;M$3&amp;"7")</f>
        <v>#REF!</v>
      </c>
      <c r="N20" s="128" t="e">
        <f ca="1">M20-L20</f>
        <v>#REF!</v>
      </c>
      <c r="O20" s="32"/>
      <c r="P20" s="7" t="s">
        <v>49</v>
      </c>
      <c r="Q20" s="32"/>
      <c r="R20" s="14"/>
      <c r="S20" s="14"/>
      <c r="T20" s="14"/>
      <c r="U20" s="14"/>
      <c r="V20" s="107"/>
      <c r="X20" s="11"/>
      <c r="Y20" s="11"/>
      <c r="Z20" s="108"/>
    </row>
    <row r="21" spans="2:28" x14ac:dyDescent="0.25">
      <c r="B21" s="166" t="str">
        <f>B20</f>
        <v>M_CG2</v>
      </c>
      <c r="C21" s="177" t="s">
        <v>50</v>
      </c>
      <c r="D21" s="118" t="e">
        <f ca="1">0.001*INDIRECT($B21&amp;"!E8")</f>
        <v>#REF!</v>
      </c>
      <c r="E21" s="32"/>
      <c r="F21" s="166" t="str">
        <f>F20</f>
        <v>M_CG2</v>
      </c>
      <c r="G21" s="177" t="s">
        <v>50</v>
      </c>
      <c r="H21" s="118" t="e">
        <f ca="1">0.001*INDIRECT($B21&amp;"!W8")</f>
        <v>#REF!</v>
      </c>
      <c r="I21" s="14"/>
      <c r="J21" s="33" t="e">
        <f ca="1">H21/D21-1</f>
        <v>#REF!</v>
      </c>
      <c r="L21" s="126" t="e">
        <f ca="1">INDIRECT($B21&amp;"!"&amp;L$3&amp;"8")</f>
        <v>#REF!</v>
      </c>
      <c r="M21" s="127" t="e">
        <f ca="1">INDIRECT($B21&amp;"!"&amp;M$3&amp;"8")</f>
        <v>#REF!</v>
      </c>
      <c r="N21" s="128" t="e">
        <f ca="1">M21-L21</f>
        <v>#REF!</v>
      </c>
      <c r="O21" s="32"/>
      <c r="P21" s="268" t="e">
        <f ca="1">bdrate(L18:L22,D18:D22,M18:M22,H18:H22)</f>
        <v>#VALUE!</v>
      </c>
      <c r="Q21" s="32"/>
      <c r="R21" s="14"/>
      <c r="S21" s="14"/>
      <c r="T21" s="14"/>
      <c r="U21" s="14"/>
      <c r="V21" s="107"/>
      <c r="X21" s="11"/>
      <c r="Y21" s="11"/>
      <c r="Z21" s="108"/>
    </row>
    <row r="22" spans="2:28" ht="16.5" customHeight="1" thickBot="1" x14ac:dyDescent="0.3">
      <c r="B22" s="120" t="str">
        <f>B21</f>
        <v>M_CG2</v>
      </c>
      <c r="C22" s="178" t="s">
        <v>51</v>
      </c>
      <c r="D22" s="121" t="e">
        <f ca="1">0.001*INDIRECT($B22&amp;"!E9")</f>
        <v>#REF!</v>
      </c>
      <c r="E22" s="32"/>
      <c r="F22" s="120" t="str">
        <f>F21</f>
        <v>M_CG2</v>
      </c>
      <c r="G22" s="178" t="s">
        <v>51</v>
      </c>
      <c r="H22" s="118" t="e">
        <f ca="1">0.001*INDIRECT($B22&amp;"!W9")</f>
        <v>#REF!</v>
      </c>
      <c r="I22" s="14"/>
      <c r="J22" s="33" t="e">
        <f ca="1">H22/D22-1</f>
        <v>#REF!</v>
      </c>
      <c r="L22" s="126" t="e">
        <f ca="1">INDIRECT($B22&amp;"!"&amp;L$3&amp;"9")</f>
        <v>#REF!</v>
      </c>
      <c r="M22" s="127" t="e">
        <f ca="1">INDIRECT($B22&amp;"!"&amp;M$3&amp;"9")</f>
        <v>#REF!</v>
      </c>
      <c r="N22" s="129" t="e">
        <f ca="1">M22-L22</f>
        <v>#REF!</v>
      </c>
      <c r="O22" s="32"/>
      <c r="P22" s="37"/>
      <c r="Q22" s="32"/>
      <c r="R22" s="14"/>
      <c r="S22" s="14"/>
      <c r="T22" s="14"/>
      <c r="U22" s="14"/>
      <c r="V22" s="107"/>
      <c r="X22" s="11"/>
      <c r="Y22" s="11"/>
      <c r="Z22" s="108"/>
      <c r="AB22" s="109"/>
    </row>
    <row r="23" spans="2:28" ht="16.5" customHeight="1" x14ac:dyDescent="0.25">
      <c r="B23" s="122"/>
      <c r="C23" s="153"/>
      <c r="D23" s="123"/>
      <c r="F23" s="122"/>
      <c r="G23" s="153"/>
      <c r="H23" s="123"/>
      <c r="J23" s="130" t="e">
        <f ca="1">MIN(D18:D22,H18:H22)</f>
        <v>#REF!</v>
      </c>
      <c r="L23" s="131"/>
      <c r="M23" s="132"/>
      <c r="N23" s="133"/>
      <c r="O23" s="32"/>
      <c r="P23" s="159"/>
      <c r="Q23" s="32"/>
      <c r="R23" s="14"/>
      <c r="S23" s="14"/>
      <c r="T23" s="14"/>
      <c r="U23" s="14"/>
      <c r="V23" s="110"/>
      <c r="X23" s="11"/>
      <c r="Y23" s="11"/>
      <c r="Z23" s="108"/>
    </row>
    <row r="24" spans="2:28" ht="16.5" customHeight="1" thickBot="1" x14ac:dyDescent="0.3">
      <c r="B24" s="120"/>
      <c r="C24" s="124"/>
      <c r="D24" s="121"/>
      <c r="E24" s="32"/>
      <c r="F24" s="120"/>
      <c r="G24" s="124"/>
      <c r="H24" s="121"/>
      <c r="I24" s="14"/>
      <c r="J24" s="134" t="e">
        <f ca="1">MAX(D18:D22,H18:H22)</f>
        <v>#REF!</v>
      </c>
      <c r="L24" s="135">
        <f>L23</f>
        <v>0</v>
      </c>
      <c r="M24" s="136">
        <f>M23</f>
        <v>0</v>
      </c>
      <c r="N24" s="129"/>
      <c r="O24" s="32"/>
      <c r="P24" s="10"/>
      <c r="Q24" s="32"/>
      <c r="R24" s="14"/>
      <c r="S24" s="14"/>
      <c r="T24" s="14"/>
      <c r="U24" s="14"/>
      <c r="V24" s="110"/>
      <c r="X24" s="111"/>
      <c r="Y24" s="111"/>
      <c r="Z24" s="108"/>
    </row>
    <row r="25" spans="2:28" ht="16.5" customHeight="1" thickBot="1" x14ac:dyDescent="0.3"/>
    <row r="26" spans="2:28" x14ac:dyDescent="0.25">
      <c r="B26" s="315" t="s">
        <v>18</v>
      </c>
      <c r="C26" s="316"/>
      <c r="D26" s="317"/>
      <c r="E26" s="6"/>
      <c r="F26" s="315" t="str">
        <f>B26</f>
        <v>M_NC1</v>
      </c>
      <c r="G26" s="316"/>
      <c r="H26" s="317"/>
      <c r="I26" s="6"/>
      <c r="J26" s="159"/>
      <c r="L26" s="318" t="str">
        <f>F26</f>
        <v>M_NC1</v>
      </c>
      <c r="M26" s="319"/>
      <c r="N26" s="320"/>
      <c r="O26" s="297"/>
      <c r="P26" s="159"/>
      <c r="U26" s="155"/>
      <c r="V26" s="155"/>
      <c r="X26" s="313"/>
      <c r="Y26" s="301"/>
      <c r="Z26" s="301"/>
    </row>
    <row r="27" spans="2:28" x14ac:dyDescent="0.25">
      <c r="B27" s="321" t="s">
        <v>39</v>
      </c>
      <c r="C27" s="322"/>
      <c r="D27" s="116" t="s">
        <v>40</v>
      </c>
      <c r="E27" s="32"/>
      <c r="F27" s="321" t="s">
        <v>39</v>
      </c>
      <c r="G27" s="322"/>
      <c r="H27" s="116" t="s">
        <v>40</v>
      </c>
      <c r="I27" s="14"/>
      <c r="J27" s="160" t="s">
        <v>41</v>
      </c>
      <c r="L27" s="323" t="s">
        <v>42</v>
      </c>
      <c r="M27" s="313"/>
      <c r="N27" s="324"/>
      <c r="O27" s="112"/>
      <c r="P27" s="7"/>
      <c r="R27" s="314"/>
      <c r="S27" s="301"/>
      <c r="T27" s="301"/>
      <c r="U27" s="156"/>
      <c r="V27" s="156"/>
      <c r="X27" s="314"/>
      <c r="Y27" s="301"/>
      <c r="Z27" s="301"/>
    </row>
    <row r="28" spans="2:28" x14ac:dyDescent="0.25">
      <c r="B28" s="293" t="s">
        <v>2</v>
      </c>
      <c r="C28" s="177" t="s">
        <v>43</v>
      </c>
      <c r="D28" s="115" t="s">
        <v>44</v>
      </c>
      <c r="E28" s="32"/>
      <c r="F28" s="293" t="s">
        <v>2</v>
      </c>
      <c r="G28" s="177" t="s">
        <v>43</v>
      </c>
      <c r="H28" s="115" t="s">
        <v>44</v>
      </c>
      <c r="I28" s="14"/>
      <c r="J28" s="125"/>
      <c r="L28" s="294" t="str">
        <f>CONCATENATE(B$2," ",L26)</f>
        <v>Anchor M_NC1</v>
      </c>
      <c r="M28" s="295" t="str">
        <f>CONCATENATE(F$2," ",L26)</f>
        <v>Proposal M_NC1</v>
      </c>
      <c r="N28" s="296" t="s">
        <v>45</v>
      </c>
      <c r="O28" s="6"/>
      <c r="P28" s="7" t="s">
        <v>36</v>
      </c>
      <c r="Q28" s="6"/>
      <c r="R28" s="6"/>
      <c r="S28" s="6"/>
      <c r="T28" s="6"/>
      <c r="U28" s="6"/>
      <c r="V28" s="6"/>
      <c r="X28" s="297"/>
      <c r="Y28" s="297"/>
      <c r="Z28" s="297"/>
    </row>
    <row r="29" spans="2:28" x14ac:dyDescent="0.25">
      <c r="B29" s="166" t="str">
        <f>B26</f>
        <v>M_NC1</v>
      </c>
      <c r="C29" s="177" t="s">
        <v>46</v>
      </c>
      <c r="D29" s="118" t="e">
        <f ca="1">0.001*INDIRECT($B29&amp;"!E5")</f>
        <v>#REF!</v>
      </c>
      <c r="E29" s="32"/>
      <c r="F29" s="166" t="str">
        <f>F26</f>
        <v>M_NC1</v>
      </c>
      <c r="G29" s="177" t="s">
        <v>46</v>
      </c>
      <c r="H29" s="118" t="e">
        <f ca="1">0.001*INDIRECT($B29&amp;"!W5")</f>
        <v>#REF!</v>
      </c>
      <c r="I29" s="14"/>
      <c r="J29" s="33" t="e">
        <f ca="1">H29/D29-1</f>
        <v>#REF!</v>
      </c>
      <c r="L29" s="126" t="e">
        <f ca="1">INDIRECT($B29&amp;"!"&amp;L$3&amp;"5")</f>
        <v>#REF!</v>
      </c>
      <c r="M29" s="127" t="e">
        <f ca="1">INDIRECT($B29&amp;"!"&amp;M$3&amp;"5")</f>
        <v>#REF!</v>
      </c>
      <c r="N29" s="128" t="e">
        <f ca="1">M29-L29</f>
        <v>#REF!</v>
      </c>
      <c r="O29" s="32"/>
      <c r="P29" s="33" t="e">
        <f ca="1">bdrate(D29:D33,L29:L33,H29:H33,M29:M33)</f>
        <v>#VALUE!</v>
      </c>
      <c r="Q29" s="32"/>
      <c r="R29" s="14"/>
      <c r="S29" s="14"/>
      <c r="T29" s="14"/>
      <c r="U29" s="14"/>
      <c r="V29" s="107"/>
      <c r="X29" s="11"/>
      <c r="Y29" s="11"/>
      <c r="Z29" s="108"/>
      <c r="AB29" s="109"/>
    </row>
    <row r="30" spans="2:28" x14ac:dyDescent="0.25">
      <c r="B30" s="166" t="str">
        <f>B29</f>
        <v>M_NC1</v>
      </c>
      <c r="C30" s="177" t="s">
        <v>47</v>
      </c>
      <c r="D30" s="118" t="e">
        <f ca="1">0.001*INDIRECT($B30&amp;"!E6")</f>
        <v>#REF!</v>
      </c>
      <c r="E30" s="32"/>
      <c r="F30" s="166" t="str">
        <f>F29</f>
        <v>M_NC1</v>
      </c>
      <c r="G30" s="177" t="s">
        <v>47</v>
      </c>
      <c r="H30" s="118" t="e">
        <f ca="1">0.001*INDIRECT($B30&amp;"!W6")</f>
        <v>#REF!</v>
      </c>
      <c r="I30" s="14"/>
      <c r="J30" s="33" t="e">
        <f ca="1">H30/D30-1</f>
        <v>#REF!</v>
      </c>
      <c r="L30" s="126" t="e">
        <f ca="1">INDIRECT($B30&amp;"!"&amp;L$3&amp;"6")</f>
        <v>#REF!</v>
      </c>
      <c r="M30" s="127" t="e">
        <f ca="1">INDIRECT($B30&amp;"!"&amp;M$3&amp;"6")</f>
        <v>#REF!</v>
      </c>
      <c r="N30" s="128" t="e">
        <f ca="1">M30-L30</f>
        <v>#REF!</v>
      </c>
      <c r="O30" s="32"/>
      <c r="P30" s="7"/>
      <c r="Q30" s="32"/>
      <c r="R30" s="14"/>
      <c r="S30" s="14"/>
      <c r="T30" s="14"/>
      <c r="U30" s="14"/>
      <c r="V30" s="107"/>
      <c r="X30" s="11"/>
      <c r="Y30" s="11"/>
      <c r="Z30" s="108"/>
    </row>
    <row r="31" spans="2:28" x14ac:dyDescent="0.25">
      <c r="B31" s="166" t="str">
        <f>B30</f>
        <v>M_NC1</v>
      </c>
      <c r="C31" s="177" t="s">
        <v>48</v>
      </c>
      <c r="D31" s="118" t="e">
        <f ca="1">0.001*INDIRECT($B31&amp;"!E7")</f>
        <v>#REF!</v>
      </c>
      <c r="E31" s="32"/>
      <c r="F31" s="166" t="str">
        <f>F30</f>
        <v>M_NC1</v>
      </c>
      <c r="G31" s="177" t="s">
        <v>48</v>
      </c>
      <c r="H31" s="118" t="e">
        <f ca="1">0.001*INDIRECT($B31&amp;"!W7")</f>
        <v>#REF!</v>
      </c>
      <c r="I31" s="14"/>
      <c r="J31" s="33" t="e">
        <f ca="1">H31/D31-1</f>
        <v>#REF!</v>
      </c>
      <c r="L31" s="126" t="e">
        <f ca="1">INDIRECT($B31&amp;"!"&amp;L$3&amp;"7")</f>
        <v>#REF!</v>
      </c>
      <c r="M31" s="127" t="e">
        <f ca="1">INDIRECT($B31&amp;"!"&amp;M$3&amp;"7")</f>
        <v>#REF!</v>
      </c>
      <c r="N31" s="128" t="e">
        <f ca="1">M31-L31</f>
        <v>#REF!</v>
      </c>
      <c r="O31" s="32"/>
      <c r="P31" s="7" t="s">
        <v>49</v>
      </c>
      <c r="Q31" s="32"/>
      <c r="R31" s="14"/>
      <c r="S31" s="14"/>
      <c r="T31" s="14"/>
      <c r="U31" s="14"/>
      <c r="V31" s="107"/>
      <c r="X31" s="11"/>
      <c r="Y31" s="11"/>
      <c r="Z31" s="108"/>
    </row>
    <row r="32" spans="2:28" x14ac:dyDescent="0.25">
      <c r="B32" s="166" t="str">
        <f>B31</f>
        <v>M_NC1</v>
      </c>
      <c r="C32" s="177" t="s">
        <v>50</v>
      </c>
      <c r="D32" s="118" t="e">
        <f ca="1">0.001*INDIRECT($B32&amp;"!E8")</f>
        <v>#REF!</v>
      </c>
      <c r="E32" s="32"/>
      <c r="F32" s="166" t="str">
        <f>F31</f>
        <v>M_NC1</v>
      </c>
      <c r="G32" s="177" t="s">
        <v>50</v>
      </c>
      <c r="H32" s="118" t="e">
        <f ca="1">0.001*INDIRECT($B32&amp;"!W8")</f>
        <v>#REF!</v>
      </c>
      <c r="I32" s="14"/>
      <c r="J32" s="33" t="e">
        <f ca="1">H32/D32-1</f>
        <v>#REF!</v>
      </c>
      <c r="L32" s="126" t="e">
        <f ca="1">INDIRECT($B32&amp;"!"&amp;L$3&amp;"8")</f>
        <v>#REF!</v>
      </c>
      <c r="M32" s="127" t="e">
        <f ca="1">INDIRECT($B32&amp;"!"&amp;M$3&amp;"8")</f>
        <v>#REF!</v>
      </c>
      <c r="N32" s="128" t="e">
        <f ca="1">M32-L32</f>
        <v>#REF!</v>
      </c>
      <c r="O32" s="32"/>
      <c r="P32" s="268" t="e">
        <f ca="1">bdrate(L29:L33,D29:D33,M29:M33,H29:H33)</f>
        <v>#VALUE!</v>
      </c>
      <c r="Q32" s="32"/>
      <c r="R32" s="14"/>
      <c r="S32" s="14"/>
      <c r="T32" s="14"/>
      <c r="U32" s="14"/>
      <c r="V32" s="107"/>
      <c r="X32" s="11"/>
      <c r="Y32" s="11"/>
      <c r="Z32" s="108"/>
    </row>
    <row r="33" spans="2:28" ht="16.5" customHeight="1" thickBot="1" x14ac:dyDescent="0.3">
      <c r="B33" s="120" t="str">
        <f>B32</f>
        <v>M_NC1</v>
      </c>
      <c r="C33" s="178" t="s">
        <v>51</v>
      </c>
      <c r="D33" s="121" t="e">
        <f ca="1">0.001*INDIRECT($B33&amp;"!E9")</f>
        <v>#REF!</v>
      </c>
      <c r="E33" s="32"/>
      <c r="F33" s="120" t="str">
        <f>F32</f>
        <v>M_NC1</v>
      </c>
      <c r="G33" s="178" t="s">
        <v>51</v>
      </c>
      <c r="H33" s="118" t="e">
        <f ca="1">0.001*INDIRECT($B33&amp;"!W9")</f>
        <v>#REF!</v>
      </c>
      <c r="I33" s="14"/>
      <c r="J33" s="33" t="e">
        <f ca="1">H33/D33-1</f>
        <v>#REF!</v>
      </c>
      <c r="L33" s="126" t="e">
        <f ca="1">INDIRECT($B33&amp;"!"&amp;L$3&amp;"9")</f>
        <v>#REF!</v>
      </c>
      <c r="M33" s="127" t="e">
        <f ca="1">INDIRECT($B33&amp;"!"&amp;M$3&amp;"9")</f>
        <v>#REF!</v>
      </c>
      <c r="N33" s="129" t="e">
        <f ca="1">M33-L33</f>
        <v>#REF!</v>
      </c>
      <c r="O33" s="32"/>
      <c r="P33" s="37"/>
      <c r="Q33" s="32"/>
      <c r="R33" s="14"/>
      <c r="S33" s="14"/>
      <c r="T33" s="14"/>
      <c r="U33" s="14"/>
      <c r="V33" s="107"/>
      <c r="X33" s="11"/>
      <c r="Y33" s="11"/>
      <c r="Z33" s="108"/>
      <c r="AB33" s="109"/>
    </row>
    <row r="34" spans="2:28" ht="16.5" customHeight="1" x14ac:dyDescent="0.25">
      <c r="B34" s="122"/>
      <c r="C34" s="153"/>
      <c r="D34" s="123"/>
      <c r="F34" s="122"/>
      <c r="G34" s="153"/>
      <c r="H34" s="123"/>
      <c r="J34" s="130" t="e">
        <f ca="1">MIN(D29:D33,H29:H33)</f>
        <v>#REF!</v>
      </c>
      <c r="L34" s="131"/>
      <c r="M34" s="132"/>
      <c r="N34" s="133"/>
      <c r="O34" s="32"/>
      <c r="P34" s="159"/>
      <c r="Q34" s="32"/>
      <c r="R34" s="14"/>
      <c r="S34" s="14"/>
      <c r="T34" s="14"/>
      <c r="U34" s="14"/>
      <c r="V34" s="110"/>
      <c r="X34" s="11"/>
      <c r="Y34" s="11"/>
      <c r="Z34" s="108"/>
    </row>
    <row r="35" spans="2:28" ht="16.5" customHeight="1" thickBot="1" x14ac:dyDescent="0.3">
      <c r="B35" s="120"/>
      <c r="C35" s="124"/>
      <c r="D35" s="121"/>
      <c r="E35" s="32"/>
      <c r="F35" s="120"/>
      <c r="G35" s="124"/>
      <c r="H35" s="121"/>
      <c r="I35" s="14"/>
      <c r="J35" s="134" t="e">
        <f ca="1">MAX(D29:D33,H29:H33)</f>
        <v>#REF!</v>
      </c>
      <c r="L35" s="135">
        <f>L34</f>
        <v>0</v>
      </c>
      <c r="M35" s="136">
        <f>M34</f>
        <v>0</v>
      </c>
      <c r="N35" s="129"/>
      <c r="O35" s="32"/>
      <c r="P35" s="10"/>
      <c r="Q35" s="32"/>
      <c r="R35" s="14"/>
      <c r="S35" s="14"/>
      <c r="T35" s="14"/>
      <c r="U35" s="14"/>
      <c r="V35" s="110"/>
      <c r="X35" s="111"/>
      <c r="Y35" s="111"/>
      <c r="Z35" s="108"/>
    </row>
    <row r="36" spans="2:28" ht="16.5" customHeight="1" thickBot="1" x14ac:dyDescent="0.3"/>
    <row r="37" spans="2:28" x14ac:dyDescent="0.25">
      <c r="B37" s="315" t="s">
        <v>20</v>
      </c>
      <c r="C37" s="316"/>
      <c r="D37" s="317"/>
      <c r="E37" s="6"/>
      <c r="F37" s="315" t="str">
        <f>B37</f>
        <v>M_NC2</v>
      </c>
      <c r="G37" s="316"/>
      <c r="H37" s="317"/>
      <c r="I37" s="6"/>
      <c r="J37" s="159"/>
      <c r="L37" s="318" t="str">
        <f>F37</f>
        <v>M_NC2</v>
      </c>
      <c r="M37" s="319"/>
      <c r="N37" s="320"/>
      <c r="O37" s="297"/>
      <c r="P37" s="159"/>
      <c r="U37" s="155"/>
      <c r="V37" s="155"/>
      <c r="X37" s="313"/>
      <c r="Y37" s="301"/>
      <c r="Z37" s="301"/>
    </row>
    <row r="38" spans="2:28" x14ac:dyDescent="0.25">
      <c r="B38" s="321" t="s">
        <v>39</v>
      </c>
      <c r="C38" s="322"/>
      <c r="D38" s="116" t="s">
        <v>40</v>
      </c>
      <c r="E38" s="32"/>
      <c r="F38" s="321" t="s">
        <v>39</v>
      </c>
      <c r="G38" s="322"/>
      <c r="H38" s="116" t="s">
        <v>40</v>
      </c>
      <c r="I38" s="14"/>
      <c r="J38" s="160" t="s">
        <v>41</v>
      </c>
      <c r="L38" s="323" t="s">
        <v>42</v>
      </c>
      <c r="M38" s="313"/>
      <c r="N38" s="324"/>
      <c r="O38" s="112"/>
      <c r="P38" s="7"/>
      <c r="R38" s="314"/>
      <c r="S38" s="301"/>
      <c r="T38" s="301"/>
      <c r="U38" s="156"/>
      <c r="V38" s="156"/>
      <c r="X38" s="314"/>
      <c r="Y38" s="301"/>
      <c r="Z38" s="301"/>
    </row>
    <row r="39" spans="2:28" x14ac:dyDescent="0.25">
      <c r="B39" s="293" t="s">
        <v>2</v>
      </c>
      <c r="C39" s="177" t="s">
        <v>43</v>
      </c>
      <c r="D39" s="115" t="s">
        <v>44</v>
      </c>
      <c r="E39" s="32"/>
      <c r="F39" s="293" t="s">
        <v>2</v>
      </c>
      <c r="G39" s="177" t="s">
        <v>43</v>
      </c>
      <c r="H39" s="115" t="s">
        <v>44</v>
      </c>
      <c r="I39" s="14"/>
      <c r="J39" s="125"/>
      <c r="L39" s="294" t="str">
        <f>CONCATENATE(B$2," ",L37)</f>
        <v>Anchor M_NC2</v>
      </c>
      <c r="M39" s="295" t="str">
        <f>CONCATENATE(F$2," ",L37)</f>
        <v>Proposal M_NC2</v>
      </c>
      <c r="N39" s="296" t="s">
        <v>45</v>
      </c>
      <c r="O39" s="6"/>
      <c r="P39" s="7" t="s">
        <v>36</v>
      </c>
      <c r="Q39" s="6"/>
      <c r="R39" s="6"/>
      <c r="S39" s="6"/>
      <c r="T39" s="6"/>
      <c r="U39" s="6"/>
      <c r="V39" s="6"/>
      <c r="X39" s="297"/>
      <c r="Y39" s="297"/>
      <c r="Z39" s="297"/>
    </row>
    <row r="40" spans="2:28" x14ac:dyDescent="0.25">
      <c r="B40" s="166" t="str">
        <f>B37</f>
        <v>M_NC2</v>
      </c>
      <c r="C40" s="177" t="s">
        <v>46</v>
      </c>
      <c r="D40" s="118">
        <f ca="1">0.001*INDIRECT($B40&amp;"!E5")</f>
        <v>0</v>
      </c>
      <c r="E40" s="32"/>
      <c r="F40" s="166" t="str">
        <f>F37</f>
        <v>M_NC2</v>
      </c>
      <c r="G40" s="177" t="s">
        <v>46</v>
      </c>
      <c r="H40" s="118">
        <f ca="1">0.001*INDIRECT($B40&amp;"!W5")</f>
        <v>0</v>
      </c>
      <c r="I40" s="14"/>
      <c r="J40" s="33" t="e">
        <f ca="1">H40/D40-1</f>
        <v>#DIV/0!</v>
      </c>
      <c r="L40" s="126" t="e">
        <f ca="1">INDIRECT($B40&amp;"!"&amp;L$3&amp;"5")</f>
        <v>#DIV/0!</v>
      </c>
      <c r="M40" s="127" t="e">
        <f ca="1">INDIRECT($B40&amp;"!"&amp;M$3&amp;"5")</f>
        <v>#DIV/0!</v>
      </c>
      <c r="N40" s="128" t="e">
        <f ca="1">M40-L40</f>
        <v>#DIV/0!</v>
      </c>
      <c r="O40" s="32"/>
      <c r="P40" s="33" t="e">
        <f ca="1">bdrate(D40:D44,L40:L44,H40:H44,M40:M44)</f>
        <v>#VALUE!</v>
      </c>
      <c r="Q40" s="32"/>
      <c r="R40" s="14"/>
      <c r="S40" s="14"/>
      <c r="T40" s="14"/>
      <c r="U40" s="14"/>
      <c r="V40" s="107"/>
      <c r="X40" s="11"/>
      <c r="Y40" s="11"/>
      <c r="Z40" s="108"/>
      <c r="AB40" s="109"/>
    </row>
    <row r="41" spans="2:28" x14ac:dyDescent="0.25">
      <c r="B41" s="166" t="str">
        <f>B40</f>
        <v>M_NC2</v>
      </c>
      <c r="C41" s="177" t="s">
        <v>47</v>
      </c>
      <c r="D41" s="118">
        <f ca="1">0.001*INDIRECT($B41&amp;"!E6")</f>
        <v>0</v>
      </c>
      <c r="E41" s="32"/>
      <c r="F41" s="166" t="str">
        <f>F40</f>
        <v>M_NC2</v>
      </c>
      <c r="G41" s="177" t="s">
        <v>47</v>
      </c>
      <c r="H41" s="118">
        <f ca="1">0.001*INDIRECT($B41&amp;"!W6")</f>
        <v>0</v>
      </c>
      <c r="I41" s="14"/>
      <c r="J41" s="33" t="e">
        <f ca="1">H41/D41-1</f>
        <v>#DIV/0!</v>
      </c>
      <c r="L41" s="126" t="e">
        <f ca="1">INDIRECT($B41&amp;"!"&amp;L$3&amp;"6")</f>
        <v>#DIV/0!</v>
      </c>
      <c r="M41" s="127" t="e">
        <f ca="1">INDIRECT($B41&amp;"!"&amp;M$3&amp;"6")</f>
        <v>#DIV/0!</v>
      </c>
      <c r="N41" s="128" t="e">
        <f ca="1">M41-L41</f>
        <v>#DIV/0!</v>
      </c>
      <c r="O41" s="32"/>
      <c r="P41" s="7"/>
      <c r="Q41" s="32"/>
      <c r="R41" s="14"/>
      <c r="S41" s="14"/>
      <c r="T41" s="14"/>
      <c r="U41" s="14"/>
      <c r="V41" s="107"/>
      <c r="X41" s="11"/>
      <c r="Y41" s="11"/>
      <c r="Z41" s="108"/>
    </row>
    <row r="42" spans="2:28" x14ac:dyDescent="0.25">
      <c r="B42" s="166" t="str">
        <f>B41</f>
        <v>M_NC2</v>
      </c>
      <c r="C42" s="177" t="s">
        <v>48</v>
      </c>
      <c r="D42" s="118">
        <f ca="1">0.001*INDIRECT($B42&amp;"!E7")</f>
        <v>0</v>
      </c>
      <c r="E42" s="32"/>
      <c r="F42" s="166" t="str">
        <f>F41</f>
        <v>M_NC2</v>
      </c>
      <c r="G42" s="177" t="s">
        <v>48</v>
      </c>
      <c r="H42" s="118">
        <f ca="1">0.001*INDIRECT($B42&amp;"!W7")</f>
        <v>0</v>
      </c>
      <c r="I42" s="14"/>
      <c r="J42" s="33" t="e">
        <f ca="1">H42/D42-1</f>
        <v>#DIV/0!</v>
      </c>
      <c r="L42" s="126" t="e">
        <f ca="1">INDIRECT($B42&amp;"!"&amp;L$3&amp;"7")</f>
        <v>#DIV/0!</v>
      </c>
      <c r="M42" s="127" t="e">
        <f ca="1">INDIRECT($B42&amp;"!"&amp;M$3&amp;"7")</f>
        <v>#DIV/0!</v>
      </c>
      <c r="N42" s="128" t="e">
        <f ca="1">M42-L42</f>
        <v>#DIV/0!</v>
      </c>
      <c r="O42" s="32"/>
      <c r="P42" s="7" t="s">
        <v>49</v>
      </c>
      <c r="Q42" s="32"/>
      <c r="R42" s="14"/>
      <c r="S42" s="14"/>
      <c r="T42" s="14"/>
      <c r="U42" s="14"/>
      <c r="V42" s="107"/>
      <c r="X42" s="11"/>
      <c r="Y42" s="11"/>
      <c r="Z42" s="108"/>
    </row>
    <row r="43" spans="2:28" x14ac:dyDescent="0.25">
      <c r="B43" s="166" t="str">
        <f>B42</f>
        <v>M_NC2</v>
      </c>
      <c r="C43" s="177" t="s">
        <v>50</v>
      </c>
      <c r="D43" s="118">
        <f ca="1">0.001*INDIRECT($B43&amp;"!E8")</f>
        <v>0</v>
      </c>
      <c r="E43" s="32"/>
      <c r="F43" s="166" t="str">
        <f>F42</f>
        <v>M_NC2</v>
      </c>
      <c r="G43" s="177" t="s">
        <v>50</v>
      </c>
      <c r="H43" s="118">
        <f ca="1">0.001*INDIRECT($B43&amp;"!W8")</f>
        <v>0</v>
      </c>
      <c r="I43" s="14"/>
      <c r="J43" s="33" t="e">
        <f ca="1">H43/D43-1</f>
        <v>#DIV/0!</v>
      </c>
      <c r="L43" s="126" t="e">
        <f ca="1">INDIRECT($B43&amp;"!"&amp;L$3&amp;"8")</f>
        <v>#DIV/0!</v>
      </c>
      <c r="M43" s="127" t="e">
        <f ca="1">INDIRECT($B43&amp;"!"&amp;M$3&amp;"8")</f>
        <v>#DIV/0!</v>
      </c>
      <c r="N43" s="128" t="e">
        <f ca="1">M43-L43</f>
        <v>#DIV/0!</v>
      </c>
      <c r="O43" s="32"/>
      <c r="P43" s="268" t="e">
        <f ca="1">bdrate(L40:L44,D40:D44,M40:M44,H40:H44)</f>
        <v>#VALUE!</v>
      </c>
      <c r="Q43" s="32"/>
      <c r="R43" s="14"/>
      <c r="S43" s="14"/>
      <c r="T43" s="14"/>
      <c r="U43" s="14"/>
      <c r="V43" s="107"/>
      <c r="X43" s="11"/>
      <c r="Y43" s="11"/>
      <c r="Z43" s="108"/>
    </row>
    <row r="44" spans="2:28" ht="16.5" customHeight="1" thickBot="1" x14ac:dyDescent="0.3">
      <c r="B44" s="120" t="str">
        <f>B43</f>
        <v>M_NC2</v>
      </c>
      <c r="C44" s="178" t="s">
        <v>51</v>
      </c>
      <c r="D44" s="121">
        <f ca="1">0.001*INDIRECT($B44&amp;"!E9")</f>
        <v>0</v>
      </c>
      <c r="E44" s="32"/>
      <c r="F44" s="120" t="str">
        <f>F43</f>
        <v>M_NC2</v>
      </c>
      <c r="G44" s="178" t="s">
        <v>51</v>
      </c>
      <c r="H44" s="118">
        <f ca="1">0.001*INDIRECT($B44&amp;"!W9")</f>
        <v>0</v>
      </c>
      <c r="I44" s="14"/>
      <c r="J44" s="33" t="e">
        <f ca="1">H44/D44-1</f>
        <v>#DIV/0!</v>
      </c>
      <c r="L44" s="126" t="e">
        <f ca="1">INDIRECT($B44&amp;"!"&amp;L$3&amp;"9")</f>
        <v>#DIV/0!</v>
      </c>
      <c r="M44" s="127" t="e">
        <f ca="1">INDIRECT($B44&amp;"!"&amp;M$3&amp;"9")</f>
        <v>#DIV/0!</v>
      </c>
      <c r="N44" s="129" t="e">
        <f ca="1">M44-L44</f>
        <v>#DIV/0!</v>
      </c>
      <c r="O44" s="32"/>
      <c r="P44" s="37"/>
      <c r="Q44" s="32"/>
      <c r="R44" s="14"/>
      <c r="S44" s="14"/>
      <c r="T44" s="14"/>
      <c r="U44" s="14"/>
      <c r="V44" s="107"/>
      <c r="X44" s="11"/>
      <c r="Y44" s="11"/>
      <c r="Z44" s="108"/>
      <c r="AB44" s="109"/>
    </row>
    <row r="45" spans="2:28" ht="16.5" customHeight="1" x14ac:dyDescent="0.25">
      <c r="B45" s="122"/>
      <c r="C45" s="153"/>
      <c r="D45" s="123"/>
      <c r="F45" s="122"/>
      <c r="G45" s="153"/>
      <c r="H45" s="123"/>
      <c r="J45" s="130">
        <f ca="1">MIN(D40:D44,H40:H44)</f>
        <v>0</v>
      </c>
      <c r="L45" s="131"/>
      <c r="M45" s="132"/>
      <c r="N45" s="133"/>
      <c r="O45" s="32"/>
      <c r="P45" s="159"/>
      <c r="Q45" s="32"/>
      <c r="R45" s="14"/>
      <c r="S45" s="14"/>
      <c r="T45" s="14"/>
      <c r="U45" s="14"/>
      <c r="V45" s="110"/>
      <c r="X45" s="11"/>
      <c r="Y45" s="11"/>
      <c r="Z45" s="108"/>
    </row>
    <row r="46" spans="2:28" ht="16.5" customHeight="1" thickBot="1" x14ac:dyDescent="0.3">
      <c r="B46" s="120"/>
      <c r="C46" s="124"/>
      <c r="D46" s="121"/>
      <c r="E46" s="32"/>
      <c r="F46" s="120"/>
      <c r="G46" s="124"/>
      <c r="H46" s="121"/>
      <c r="I46" s="14"/>
      <c r="J46" s="134">
        <f ca="1">MAX(D40:D44,H40:H44)</f>
        <v>0</v>
      </c>
      <c r="L46" s="135">
        <f>L45</f>
        <v>0</v>
      </c>
      <c r="M46" s="136">
        <f>M45</f>
        <v>0</v>
      </c>
      <c r="N46" s="129"/>
      <c r="O46" s="32"/>
      <c r="P46" s="10"/>
      <c r="Q46" s="32"/>
      <c r="R46" s="14"/>
      <c r="S46" s="14"/>
      <c r="T46" s="14"/>
      <c r="U46" s="14"/>
      <c r="V46" s="110"/>
      <c r="X46" s="111"/>
      <c r="Y46" s="111"/>
      <c r="Z46" s="108"/>
    </row>
    <row r="47" spans="2:28" ht="16.5" customHeight="1" thickBot="1" x14ac:dyDescent="0.3"/>
    <row r="48" spans="2:28" x14ac:dyDescent="0.25">
      <c r="B48" s="315" t="s">
        <v>22</v>
      </c>
      <c r="C48" s="316"/>
      <c r="D48" s="317"/>
      <c r="E48" s="6"/>
      <c r="F48" s="315" t="str">
        <f>B48</f>
        <v>M_NC3</v>
      </c>
      <c r="G48" s="316"/>
      <c r="H48" s="317"/>
      <c r="I48" s="6"/>
      <c r="J48" s="159"/>
      <c r="L48" s="318" t="str">
        <f>F48</f>
        <v>M_NC3</v>
      </c>
      <c r="M48" s="319"/>
      <c r="N48" s="320"/>
      <c r="O48" s="297"/>
      <c r="P48" s="159"/>
      <c r="U48" s="155"/>
      <c r="V48" s="155"/>
      <c r="X48" s="313"/>
      <c r="Y48" s="301"/>
      <c r="Z48" s="301"/>
    </row>
    <row r="49" spans="2:28" x14ac:dyDescent="0.25">
      <c r="B49" s="321" t="s">
        <v>39</v>
      </c>
      <c r="C49" s="322"/>
      <c r="D49" s="116" t="s">
        <v>40</v>
      </c>
      <c r="E49" s="32"/>
      <c r="F49" s="321" t="s">
        <v>39</v>
      </c>
      <c r="G49" s="322"/>
      <c r="H49" s="116" t="s">
        <v>40</v>
      </c>
      <c r="I49" s="14"/>
      <c r="J49" s="160" t="s">
        <v>41</v>
      </c>
      <c r="L49" s="323" t="s">
        <v>42</v>
      </c>
      <c r="M49" s="313"/>
      <c r="N49" s="324"/>
      <c r="O49" s="112"/>
      <c r="P49" s="7"/>
      <c r="R49" s="314"/>
      <c r="S49" s="301"/>
      <c r="T49" s="301"/>
      <c r="U49" s="156"/>
      <c r="V49" s="156"/>
      <c r="X49" s="314"/>
      <c r="Y49" s="301"/>
      <c r="Z49" s="301"/>
    </row>
    <row r="50" spans="2:28" x14ac:dyDescent="0.25">
      <c r="B50" s="293" t="s">
        <v>2</v>
      </c>
      <c r="C50" s="177" t="s">
        <v>43</v>
      </c>
      <c r="D50" s="115" t="s">
        <v>44</v>
      </c>
      <c r="E50" s="32"/>
      <c r="F50" s="293" t="s">
        <v>2</v>
      </c>
      <c r="G50" s="177" t="s">
        <v>43</v>
      </c>
      <c r="H50" s="115" t="s">
        <v>44</v>
      </c>
      <c r="I50" s="14"/>
      <c r="J50" s="125"/>
      <c r="L50" s="294" t="str">
        <f>CONCATENATE(B$2," ",L48)</f>
        <v>Anchor M_NC3</v>
      </c>
      <c r="M50" s="295" t="str">
        <f>CONCATENATE(F$2," ",L48)</f>
        <v>Proposal M_NC3</v>
      </c>
      <c r="N50" s="296" t="s">
        <v>45</v>
      </c>
      <c r="O50" s="6"/>
      <c r="P50" s="7" t="s">
        <v>36</v>
      </c>
      <c r="Q50" s="6"/>
      <c r="R50" s="6"/>
      <c r="S50" s="6"/>
      <c r="T50" s="6"/>
      <c r="U50" s="6"/>
      <c r="V50" s="6"/>
      <c r="X50" s="297"/>
      <c r="Y50" s="297"/>
      <c r="Z50" s="297"/>
    </row>
    <row r="51" spans="2:28" x14ac:dyDescent="0.25">
      <c r="B51" s="166" t="str">
        <f>B48</f>
        <v>M_NC3</v>
      </c>
      <c r="C51" s="177" t="s">
        <v>46</v>
      </c>
      <c r="D51" s="118" t="e">
        <f ca="1">0.001*INDIRECT($B51&amp;"!E5")</f>
        <v>#REF!</v>
      </c>
      <c r="E51" s="32"/>
      <c r="F51" s="166" t="str">
        <f>F48</f>
        <v>M_NC3</v>
      </c>
      <c r="G51" s="177" t="s">
        <v>46</v>
      </c>
      <c r="H51" s="118" t="e">
        <f ca="1">0.001*INDIRECT($B51&amp;"!W5")</f>
        <v>#REF!</v>
      </c>
      <c r="I51" s="14"/>
      <c r="J51" s="33" t="e">
        <f ca="1">H51/D51-1</f>
        <v>#REF!</v>
      </c>
      <c r="L51" s="126" t="e">
        <f ca="1">INDIRECT($B51&amp;"!"&amp;L$3&amp;"5")</f>
        <v>#REF!</v>
      </c>
      <c r="M51" s="127" t="e">
        <f ca="1">INDIRECT($B51&amp;"!"&amp;M$3&amp;"5")</f>
        <v>#REF!</v>
      </c>
      <c r="N51" s="128" t="e">
        <f ca="1">M51-L51</f>
        <v>#REF!</v>
      </c>
      <c r="O51" s="32"/>
      <c r="P51" s="33" t="e">
        <f ca="1">bdrate(D51:D55,L51:L55,H51:H55,M51:M55)</f>
        <v>#VALUE!</v>
      </c>
      <c r="Q51" s="32"/>
      <c r="R51" s="14"/>
      <c r="S51" s="14"/>
      <c r="T51" s="14"/>
      <c r="U51" s="14"/>
      <c r="V51" s="107"/>
      <c r="X51" s="11"/>
      <c r="Y51" s="11"/>
      <c r="Z51" s="108"/>
      <c r="AB51" s="109"/>
    </row>
    <row r="52" spans="2:28" x14ac:dyDescent="0.25">
      <c r="B52" s="166" t="str">
        <f>B51</f>
        <v>M_NC3</v>
      </c>
      <c r="C52" s="177" t="s">
        <v>47</v>
      </c>
      <c r="D52" s="118" t="e">
        <f ca="1">0.001*INDIRECT($B52&amp;"!E6")</f>
        <v>#REF!</v>
      </c>
      <c r="E52" s="32"/>
      <c r="F52" s="166" t="str">
        <f>F51</f>
        <v>M_NC3</v>
      </c>
      <c r="G52" s="177" t="s">
        <v>47</v>
      </c>
      <c r="H52" s="118" t="e">
        <f ca="1">0.001*INDIRECT($B52&amp;"!W6")</f>
        <v>#REF!</v>
      </c>
      <c r="I52" s="14"/>
      <c r="J52" s="33" t="e">
        <f ca="1">H52/D52-1</f>
        <v>#REF!</v>
      </c>
      <c r="L52" s="126" t="e">
        <f ca="1">INDIRECT($B52&amp;"!"&amp;L$3&amp;"6")</f>
        <v>#REF!</v>
      </c>
      <c r="M52" s="127" t="e">
        <f ca="1">INDIRECT($B52&amp;"!"&amp;M$3&amp;"6")</f>
        <v>#REF!</v>
      </c>
      <c r="N52" s="128" t="e">
        <f ca="1">M52-L52</f>
        <v>#REF!</v>
      </c>
      <c r="O52" s="32"/>
      <c r="P52" s="7"/>
      <c r="Q52" s="32"/>
      <c r="R52" s="14"/>
      <c r="S52" s="14"/>
      <c r="T52" s="14"/>
      <c r="U52" s="14"/>
      <c r="V52" s="107"/>
      <c r="X52" s="11"/>
      <c r="Y52" s="11"/>
      <c r="Z52" s="108"/>
    </row>
    <row r="53" spans="2:28" x14ac:dyDescent="0.25">
      <c r="B53" s="166" t="str">
        <f>B52</f>
        <v>M_NC3</v>
      </c>
      <c r="C53" s="177" t="s">
        <v>48</v>
      </c>
      <c r="D53" s="118" t="e">
        <f ca="1">0.001*INDIRECT($B53&amp;"!E7")</f>
        <v>#REF!</v>
      </c>
      <c r="E53" s="32"/>
      <c r="F53" s="166" t="str">
        <f>F52</f>
        <v>M_NC3</v>
      </c>
      <c r="G53" s="177" t="s">
        <v>48</v>
      </c>
      <c r="H53" s="118" t="e">
        <f ca="1">0.001*INDIRECT($B53&amp;"!W7")</f>
        <v>#REF!</v>
      </c>
      <c r="I53" s="14"/>
      <c r="J53" s="33" t="e">
        <f ca="1">H53/D53-1</f>
        <v>#REF!</v>
      </c>
      <c r="L53" s="126" t="e">
        <f ca="1">INDIRECT($B53&amp;"!"&amp;L$3&amp;"7")</f>
        <v>#REF!</v>
      </c>
      <c r="M53" s="127" t="e">
        <f ca="1">INDIRECT($B53&amp;"!"&amp;M$3&amp;"7")</f>
        <v>#REF!</v>
      </c>
      <c r="N53" s="128" t="e">
        <f ca="1">M53-L53</f>
        <v>#REF!</v>
      </c>
      <c r="O53" s="32"/>
      <c r="P53" s="7" t="s">
        <v>49</v>
      </c>
      <c r="Q53" s="32"/>
      <c r="R53" s="14"/>
      <c r="S53" s="14"/>
      <c r="T53" s="14"/>
      <c r="U53" s="14"/>
      <c r="V53" s="107"/>
      <c r="X53" s="11"/>
      <c r="Y53" s="11"/>
      <c r="Z53" s="108"/>
    </row>
    <row r="54" spans="2:28" x14ac:dyDescent="0.25">
      <c r="B54" s="166" t="str">
        <f>B53</f>
        <v>M_NC3</v>
      </c>
      <c r="C54" s="177" t="s">
        <v>50</v>
      </c>
      <c r="D54" s="118" t="e">
        <f ca="1">0.001*INDIRECT($B54&amp;"!E8")</f>
        <v>#REF!</v>
      </c>
      <c r="E54" s="32"/>
      <c r="F54" s="166" t="str">
        <f>F53</f>
        <v>M_NC3</v>
      </c>
      <c r="G54" s="177" t="s">
        <v>50</v>
      </c>
      <c r="H54" s="118" t="e">
        <f ca="1">0.001*INDIRECT($B54&amp;"!W8")</f>
        <v>#REF!</v>
      </c>
      <c r="I54" s="14"/>
      <c r="J54" s="33" t="e">
        <f ca="1">H54/D54-1</f>
        <v>#REF!</v>
      </c>
      <c r="L54" s="126" t="e">
        <f ca="1">INDIRECT($B54&amp;"!"&amp;L$3&amp;"8")</f>
        <v>#REF!</v>
      </c>
      <c r="M54" s="127" t="e">
        <f ca="1">INDIRECT($B54&amp;"!"&amp;M$3&amp;"8")</f>
        <v>#REF!</v>
      </c>
      <c r="N54" s="128" t="e">
        <f ca="1">M54-L54</f>
        <v>#REF!</v>
      </c>
      <c r="O54" s="32"/>
      <c r="P54" s="268" t="e">
        <f ca="1">bdrate(L51:L55,D51:D55,M51:M55,H51:H55)</f>
        <v>#VALUE!</v>
      </c>
      <c r="Q54" s="32"/>
      <c r="R54" s="14"/>
      <c r="S54" s="14"/>
      <c r="T54" s="14"/>
      <c r="U54" s="14"/>
      <c r="V54" s="107"/>
      <c r="X54" s="11"/>
      <c r="Y54" s="11"/>
      <c r="Z54" s="108"/>
    </row>
    <row r="55" spans="2:28" ht="16.5" customHeight="1" thickBot="1" x14ac:dyDescent="0.3">
      <c r="B55" s="120" t="str">
        <f>B54</f>
        <v>M_NC3</v>
      </c>
      <c r="C55" s="178" t="s">
        <v>51</v>
      </c>
      <c r="D55" s="121" t="e">
        <f ca="1">0.001*INDIRECT($B55&amp;"!E9")</f>
        <v>#REF!</v>
      </c>
      <c r="E55" s="32"/>
      <c r="F55" s="120" t="str">
        <f>F54</f>
        <v>M_NC3</v>
      </c>
      <c r="G55" s="178" t="s">
        <v>51</v>
      </c>
      <c r="H55" s="118" t="e">
        <f ca="1">0.001*INDIRECT($B55&amp;"!W9")</f>
        <v>#REF!</v>
      </c>
      <c r="I55" s="14"/>
      <c r="J55" s="33" t="e">
        <f ca="1">H55/D55-1</f>
        <v>#REF!</v>
      </c>
      <c r="L55" s="126" t="e">
        <f ca="1">INDIRECT($B55&amp;"!"&amp;L$3&amp;"9")</f>
        <v>#REF!</v>
      </c>
      <c r="M55" s="127" t="e">
        <f ca="1">INDIRECT($B55&amp;"!"&amp;M$3&amp;"9")</f>
        <v>#REF!</v>
      </c>
      <c r="N55" s="129" t="e">
        <f ca="1">M55-L55</f>
        <v>#REF!</v>
      </c>
      <c r="O55" s="32"/>
      <c r="P55" s="37"/>
      <c r="Q55" s="32"/>
      <c r="R55" s="14"/>
      <c r="S55" s="14"/>
      <c r="T55" s="14"/>
      <c r="U55" s="14"/>
      <c r="V55" s="107"/>
      <c r="X55" s="11"/>
      <c r="Y55" s="11"/>
      <c r="Z55" s="108"/>
      <c r="AB55" s="109"/>
    </row>
    <row r="56" spans="2:28" ht="16.5" customHeight="1" x14ac:dyDescent="0.25">
      <c r="B56" s="152"/>
      <c r="C56" s="153"/>
      <c r="D56" s="123"/>
      <c r="F56" s="152"/>
      <c r="G56" s="153"/>
      <c r="H56" s="123"/>
      <c r="J56" s="130" t="e">
        <f ca="1">MIN(D51:D55,H51:H55)</f>
        <v>#REF!</v>
      </c>
      <c r="L56" s="131"/>
      <c r="M56" s="132"/>
      <c r="N56" s="133"/>
      <c r="O56" s="32"/>
      <c r="P56" s="159"/>
      <c r="Q56" s="32"/>
      <c r="R56" s="14"/>
      <c r="S56" s="14"/>
      <c r="T56" s="14"/>
      <c r="U56" s="14"/>
      <c r="V56" s="110"/>
      <c r="X56" s="11"/>
      <c r="Y56" s="11"/>
      <c r="Z56" s="108"/>
    </row>
    <row r="57" spans="2:28" ht="16.5" customHeight="1" thickBot="1" x14ac:dyDescent="0.3">
      <c r="B57" s="120"/>
      <c r="C57" s="124"/>
      <c r="D57" s="121"/>
      <c r="E57" s="32"/>
      <c r="F57" s="120"/>
      <c r="G57" s="124"/>
      <c r="H57" s="121"/>
      <c r="I57" s="14"/>
      <c r="J57" s="134" t="e">
        <f ca="1">MAX(D51:D55,H51:H55)</f>
        <v>#REF!</v>
      </c>
      <c r="L57" s="135">
        <f>L56</f>
        <v>0</v>
      </c>
      <c r="M57" s="136">
        <f>M56</f>
        <v>0</v>
      </c>
      <c r="N57" s="129"/>
      <c r="O57" s="32"/>
      <c r="P57" s="10"/>
      <c r="Q57" s="32"/>
      <c r="R57" s="14"/>
      <c r="S57" s="14"/>
      <c r="T57" s="14"/>
      <c r="U57" s="14"/>
      <c r="V57" s="110"/>
      <c r="X57" s="111"/>
      <c r="Y57" s="111"/>
      <c r="Z57" s="108"/>
    </row>
    <row r="58" spans="2:28" ht="16.5" customHeight="1" thickBot="1" x14ac:dyDescent="0.3"/>
    <row r="59" spans="2:28" x14ac:dyDescent="0.25">
      <c r="B59" s="315" t="s">
        <v>24</v>
      </c>
      <c r="C59" s="316"/>
      <c r="D59" s="317"/>
      <c r="E59" s="6"/>
      <c r="F59" s="315" t="str">
        <f>B59</f>
        <v>M_NC4</v>
      </c>
      <c r="G59" s="316"/>
      <c r="H59" s="317"/>
      <c r="I59" s="6"/>
      <c r="J59" s="159"/>
      <c r="L59" s="318" t="str">
        <f>F59</f>
        <v>M_NC4</v>
      </c>
      <c r="M59" s="319"/>
      <c r="N59" s="320"/>
      <c r="O59" s="297"/>
      <c r="P59" s="159"/>
      <c r="U59" s="155"/>
      <c r="V59" s="155"/>
      <c r="X59" s="313"/>
      <c r="Y59" s="301"/>
      <c r="Z59" s="301"/>
    </row>
    <row r="60" spans="2:28" x14ac:dyDescent="0.25">
      <c r="B60" s="321" t="s">
        <v>39</v>
      </c>
      <c r="C60" s="322"/>
      <c r="D60" s="116" t="s">
        <v>40</v>
      </c>
      <c r="E60" s="32"/>
      <c r="F60" s="321" t="s">
        <v>39</v>
      </c>
      <c r="G60" s="322"/>
      <c r="H60" s="116" t="s">
        <v>40</v>
      </c>
      <c r="I60" s="14"/>
      <c r="J60" s="160" t="s">
        <v>41</v>
      </c>
      <c r="L60" s="323" t="s">
        <v>42</v>
      </c>
      <c r="M60" s="313"/>
      <c r="N60" s="324"/>
      <c r="O60" s="112"/>
      <c r="P60" s="7"/>
      <c r="R60" s="314"/>
      <c r="S60" s="301"/>
      <c r="T60" s="301"/>
      <c r="U60" s="156"/>
      <c r="V60" s="156"/>
      <c r="X60" s="314"/>
      <c r="Y60" s="301"/>
      <c r="Z60" s="301"/>
    </row>
    <row r="61" spans="2:28" x14ac:dyDescent="0.25">
      <c r="B61" s="293" t="s">
        <v>2</v>
      </c>
      <c r="C61" s="177" t="s">
        <v>43</v>
      </c>
      <c r="D61" s="115" t="s">
        <v>44</v>
      </c>
      <c r="E61" s="32"/>
      <c r="F61" s="293" t="s">
        <v>2</v>
      </c>
      <c r="G61" s="177" t="s">
        <v>43</v>
      </c>
      <c r="H61" s="115" t="s">
        <v>44</v>
      </c>
      <c r="I61" s="14"/>
      <c r="J61" s="125"/>
      <c r="L61" s="294" t="str">
        <f>CONCATENATE(B$2," ",L59)</f>
        <v>Anchor M_NC4</v>
      </c>
      <c r="M61" s="295" t="str">
        <f>CONCATENATE(F$2," ",L59)</f>
        <v>Proposal M_NC4</v>
      </c>
      <c r="N61" s="296" t="s">
        <v>45</v>
      </c>
      <c r="O61" s="6"/>
      <c r="P61" s="7" t="s">
        <v>36</v>
      </c>
      <c r="Q61" s="6"/>
      <c r="R61" s="6"/>
      <c r="S61" s="6"/>
      <c r="T61" s="6"/>
      <c r="U61" s="6"/>
      <c r="V61" s="6"/>
      <c r="X61" s="297"/>
      <c r="Y61" s="297"/>
      <c r="Z61" s="297"/>
    </row>
    <row r="62" spans="2:28" x14ac:dyDescent="0.25">
      <c r="B62" s="166" t="str">
        <f>B59</f>
        <v>M_NC4</v>
      </c>
      <c r="C62" s="177" t="s">
        <v>46</v>
      </c>
      <c r="D62" s="118" t="e">
        <f ca="1">0.001*INDIRECT($B62&amp;"!E5")</f>
        <v>#REF!</v>
      </c>
      <c r="E62" s="32"/>
      <c r="F62" s="166" t="str">
        <f>F59</f>
        <v>M_NC4</v>
      </c>
      <c r="G62" s="177" t="s">
        <v>46</v>
      </c>
      <c r="H62" s="118" t="e">
        <f ca="1">0.001*INDIRECT($B62&amp;"!W5")</f>
        <v>#REF!</v>
      </c>
      <c r="I62" s="14"/>
      <c r="J62" s="33" t="e">
        <f ca="1">H62/D62-1</f>
        <v>#REF!</v>
      </c>
      <c r="L62" s="126" t="e">
        <f ca="1">INDIRECT($B62&amp;"!"&amp;L$3&amp;"5")</f>
        <v>#REF!</v>
      </c>
      <c r="M62" s="127" t="e">
        <f ca="1">INDIRECT($B62&amp;"!"&amp;M$3&amp;"5")</f>
        <v>#REF!</v>
      </c>
      <c r="N62" s="128" t="e">
        <f ca="1">M62-L62</f>
        <v>#REF!</v>
      </c>
      <c r="O62" s="32"/>
      <c r="P62" s="33" t="e">
        <f ca="1">bdrate(D62:D66,L62:L66,H62:H66,M62:M66)</f>
        <v>#VALUE!</v>
      </c>
      <c r="Q62" s="32"/>
      <c r="R62" s="14"/>
      <c r="S62" s="14"/>
      <c r="T62" s="14"/>
      <c r="U62" s="14"/>
      <c r="V62" s="107"/>
      <c r="X62" s="11"/>
      <c r="Y62" s="11"/>
      <c r="Z62" s="108"/>
      <c r="AB62" s="109"/>
    </row>
    <row r="63" spans="2:28" x14ac:dyDescent="0.25">
      <c r="B63" s="166" t="str">
        <f>B62</f>
        <v>M_NC4</v>
      </c>
      <c r="C63" s="177" t="s">
        <v>47</v>
      </c>
      <c r="D63" s="118" t="e">
        <f ca="1">0.001*INDIRECT($B63&amp;"!E6")</f>
        <v>#REF!</v>
      </c>
      <c r="E63" s="32"/>
      <c r="F63" s="166" t="str">
        <f>F62</f>
        <v>M_NC4</v>
      </c>
      <c r="G63" s="177" t="s">
        <v>47</v>
      </c>
      <c r="H63" s="118" t="e">
        <f ca="1">0.001*INDIRECT($B63&amp;"!W6")</f>
        <v>#REF!</v>
      </c>
      <c r="I63" s="14"/>
      <c r="J63" s="33" t="e">
        <f ca="1">H63/D63-1</f>
        <v>#REF!</v>
      </c>
      <c r="L63" s="126" t="e">
        <f ca="1">INDIRECT($B63&amp;"!"&amp;L$3&amp;"6")</f>
        <v>#REF!</v>
      </c>
      <c r="M63" s="127" t="e">
        <f ca="1">INDIRECT($B63&amp;"!"&amp;M$3&amp;"6")</f>
        <v>#REF!</v>
      </c>
      <c r="N63" s="128" t="e">
        <f ca="1">M63-L63</f>
        <v>#REF!</v>
      </c>
      <c r="O63" s="32"/>
      <c r="P63" s="7"/>
      <c r="Q63" s="32"/>
      <c r="R63" s="14"/>
      <c r="S63" s="14"/>
      <c r="T63" s="14"/>
      <c r="U63" s="14"/>
      <c r="V63" s="107"/>
      <c r="X63" s="11"/>
      <c r="Y63" s="11"/>
      <c r="Z63" s="108"/>
    </row>
    <row r="64" spans="2:28" x14ac:dyDescent="0.25">
      <c r="B64" s="166" t="str">
        <f>B63</f>
        <v>M_NC4</v>
      </c>
      <c r="C64" s="177" t="s">
        <v>48</v>
      </c>
      <c r="D64" s="118" t="e">
        <f ca="1">0.001*INDIRECT($B64&amp;"!E7")</f>
        <v>#REF!</v>
      </c>
      <c r="E64" s="32"/>
      <c r="F64" s="166" t="str">
        <f>F63</f>
        <v>M_NC4</v>
      </c>
      <c r="G64" s="177" t="s">
        <v>48</v>
      </c>
      <c r="H64" s="118" t="e">
        <f ca="1">0.001*INDIRECT($B64&amp;"!W7")</f>
        <v>#REF!</v>
      </c>
      <c r="I64" s="14"/>
      <c r="J64" s="33" t="e">
        <f ca="1">H64/D64-1</f>
        <v>#REF!</v>
      </c>
      <c r="L64" s="126" t="e">
        <f ca="1">INDIRECT($B64&amp;"!"&amp;L$3&amp;"7")</f>
        <v>#REF!</v>
      </c>
      <c r="M64" s="127" t="e">
        <f ca="1">INDIRECT($B64&amp;"!"&amp;M$3&amp;"7")</f>
        <v>#REF!</v>
      </c>
      <c r="N64" s="128" t="e">
        <f ca="1">M64-L64</f>
        <v>#REF!</v>
      </c>
      <c r="O64" s="32"/>
      <c r="P64" s="7" t="s">
        <v>49</v>
      </c>
      <c r="Q64" s="32"/>
      <c r="R64" s="14"/>
      <c r="S64" s="14"/>
      <c r="T64" s="14"/>
      <c r="U64" s="14"/>
      <c r="V64" s="107"/>
      <c r="X64" s="11"/>
      <c r="Y64" s="11"/>
      <c r="Z64" s="108"/>
    </row>
    <row r="65" spans="2:28" x14ac:dyDescent="0.25">
      <c r="B65" s="166" t="str">
        <f>B64</f>
        <v>M_NC4</v>
      </c>
      <c r="C65" s="177" t="s">
        <v>50</v>
      </c>
      <c r="D65" s="118" t="e">
        <f ca="1">0.001*INDIRECT($B65&amp;"!E8")</f>
        <v>#REF!</v>
      </c>
      <c r="E65" s="32"/>
      <c r="F65" s="166" t="str">
        <f>F64</f>
        <v>M_NC4</v>
      </c>
      <c r="G65" s="177" t="s">
        <v>50</v>
      </c>
      <c r="H65" s="118" t="e">
        <f ca="1">0.001*INDIRECT($B65&amp;"!W8")</f>
        <v>#REF!</v>
      </c>
      <c r="I65" s="14"/>
      <c r="J65" s="33" t="e">
        <f ca="1">H65/D65-1</f>
        <v>#REF!</v>
      </c>
      <c r="L65" s="126" t="e">
        <f ca="1">INDIRECT($B65&amp;"!"&amp;L$3&amp;"8")</f>
        <v>#REF!</v>
      </c>
      <c r="M65" s="127" t="e">
        <f ca="1">INDIRECT($B65&amp;"!"&amp;M$3&amp;"8")</f>
        <v>#REF!</v>
      </c>
      <c r="N65" s="128" t="e">
        <f ca="1">M65-L65</f>
        <v>#REF!</v>
      </c>
      <c r="O65" s="32"/>
      <c r="P65" s="268" t="e">
        <f ca="1">bdrate(L62:L66,D62:D66,M62:M66,H62:H66)</f>
        <v>#VALUE!</v>
      </c>
      <c r="Q65" s="32"/>
      <c r="R65" s="14"/>
      <c r="S65" s="14"/>
      <c r="T65" s="14"/>
      <c r="U65" s="14"/>
      <c r="V65" s="107"/>
      <c r="X65" s="11"/>
      <c r="Y65" s="11"/>
      <c r="Z65" s="108"/>
    </row>
    <row r="66" spans="2:28" ht="16.5" customHeight="1" thickBot="1" x14ac:dyDescent="0.3">
      <c r="B66" s="120" t="str">
        <f>B65</f>
        <v>M_NC4</v>
      </c>
      <c r="C66" s="178" t="s">
        <v>51</v>
      </c>
      <c r="D66" s="121" t="e">
        <f ca="1">0.001*INDIRECT($B66&amp;"!E9")</f>
        <v>#REF!</v>
      </c>
      <c r="E66" s="32"/>
      <c r="F66" s="120" t="str">
        <f>F65</f>
        <v>M_NC4</v>
      </c>
      <c r="G66" s="178" t="s">
        <v>51</v>
      </c>
      <c r="H66" s="118" t="e">
        <f ca="1">0.001*INDIRECT($B66&amp;"!W9")</f>
        <v>#REF!</v>
      </c>
      <c r="I66" s="14"/>
      <c r="J66" s="33" t="e">
        <f ca="1">H66/D66-1</f>
        <v>#REF!</v>
      </c>
      <c r="L66" s="126" t="e">
        <f ca="1">INDIRECT($B66&amp;"!"&amp;L$3&amp;"9")</f>
        <v>#REF!</v>
      </c>
      <c r="M66" s="127" t="e">
        <f ca="1">INDIRECT($B66&amp;"!"&amp;M$3&amp;"9")</f>
        <v>#REF!</v>
      </c>
      <c r="N66" s="129" t="e">
        <f ca="1">M66-L66</f>
        <v>#REF!</v>
      </c>
      <c r="O66" s="32"/>
      <c r="P66" s="37"/>
      <c r="Q66" s="32"/>
      <c r="R66" s="14"/>
      <c r="S66" s="14"/>
      <c r="T66" s="14"/>
      <c r="U66" s="14"/>
      <c r="V66" s="107"/>
      <c r="X66" s="11"/>
      <c r="Y66" s="11"/>
      <c r="Z66" s="108"/>
      <c r="AB66" s="109"/>
    </row>
    <row r="67" spans="2:28" ht="16.5" customHeight="1" x14ac:dyDescent="0.25">
      <c r="B67" s="152"/>
      <c r="C67" s="153"/>
      <c r="D67" s="123"/>
      <c r="F67" s="152"/>
      <c r="G67" s="153"/>
      <c r="H67" s="123"/>
      <c r="J67" s="130" t="e">
        <f ca="1">MIN(D62:D66,H62:H66)</f>
        <v>#REF!</v>
      </c>
      <c r="L67" s="131"/>
      <c r="M67" s="132"/>
      <c r="N67" s="133"/>
      <c r="O67" s="32"/>
      <c r="P67" s="159"/>
      <c r="Q67" s="32"/>
      <c r="R67" s="14"/>
      <c r="S67" s="14"/>
      <c r="T67" s="14"/>
      <c r="U67" s="14"/>
      <c r="V67" s="110"/>
      <c r="X67" s="11"/>
      <c r="Y67" s="11"/>
      <c r="Z67" s="108"/>
    </row>
    <row r="68" spans="2:28" ht="16.5" customHeight="1" thickBot="1" x14ac:dyDescent="0.3">
      <c r="B68" s="120"/>
      <c r="C68" s="124"/>
      <c r="D68" s="121"/>
      <c r="E68" s="32"/>
      <c r="F68" s="120"/>
      <c r="G68" s="124"/>
      <c r="H68" s="121"/>
      <c r="I68" s="14"/>
      <c r="J68" s="134" t="e">
        <f ca="1">MAX(D62:D66,H62:H66)</f>
        <v>#REF!</v>
      </c>
      <c r="L68" s="135">
        <f>L67</f>
        <v>0</v>
      </c>
      <c r="M68" s="136">
        <f>M67</f>
        <v>0</v>
      </c>
      <c r="N68" s="129"/>
      <c r="O68" s="32"/>
      <c r="P68" s="10"/>
      <c r="Q68" s="32"/>
      <c r="R68" s="14"/>
      <c r="S68" s="14"/>
      <c r="T68" s="14"/>
      <c r="U68" s="14"/>
      <c r="V68" s="110"/>
      <c r="X68" s="111"/>
      <c r="Y68" s="111"/>
      <c r="Z68" s="108"/>
    </row>
    <row r="69" spans="2:28" ht="16.5" customHeight="1" thickBot="1" x14ac:dyDescent="0.3"/>
    <row r="70" spans="2:28" x14ac:dyDescent="0.25">
      <c r="B70" s="315" t="s">
        <v>25</v>
      </c>
      <c r="C70" s="316"/>
      <c r="D70" s="317"/>
      <c r="E70" s="6"/>
      <c r="F70" s="315" t="str">
        <f>B70</f>
        <v>M_NC5</v>
      </c>
      <c r="G70" s="316"/>
      <c r="H70" s="317"/>
      <c r="I70" s="6"/>
      <c r="J70" s="159"/>
      <c r="L70" s="318" t="str">
        <f>F70</f>
        <v>M_NC5</v>
      </c>
      <c r="M70" s="319"/>
      <c r="N70" s="320"/>
      <c r="O70" s="297"/>
      <c r="P70" s="159"/>
      <c r="U70" s="155"/>
      <c r="V70" s="155"/>
      <c r="X70" s="313"/>
      <c r="Y70" s="301"/>
      <c r="Z70" s="301"/>
    </row>
    <row r="71" spans="2:28" x14ac:dyDescent="0.25">
      <c r="B71" s="321" t="s">
        <v>39</v>
      </c>
      <c r="C71" s="322"/>
      <c r="D71" s="116" t="s">
        <v>40</v>
      </c>
      <c r="E71" s="32"/>
      <c r="F71" s="321" t="s">
        <v>39</v>
      </c>
      <c r="G71" s="322"/>
      <c r="H71" s="116" t="s">
        <v>40</v>
      </c>
      <c r="I71" s="14"/>
      <c r="J71" s="160" t="s">
        <v>41</v>
      </c>
      <c r="L71" s="323" t="s">
        <v>42</v>
      </c>
      <c r="M71" s="313"/>
      <c r="N71" s="324"/>
      <c r="O71" s="112"/>
      <c r="P71" s="7"/>
      <c r="R71" s="314"/>
      <c r="S71" s="301"/>
      <c r="T71" s="301"/>
      <c r="U71" s="156"/>
      <c r="V71" s="156"/>
      <c r="X71" s="314"/>
      <c r="Y71" s="301"/>
      <c r="Z71" s="301"/>
    </row>
    <row r="72" spans="2:28" x14ac:dyDescent="0.25">
      <c r="B72" s="293" t="s">
        <v>2</v>
      </c>
      <c r="C72" s="177" t="s">
        <v>43</v>
      </c>
      <c r="D72" s="115" t="s">
        <v>44</v>
      </c>
      <c r="E72" s="32"/>
      <c r="F72" s="293" t="s">
        <v>2</v>
      </c>
      <c r="G72" s="177" t="s">
        <v>43</v>
      </c>
      <c r="H72" s="115" t="s">
        <v>44</v>
      </c>
      <c r="I72" s="14"/>
      <c r="J72" s="125"/>
      <c r="L72" s="294" t="str">
        <f>CONCATENATE(B$2," ",L70)</f>
        <v>Anchor M_NC5</v>
      </c>
      <c r="M72" s="295" t="str">
        <f>CONCATENATE(F$2," ",L70)</f>
        <v>Proposal M_NC5</v>
      </c>
      <c r="N72" s="296" t="s">
        <v>45</v>
      </c>
      <c r="O72" s="6"/>
      <c r="P72" s="7" t="s">
        <v>36</v>
      </c>
      <c r="Q72" s="6"/>
      <c r="R72" s="6"/>
      <c r="S72" s="6"/>
      <c r="T72" s="6"/>
      <c r="U72" s="6"/>
      <c r="V72" s="6"/>
      <c r="X72" s="297"/>
      <c r="Y72" s="297"/>
      <c r="Z72" s="297"/>
    </row>
    <row r="73" spans="2:28" x14ac:dyDescent="0.25">
      <c r="B73" s="166" t="str">
        <f>B70</f>
        <v>M_NC5</v>
      </c>
      <c r="C73" s="177" t="s">
        <v>46</v>
      </c>
      <c r="D73" s="118" t="e">
        <f ca="1">0.001*INDIRECT($B73&amp;"!E5")</f>
        <v>#REF!</v>
      </c>
      <c r="E73" s="32"/>
      <c r="F73" s="166" t="str">
        <f>F70</f>
        <v>M_NC5</v>
      </c>
      <c r="G73" s="177" t="s">
        <v>46</v>
      </c>
      <c r="H73" s="118" t="e">
        <f ca="1">0.001*INDIRECT($B73&amp;"!W5")</f>
        <v>#REF!</v>
      </c>
      <c r="I73" s="14"/>
      <c r="J73" s="33" t="e">
        <f ca="1">H73/D73-1</f>
        <v>#REF!</v>
      </c>
      <c r="L73" s="126" t="e">
        <f ca="1">INDIRECT($B73&amp;"!"&amp;L$3&amp;"5")</f>
        <v>#REF!</v>
      </c>
      <c r="M73" s="127" t="e">
        <f ca="1">INDIRECT($B73&amp;"!"&amp;M$3&amp;"5")</f>
        <v>#REF!</v>
      </c>
      <c r="N73" s="128" t="e">
        <f ca="1">M73-L73</f>
        <v>#REF!</v>
      </c>
      <c r="O73" s="32"/>
      <c r="P73" s="33" t="e">
        <f ca="1">bdrate(D73:D77,L73:L77,H73:H77,M73:M77)</f>
        <v>#VALUE!</v>
      </c>
      <c r="Q73" s="32"/>
      <c r="R73" s="14"/>
      <c r="S73" s="14"/>
      <c r="T73" s="14"/>
      <c r="U73" s="14"/>
      <c r="V73" s="107"/>
      <c r="X73" s="11"/>
      <c r="Y73" s="11"/>
      <c r="Z73" s="108"/>
      <c r="AB73" s="109"/>
    </row>
    <row r="74" spans="2:28" x14ac:dyDescent="0.25">
      <c r="B74" s="166" t="str">
        <f>B73</f>
        <v>M_NC5</v>
      </c>
      <c r="C74" s="177" t="s">
        <v>47</v>
      </c>
      <c r="D74" s="118" t="e">
        <f ca="1">0.001*INDIRECT($B74&amp;"!E6")</f>
        <v>#REF!</v>
      </c>
      <c r="E74" s="32"/>
      <c r="F74" s="166" t="str">
        <f>F73</f>
        <v>M_NC5</v>
      </c>
      <c r="G74" s="177" t="s">
        <v>47</v>
      </c>
      <c r="H74" s="118" t="e">
        <f ca="1">0.001*INDIRECT($B74&amp;"!W6")</f>
        <v>#REF!</v>
      </c>
      <c r="I74" s="14"/>
      <c r="J74" s="33" t="e">
        <f ca="1">H74/D74-1</f>
        <v>#REF!</v>
      </c>
      <c r="L74" s="126" t="e">
        <f ca="1">INDIRECT($B74&amp;"!"&amp;L$3&amp;"6")</f>
        <v>#REF!</v>
      </c>
      <c r="M74" s="127" t="e">
        <f ca="1">INDIRECT($B74&amp;"!"&amp;M$3&amp;"6")</f>
        <v>#REF!</v>
      </c>
      <c r="N74" s="128" t="e">
        <f ca="1">M74-L74</f>
        <v>#REF!</v>
      </c>
      <c r="O74" s="32"/>
      <c r="P74" s="7"/>
      <c r="Q74" s="32"/>
      <c r="R74" s="14"/>
      <c r="S74" s="14"/>
      <c r="T74" s="14"/>
      <c r="U74" s="14"/>
      <c r="V74" s="107"/>
      <c r="X74" s="11"/>
      <c r="Y74" s="11"/>
      <c r="Z74" s="108"/>
    </row>
    <row r="75" spans="2:28" x14ac:dyDescent="0.25">
      <c r="B75" s="166" t="str">
        <f>B74</f>
        <v>M_NC5</v>
      </c>
      <c r="C75" s="177" t="s">
        <v>48</v>
      </c>
      <c r="D75" s="118" t="e">
        <f ca="1">0.001*INDIRECT($B75&amp;"!E7")</f>
        <v>#REF!</v>
      </c>
      <c r="E75" s="32"/>
      <c r="F75" s="166" t="str">
        <f>F74</f>
        <v>M_NC5</v>
      </c>
      <c r="G75" s="177" t="s">
        <v>48</v>
      </c>
      <c r="H75" s="118" t="e">
        <f ca="1">0.001*INDIRECT($B75&amp;"!W7")</f>
        <v>#REF!</v>
      </c>
      <c r="I75" s="14"/>
      <c r="J75" s="33" t="e">
        <f ca="1">H75/D75-1</f>
        <v>#REF!</v>
      </c>
      <c r="L75" s="126" t="e">
        <f ca="1">INDIRECT($B75&amp;"!"&amp;L$3&amp;"7")</f>
        <v>#REF!</v>
      </c>
      <c r="M75" s="127" t="e">
        <f ca="1">INDIRECT($B75&amp;"!"&amp;M$3&amp;"7")</f>
        <v>#REF!</v>
      </c>
      <c r="N75" s="128" t="e">
        <f ca="1">M75-L75</f>
        <v>#REF!</v>
      </c>
      <c r="O75" s="32"/>
      <c r="P75" s="7" t="s">
        <v>49</v>
      </c>
      <c r="Q75" s="32"/>
      <c r="R75" s="14"/>
      <c r="S75" s="14"/>
      <c r="T75" s="14"/>
      <c r="U75" s="14"/>
      <c r="V75" s="107"/>
      <c r="X75" s="11"/>
      <c r="Y75" s="11"/>
      <c r="Z75" s="108"/>
    </row>
    <row r="76" spans="2:28" x14ac:dyDescent="0.25">
      <c r="B76" s="166" t="str">
        <f>B75</f>
        <v>M_NC5</v>
      </c>
      <c r="C76" s="177" t="s">
        <v>50</v>
      </c>
      <c r="D76" s="118" t="e">
        <f ca="1">0.001*INDIRECT($B76&amp;"!E8")</f>
        <v>#REF!</v>
      </c>
      <c r="E76" s="32"/>
      <c r="F76" s="166" t="str">
        <f>F75</f>
        <v>M_NC5</v>
      </c>
      <c r="G76" s="177" t="s">
        <v>50</v>
      </c>
      <c r="H76" s="118" t="e">
        <f ca="1">0.001*INDIRECT($B76&amp;"!W8")</f>
        <v>#REF!</v>
      </c>
      <c r="I76" s="14"/>
      <c r="J76" s="33" t="e">
        <f ca="1">H76/D76-1</f>
        <v>#REF!</v>
      </c>
      <c r="L76" s="126" t="e">
        <f ca="1">INDIRECT($B76&amp;"!"&amp;L$3&amp;"8")</f>
        <v>#REF!</v>
      </c>
      <c r="M76" s="127" t="e">
        <f ca="1">INDIRECT($B76&amp;"!"&amp;M$3&amp;"8")</f>
        <v>#REF!</v>
      </c>
      <c r="N76" s="128" t="e">
        <f ca="1">M76-L76</f>
        <v>#REF!</v>
      </c>
      <c r="O76" s="32"/>
      <c r="P76" s="268" t="e">
        <f ca="1">bdrate(L73:L77,D73:D77,M73:M77,H73:H77)</f>
        <v>#VALUE!</v>
      </c>
      <c r="Q76" s="32"/>
      <c r="R76" s="14"/>
      <c r="S76" s="14"/>
      <c r="T76" s="14"/>
      <c r="U76" s="14"/>
      <c r="V76" s="107"/>
      <c r="X76" s="11"/>
      <c r="Y76" s="11"/>
      <c r="Z76" s="108"/>
    </row>
    <row r="77" spans="2:28" ht="16.5" customHeight="1" thickBot="1" x14ac:dyDescent="0.3">
      <c r="B77" s="120" t="str">
        <f>B76</f>
        <v>M_NC5</v>
      </c>
      <c r="C77" s="178" t="s">
        <v>51</v>
      </c>
      <c r="D77" s="121" t="e">
        <f ca="1">0.001*INDIRECT($B77&amp;"!E9")</f>
        <v>#REF!</v>
      </c>
      <c r="E77" s="32"/>
      <c r="F77" s="120" t="str">
        <f>F76</f>
        <v>M_NC5</v>
      </c>
      <c r="G77" s="178" t="s">
        <v>51</v>
      </c>
      <c r="H77" s="118" t="e">
        <f ca="1">0.001*INDIRECT($B77&amp;"!W9")</f>
        <v>#REF!</v>
      </c>
      <c r="I77" s="14"/>
      <c r="J77" s="33" t="e">
        <f ca="1">H77/D77-1</f>
        <v>#REF!</v>
      </c>
      <c r="L77" s="126" t="e">
        <f ca="1">INDIRECT($B77&amp;"!"&amp;L$3&amp;"9")</f>
        <v>#REF!</v>
      </c>
      <c r="M77" s="127" t="e">
        <f ca="1">INDIRECT($B77&amp;"!"&amp;M$3&amp;"9")</f>
        <v>#REF!</v>
      </c>
      <c r="N77" s="129" t="e">
        <f ca="1">M77-L77</f>
        <v>#REF!</v>
      </c>
      <c r="O77" s="32"/>
      <c r="P77" s="37"/>
      <c r="Q77" s="32"/>
      <c r="R77" s="14"/>
      <c r="S77" s="14"/>
      <c r="T77" s="14"/>
      <c r="U77" s="14"/>
      <c r="V77" s="107"/>
      <c r="X77" s="11"/>
      <c r="Y77" s="11"/>
      <c r="Z77" s="108"/>
      <c r="AB77" s="109"/>
    </row>
    <row r="78" spans="2:28" ht="16.5" customHeight="1" x14ac:dyDescent="0.25">
      <c r="B78" s="152"/>
      <c r="C78" s="153"/>
      <c r="D78" s="123"/>
      <c r="F78" s="152"/>
      <c r="G78" s="153"/>
      <c r="H78" s="123"/>
      <c r="J78" s="130" t="e">
        <f ca="1">MIN(D73:D77,H73:H77)</f>
        <v>#REF!</v>
      </c>
      <c r="L78" s="131"/>
      <c r="M78" s="132"/>
      <c r="N78" s="133"/>
      <c r="O78" s="32"/>
      <c r="P78" s="159"/>
      <c r="Q78" s="32"/>
      <c r="R78" s="14"/>
      <c r="S78" s="14"/>
      <c r="T78" s="14"/>
      <c r="U78" s="14"/>
      <c r="V78" s="110"/>
      <c r="X78" s="11"/>
      <c r="Y78" s="11"/>
      <c r="Z78" s="108"/>
    </row>
    <row r="79" spans="2:28" ht="16.5" customHeight="1" thickBot="1" x14ac:dyDescent="0.3">
      <c r="B79" s="120"/>
      <c r="C79" s="124"/>
      <c r="D79" s="121"/>
      <c r="E79" s="32"/>
      <c r="F79" s="120"/>
      <c r="G79" s="124"/>
      <c r="H79" s="121"/>
      <c r="I79" s="14"/>
      <c r="J79" s="134" t="e">
        <f ca="1">MAX(D73:D77,H73:H77)</f>
        <v>#REF!</v>
      </c>
      <c r="L79" s="135">
        <f>L78</f>
        <v>0</v>
      </c>
      <c r="M79" s="136">
        <f>M78</f>
        <v>0</v>
      </c>
      <c r="N79" s="129"/>
      <c r="O79" s="32"/>
      <c r="P79" s="10"/>
      <c r="Q79" s="32"/>
      <c r="R79" s="14"/>
      <c r="S79" s="14"/>
      <c r="T79" s="14"/>
      <c r="U79" s="14"/>
      <c r="V79" s="110"/>
      <c r="X79" s="111"/>
      <c r="Y79" s="111"/>
      <c r="Z79" s="108"/>
    </row>
    <row r="80" spans="2:28" ht="16.5" customHeight="1" thickBot="1" x14ac:dyDescent="0.3"/>
    <row r="81" spans="2:28" x14ac:dyDescent="0.25">
      <c r="B81" s="315" t="s">
        <v>30</v>
      </c>
      <c r="C81" s="316"/>
      <c r="D81" s="317"/>
      <c r="E81" s="6"/>
      <c r="F81" s="315" t="str">
        <f>B81</f>
        <v>S_NC1</v>
      </c>
      <c r="G81" s="316"/>
      <c r="H81" s="317"/>
      <c r="I81" s="6"/>
      <c r="J81" s="159"/>
      <c r="L81" s="318" t="str">
        <f>F81</f>
        <v>S_NC1</v>
      </c>
      <c r="M81" s="319"/>
      <c r="N81" s="320"/>
      <c r="O81" s="297"/>
      <c r="P81" s="159"/>
      <c r="U81" s="155"/>
      <c r="V81" s="155"/>
      <c r="X81" s="313"/>
      <c r="Y81" s="301"/>
      <c r="Z81" s="301"/>
    </row>
    <row r="82" spans="2:28" x14ac:dyDescent="0.25">
      <c r="B82" s="321" t="s">
        <v>39</v>
      </c>
      <c r="C82" s="322"/>
      <c r="D82" s="116" t="s">
        <v>40</v>
      </c>
      <c r="E82" s="32"/>
      <c r="F82" s="321" t="s">
        <v>39</v>
      </c>
      <c r="G82" s="322"/>
      <c r="H82" s="116" t="s">
        <v>40</v>
      </c>
      <c r="I82" s="14"/>
      <c r="J82" s="160" t="s">
        <v>41</v>
      </c>
      <c r="L82" s="323" t="s">
        <v>42</v>
      </c>
      <c r="M82" s="313"/>
      <c r="N82" s="324"/>
      <c r="O82" s="112"/>
      <c r="P82" s="7"/>
      <c r="R82" s="314"/>
      <c r="S82" s="301"/>
      <c r="T82" s="301"/>
      <c r="U82" s="156"/>
      <c r="V82" s="156"/>
      <c r="X82" s="314"/>
      <c r="Y82" s="301"/>
      <c r="Z82" s="301"/>
    </row>
    <row r="83" spans="2:28" x14ac:dyDescent="0.25">
      <c r="B83" s="293" t="s">
        <v>2</v>
      </c>
      <c r="C83" s="177" t="s">
        <v>43</v>
      </c>
      <c r="D83" s="115" t="s">
        <v>44</v>
      </c>
      <c r="E83" s="32"/>
      <c r="F83" s="293" t="s">
        <v>2</v>
      </c>
      <c r="G83" s="177" t="s">
        <v>43</v>
      </c>
      <c r="H83" s="115" t="s">
        <v>44</v>
      </c>
      <c r="I83" s="14"/>
      <c r="J83" s="125"/>
      <c r="L83" s="294" t="str">
        <f>CONCATENATE(B$2," ",L81)</f>
        <v>Anchor S_NC1</v>
      </c>
      <c r="M83" s="295" t="str">
        <f>CONCATENATE(F$2," ",L81)</f>
        <v>Proposal S_NC1</v>
      </c>
      <c r="N83" s="296" t="s">
        <v>45</v>
      </c>
      <c r="O83" s="6"/>
      <c r="P83" s="7" t="s">
        <v>36</v>
      </c>
      <c r="Q83" s="6"/>
      <c r="R83" s="6"/>
      <c r="S83" s="6"/>
      <c r="T83" s="6"/>
      <c r="U83" s="6"/>
      <c r="V83" s="6"/>
      <c r="X83" s="297"/>
      <c r="Y83" s="297"/>
      <c r="Z83" s="297"/>
    </row>
    <row r="84" spans="2:28" x14ac:dyDescent="0.25">
      <c r="B84" s="166" t="str">
        <f>B81</f>
        <v>S_NC1</v>
      </c>
      <c r="C84" s="177" t="s">
        <v>46</v>
      </c>
      <c r="D84" s="118" t="e">
        <f ca="1">0.001*INDIRECT($B84&amp;"!E5")</f>
        <v>#REF!</v>
      </c>
      <c r="E84" s="32"/>
      <c r="F84" s="166" t="str">
        <f>F81</f>
        <v>S_NC1</v>
      </c>
      <c r="G84" s="177" t="s">
        <v>46</v>
      </c>
      <c r="H84" s="118" t="e">
        <f ca="1">0.001*INDIRECT($B84&amp;"!W5")</f>
        <v>#REF!</v>
      </c>
      <c r="I84" s="14"/>
      <c r="J84" s="33" t="e">
        <f ca="1">H84/D84-1</f>
        <v>#REF!</v>
      </c>
      <c r="L84" s="126" t="e">
        <f ca="1">INDIRECT($B84&amp;"!"&amp;L$3&amp;"5")</f>
        <v>#REF!</v>
      </c>
      <c r="M84" s="127" t="e">
        <f ca="1">INDIRECT($B84&amp;"!"&amp;M$3&amp;"5")</f>
        <v>#REF!</v>
      </c>
      <c r="N84" s="128" t="e">
        <f ca="1">M84-L84</f>
        <v>#REF!</v>
      </c>
      <c r="O84" s="32"/>
      <c r="P84" s="33" t="e">
        <f ca="1">bdrate(D84:D88,L84:L88,H84:H88,M84:M88)</f>
        <v>#VALUE!</v>
      </c>
      <c r="Q84" s="32"/>
      <c r="R84" s="14"/>
      <c r="S84" s="14"/>
      <c r="T84" s="14"/>
      <c r="U84" s="14"/>
      <c r="V84" s="107"/>
      <c r="X84" s="11"/>
      <c r="Y84" s="11"/>
      <c r="Z84" s="108"/>
      <c r="AB84" s="109"/>
    </row>
    <row r="85" spans="2:28" x14ac:dyDescent="0.25">
      <c r="B85" s="166" t="str">
        <f>B84</f>
        <v>S_NC1</v>
      </c>
      <c r="C85" s="177" t="s">
        <v>47</v>
      </c>
      <c r="D85" s="118" t="e">
        <f ca="1">0.001*INDIRECT($B85&amp;"!E6")</f>
        <v>#REF!</v>
      </c>
      <c r="E85" s="32"/>
      <c r="F85" s="166" t="str">
        <f>F84</f>
        <v>S_NC1</v>
      </c>
      <c r="G85" s="177" t="s">
        <v>47</v>
      </c>
      <c r="H85" s="118" t="e">
        <f ca="1">0.001*INDIRECT($B85&amp;"!W6")</f>
        <v>#REF!</v>
      </c>
      <c r="I85" s="14"/>
      <c r="J85" s="33" t="e">
        <f ca="1">H85/D85-1</f>
        <v>#REF!</v>
      </c>
      <c r="L85" s="126" t="e">
        <f ca="1">INDIRECT($B85&amp;"!"&amp;L$3&amp;"6")</f>
        <v>#REF!</v>
      </c>
      <c r="M85" s="127" t="e">
        <f ca="1">INDIRECT($B85&amp;"!"&amp;M$3&amp;"6")</f>
        <v>#REF!</v>
      </c>
      <c r="N85" s="128" t="e">
        <f ca="1">M85-L85</f>
        <v>#REF!</v>
      </c>
      <c r="O85" s="32"/>
      <c r="P85" s="7"/>
      <c r="Q85" s="32"/>
      <c r="R85" s="14"/>
      <c r="S85" s="14"/>
      <c r="T85" s="14"/>
      <c r="U85" s="14"/>
      <c r="V85" s="107"/>
      <c r="X85" s="11"/>
      <c r="Y85" s="11"/>
      <c r="Z85" s="108"/>
    </row>
    <row r="86" spans="2:28" x14ac:dyDescent="0.25">
      <c r="B86" s="166" t="str">
        <f>B85</f>
        <v>S_NC1</v>
      </c>
      <c r="C86" s="177" t="s">
        <v>48</v>
      </c>
      <c r="D86" s="118" t="e">
        <f ca="1">0.001*INDIRECT($B86&amp;"!E7")</f>
        <v>#REF!</v>
      </c>
      <c r="E86" s="32"/>
      <c r="F86" s="166" t="str">
        <f>F85</f>
        <v>S_NC1</v>
      </c>
      <c r="G86" s="177" t="s">
        <v>48</v>
      </c>
      <c r="H86" s="118" t="e">
        <f ca="1">0.001*INDIRECT($B86&amp;"!W7")</f>
        <v>#REF!</v>
      </c>
      <c r="I86" s="14"/>
      <c r="J86" s="33" t="e">
        <f ca="1">H86/D86-1</f>
        <v>#REF!</v>
      </c>
      <c r="L86" s="126" t="e">
        <f ca="1">INDIRECT($B86&amp;"!"&amp;L$3&amp;"7")</f>
        <v>#REF!</v>
      </c>
      <c r="M86" s="127" t="e">
        <f ca="1">INDIRECT($B86&amp;"!"&amp;M$3&amp;"7")</f>
        <v>#REF!</v>
      </c>
      <c r="N86" s="128" t="e">
        <f ca="1">M86-L86</f>
        <v>#REF!</v>
      </c>
      <c r="O86" s="32"/>
      <c r="P86" s="7" t="s">
        <v>49</v>
      </c>
      <c r="Q86" s="32"/>
      <c r="R86" s="14"/>
      <c r="S86" s="14"/>
      <c r="T86" s="14"/>
      <c r="U86" s="14"/>
      <c r="V86" s="107"/>
      <c r="X86" s="11"/>
      <c r="Y86" s="11"/>
      <c r="Z86" s="108"/>
    </row>
    <row r="87" spans="2:28" x14ac:dyDescent="0.25">
      <c r="B87" s="166" t="str">
        <f>B86</f>
        <v>S_NC1</v>
      </c>
      <c r="C87" s="177" t="s">
        <v>50</v>
      </c>
      <c r="D87" s="118" t="e">
        <f ca="1">0.001*INDIRECT($B87&amp;"!E8")</f>
        <v>#REF!</v>
      </c>
      <c r="E87" s="32"/>
      <c r="F87" s="166" t="str">
        <f>F86</f>
        <v>S_NC1</v>
      </c>
      <c r="G87" s="177" t="s">
        <v>50</v>
      </c>
      <c r="H87" s="118" t="e">
        <f ca="1">0.001*INDIRECT($B87&amp;"!W8")</f>
        <v>#REF!</v>
      </c>
      <c r="I87" s="14"/>
      <c r="J87" s="33" t="e">
        <f ca="1">H87/D87-1</f>
        <v>#REF!</v>
      </c>
      <c r="L87" s="126" t="e">
        <f ca="1">INDIRECT($B87&amp;"!"&amp;L$3&amp;"8")</f>
        <v>#REF!</v>
      </c>
      <c r="M87" s="127" t="e">
        <f ca="1">INDIRECT($B87&amp;"!"&amp;M$3&amp;"8")</f>
        <v>#REF!</v>
      </c>
      <c r="N87" s="128" t="e">
        <f ca="1">M87-L87</f>
        <v>#REF!</v>
      </c>
      <c r="O87" s="32"/>
      <c r="P87" s="268" t="e">
        <f ca="1">bdrate(L84:L88,D84:D88,M84:M88,H84:H88)</f>
        <v>#VALUE!</v>
      </c>
      <c r="Q87" s="32"/>
      <c r="R87" s="14"/>
      <c r="S87" s="14"/>
      <c r="T87" s="14"/>
      <c r="U87" s="14"/>
      <c r="V87" s="107"/>
      <c r="X87" s="11"/>
      <c r="Y87" s="11"/>
      <c r="Z87" s="108"/>
    </row>
    <row r="88" spans="2:28" ht="16.5" customHeight="1" thickBot="1" x14ac:dyDescent="0.3">
      <c r="B88" s="120" t="str">
        <f>B87</f>
        <v>S_NC1</v>
      </c>
      <c r="C88" s="178" t="s">
        <v>51</v>
      </c>
      <c r="D88" s="121" t="e">
        <f ca="1">0.001*INDIRECT($B88&amp;"!E9")</f>
        <v>#REF!</v>
      </c>
      <c r="E88" s="32"/>
      <c r="F88" s="120" t="str">
        <f>F87</f>
        <v>S_NC1</v>
      </c>
      <c r="G88" s="178" t="s">
        <v>51</v>
      </c>
      <c r="H88" s="118" t="e">
        <f ca="1">0.001*INDIRECT($B88&amp;"!W9")</f>
        <v>#REF!</v>
      </c>
      <c r="I88" s="14"/>
      <c r="J88" s="33" t="e">
        <f ca="1">H88/D88-1</f>
        <v>#REF!</v>
      </c>
      <c r="L88" s="126" t="e">
        <f ca="1">INDIRECT($B88&amp;"!"&amp;L$3&amp;"9")</f>
        <v>#REF!</v>
      </c>
      <c r="M88" s="127" t="e">
        <f ca="1">INDIRECT($B88&amp;"!"&amp;M$3&amp;"9")</f>
        <v>#REF!</v>
      </c>
      <c r="N88" s="129" t="e">
        <f ca="1">M88-L88</f>
        <v>#REF!</v>
      </c>
      <c r="O88" s="32"/>
      <c r="P88" s="37"/>
      <c r="Q88" s="32"/>
      <c r="R88" s="14"/>
      <c r="S88" s="14"/>
      <c r="T88" s="14"/>
      <c r="U88" s="14"/>
      <c r="V88" s="107"/>
      <c r="X88" s="11"/>
      <c r="Y88" s="11"/>
      <c r="Z88" s="108"/>
      <c r="AB88" s="109"/>
    </row>
    <row r="89" spans="2:28" ht="16.5" customHeight="1" x14ac:dyDescent="0.25">
      <c r="B89" s="152"/>
      <c r="C89" s="153"/>
      <c r="D89" s="123"/>
      <c r="F89" s="152"/>
      <c r="G89" s="153"/>
      <c r="H89" s="123"/>
      <c r="J89" s="130" t="e">
        <f ca="1">MIN(D84:D88,H84:H88)</f>
        <v>#REF!</v>
      </c>
      <c r="L89" s="131"/>
      <c r="M89" s="132"/>
      <c r="N89" s="133"/>
      <c r="O89" s="32"/>
      <c r="P89" s="159"/>
      <c r="Q89" s="32"/>
      <c r="R89" s="14"/>
      <c r="S89" s="14"/>
      <c r="T89" s="14"/>
      <c r="U89" s="14"/>
      <c r="V89" s="110"/>
      <c r="X89" s="11"/>
      <c r="Y89" s="11"/>
      <c r="Z89" s="108"/>
    </row>
    <row r="90" spans="2:28" ht="16.5" customHeight="1" thickBot="1" x14ac:dyDescent="0.3">
      <c r="B90" s="120"/>
      <c r="C90" s="124"/>
      <c r="D90" s="121"/>
      <c r="E90" s="32"/>
      <c r="F90" s="120"/>
      <c r="G90" s="124"/>
      <c r="H90" s="121"/>
      <c r="I90" s="14"/>
      <c r="J90" s="134" t="e">
        <f ca="1">MAX(D84:D88,H84:H88)</f>
        <v>#REF!</v>
      </c>
      <c r="L90" s="135">
        <f>L89</f>
        <v>0</v>
      </c>
      <c r="M90" s="136">
        <f>M89</f>
        <v>0</v>
      </c>
      <c r="N90" s="129"/>
      <c r="O90" s="32"/>
      <c r="P90" s="10"/>
      <c r="Q90" s="32"/>
      <c r="R90" s="14"/>
      <c r="S90" s="14"/>
      <c r="T90" s="14"/>
      <c r="U90" s="14"/>
      <c r="V90" s="110"/>
      <c r="X90" s="111"/>
      <c r="Y90" s="111"/>
      <c r="Z90" s="108"/>
    </row>
    <row r="91" spans="2:28" ht="16.5" customHeight="1" thickBot="1" x14ac:dyDescent="0.3"/>
    <row r="92" spans="2:28" x14ac:dyDescent="0.25">
      <c r="B92" s="315" t="s">
        <v>31</v>
      </c>
      <c r="C92" s="316"/>
      <c r="D92" s="317"/>
      <c r="E92" s="6"/>
      <c r="F92" s="315" t="str">
        <f>B92</f>
        <v>S_NC2</v>
      </c>
      <c r="G92" s="316"/>
      <c r="H92" s="317"/>
      <c r="I92" s="6"/>
      <c r="J92" s="159"/>
      <c r="L92" s="318" t="str">
        <f>F92</f>
        <v>S_NC2</v>
      </c>
      <c r="M92" s="319"/>
      <c r="N92" s="320"/>
      <c r="O92" s="297"/>
      <c r="P92" s="159"/>
      <c r="U92" s="155"/>
      <c r="V92" s="155"/>
      <c r="X92" s="313"/>
      <c r="Y92" s="301"/>
      <c r="Z92" s="301"/>
    </row>
    <row r="93" spans="2:28" x14ac:dyDescent="0.25">
      <c r="B93" s="321" t="s">
        <v>39</v>
      </c>
      <c r="C93" s="322"/>
      <c r="D93" s="116" t="s">
        <v>40</v>
      </c>
      <c r="E93" s="32"/>
      <c r="F93" s="321" t="s">
        <v>39</v>
      </c>
      <c r="G93" s="322"/>
      <c r="H93" s="116" t="s">
        <v>40</v>
      </c>
      <c r="I93" s="14"/>
      <c r="J93" s="160" t="s">
        <v>41</v>
      </c>
      <c r="L93" s="323" t="s">
        <v>42</v>
      </c>
      <c r="M93" s="313"/>
      <c r="N93" s="324"/>
      <c r="O93" s="112"/>
      <c r="P93" s="7"/>
      <c r="R93" s="314"/>
      <c r="S93" s="301"/>
      <c r="T93" s="301"/>
      <c r="U93" s="156"/>
      <c r="V93" s="156"/>
      <c r="X93" s="314"/>
      <c r="Y93" s="301"/>
      <c r="Z93" s="301"/>
    </row>
    <row r="94" spans="2:28" x14ac:dyDescent="0.25">
      <c r="B94" s="293" t="s">
        <v>2</v>
      </c>
      <c r="C94" s="177" t="s">
        <v>43</v>
      </c>
      <c r="D94" s="115" t="s">
        <v>44</v>
      </c>
      <c r="E94" s="32"/>
      <c r="F94" s="293" t="s">
        <v>2</v>
      </c>
      <c r="G94" s="177" t="s">
        <v>43</v>
      </c>
      <c r="H94" s="115" t="s">
        <v>44</v>
      </c>
      <c r="I94" s="14"/>
      <c r="J94" s="125"/>
      <c r="L94" s="294" t="str">
        <f>CONCATENATE(B$2," ",L92)</f>
        <v>Anchor S_NC2</v>
      </c>
      <c r="M94" s="295" t="str">
        <f>CONCATENATE(F$2," ",L92)</f>
        <v>Proposal S_NC2</v>
      </c>
      <c r="N94" s="296" t="s">
        <v>45</v>
      </c>
      <c r="O94" s="6"/>
      <c r="P94" s="7" t="s">
        <v>36</v>
      </c>
      <c r="Q94" s="6"/>
      <c r="R94" s="6"/>
      <c r="S94" s="6"/>
      <c r="T94" s="6"/>
      <c r="U94" s="6"/>
      <c r="V94" s="6"/>
      <c r="X94" s="297"/>
      <c r="Y94" s="297"/>
      <c r="Z94" s="297"/>
    </row>
    <row r="95" spans="2:28" x14ac:dyDescent="0.25">
      <c r="B95" s="166" t="str">
        <f>B92</f>
        <v>S_NC2</v>
      </c>
      <c r="C95" s="177" t="s">
        <v>46</v>
      </c>
      <c r="D95" s="118" t="e">
        <f ca="1">0.001*INDIRECT($B95&amp;"!E5")</f>
        <v>#REF!</v>
      </c>
      <c r="E95" s="32"/>
      <c r="F95" s="166" t="str">
        <f>F92</f>
        <v>S_NC2</v>
      </c>
      <c r="G95" s="177" t="s">
        <v>46</v>
      </c>
      <c r="H95" s="118" t="e">
        <f ca="1">0.001*INDIRECT($B95&amp;"!W5")</f>
        <v>#REF!</v>
      </c>
      <c r="I95" s="14"/>
      <c r="J95" s="33" t="e">
        <f ca="1">H95/D95-1</f>
        <v>#REF!</v>
      </c>
      <c r="L95" s="126" t="e">
        <f ca="1">INDIRECT($B95&amp;"!"&amp;L$3&amp;"5")</f>
        <v>#REF!</v>
      </c>
      <c r="M95" s="127" t="e">
        <f ca="1">INDIRECT($B95&amp;"!"&amp;M$3&amp;"5")</f>
        <v>#REF!</v>
      </c>
      <c r="N95" s="128" t="e">
        <f ca="1">M95-L95</f>
        <v>#REF!</v>
      </c>
      <c r="O95" s="32"/>
      <c r="P95" s="33" t="e">
        <f ca="1">bdrate(D95:D99,L95:L99,H95:H99,M95:M99)</f>
        <v>#VALUE!</v>
      </c>
      <c r="Q95" s="32"/>
      <c r="R95" s="14"/>
      <c r="S95" s="14"/>
      <c r="T95" s="14"/>
      <c r="U95" s="14"/>
      <c r="V95" s="107"/>
      <c r="X95" s="11"/>
      <c r="Y95" s="11"/>
      <c r="Z95" s="108"/>
      <c r="AB95" s="109"/>
    </row>
    <row r="96" spans="2:28" x14ac:dyDescent="0.25">
      <c r="B96" s="166" t="str">
        <f>B95</f>
        <v>S_NC2</v>
      </c>
      <c r="C96" s="177" t="s">
        <v>47</v>
      </c>
      <c r="D96" s="118" t="e">
        <f ca="1">0.001*INDIRECT($B96&amp;"!E6")</f>
        <v>#REF!</v>
      </c>
      <c r="E96" s="32"/>
      <c r="F96" s="166" t="str">
        <f>F95</f>
        <v>S_NC2</v>
      </c>
      <c r="G96" s="177" t="s">
        <v>47</v>
      </c>
      <c r="H96" s="118" t="e">
        <f ca="1">0.001*INDIRECT($B96&amp;"!W6")</f>
        <v>#REF!</v>
      </c>
      <c r="I96" s="14"/>
      <c r="J96" s="33" t="e">
        <f ca="1">H96/D96-1</f>
        <v>#REF!</v>
      </c>
      <c r="L96" s="126" t="e">
        <f ca="1">INDIRECT($B96&amp;"!"&amp;L$3&amp;"6")</f>
        <v>#REF!</v>
      </c>
      <c r="M96" s="127" t="e">
        <f ca="1">INDIRECT($B96&amp;"!"&amp;M$3&amp;"6")</f>
        <v>#REF!</v>
      </c>
      <c r="N96" s="128" t="e">
        <f ca="1">M96-L96</f>
        <v>#REF!</v>
      </c>
      <c r="O96" s="32"/>
      <c r="P96" s="7"/>
      <c r="Q96" s="32"/>
      <c r="R96" s="14"/>
      <c r="S96" s="14"/>
      <c r="T96" s="14"/>
      <c r="U96" s="14"/>
      <c r="V96" s="107"/>
      <c r="X96" s="11"/>
      <c r="Y96" s="11"/>
      <c r="Z96" s="108"/>
    </row>
    <row r="97" spans="2:28" x14ac:dyDescent="0.25">
      <c r="B97" s="166" t="str">
        <f>B96</f>
        <v>S_NC2</v>
      </c>
      <c r="C97" s="177" t="s">
        <v>48</v>
      </c>
      <c r="D97" s="118" t="e">
        <f ca="1">0.001*INDIRECT($B97&amp;"!E7")</f>
        <v>#REF!</v>
      </c>
      <c r="E97" s="32"/>
      <c r="F97" s="166" t="str">
        <f>F96</f>
        <v>S_NC2</v>
      </c>
      <c r="G97" s="177" t="s">
        <v>48</v>
      </c>
      <c r="H97" s="118" t="e">
        <f ca="1">0.001*INDIRECT($B97&amp;"!W7")</f>
        <v>#REF!</v>
      </c>
      <c r="I97" s="14"/>
      <c r="J97" s="33" t="e">
        <f ca="1">H97/D97-1</f>
        <v>#REF!</v>
      </c>
      <c r="L97" s="126" t="e">
        <f ca="1">INDIRECT($B97&amp;"!"&amp;L$3&amp;"7")</f>
        <v>#REF!</v>
      </c>
      <c r="M97" s="127" t="e">
        <f ca="1">INDIRECT($B97&amp;"!"&amp;M$3&amp;"7")</f>
        <v>#REF!</v>
      </c>
      <c r="N97" s="128" t="e">
        <f ca="1">M97-L97</f>
        <v>#REF!</v>
      </c>
      <c r="O97" s="32"/>
      <c r="P97" s="7" t="s">
        <v>49</v>
      </c>
      <c r="Q97" s="32"/>
      <c r="R97" s="14"/>
      <c r="S97" s="14"/>
      <c r="T97" s="14"/>
      <c r="U97" s="14"/>
      <c r="V97" s="107"/>
      <c r="X97" s="11"/>
      <c r="Y97" s="11"/>
      <c r="Z97" s="108"/>
    </row>
    <row r="98" spans="2:28" x14ac:dyDescent="0.25">
      <c r="B98" s="166" t="str">
        <f>B97</f>
        <v>S_NC2</v>
      </c>
      <c r="C98" s="177" t="s">
        <v>50</v>
      </c>
      <c r="D98" s="118" t="e">
        <f ca="1">0.001*INDIRECT($B98&amp;"!E8")</f>
        <v>#REF!</v>
      </c>
      <c r="E98" s="32"/>
      <c r="F98" s="166" t="str">
        <f>F97</f>
        <v>S_NC2</v>
      </c>
      <c r="G98" s="177" t="s">
        <v>50</v>
      </c>
      <c r="H98" s="118" t="e">
        <f ca="1">0.001*INDIRECT($B98&amp;"!W8")</f>
        <v>#REF!</v>
      </c>
      <c r="I98" s="14"/>
      <c r="J98" s="33" t="e">
        <f ca="1">H98/D98-1</f>
        <v>#REF!</v>
      </c>
      <c r="L98" s="126" t="e">
        <f ca="1">INDIRECT($B98&amp;"!"&amp;L$3&amp;"8")</f>
        <v>#REF!</v>
      </c>
      <c r="M98" s="127" t="e">
        <f ca="1">INDIRECT($B98&amp;"!"&amp;M$3&amp;"8")</f>
        <v>#REF!</v>
      </c>
      <c r="N98" s="128" t="e">
        <f ca="1">M98-L98</f>
        <v>#REF!</v>
      </c>
      <c r="O98" s="32"/>
      <c r="P98" s="268" t="e">
        <f ca="1">bdrate(L95:L99,D95:D99,M95:M99,H95:H99)</f>
        <v>#VALUE!</v>
      </c>
      <c r="Q98" s="32"/>
      <c r="R98" s="14"/>
      <c r="S98" s="14"/>
      <c r="T98" s="14"/>
      <c r="U98" s="14"/>
      <c r="V98" s="107"/>
      <c r="X98" s="11"/>
      <c r="Y98" s="11"/>
      <c r="Z98" s="108"/>
    </row>
    <row r="99" spans="2:28" ht="16.5" customHeight="1" thickBot="1" x14ac:dyDescent="0.3">
      <c r="B99" s="120" t="str">
        <f>B98</f>
        <v>S_NC2</v>
      </c>
      <c r="C99" s="178" t="s">
        <v>51</v>
      </c>
      <c r="D99" s="121" t="e">
        <f ca="1">0.001*INDIRECT($B99&amp;"!E9")</f>
        <v>#REF!</v>
      </c>
      <c r="E99" s="32"/>
      <c r="F99" s="120" t="str">
        <f>F98</f>
        <v>S_NC2</v>
      </c>
      <c r="G99" s="178" t="s">
        <v>51</v>
      </c>
      <c r="H99" s="118" t="e">
        <f ca="1">0.001*INDIRECT($B99&amp;"!W9")</f>
        <v>#REF!</v>
      </c>
      <c r="I99" s="14"/>
      <c r="J99" s="33" t="e">
        <f ca="1">H99/D99-1</f>
        <v>#REF!</v>
      </c>
      <c r="L99" s="126" t="e">
        <f ca="1">INDIRECT($B99&amp;"!"&amp;L$3&amp;"9")</f>
        <v>#REF!</v>
      </c>
      <c r="M99" s="127" t="e">
        <f ca="1">INDIRECT($B99&amp;"!"&amp;M$3&amp;"9")</f>
        <v>#REF!</v>
      </c>
      <c r="N99" s="129" t="e">
        <f ca="1">M99-L99</f>
        <v>#REF!</v>
      </c>
      <c r="O99" s="32"/>
      <c r="P99" s="37"/>
      <c r="Q99" s="32"/>
      <c r="R99" s="14"/>
      <c r="S99" s="14"/>
      <c r="T99" s="14"/>
      <c r="U99" s="14"/>
      <c r="V99" s="107"/>
      <c r="X99" s="11"/>
      <c r="Y99" s="11"/>
      <c r="Z99" s="108"/>
      <c r="AB99" s="109"/>
    </row>
    <row r="100" spans="2:28" ht="16.5" customHeight="1" x14ac:dyDescent="0.25">
      <c r="B100" s="152"/>
      <c r="C100" s="153"/>
      <c r="D100" s="123"/>
      <c r="F100" s="152"/>
      <c r="G100" s="153"/>
      <c r="H100" s="123"/>
      <c r="J100" s="130" t="e">
        <f ca="1">MIN(D95:D99,H95:H99)</f>
        <v>#REF!</v>
      </c>
      <c r="L100" s="131"/>
      <c r="M100" s="132"/>
      <c r="N100" s="133"/>
      <c r="O100" s="32"/>
      <c r="P100" s="159"/>
      <c r="Q100" s="32"/>
      <c r="R100" s="14"/>
      <c r="S100" s="14"/>
      <c r="T100" s="14"/>
      <c r="U100" s="14"/>
      <c r="V100" s="110"/>
      <c r="X100" s="11"/>
      <c r="Y100" s="11"/>
      <c r="Z100" s="108"/>
    </row>
    <row r="101" spans="2:28" ht="16.5" customHeight="1" thickBot="1" x14ac:dyDescent="0.3">
      <c r="B101" s="120"/>
      <c r="C101" s="124"/>
      <c r="D101" s="121"/>
      <c r="E101" s="32"/>
      <c r="F101" s="120"/>
      <c r="G101" s="124"/>
      <c r="H101" s="121"/>
      <c r="I101" s="14"/>
      <c r="J101" s="134" t="e">
        <f ca="1">MAX(D95:D99,H95:H99)</f>
        <v>#REF!</v>
      </c>
      <c r="L101" s="135">
        <f>L100</f>
        <v>0</v>
      </c>
      <c r="M101" s="136">
        <f>M100</f>
        <v>0</v>
      </c>
      <c r="N101" s="129"/>
      <c r="O101" s="32"/>
      <c r="P101" s="10"/>
      <c r="Q101" s="32"/>
      <c r="R101" s="14"/>
      <c r="S101" s="14"/>
      <c r="T101" s="14"/>
      <c r="U101" s="14"/>
      <c r="V101" s="110"/>
      <c r="X101" s="111"/>
      <c r="Y101" s="111"/>
      <c r="Z101" s="108"/>
    </row>
    <row r="102" spans="2:28" ht="16.5" customHeight="1" x14ac:dyDescent="0.25"/>
    <row r="103" spans="2:28" x14ac:dyDescent="0.25">
      <c r="B103" s="297"/>
      <c r="C103" s="297"/>
      <c r="D103" s="6"/>
      <c r="E103" s="6"/>
      <c r="F103" s="6"/>
      <c r="G103" s="6"/>
      <c r="H103" s="6"/>
      <c r="I103" s="6"/>
      <c r="J103" s="6"/>
      <c r="L103" s="312"/>
      <c r="M103" s="301"/>
      <c r="N103" s="301"/>
      <c r="O103" s="301"/>
      <c r="P103" s="301"/>
      <c r="Q103" s="301"/>
      <c r="R103" s="301"/>
      <c r="S103" s="301"/>
      <c r="T103" s="301"/>
      <c r="U103" s="155"/>
      <c r="V103" s="155"/>
      <c r="X103" s="313"/>
      <c r="Y103" s="301"/>
      <c r="Z103" s="301"/>
    </row>
    <row r="104" spans="2:28" x14ac:dyDescent="0.25">
      <c r="B104" s="70"/>
      <c r="C104" s="297"/>
      <c r="D104" s="32"/>
      <c r="E104" s="32"/>
      <c r="F104" s="32"/>
      <c r="G104" s="32"/>
      <c r="H104" s="14"/>
      <c r="I104" s="14"/>
      <c r="J104" s="14"/>
      <c r="L104" s="314"/>
      <c r="M104" s="301"/>
      <c r="N104" s="314"/>
      <c r="O104" s="301"/>
      <c r="P104" s="301"/>
      <c r="Q104" s="301"/>
      <c r="R104" s="314"/>
      <c r="S104" s="301"/>
      <c r="T104" s="301"/>
      <c r="U104" s="156"/>
      <c r="V104" s="156"/>
      <c r="X104" s="314"/>
      <c r="Y104" s="301"/>
      <c r="Z104" s="301"/>
    </row>
    <row r="105" spans="2:28" x14ac:dyDescent="0.25">
      <c r="B105" s="70"/>
      <c r="C105" s="297"/>
      <c r="D105" s="32"/>
      <c r="E105" s="32"/>
      <c r="F105" s="32"/>
      <c r="G105" s="32"/>
      <c r="H105" s="14"/>
      <c r="I105" s="14"/>
      <c r="J105" s="14"/>
      <c r="L105" s="297"/>
      <c r="M105" s="297"/>
      <c r="N105" s="6"/>
      <c r="O105" s="6"/>
      <c r="P105" s="6"/>
      <c r="Q105" s="6"/>
      <c r="R105" s="6"/>
      <c r="S105" s="6"/>
      <c r="T105" s="6"/>
      <c r="U105" s="6"/>
      <c r="V105" s="6"/>
      <c r="X105" s="297"/>
      <c r="Y105" s="297"/>
      <c r="Z105" s="297"/>
    </row>
    <row r="106" spans="2:28" x14ac:dyDescent="0.25">
      <c r="B106" s="70"/>
      <c r="C106" s="297"/>
      <c r="D106" s="32"/>
      <c r="E106" s="32"/>
      <c r="F106" s="32"/>
      <c r="G106" s="32"/>
      <c r="H106" s="14"/>
      <c r="I106" s="14"/>
      <c r="J106" s="14"/>
      <c r="L106" s="70"/>
      <c r="M106" s="297"/>
      <c r="N106" s="32"/>
      <c r="O106" s="32"/>
      <c r="P106" s="32"/>
      <c r="Q106" s="32"/>
      <c r="R106" s="14"/>
      <c r="S106" s="14"/>
      <c r="T106" s="14"/>
      <c r="U106" s="14"/>
      <c r="V106" s="107"/>
      <c r="X106" s="11"/>
      <c r="Y106" s="11"/>
      <c r="Z106" s="108"/>
      <c r="AB106" s="109"/>
    </row>
    <row r="107" spans="2:28" x14ac:dyDescent="0.25">
      <c r="B107" s="70"/>
      <c r="C107" s="297"/>
      <c r="D107" s="32"/>
      <c r="E107" s="32"/>
      <c r="F107" s="32"/>
      <c r="G107" s="32"/>
      <c r="H107" s="14"/>
      <c r="I107" s="14"/>
      <c r="J107" s="14"/>
      <c r="L107" s="70"/>
      <c r="M107" s="297"/>
      <c r="N107" s="32"/>
      <c r="O107" s="32"/>
      <c r="P107" s="32"/>
      <c r="Q107" s="32"/>
      <c r="R107" s="14"/>
      <c r="S107" s="14"/>
      <c r="T107" s="14"/>
      <c r="U107" s="14"/>
      <c r="V107" s="107"/>
      <c r="X107" s="11"/>
      <c r="Y107" s="11"/>
      <c r="Z107" s="108"/>
    </row>
    <row r="108" spans="2:28" x14ac:dyDescent="0.25">
      <c r="B108" s="70"/>
      <c r="C108" s="297"/>
      <c r="D108" s="32"/>
      <c r="E108" s="32"/>
      <c r="F108" s="32"/>
      <c r="G108" s="32"/>
      <c r="H108" s="14"/>
      <c r="I108" s="14"/>
      <c r="J108" s="14"/>
      <c r="L108" s="70"/>
      <c r="M108" s="297"/>
      <c r="N108" s="32"/>
      <c r="O108" s="32"/>
      <c r="P108" s="32"/>
      <c r="Q108" s="32"/>
      <c r="R108" s="14"/>
      <c r="S108" s="14"/>
      <c r="T108" s="14"/>
      <c r="U108" s="14"/>
      <c r="V108" s="107"/>
      <c r="X108" s="11"/>
      <c r="Y108" s="11"/>
      <c r="Z108" s="108"/>
    </row>
    <row r="109" spans="2:28" ht="16.5" customHeight="1" x14ac:dyDescent="0.25">
      <c r="B109" s="70"/>
      <c r="D109" s="32"/>
      <c r="E109" s="32"/>
      <c r="F109" s="32"/>
      <c r="G109" s="32"/>
      <c r="H109" s="14"/>
      <c r="I109" s="14"/>
      <c r="J109" s="14"/>
      <c r="L109" s="70"/>
      <c r="M109" s="297"/>
      <c r="N109" s="32"/>
      <c r="O109" s="32"/>
      <c r="P109" s="32"/>
      <c r="Q109" s="32"/>
      <c r="R109" s="14"/>
      <c r="S109" s="14"/>
      <c r="T109" s="14"/>
      <c r="U109" s="14"/>
      <c r="V109" s="107"/>
      <c r="X109" s="11"/>
      <c r="Y109" s="11"/>
      <c r="Z109" s="108"/>
      <c r="AB109" s="109"/>
    </row>
    <row r="110" spans="2:28" ht="16.5" customHeight="1" x14ac:dyDescent="0.25">
      <c r="L110" s="70"/>
      <c r="M110" s="297"/>
      <c r="N110" s="32"/>
      <c r="O110" s="32"/>
      <c r="P110" s="32"/>
      <c r="Q110" s="32"/>
      <c r="R110" s="14"/>
      <c r="S110" s="14"/>
      <c r="T110" s="14"/>
      <c r="U110" s="14"/>
      <c r="V110" s="110"/>
      <c r="X110" s="11"/>
      <c r="Y110" s="11"/>
      <c r="Z110" s="108"/>
    </row>
    <row r="111" spans="2:28" ht="16.5" customHeight="1" x14ac:dyDescent="0.25">
      <c r="B111" s="70"/>
      <c r="D111" s="32"/>
      <c r="E111" s="32"/>
      <c r="F111" s="32"/>
      <c r="G111" s="32"/>
      <c r="H111" s="14"/>
      <c r="I111" s="14"/>
      <c r="J111" s="14"/>
      <c r="L111" s="70"/>
      <c r="M111" s="297"/>
      <c r="N111" s="32"/>
      <c r="O111" s="32"/>
      <c r="P111" s="32"/>
      <c r="Q111" s="32"/>
      <c r="R111" s="14"/>
      <c r="S111" s="14"/>
      <c r="T111" s="14"/>
      <c r="U111" s="14"/>
      <c r="V111" s="110"/>
      <c r="X111" s="111"/>
      <c r="Y111" s="111"/>
      <c r="Z111" s="108"/>
    </row>
    <row r="112" spans="2:28" ht="16.5" customHeight="1" x14ac:dyDescent="0.25"/>
    <row r="116" spans="28:28" x14ac:dyDescent="0.25">
      <c r="AB116" s="109"/>
    </row>
    <row r="119" spans="28:28" ht="16.5" customHeight="1" x14ac:dyDescent="0.25">
      <c r="AB119" s="109"/>
    </row>
    <row r="121" spans="28:28" ht="16.5" customHeight="1" x14ac:dyDescent="0.25"/>
    <row r="122" spans="28:28" ht="16.5" customHeight="1" x14ac:dyDescent="0.25"/>
    <row r="126" spans="28:28" x14ac:dyDescent="0.25">
      <c r="AB126" s="109"/>
    </row>
    <row r="129" spans="28:28" ht="16.5" customHeight="1" x14ac:dyDescent="0.25">
      <c r="AB129" s="109"/>
    </row>
    <row r="131" spans="28:28" ht="16.5" customHeight="1" x14ac:dyDescent="0.25"/>
    <row r="132" spans="28:28" ht="16.5" customHeight="1" x14ac:dyDescent="0.25"/>
    <row r="136" spans="28:28" x14ac:dyDescent="0.25">
      <c r="AB136" s="109"/>
    </row>
    <row r="139" spans="28:28" ht="16.5" customHeight="1" x14ac:dyDescent="0.25">
      <c r="AB139" s="109"/>
    </row>
    <row r="141" spans="28:28" ht="16.5" customHeight="1" x14ac:dyDescent="0.25"/>
    <row r="142" spans="28:28" ht="16.5" customHeight="1" x14ac:dyDescent="0.25"/>
    <row r="146" spans="28:28" x14ac:dyDescent="0.25">
      <c r="AB146" s="109"/>
    </row>
    <row r="149" spans="28:28" ht="16.5" customHeight="1" x14ac:dyDescent="0.25">
      <c r="AB149" s="109"/>
    </row>
    <row r="151" spans="28:28" ht="16.5" customHeight="1" x14ac:dyDescent="0.25"/>
    <row r="152" spans="28:28" ht="16.5" customHeight="1" x14ac:dyDescent="0.25"/>
    <row r="156" spans="28:28" x14ac:dyDescent="0.25">
      <c r="AB156" s="109"/>
    </row>
    <row r="159" spans="28:28" ht="16.5" customHeight="1" x14ac:dyDescent="0.25">
      <c r="AB159" s="109"/>
    </row>
    <row r="161" spans="28:28" ht="16.5" customHeight="1" x14ac:dyDescent="0.25"/>
    <row r="162" spans="28:28" ht="16.5" customHeight="1" x14ac:dyDescent="0.25"/>
    <row r="166" spans="28:28" x14ac:dyDescent="0.25">
      <c r="AB166" s="109"/>
    </row>
    <row r="169" spans="28:28" ht="16.5" customHeight="1" x14ac:dyDescent="0.25">
      <c r="AB169" s="109"/>
    </row>
    <row r="171" spans="28:28" ht="16.5" customHeight="1" x14ac:dyDescent="0.25"/>
    <row r="172" spans="28:28" ht="16.5" customHeight="1" x14ac:dyDescent="0.25"/>
    <row r="176" spans="28:28" x14ac:dyDescent="0.25">
      <c r="AB176" s="109"/>
    </row>
    <row r="179" spans="28:28" ht="16.5" customHeight="1" x14ac:dyDescent="0.25">
      <c r="AB179" s="109"/>
    </row>
    <row r="181" spans="28:28" ht="16.5" customHeight="1" x14ac:dyDescent="0.25"/>
    <row r="182" spans="28:28" ht="16.5" customHeight="1" x14ac:dyDescent="0.25"/>
    <row r="186" spans="28:28" x14ac:dyDescent="0.25">
      <c r="AB186" s="109"/>
    </row>
    <row r="189" spans="28:28" ht="16.5" customHeight="1" x14ac:dyDescent="0.25">
      <c r="AB189" s="109"/>
    </row>
    <row r="191" spans="28:28" ht="16.5" customHeight="1" x14ac:dyDescent="0.25"/>
    <row r="192" spans="28:28" ht="16.5" customHeight="1" x14ac:dyDescent="0.25"/>
    <row r="196" spans="28:28" x14ac:dyDescent="0.25">
      <c r="AB196" s="109"/>
    </row>
    <row r="199" spans="28:28" ht="16.5" customHeight="1" x14ac:dyDescent="0.25">
      <c r="AB199" s="109"/>
    </row>
    <row r="201" spans="28:28" ht="16.5" customHeight="1" x14ac:dyDescent="0.25"/>
    <row r="202" spans="28:28" ht="16.5" customHeight="1" x14ac:dyDescent="0.25"/>
    <row r="206" spans="28:28" x14ac:dyDescent="0.25">
      <c r="AB206" s="109"/>
    </row>
    <row r="209" spans="2:28" ht="16.5" customHeight="1" x14ac:dyDescent="0.25">
      <c r="AB209" s="109"/>
    </row>
    <row r="211" spans="2:28" ht="16.5" customHeight="1" x14ac:dyDescent="0.25"/>
    <row r="212" spans="2:28" ht="16.5" customHeight="1" x14ac:dyDescent="0.25"/>
    <row r="215" spans="2:28" x14ac:dyDescent="0.25">
      <c r="B215" s="297"/>
      <c r="C215" s="297"/>
      <c r="D215" s="6"/>
      <c r="E215" s="6"/>
      <c r="F215" s="6"/>
      <c r="G215" s="6"/>
      <c r="H215" s="6"/>
      <c r="I215" s="6"/>
      <c r="J215" s="6"/>
      <c r="L215" s="297"/>
      <c r="M215" s="297"/>
      <c r="N215" s="6"/>
      <c r="O215" s="6"/>
      <c r="P215" s="6"/>
      <c r="Q215" s="6"/>
      <c r="R215" s="6"/>
      <c r="S215" s="6"/>
      <c r="T215" s="6"/>
      <c r="U215" s="6"/>
      <c r="V215" s="6"/>
      <c r="X215" s="297"/>
      <c r="Y215" s="297"/>
      <c r="Z215" s="297"/>
    </row>
    <row r="216" spans="2:28" x14ac:dyDescent="0.25">
      <c r="B216" s="70"/>
      <c r="C216" s="297"/>
      <c r="D216" s="32"/>
      <c r="E216" s="32"/>
      <c r="F216" s="32"/>
      <c r="G216" s="32"/>
      <c r="H216" s="14"/>
      <c r="I216" s="14"/>
      <c r="J216" s="14"/>
      <c r="L216" s="70"/>
      <c r="M216" s="297"/>
      <c r="N216" s="32"/>
      <c r="O216" s="32"/>
      <c r="P216" s="32"/>
      <c r="Q216" s="32"/>
      <c r="R216" s="14"/>
      <c r="S216" s="14"/>
      <c r="T216" s="14"/>
      <c r="U216" s="14"/>
      <c r="V216" s="107"/>
      <c r="X216" s="11"/>
      <c r="Y216" s="11"/>
      <c r="Z216" s="108"/>
      <c r="AB216" s="109"/>
    </row>
    <row r="217" spans="2:28" x14ac:dyDescent="0.25">
      <c r="B217" s="70"/>
      <c r="C217" s="297"/>
      <c r="D217" s="32"/>
      <c r="E217" s="32"/>
      <c r="F217" s="32"/>
      <c r="G217" s="32"/>
      <c r="H217" s="14"/>
      <c r="I217" s="14"/>
      <c r="J217" s="14"/>
      <c r="L217" s="70"/>
      <c r="M217" s="297"/>
      <c r="N217" s="32"/>
      <c r="O217" s="32"/>
      <c r="P217" s="32"/>
      <c r="Q217" s="32"/>
      <c r="R217" s="14"/>
      <c r="S217" s="14"/>
      <c r="T217" s="14"/>
      <c r="U217" s="14"/>
      <c r="V217" s="107"/>
      <c r="X217" s="11"/>
      <c r="Y217" s="11"/>
      <c r="Z217" s="108"/>
    </row>
    <row r="218" spans="2:28" x14ac:dyDescent="0.25">
      <c r="B218" s="70"/>
      <c r="C218" s="297"/>
      <c r="D218" s="32"/>
      <c r="E218" s="32"/>
      <c r="F218" s="32"/>
      <c r="G218" s="32"/>
      <c r="H218" s="14"/>
      <c r="I218" s="14"/>
      <c r="J218" s="14"/>
      <c r="L218" s="70"/>
      <c r="M218" s="297"/>
      <c r="N218" s="32"/>
      <c r="O218" s="32"/>
      <c r="P218" s="32"/>
      <c r="Q218" s="32"/>
      <c r="R218" s="14"/>
      <c r="S218" s="14"/>
      <c r="T218" s="14"/>
      <c r="U218" s="14"/>
      <c r="V218" s="107"/>
      <c r="X218" s="11"/>
      <c r="Y218" s="11"/>
      <c r="Z218" s="108"/>
    </row>
    <row r="219" spans="2:28" ht="16.5" customHeight="1" x14ac:dyDescent="0.25">
      <c r="B219" s="70"/>
      <c r="C219" s="297"/>
      <c r="D219" s="32"/>
      <c r="E219" s="32"/>
      <c r="F219" s="32"/>
      <c r="G219" s="32"/>
      <c r="H219" s="14"/>
      <c r="I219" s="14"/>
      <c r="J219" s="14"/>
      <c r="L219" s="70"/>
      <c r="M219" s="297"/>
      <c r="N219" s="32"/>
      <c r="O219" s="32"/>
      <c r="P219" s="32"/>
      <c r="Q219" s="32"/>
      <c r="R219" s="14"/>
      <c r="S219" s="14"/>
      <c r="T219" s="14"/>
      <c r="U219" s="14"/>
      <c r="V219" s="107"/>
      <c r="X219" s="11"/>
      <c r="Y219" s="11"/>
      <c r="Z219" s="108"/>
      <c r="AB219" s="109"/>
    </row>
    <row r="220" spans="2:28" x14ac:dyDescent="0.25">
      <c r="B220" s="70"/>
      <c r="C220" s="297"/>
      <c r="D220" s="32"/>
      <c r="E220" s="32"/>
      <c r="F220" s="32"/>
      <c r="G220" s="32"/>
      <c r="H220" s="14"/>
      <c r="I220" s="14"/>
      <c r="J220" s="14"/>
      <c r="L220" s="70"/>
      <c r="M220" s="297"/>
      <c r="N220" s="32"/>
      <c r="O220" s="32"/>
      <c r="P220" s="32"/>
      <c r="Q220" s="32"/>
      <c r="R220" s="14"/>
      <c r="S220" s="14"/>
      <c r="T220" s="14"/>
      <c r="U220" s="14"/>
      <c r="V220" s="110"/>
      <c r="X220" s="11"/>
      <c r="Y220" s="11"/>
      <c r="Z220" s="108"/>
    </row>
    <row r="221" spans="2:28" ht="16.5" customHeight="1" x14ac:dyDescent="0.25">
      <c r="B221" s="70"/>
      <c r="D221" s="32"/>
      <c r="E221" s="32"/>
      <c r="F221" s="32"/>
      <c r="G221" s="32"/>
      <c r="H221" s="14"/>
      <c r="I221" s="14"/>
      <c r="J221" s="14"/>
      <c r="L221" s="70"/>
      <c r="M221" s="297"/>
      <c r="N221" s="32"/>
      <c r="O221" s="32"/>
      <c r="P221" s="32"/>
      <c r="Q221" s="32"/>
      <c r="R221" s="14"/>
      <c r="S221" s="14"/>
      <c r="T221" s="14"/>
      <c r="U221" s="14"/>
      <c r="V221" s="110"/>
      <c r="X221" s="111"/>
      <c r="Y221" s="111"/>
      <c r="Z221" s="108"/>
    </row>
  </sheetData>
  <mergeCells count="87">
    <mergeCell ref="B92:D92"/>
    <mergeCell ref="F92:H92"/>
    <mergeCell ref="L92:N92"/>
    <mergeCell ref="B93:C93"/>
    <mergeCell ref="F93:G93"/>
    <mergeCell ref="L93:N93"/>
    <mergeCell ref="B81:D81"/>
    <mergeCell ref="F81:H81"/>
    <mergeCell ref="L81:N81"/>
    <mergeCell ref="B82:C82"/>
    <mergeCell ref="F82:G82"/>
    <mergeCell ref="L82:N82"/>
    <mergeCell ref="B2:D2"/>
    <mergeCell ref="F2:H2"/>
    <mergeCell ref="L2:N2"/>
    <mergeCell ref="B4:D4"/>
    <mergeCell ref="F4:H4"/>
    <mergeCell ref="L4:N4"/>
    <mergeCell ref="B5:C5"/>
    <mergeCell ref="F5:G5"/>
    <mergeCell ref="L5:N5"/>
    <mergeCell ref="B15:D15"/>
    <mergeCell ref="F15:H15"/>
    <mergeCell ref="L15:N15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X81:Z81"/>
    <mergeCell ref="R82:T82"/>
    <mergeCell ref="X82:Z82"/>
    <mergeCell ref="X92:Z92"/>
    <mergeCell ref="R93:T93"/>
    <mergeCell ref="X93:Z93"/>
    <mergeCell ref="L103:T103"/>
    <mergeCell ref="X103:Z103"/>
    <mergeCell ref="L104:M104"/>
    <mergeCell ref="N104:Q104"/>
    <mergeCell ref="R104:T104"/>
    <mergeCell ref="X104:Z104"/>
  </mergeCells>
  <phoneticPr fontId="25" type="noConversion"/>
  <conditionalFormatting sqref="N13">
    <cfRule type="cellIs" dxfId="1439" priority="722" stopIfTrue="1" operator="lessThan">
      <formula>-0.01</formula>
    </cfRule>
    <cfRule type="cellIs" dxfId="1438" priority="723" stopIfTrue="1" operator="greaterThan">
      <formula>0.01</formula>
    </cfRule>
  </conditionalFormatting>
  <conditionalFormatting sqref="I13">
    <cfRule type="dataBar" priority="721">
      <dataBar>
        <cfvo type="min"/>
        <cfvo type="max"/>
        <color rgb="FF008AEF"/>
      </dataBar>
    </cfRule>
  </conditionalFormatting>
  <conditionalFormatting sqref="R12:T13">
    <cfRule type="dataBar" priority="720">
      <dataBar>
        <cfvo type="min"/>
        <cfvo type="max"/>
        <color rgb="FF008AEF"/>
      </dataBar>
    </cfRule>
  </conditionalFormatting>
  <conditionalFormatting sqref="U12:U13">
    <cfRule type="dataBar" priority="724">
      <dataBar>
        <cfvo type="min"/>
        <cfvo type="max"/>
        <color rgb="FF008AEF"/>
      </dataBar>
    </cfRule>
  </conditionalFormatting>
  <conditionalFormatting sqref="V7:V11">
    <cfRule type="cellIs" dxfId="1437" priority="704" operator="greaterThan">
      <formula>0.03</formula>
    </cfRule>
    <cfRule type="cellIs" dxfId="1436" priority="705" stopIfTrue="1" operator="lessThan">
      <formula>-0.03</formula>
    </cfRule>
  </conditionalFormatting>
  <conditionalFormatting sqref="R8:T8">
    <cfRule type="dataBar" priority="700">
      <dataBar>
        <cfvo type="min"/>
        <cfvo type="max"/>
        <color rgb="FF008AEF"/>
      </dataBar>
    </cfRule>
  </conditionalFormatting>
  <conditionalFormatting sqref="R9:T10">
    <cfRule type="dataBar" priority="699">
      <dataBar>
        <cfvo type="min"/>
        <cfvo type="max"/>
        <color rgb="FF008AEF"/>
      </dataBar>
    </cfRule>
  </conditionalFormatting>
  <conditionalFormatting sqref="R11:T11">
    <cfRule type="dataBar" priority="698">
      <dataBar>
        <cfvo type="min"/>
        <cfvo type="max"/>
        <color rgb="FF008AEF"/>
      </dataBar>
    </cfRule>
  </conditionalFormatting>
  <conditionalFormatting sqref="R7:U7 U8:U11">
    <cfRule type="dataBar" priority="719">
      <dataBar>
        <cfvo type="min"/>
        <cfvo type="max"/>
        <color rgb="FF008AEF"/>
      </dataBar>
    </cfRule>
  </conditionalFormatting>
  <conditionalFormatting sqref="Z23:Z24">
    <cfRule type="cellIs" dxfId="1435" priority="695" stopIfTrue="1" operator="lessThan">
      <formula>-0.01</formula>
    </cfRule>
    <cfRule type="cellIs" dxfId="1434" priority="696" stopIfTrue="1" operator="greaterThan">
      <formula>0.01</formula>
    </cfRule>
  </conditionalFormatting>
  <conditionalFormatting sqref="I24">
    <cfRule type="dataBar" priority="694">
      <dataBar>
        <cfvo type="min"/>
        <cfvo type="max"/>
        <color rgb="FF008AEF"/>
      </dataBar>
    </cfRule>
  </conditionalFormatting>
  <conditionalFormatting sqref="R23:T24">
    <cfRule type="dataBar" priority="693">
      <dataBar>
        <cfvo type="min"/>
        <cfvo type="max"/>
        <color rgb="FF008AEF"/>
      </dataBar>
    </cfRule>
  </conditionalFormatting>
  <conditionalFormatting sqref="U23:U24">
    <cfRule type="dataBar" priority="697">
      <dataBar>
        <cfvo type="min"/>
        <cfvo type="max"/>
        <color rgb="FF008AEF"/>
      </dataBar>
    </cfRule>
  </conditionalFormatting>
  <conditionalFormatting sqref="AB18">
    <cfRule type="cellIs" dxfId="1433" priority="690" operator="greaterThan">
      <formula>0.03</formula>
    </cfRule>
    <cfRule type="cellIs" dxfId="1432" priority="691" stopIfTrue="1" operator="lessThan">
      <formula>-0.03</formula>
    </cfRule>
  </conditionalFormatting>
  <conditionalFormatting sqref="AB22">
    <cfRule type="cellIs" dxfId="1431" priority="688" operator="lessThan">
      <formula>-0.03</formula>
    </cfRule>
    <cfRule type="cellIs" dxfId="1430" priority="689" stopIfTrue="1" operator="greaterThan">
      <formula>0.03</formula>
    </cfRule>
  </conditionalFormatting>
  <conditionalFormatting sqref="Z18">
    <cfRule type="cellIs" dxfId="1429" priority="685" stopIfTrue="1" operator="lessThan">
      <formula>-0.01</formula>
    </cfRule>
    <cfRule type="cellIs" dxfId="1428" priority="686" stopIfTrue="1" operator="greaterThan">
      <formula>0.01</formula>
    </cfRule>
  </conditionalFormatting>
  <conditionalFormatting sqref="Z19">
    <cfRule type="cellIs" dxfId="1427" priority="683" stopIfTrue="1" operator="lessThan">
      <formula>-0.01</formula>
    </cfRule>
    <cfRule type="cellIs" dxfId="1426" priority="684" stopIfTrue="1" operator="greaterThan">
      <formula>0.01</formula>
    </cfRule>
  </conditionalFormatting>
  <conditionalFormatting sqref="Z20:Z21">
    <cfRule type="cellIs" dxfId="1425" priority="681" stopIfTrue="1" operator="lessThan">
      <formula>-0.01</formula>
    </cfRule>
    <cfRule type="cellIs" dxfId="1424" priority="682" stopIfTrue="1" operator="greaterThan">
      <formula>0.01</formula>
    </cfRule>
  </conditionalFormatting>
  <conditionalFormatting sqref="Z22">
    <cfRule type="cellIs" dxfId="1423" priority="679" stopIfTrue="1" operator="lessThan">
      <formula>-0.01</formula>
    </cfRule>
    <cfRule type="cellIs" dxfId="1422" priority="680" stopIfTrue="1" operator="greaterThan">
      <formula>0.01</formula>
    </cfRule>
  </conditionalFormatting>
  <conditionalFormatting sqref="V18:V22">
    <cfRule type="cellIs" dxfId="1421" priority="677" operator="greaterThan">
      <formula>0.03</formula>
    </cfRule>
    <cfRule type="cellIs" dxfId="1420" priority="678" stopIfTrue="1" operator="lessThan">
      <formula>-0.03</formula>
    </cfRule>
  </conditionalFormatting>
  <conditionalFormatting sqref="R19:T19">
    <cfRule type="dataBar" priority="673">
      <dataBar>
        <cfvo type="min"/>
        <cfvo type="max"/>
        <color rgb="FF008AEF"/>
      </dataBar>
    </cfRule>
  </conditionalFormatting>
  <conditionalFormatting sqref="R20:T21">
    <cfRule type="dataBar" priority="672">
      <dataBar>
        <cfvo type="min"/>
        <cfvo type="max"/>
        <color rgb="FF008AEF"/>
      </dataBar>
    </cfRule>
  </conditionalFormatting>
  <conditionalFormatting sqref="R22:T22">
    <cfRule type="dataBar" priority="671">
      <dataBar>
        <cfvo type="min"/>
        <cfvo type="max"/>
        <color rgb="FF008AEF"/>
      </dataBar>
    </cfRule>
  </conditionalFormatting>
  <conditionalFormatting sqref="R18:U18 U19:U22">
    <cfRule type="dataBar" priority="692">
      <dataBar>
        <cfvo type="min"/>
        <cfvo type="max"/>
        <color rgb="FF008AEF"/>
      </dataBar>
    </cfRule>
  </conditionalFormatting>
  <conditionalFormatting sqref="Z34:Z35">
    <cfRule type="cellIs" dxfId="1419" priority="668" stopIfTrue="1" operator="lessThan">
      <formula>-0.01</formula>
    </cfRule>
    <cfRule type="cellIs" dxfId="1418" priority="669" stopIfTrue="1" operator="greaterThan">
      <formula>0.01</formula>
    </cfRule>
  </conditionalFormatting>
  <conditionalFormatting sqref="R34:T35">
    <cfRule type="dataBar" priority="667">
      <dataBar>
        <cfvo type="min"/>
        <cfvo type="max"/>
        <color rgb="FF008AEF"/>
      </dataBar>
    </cfRule>
  </conditionalFormatting>
  <conditionalFormatting sqref="U34:U35">
    <cfRule type="dataBar" priority="670">
      <dataBar>
        <cfvo type="min"/>
        <cfvo type="max"/>
        <color rgb="FF008AEF"/>
      </dataBar>
    </cfRule>
  </conditionalFormatting>
  <conditionalFormatting sqref="AB29">
    <cfRule type="cellIs" dxfId="1417" priority="664" operator="greaterThan">
      <formula>0.03</formula>
    </cfRule>
    <cfRule type="cellIs" dxfId="1416" priority="665" stopIfTrue="1" operator="lessThan">
      <formula>-0.03</formula>
    </cfRule>
  </conditionalFormatting>
  <conditionalFormatting sqref="AB33">
    <cfRule type="cellIs" dxfId="1415" priority="662" operator="lessThan">
      <formula>-0.03</formula>
    </cfRule>
    <cfRule type="cellIs" dxfId="1414" priority="663" stopIfTrue="1" operator="greaterThan">
      <formula>0.03</formula>
    </cfRule>
  </conditionalFormatting>
  <conditionalFormatting sqref="Z29">
    <cfRule type="cellIs" dxfId="1413" priority="660" stopIfTrue="1" operator="lessThan">
      <formula>-0.01</formula>
    </cfRule>
    <cfRule type="cellIs" dxfId="1412" priority="661" stopIfTrue="1" operator="greaterThan">
      <formula>0.01</formula>
    </cfRule>
  </conditionalFormatting>
  <conditionalFormatting sqref="Z30">
    <cfRule type="cellIs" dxfId="1411" priority="658" stopIfTrue="1" operator="lessThan">
      <formula>-0.01</formula>
    </cfRule>
    <cfRule type="cellIs" dxfId="1410" priority="659" stopIfTrue="1" operator="greaterThan">
      <formula>0.01</formula>
    </cfRule>
  </conditionalFormatting>
  <conditionalFormatting sqref="Z31:Z32">
    <cfRule type="cellIs" dxfId="1409" priority="656" stopIfTrue="1" operator="lessThan">
      <formula>-0.01</formula>
    </cfRule>
    <cfRule type="cellIs" dxfId="1408" priority="657" stopIfTrue="1" operator="greaterThan">
      <formula>0.01</formula>
    </cfRule>
  </conditionalFormatting>
  <conditionalFormatting sqref="Z33">
    <cfRule type="cellIs" dxfId="1407" priority="654" stopIfTrue="1" operator="lessThan">
      <formula>-0.01</formula>
    </cfRule>
    <cfRule type="cellIs" dxfId="1406" priority="655" stopIfTrue="1" operator="greaterThan">
      <formula>0.01</formula>
    </cfRule>
  </conditionalFormatting>
  <conditionalFormatting sqref="V29:V33">
    <cfRule type="cellIs" dxfId="1405" priority="652" operator="greaterThan">
      <formula>0.03</formula>
    </cfRule>
    <cfRule type="cellIs" dxfId="1404" priority="653" stopIfTrue="1" operator="lessThan">
      <formula>-0.03</formula>
    </cfRule>
  </conditionalFormatting>
  <conditionalFormatting sqref="R30:T30">
    <cfRule type="dataBar" priority="651">
      <dataBar>
        <cfvo type="min"/>
        <cfvo type="max"/>
        <color rgb="FF008AEF"/>
      </dataBar>
    </cfRule>
  </conditionalFormatting>
  <conditionalFormatting sqref="R31:T32">
    <cfRule type="dataBar" priority="650">
      <dataBar>
        <cfvo type="min"/>
        <cfvo type="max"/>
        <color rgb="FF008AEF"/>
      </dataBar>
    </cfRule>
  </conditionalFormatting>
  <conditionalFormatting sqref="R33:T33">
    <cfRule type="dataBar" priority="649">
      <dataBar>
        <cfvo type="min"/>
        <cfvo type="max"/>
        <color rgb="FF008AEF"/>
      </dataBar>
    </cfRule>
  </conditionalFormatting>
  <conditionalFormatting sqref="R29:U29 U30:U33">
    <cfRule type="dataBar" priority="666">
      <dataBar>
        <cfvo type="min"/>
        <cfvo type="max"/>
        <color rgb="FF008AEF"/>
      </dataBar>
    </cfRule>
  </conditionalFormatting>
  <conditionalFormatting sqref="Z45:Z46">
    <cfRule type="cellIs" dxfId="1403" priority="646" stopIfTrue="1" operator="lessThan">
      <formula>-0.01</formula>
    </cfRule>
    <cfRule type="cellIs" dxfId="1402" priority="647" stopIfTrue="1" operator="greaterThan">
      <formula>0.01</formula>
    </cfRule>
  </conditionalFormatting>
  <conditionalFormatting sqref="R45:T46">
    <cfRule type="dataBar" priority="645">
      <dataBar>
        <cfvo type="min"/>
        <cfvo type="max"/>
        <color rgb="FF008AEF"/>
      </dataBar>
    </cfRule>
  </conditionalFormatting>
  <conditionalFormatting sqref="U45:U46">
    <cfRule type="dataBar" priority="648">
      <dataBar>
        <cfvo type="min"/>
        <cfvo type="max"/>
        <color rgb="FF008AEF"/>
      </dataBar>
    </cfRule>
  </conditionalFormatting>
  <conditionalFormatting sqref="AB40">
    <cfRule type="cellIs" dxfId="1401" priority="642" operator="greaterThan">
      <formula>0.03</formula>
    </cfRule>
    <cfRule type="cellIs" dxfId="1400" priority="643" stopIfTrue="1" operator="lessThan">
      <formula>-0.03</formula>
    </cfRule>
  </conditionalFormatting>
  <conditionalFormatting sqref="AB44">
    <cfRule type="cellIs" dxfId="1399" priority="640" operator="lessThan">
      <formula>-0.03</formula>
    </cfRule>
    <cfRule type="cellIs" dxfId="1398" priority="641" stopIfTrue="1" operator="greaterThan">
      <formula>0.03</formula>
    </cfRule>
  </conditionalFormatting>
  <conditionalFormatting sqref="Z40">
    <cfRule type="cellIs" dxfId="1397" priority="638" stopIfTrue="1" operator="lessThan">
      <formula>-0.01</formula>
    </cfRule>
    <cfRule type="cellIs" dxfId="1396" priority="639" stopIfTrue="1" operator="greaterThan">
      <formula>0.01</formula>
    </cfRule>
  </conditionalFormatting>
  <conditionalFormatting sqref="Z41">
    <cfRule type="cellIs" dxfId="1395" priority="636" stopIfTrue="1" operator="lessThan">
      <formula>-0.01</formula>
    </cfRule>
    <cfRule type="cellIs" dxfId="1394" priority="637" stopIfTrue="1" operator="greaterThan">
      <formula>0.01</formula>
    </cfRule>
  </conditionalFormatting>
  <conditionalFormatting sqref="Z42:Z43">
    <cfRule type="cellIs" dxfId="1393" priority="634" stopIfTrue="1" operator="lessThan">
      <formula>-0.01</formula>
    </cfRule>
    <cfRule type="cellIs" dxfId="1392" priority="635" stopIfTrue="1" operator="greaterThan">
      <formula>0.01</formula>
    </cfRule>
  </conditionalFormatting>
  <conditionalFormatting sqref="Z44">
    <cfRule type="cellIs" dxfId="1391" priority="632" stopIfTrue="1" operator="lessThan">
      <formula>-0.01</formula>
    </cfRule>
    <cfRule type="cellIs" dxfId="1390" priority="633" stopIfTrue="1" operator="greaterThan">
      <formula>0.01</formula>
    </cfRule>
  </conditionalFormatting>
  <conditionalFormatting sqref="V40:V44">
    <cfRule type="cellIs" dxfId="1389" priority="630" operator="greaterThan">
      <formula>0.03</formula>
    </cfRule>
    <cfRule type="cellIs" dxfId="1388" priority="631" stopIfTrue="1" operator="lessThan">
      <formula>-0.03</formula>
    </cfRule>
  </conditionalFormatting>
  <conditionalFormatting sqref="R41:T41">
    <cfRule type="dataBar" priority="629">
      <dataBar>
        <cfvo type="min"/>
        <cfvo type="max"/>
        <color rgb="FF008AEF"/>
      </dataBar>
    </cfRule>
  </conditionalFormatting>
  <conditionalFormatting sqref="R42:T43">
    <cfRule type="dataBar" priority="628">
      <dataBar>
        <cfvo type="min"/>
        <cfvo type="max"/>
        <color rgb="FF008AEF"/>
      </dataBar>
    </cfRule>
  </conditionalFormatting>
  <conditionalFormatting sqref="R44:T44">
    <cfRule type="dataBar" priority="627">
      <dataBar>
        <cfvo type="min"/>
        <cfvo type="max"/>
        <color rgb="FF008AEF"/>
      </dataBar>
    </cfRule>
  </conditionalFormatting>
  <conditionalFormatting sqref="R40:U40 U41:U44">
    <cfRule type="dataBar" priority="644">
      <dataBar>
        <cfvo type="min"/>
        <cfvo type="max"/>
        <color rgb="FF008AEF"/>
      </dataBar>
    </cfRule>
  </conditionalFormatting>
  <conditionalFormatting sqref="Z56:Z57">
    <cfRule type="cellIs" dxfId="1387" priority="624" stopIfTrue="1" operator="lessThan">
      <formula>-0.01</formula>
    </cfRule>
    <cfRule type="cellIs" dxfId="1386" priority="625" stopIfTrue="1" operator="greaterThan">
      <formula>0.01</formula>
    </cfRule>
  </conditionalFormatting>
  <conditionalFormatting sqref="R56:T57">
    <cfRule type="dataBar" priority="623">
      <dataBar>
        <cfvo type="min"/>
        <cfvo type="max"/>
        <color rgb="FF008AEF"/>
      </dataBar>
    </cfRule>
  </conditionalFormatting>
  <conditionalFormatting sqref="U56:U57">
    <cfRule type="dataBar" priority="626">
      <dataBar>
        <cfvo type="min"/>
        <cfvo type="max"/>
        <color rgb="FF008AEF"/>
      </dataBar>
    </cfRule>
  </conditionalFormatting>
  <conditionalFormatting sqref="AB51">
    <cfRule type="cellIs" dxfId="1385" priority="620" operator="greaterThan">
      <formula>0.03</formula>
    </cfRule>
    <cfRule type="cellIs" dxfId="1384" priority="621" stopIfTrue="1" operator="lessThan">
      <formula>-0.03</formula>
    </cfRule>
  </conditionalFormatting>
  <conditionalFormatting sqref="AB55">
    <cfRule type="cellIs" dxfId="1383" priority="618" operator="lessThan">
      <formula>-0.03</formula>
    </cfRule>
    <cfRule type="cellIs" dxfId="1382" priority="619" stopIfTrue="1" operator="greaterThan">
      <formula>0.03</formula>
    </cfRule>
  </conditionalFormatting>
  <conditionalFormatting sqref="Z51">
    <cfRule type="cellIs" dxfId="1381" priority="616" stopIfTrue="1" operator="lessThan">
      <formula>-0.01</formula>
    </cfRule>
    <cfRule type="cellIs" dxfId="1380" priority="617" stopIfTrue="1" operator="greaterThan">
      <formula>0.01</formula>
    </cfRule>
  </conditionalFormatting>
  <conditionalFormatting sqref="Z52">
    <cfRule type="cellIs" dxfId="1379" priority="614" stopIfTrue="1" operator="lessThan">
      <formula>-0.01</formula>
    </cfRule>
    <cfRule type="cellIs" dxfId="1378" priority="615" stopIfTrue="1" operator="greaterThan">
      <formula>0.01</formula>
    </cfRule>
  </conditionalFormatting>
  <conditionalFormatting sqref="Z53:Z54">
    <cfRule type="cellIs" dxfId="1377" priority="612" stopIfTrue="1" operator="lessThan">
      <formula>-0.01</formula>
    </cfRule>
    <cfRule type="cellIs" dxfId="1376" priority="613" stopIfTrue="1" operator="greaterThan">
      <formula>0.01</formula>
    </cfRule>
  </conditionalFormatting>
  <conditionalFormatting sqref="Z55">
    <cfRule type="cellIs" dxfId="1375" priority="610" stopIfTrue="1" operator="lessThan">
      <formula>-0.01</formula>
    </cfRule>
    <cfRule type="cellIs" dxfId="1374" priority="611" stopIfTrue="1" operator="greaterThan">
      <formula>0.01</formula>
    </cfRule>
  </conditionalFormatting>
  <conditionalFormatting sqref="V51:V55">
    <cfRule type="cellIs" dxfId="1373" priority="608" operator="greaterThan">
      <formula>0.03</formula>
    </cfRule>
    <cfRule type="cellIs" dxfId="1372" priority="609" stopIfTrue="1" operator="lessThan">
      <formula>-0.03</formula>
    </cfRule>
  </conditionalFormatting>
  <conditionalFormatting sqref="R52:T52">
    <cfRule type="dataBar" priority="607">
      <dataBar>
        <cfvo type="min"/>
        <cfvo type="max"/>
        <color rgb="FF008AEF"/>
      </dataBar>
    </cfRule>
  </conditionalFormatting>
  <conditionalFormatting sqref="R53:T54">
    <cfRule type="dataBar" priority="606">
      <dataBar>
        <cfvo type="min"/>
        <cfvo type="max"/>
        <color rgb="FF008AEF"/>
      </dataBar>
    </cfRule>
  </conditionalFormatting>
  <conditionalFormatting sqref="R55:T55">
    <cfRule type="dataBar" priority="605">
      <dataBar>
        <cfvo type="min"/>
        <cfvo type="max"/>
        <color rgb="FF008AEF"/>
      </dataBar>
    </cfRule>
  </conditionalFormatting>
  <conditionalFormatting sqref="R51:U51 U52:U55">
    <cfRule type="dataBar" priority="622">
      <dataBar>
        <cfvo type="min"/>
        <cfvo type="max"/>
        <color rgb="FF008AEF"/>
      </dataBar>
    </cfRule>
  </conditionalFormatting>
  <conditionalFormatting sqref="Z67:Z68">
    <cfRule type="cellIs" dxfId="1371" priority="602" stopIfTrue="1" operator="lessThan">
      <formula>-0.01</formula>
    </cfRule>
    <cfRule type="cellIs" dxfId="1370" priority="603" stopIfTrue="1" operator="greaterThan">
      <formula>0.01</formula>
    </cfRule>
  </conditionalFormatting>
  <conditionalFormatting sqref="R67:T68">
    <cfRule type="dataBar" priority="601">
      <dataBar>
        <cfvo type="min"/>
        <cfvo type="max"/>
        <color rgb="FF008AEF"/>
      </dataBar>
    </cfRule>
  </conditionalFormatting>
  <conditionalFormatting sqref="U67:U68">
    <cfRule type="dataBar" priority="604">
      <dataBar>
        <cfvo type="min"/>
        <cfvo type="max"/>
        <color rgb="FF008AEF"/>
      </dataBar>
    </cfRule>
  </conditionalFormatting>
  <conditionalFormatting sqref="AB62">
    <cfRule type="cellIs" dxfId="1369" priority="598" operator="greaterThan">
      <formula>0.03</formula>
    </cfRule>
    <cfRule type="cellIs" dxfId="1368" priority="599" stopIfTrue="1" operator="lessThan">
      <formula>-0.03</formula>
    </cfRule>
  </conditionalFormatting>
  <conditionalFormatting sqref="AB66">
    <cfRule type="cellIs" dxfId="1367" priority="596" operator="lessThan">
      <formula>-0.03</formula>
    </cfRule>
    <cfRule type="cellIs" dxfId="1366" priority="597" stopIfTrue="1" operator="greaterThan">
      <formula>0.03</formula>
    </cfRule>
  </conditionalFormatting>
  <conditionalFormatting sqref="Z62">
    <cfRule type="cellIs" dxfId="1365" priority="594" stopIfTrue="1" operator="lessThan">
      <formula>-0.01</formula>
    </cfRule>
    <cfRule type="cellIs" dxfId="1364" priority="595" stopIfTrue="1" operator="greaterThan">
      <formula>0.01</formula>
    </cfRule>
  </conditionalFormatting>
  <conditionalFormatting sqref="Z63">
    <cfRule type="cellIs" dxfId="1363" priority="592" stopIfTrue="1" operator="lessThan">
      <formula>-0.01</formula>
    </cfRule>
    <cfRule type="cellIs" dxfId="1362" priority="593" stopIfTrue="1" operator="greaterThan">
      <formula>0.01</formula>
    </cfRule>
  </conditionalFormatting>
  <conditionalFormatting sqref="Z64:Z65">
    <cfRule type="cellIs" dxfId="1361" priority="590" stopIfTrue="1" operator="lessThan">
      <formula>-0.01</formula>
    </cfRule>
    <cfRule type="cellIs" dxfId="1360" priority="591" stopIfTrue="1" operator="greaterThan">
      <formula>0.01</formula>
    </cfRule>
  </conditionalFormatting>
  <conditionalFormatting sqref="Z66">
    <cfRule type="cellIs" dxfId="1359" priority="588" stopIfTrue="1" operator="lessThan">
      <formula>-0.01</formula>
    </cfRule>
    <cfRule type="cellIs" dxfId="1358" priority="589" stopIfTrue="1" operator="greaterThan">
      <formula>0.01</formula>
    </cfRule>
  </conditionalFormatting>
  <conditionalFormatting sqref="V62:V66">
    <cfRule type="cellIs" dxfId="1357" priority="586" operator="greaterThan">
      <formula>0.03</formula>
    </cfRule>
    <cfRule type="cellIs" dxfId="1356" priority="587" stopIfTrue="1" operator="lessThan">
      <formula>-0.03</formula>
    </cfRule>
  </conditionalFormatting>
  <conditionalFormatting sqref="R63:T63">
    <cfRule type="dataBar" priority="585">
      <dataBar>
        <cfvo type="min"/>
        <cfvo type="max"/>
        <color rgb="FF008AEF"/>
      </dataBar>
    </cfRule>
  </conditionalFormatting>
  <conditionalFormatting sqref="R64:T65">
    <cfRule type="dataBar" priority="584">
      <dataBar>
        <cfvo type="min"/>
        <cfvo type="max"/>
        <color rgb="FF008AEF"/>
      </dataBar>
    </cfRule>
  </conditionalFormatting>
  <conditionalFormatting sqref="R66:T66">
    <cfRule type="dataBar" priority="583">
      <dataBar>
        <cfvo type="min"/>
        <cfvo type="max"/>
        <color rgb="FF008AEF"/>
      </dataBar>
    </cfRule>
  </conditionalFormatting>
  <conditionalFormatting sqref="R62:U62 U63:U66">
    <cfRule type="dataBar" priority="600">
      <dataBar>
        <cfvo type="min"/>
        <cfvo type="max"/>
        <color rgb="FF008AEF"/>
      </dataBar>
    </cfRule>
  </conditionalFormatting>
  <conditionalFormatting sqref="Z78:Z79">
    <cfRule type="cellIs" dxfId="1355" priority="580" stopIfTrue="1" operator="lessThan">
      <formula>-0.01</formula>
    </cfRule>
    <cfRule type="cellIs" dxfId="1354" priority="581" stopIfTrue="1" operator="greaterThan">
      <formula>0.01</formula>
    </cfRule>
  </conditionalFormatting>
  <conditionalFormatting sqref="R78:T79">
    <cfRule type="dataBar" priority="579">
      <dataBar>
        <cfvo type="min"/>
        <cfvo type="max"/>
        <color rgb="FF008AEF"/>
      </dataBar>
    </cfRule>
  </conditionalFormatting>
  <conditionalFormatting sqref="U78:U79">
    <cfRule type="dataBar" priority="582">
      <dataBar>
        <cfvo type="min"/>
        <cfvo type="max"/>
        <color rgb="FF008AEF"/>
      </dataBar>
    </cfRule>
  </conditionalFormatting>
  <conditionalFormatting sqref="AB73">
    <cfRule type="cellIs" dxfId="1353" priority="576" operator="greaterThan">
      <formula>0.03</formula>
    </cfRule>
    <cfRule type="cellIs" dxfId="1352" priority="577" stopIfTrue="1" operator="lessThan">
      <formula>-0.03</formula>
    </cfRule>
  </conditionalFormatting>
  <conditionalFormatting sqref="AB77">
    <cfRule type="cellIs" dxfId="1351" priority="574" operator="lessThan">
      <formula>-0.03</formula>
    </cfRule>
    <cfRule type="cellIs" dxfId="1350" priority="575" stopIfTrue="1" operator="greaterThan">
      <formula>0.03</formula>
    </cfRule>
  </conditionalFormatting>
  <conditionalFormatting sqref="Z73">
    <cfRule type="cellIs" dxfId="1349" priority="572" stopIfTrue="1" operator="lessThan">
      <formula>-0.01</formula>
    </cfRule>
    <cfRule type="cellIs" dxfId="1348" priority="573" stopIfTrue="1" operator="greaterThan">
      <formula>0.01</formula>
    </cfRule>
  </conditionalFormatting>
  <conditionalFormatting sqref="Z74">
    <cfRule type="cellIs" dxfId="1347" priority="570" stopIfTrue="1" operator="lessThan">
      <formula>-0.01</formula>
    </cfRule>
    <cfRule type="cellIs" dxfId="1346" priority="571" stopIfTrue="1" operator="greaterThan">
      <formula>0.01</formula>
    </cfRule>
  </conditionalFormatting>
  <conditionalFormatting sqref="Z75:Z76">
    <cfRule type="cellIs" dxfId="1345" priority="568" stopIfTrue="1" operator="lessThan">
      <formula>-0.01</formula>
    </cfRule>
    <cfRule type="cellIs" dxfId="1344" priority="569" stopIfTrue="1" operator="greaterThan">
      <formula>0.01</formula>
    </cfRule>
  </conditionalFormatting>
  <conditionalFormatting sqref="Z77">
    <cfRule type="cellIs" dxfId="1343" priority="566" stopIfTrue="1" operator="lessThan">
      <formula>-0.01</formula>
    </cfRule>
    <cfRule type="cellIs" dxfId="1342" priority="567" stopIfTrue="1" operator="greaterThan">
      <formula>0.01</formula>
    </cfRule>
  </conditionalFormatting>
  <conditionalFormatting sqref="V73:V77">
    <cfRule type="cellIs" dxfId="1341" priority="564" operator="greaterThan">
      <formula>0.03</formula>
    </cfRule>
    <cfRule type="cellIs" dxfId="1340" priority="565" stopIfTrue="1" operator="lessThan">
      <formula>-0.03</formula>
    </cfRule>
  </conditionalFormatting>
  <conditionalFormatting sqref="R74:T74">
    <cfRule type="dataBar" priority="563">
      <dataBar>
        <cfvo type="min"/>
        <cfvo type="max"/>
        <color rgb="FF008AEF"/>
      </dataBar>
    </cfRule>
  </conditionalFormatting>
  <conditionalFormatting sqref="R75:T76">
    <cfRule type="dataBar" priority="562">
      <dataBar>
        <cfvo type="min"/>
        <cfvo type="max"/>
        <color rgb="FF008AEF"/>
      </dataBar>
    </cfRule>
  </conditionalFormatting>
  <conditionalFormatting sqref="R77:T77">
    <cfRule type="dataBar" priority="561">
      <dataBar>
        <cfvo type="min"/>
        <cfvo type="max"/>
        <color rgb="FF008AEF"/>
      </dataBar>
    </cfRule>
  </conditionalFormatting>
  <conditionalFormatting sqref="R73:U73 U74:U77">
    <cfRule type="dataBar" priority="578">
      <dataBar>
        <cfvo type="min"/>
        <cfvo type="max"/>
        <color rgb="FF008AEF"/>
      </dataBar>
    </cfRule>
  </conditionalFormatting>
  <conditionalFormatting sqref="Z89:Z90">
    <cfRule type="cellIs" dxfId="1339" priority="558" stopIfTrue="1" operator="lessThan">
      <formula>-0.01</formula>
    </cfRule>
    <cfRule type="cellIs" dxfId="1338" priority="559" stopIfTrue="1" operator="greaterThan">
      <formula>0.01</formula>
    </cfRule>
  </conditionalFormatting>
  <conditionalFormatting sqref="U89:U90">
    <cfRule type="dataBar" priority="560">
      <dataBar>
        <cfvo type="min"/>
        <cfvo type="max"/>
        <color rgb="FF008AEF"/>
      </dataBar>
    </cfRule>
  </conditionalFormatting>
  <conditionalFormatting sqref="AB84">
    <cfRule type="cellIs" dxfId="1337" priority="554" operator="greaterThan">
      <formula>0.03</formula>
    </cfRule>
    <cfRule type="cellIs" dxfId="1336" priority="555" stopIfTrue="1" operator="lessThan">
      <formula>-0.03</formula>
    </cfRule>
  </conditionalFormatting>
  <conditionalFormatting sqref="AB88">
    <cfRule type="cellIs" dxfId="1335" priority="552" operator="lessThan">
      <formula>-0.03</formula>
    </cfRule>
    <cfRule type="cellIs" dxfId="1334" priority="553" stopIfTrue="1" operator="greaterThan">
      <formula>0.03</formula>
    </cfRule>
  </conditionalFormatting>
  <conditionalFormatting sqref="Z84">
    <cfRule type="cellIs" dxfId="1333" priority="550" stopIfTrue="1" operator="lessThan">
      <formula>-0.01</formula>
    </cfRule>
    <cfRule type="cellIs" dxfId="1332" priority="551" stopIfTrue="1" operator="greaterThan">
      <formula>0.01</formula>
    </cfRule>
  </conditionalFormatting>
  <conditionalFormatting sqref="Z85">
    <cfRule type="cellIs" dxfId="1331" priority="548" stopIfTrue="1" operator="lessThan">
      <formula>-0.01</formula>
    </cfRule>
    <cfRule type="cellIs" dxfId="1330" priority="549" stopIfTrue="1" operator="greaterThan">
      <formula>0.01</formula>
    </cfRule>
  </conditionalFormatting>
  <conditionalFormatting sqref="Z86:Z87">
    <cfRule type="cellIs" dxfId="1329" priority="546" stopIfTrue="1" operator="lessThan">
      <formula>-0.01</formula>
    </cfRule>
    <cfRule type="cellIs" dxfId="1328" priority="547" stopIfTrue="1" operator="greaterThan">
      <formula>0.01</formula>
    </cfRule>
  </conditionalFormatting>
  <conditionalFormatting sqref="Z88">
    <cfRule type="cellIs" dxfId="1327" priority="544" stopIfTrue="1" operator="lessThan">
      <formula>-0.01</formula>
    </cfRule>
    <cfRule type="cellIs" dxfId="1326" priority="545" stopIfTrue="1" operator="greaterThan">
      <formula>0.01</formula>
    </cfRule>
  </conditionalFormatting>
  <conditionalFormatting sqref="V84:V88">
    <cfRule type="cellIs" dxfId="1325" priority="542" operator="greaterThan">
      <formula>0.03</formula>
    </cfRule>
    <cfRule type="cellIs" dxfId="1324" priority="543" stopIfTrue="1" operator="lessThan">
      <formula>-0.03</formula>
    </cfRule>
  </conditionalFormatting>
  <conditionalFormatting sqref="U84:U88">
    <cfRule type="dataBar" priority="556">
      <dataBar>
        <cfvo type="min"/>
        <cfvo type="max"/>
        <color rgb="FF008AEF"/>
      </dataBar>
    </cfRule>
  </conditionalFormatting>
  <conditionalFormatting sqref="Z100:Z101">
    <cfRule type="cellIs" dxfId="1323" priority="536" stopIfTrue="1" operator="lessThan">
      <formula>-0.01</formula>
    </cfRule>
    <cfRule type="cellIs" dxfId="1322" priority="537" stopIfTrue="1" operator="greaterThan">
      <formula>0.01</formula>
    </cfRule>
  </conditionalFormatting>
  <conditionalFormatting sqref="U100:U101">
    <cfRule type="dataBar" priority="538">
      <dataBar>
        <cfvo type="min"/>
        <cfvo type="max"/>
        <color rgb="FF008AEF"/>
      </dataBar>
    </cfRule>
  </conditionalFormatting>
  <conditionalFormatting sqref="AB95">
    <cfRule type="cellIs" dxfId="1321" priority="532" operator="greaterThan">
      <formula>0.03</formula>
    </cfRule>
    <cfRule type="cellIs" dxfId="1320" priority="533" stopIfTrue="1" operator="lessThan">
      <formula>-0.03</formula>
    </cfRule>
  </conditionalFormatting>
  <conditionalFormatting sqref="AB99">
    <cfRule type="cellIs" dxfId="1319" priority="530" operator="lessThan">
      <formula>-0.03</formula>
    </cfRule>
    <cfRule type="cellIs" dxfId="1318" priority="531" stopIfTrue="1" operator="greaterThan">
      <formula>0.03</formula>
    </cfRule>
  </conditionalFormatting>
  <conditionalFormatting sqref="Z95">
    <cfRule type="cellIs" dxfId="1317" priority="528" stopIfTrue="1" operator="lessThan">
      <formula>-0.01</formula>
    </cfRule>
    <cfRule type="cellIs" dxfId="1316" priority="529" stopIfTrue="1" operator="greaterThan">
      <formula>0.01</formula>
    </cfRule>
  </conditionalFormatting>
  <conditionalFormatting sqref="Z96">
    <cfRule type="cellIs" dxfId="1315" priority="526" stopIfTrue="1" operator="lessThan">
      <formula>-0.01</formula>
    </cfRule>
    <cfRule type="cellIs" dxfId="1314" priority="527" stopIfTrue="1" operator="greaterThan">
      <formula>0.01</formula>
    </cfRule>
  </conditionalFormatting>
  <conditionalFormatting sqref="Z97:Z98">
    <cfRule type="cellIs" dxfId="1313" priority="524" stopIfTrue="1" operator="lessThan">
      <formula>-0.01</formula>
    </cfRule>
    <cfRule type="cellIs" dxfId="1312" priority="525" stopIfTrue="1" operator="greaterThan">
      <formula>0.01</formula>
    </cfRule>
  </conditionalFormatting>
  <conditionalFormatting sqref="Z99">
    <cfRule type="cellIs" dxfId="1311" priority="522" stopIfTrue="1" operator="lessThan">
      <formula>-0.01</formula>
    </cfRule>
    <cfRule type="cellIs" dxfId="1310" priority="523" stopIfTrue="1" operator="greaterThan">
      <formula>0.01</formula>
    </cfRule>
  </conditionalFormatting>
  <conditionalFormatting sqref="V95:V99">
    <cfRule type="cellIs" dxfId="1309" priority="520" operator="greaterThan">
      <formula>0.03</formula>
    </cfRule>
    <cfRule type="cellIs" dxfId="1308" priority="521" stopIfTrue="1" operator="lessThan">
      <formula>-0.03</formula>
    </cfRule>
  </conditionalFormatting>
  <conditionalFormatting sqref="U95:U99">
    <cfRule type="dataBar" priority="534">
      <dataBar>
        <cfvo type="min"/>
        <cfvo type="max"/>
        <color rgb="FF008AEF"/>
      </dataBar>
    </cfRule>
  </conditionalFormatting>
  <conditionalFormatting sqref="Z110:Z111">
    <cfRule type="cellIs" dxfId="1307" priority="514" stopIfTrue="1" operator="lessThan">
      <formula>-0.01</formula>
    </cfRule>
    <cfRule type="cellIs" dxfId="1306" priority="515" stopIfTrue="1" operator="greaterThan">
      <formula>0.01</formula>
    </cfRule>
  </conditionalFormatting>
  <conditionalFormatting sqref="R110:T111">
    <cfRule type="dataBar" priority="513">
      <dataBar>
        <cfvo type="min"/>
        <cfvo type="max"/>
        <color rgb="FF008AEF"/>
      </dataBar>
    </cfRule>
  </conditionalFormatting>
  <conditionalFormatting sqref="U110:U111">
    <cfRule type="dataBar" priority="516">
      <dataBar>
        <cfvo type="min"/>
        <cfvo type="max"/>
        <color rgb="FF008AEF"/>
      </dataBar>
    </cfRule>
  </conditionalFormatting>
  <conditionalFormatting sqref="AB106">
    <cfRule type="cellIs" dxfId="1305" priority="510" operator="greaterThan">
      <formula>0.03</formula>
    </cfRule>
    <cfRule type="cellIs" dxfId="1304" priority="511" stopIfTrue="1" operator="lessThan">
      <formula>-0.03</formula>
    </cfRule>
  </conditionalFormatting>
  <conditionalFormatting sqref="AB109">
    <cfRule type="cellIs" dxfId="1303" priority="508" operator="lessThan">
      <formula>-0.03</formula>
    </cfRule>
    <cfRule type="cellIs" dxfId="1302" priority="509" stopIfTrue="1" operator="greaterThan">
      <formula>0.03</formula>
    </cfRule>
  </conditionalFormatting>
  <conditionalFormatting sqref="Z106">
    <cfRule type="cellIs" dxfId="1301" priority="506" stopIfTrue="1" operator="lessThan">
      <formula>-0.01</formula>
    </cfRule>
    <cfRule type="cellIs" dxfId="1300" priority="507" stopIfTrue="1" operator="greaterThan">
      <formula>0.01</formula>
    </cfRule>
  </conditionalFormatting>
  <conditionalFormatting sqref="Z107">
    <cfRule type="cellIs" dxfId="1299" priority="504" stopIfTrue="1" operator="lessThan">
      <formula>-0.01</formula>
    </cfRule>
    <cfRule type="cellIs" dxfId="1298" priority="505" stopIfTrue="1" operator="greaterThan">
      <formula>0.01</formula>
    </cfRule>
  </conditionalFormatting>
  <conditionalFormatting sqref="Z108">
    <cfRule type="cellIs" dxfId="1297" priority="502" stopIfTrue="1" operator="lessThan">
      <formula>-0.01</formula>
    </cfRule>
    <cfRule type="cellIs" dxfId="1296" priority="503" stopIfTrue="1" operator="greaterThan">
      <formula>0.01</formula>
    </cfRule>
  </conditionalFormatting>
  <conditionalFormatting sqref="Z109">
    <cfRule type="cellIs" dxfId="1295" priority="500" stopIfTrue="1" operator="lessThan">
      <formula>-0.01</formula>
    </cfRule>
    <cfRule type="cellIs" dxfId="1294" priority="501" stopIfTrue="1" operator="greaterThan">
      <formula>0.01</formula>
    </cfRule>
  </conditionalFormatting>
  <conditionalFormatting sqref="V106:V109">
    <cfRule type="cellIs" dxfId="1293" priority="498" operator="greaterThan">
      <formula>0.03</formula>
    </cfRule>
    <cfRule type="cellIs" dxfId="1292" priority="499" stopIfTrue="1" operator="lessThan">
      <formula>-0.03</formula>
    </cfRule>
  </conditionalFormatting>
  <conditionalFormatting sqref="R107:T107">
    <cfRule type="dataBar" priority="497">
      <dataBar>
        <cfvo type="min"/>
        <cfvo type="max"/>
        <color rgb="FF008AEF"/>
      </dataBar>
    </cfRule>
  </conditionalFormatting>
  <conditionalFormatting sqref="R108:T108">
    <cfRule type="dataBar" priority="496">
      <dataBar>
        <cfvo type="min"/>
        <cfvo type="max"/>
        <color rgb="FF008AEF"/>
      </dataBar>
    </cfRule>
  </conditionalFormatting>
  <conditionalFormatting sqref="R109:T109">
    <cfRule type="dataBar" priority="495">
      <dataBar>
        <cfvo type="min"/>
        <cfvo type="max"/>
        <color rgb="FF008AEF"/>
      </dataBar>
    </cfRule>
  </conditionalFormatting>
  <conditionalFormatting sqref="R106:U106 U107:U109">
    <cfRule type="dataBar" priority="512">
      <dataBar>
        <cfvo type="min"/>
        <cfvo type="max"/>
        <color rgb="FF008AEF"/>
      </dataBar>
    </cfRule>
  </conditionalFormatting>
  <conditionalFormatting sqref="AB116">
    <cfRule type="cellIs" dxfId="1291" priority="493" operator="greaterThan">
      <formula>0.03</formula>
    </cfRule>
    <cfRule type="cellIs" dxfId="1290" priority="494" stopIfTrue="1" operator="lessThan">
      <formula>-0.03</formula>
    </cfRule>
  </conditionalFormatting>
  <conditionalFormatting sqref="AB119">
    <cfRule type="cellIs" dxfId="1289" priority="491" operator="lessThan">
      <formula>-0.03</formula>
    </cfRule>
    <cfRule type="cellIs" dxfId="1288" priority="492" stopIfTrue="1" operator="greaterThan">
      <formula>0.03</formula>
    </cfRule>
  </conditionalFormatting>
  <conditionalFormatting sqref="AB126">
    <cfRule type="cellIs" dxfId="1287" priority="489" operator="greaterThan">
      <formula>0.03</formula>
    </cfRule>
    <cfRule type="cellIs" dxfId="1286" priority="490" stopIfTrue="1" operator="lessThan">
      <formula>-0.03</formula>
    </cfRule>
  </conditionalFormatting>
  <conditionalFormatting sqref="AB129">
    <cfRule type="cellIs" dxfId="1285" priority="487" operator="lessThan">
      <formula>-0.03</formula>
    </cfRule>
    <cfRule type="cellIs" dxfId="1284" priority="488" stopIfTrue="1" operator="greaterThan">
      <formula>0.03</formula>
    </cfRule>
  </conditionalFormatting>
  <conditionalFormatting sqref="AB136">
    <cfRule type="cellIs" dxfId="1283" priority="485" operator="greaterThan">
      <formula>0.03</formula>
    </cfRule>
    <cfRule type="cellIs" dxfId="1282" priority="486" stopIfTrue="1" operator="lessThan">
      <formula>-0.03</formula>
    </cfRule>
  </conditionalFormatting>
  <conditionalFormatting sqref="AB139">
    <cfRule type="cellIs" dxfId="1281" priority="483" operator="lessThan">
      <formula>-0.03</formula>
    </cfRule>
    <cfRule type="cellIs" dxfId="1280" priority="484" stopIfTrue="1" operator="greaterThan">
      <formula>0.03</formula>
    </cfRule>
  </conditionalFormatting>
  <conditionalFormatting sqref="AB146">
    <cfRule type="cellIs" dxfId="1279" priority="481" operator="greaterThan">
      <formula>0.03</formula>
    </cfRule>
    <cfRule type="cellIs" dxfId="1278" priority="482" stopIfTrue="1" operator="lessThan">
      <formula>-0.03</formula>
    </cfRule>
  </conditionalFormatting>
  <conditionalFormatting sqref="AB149">
    <cfRule type="cellIs" dxfId="1277" priority="479" operator="lessThan">
      <formula>-0.03</formula>
    </cfRule>
    <cfRule type="cellIs" dxfId="1276" priority="480" stopIfTrue="1" operator="greaterThan">
      <formula>0.03</formula>
    </cfRule>
  </conditionalFormatting>
  <conditionalFormatting sqref="AB156">
    <cfRule type="cellIs" dxfId="1275" priority="477" operator="greaterThan">
      <formula>0.03</formula>
    </cfRule>
    <cfRule type="cellIs" dxfId="1274" priority="478" stopIfTrue="1" operator="lessThan">
      <formula>-0.03</formula>
    </cfRule>
  </conditionalFormatting>
  <conditionalFormatting sqref="AB159">
    <cfRule type="cellIs" dxfId="1273" priority="475" operator="lessThan">
      <formula>-0.03</formula>
    </cfRule>
    <cfRule type="cellIs" dxfId="1272" priority="476" stopIfTrue="1" operator="greaterThan">
      <formula>0.03</formula>
    </cfRule>
  </conditionalFormatting>
  <conditionalFormatting sqref="AB166">
    <cfRule type="cellIs" dxfId="1271" priority="473" operator="greaterThan">
      <formula>0.03</formula>
    </cfRule>
    <cfRule type="cellIs" dxfId="1270" priority="474" stopIfTrue="1" operator="lessThan">
      <formula>-0.03</formula>
    </cfRule>
  </conditionalFormatting>
  <conditionalFormatting sqref="AB169">
    <cfRule type="cellIs" dxfId="1269" priority="471" operator="lessThan">
      <formula>-0.03</formula>
    </cfRule>
    <cfRule type="cellIs" dxfId="1268" priority="472" stopIfTrue="1" operator="greaterThan">
      <formula>0.03</formula>
    </cfRule>
  </conditionalFormatting>
  <conditionalFormatting sqref="AB176">
    <cfRule type="cellIs" dxfId="1267" priority="469" operator="greaterThan">
      <formula>0.03</formula>
    </cfRule>
    <cfRule type="cellIs" dxfId="1266" priority="470" stopIfTrue="1" operator="lessThan">
      <formula>-0.03</formula>
    </cfRule>
  </conditionalFormatting>
  <conditionalFormatting sqref="AB179">
    <cfRule type="cellIs" dxfId="1265" priority="467" operator="lessThan">
      <formula>-0.03</formula>
    </cfRule>
    <cfRule type="cellIs" dxfId="1264" priority="468" stopIfTrue="1" operator="greaterThan">
      <formula>0.03</formula>
    </cfRule>
  </conditionalFormatting>
  <conditionalFormatting sqref="AB186">
    <cfRule type="cellIs" dxfId="1263" priority="465" operator="greaterThan">
      <formula>0.03</formula>
    </cfRule>
    <cfRule type="cellIs" dxfId="1262" priority="466" stopIfTrue="1" operator="lessThan">
      <formula>-0.03</formula>
    </cfRule>
  </conditionalFormatting>
  <conditionalFormatting sqref="AB189">
    <cfRule type="cellIs" dxfId="1261" priority="463" operator="lessThan">
      <formula>-0.03</formula>
    </cfRule>
    <cfRule type="cellIs" dxfId="1260" priority="464" stopIfTrue="1" operator="greaterThan">
      <formula>0.03</formula>
    </cfRule>
  </conditionalFormatting>
  <conditionalFormatting sqref="AB196">
    <cfRule type="cellIs" dxfId="1259" priority="461" operator="greaterThan">
      <formula>0.03</formula>
    </cfRule>
    <cfRule type="cellIs" dxfId="1258" priority="462" stopIfTrue="1" operator="lessThan">
      <formula>-0.03</formula>
    </cfRule>
  </conditionalFormatting>
  <conditionalFormatting sqref="AB199">
    <cfRule type="cellIs" dxfId="1257" priority="459" operator="lessThan">
      <formula>-0.03</formula>
    </cfRule>
    <cfRule type="cellIs" dxfId="1256" priority="460" stopIfTrue="1" operator="greaterThan">
      <formula>0.03</formula>
    </cfRule>
  </conditionalFormatting>
  <conditionalFormatting sqref="AB206">
    <cfRule type="cellIs" dxfId="1255" priority="457" operator="greaterThan">
      <formula>0.03</formula>
    </cfRule>
    <cfRule type="cellIs" dxfId="1254" priority="458" stopIfTrue="1" operator="lessThan">
      <formula>-0.03</formula>
    </cfRule>
  </conditionalFormatting>
  <conditionalFormatting sqref="AB209">
    <cfRule type="cellIs" dxfId="1253" priority="455" operator="lessThan">
      <formula>-0.03</formula>
    </cfRule>
    <cfRule type="cellIs" dxfId="1252" priority="456" stopIfTrue="1" operator="greaterThan">
      <formula>0.03</formula>
    </cfRule>
  </conditionalFormatting>
  <conditionalFormatting sqref="Z220:Z221">
    <cfRule type="cellIs" dxfId="1251" priority="452" stopIfTrue="1" operator="lessThan">
      <formula>-0.01</formula>
    </cfRule>
    <cfRule type="cellIs" dxfId="1250" priority="453" stopIfTrue="1" operator="greaterThan">
      <formula>0.01</formula>
    </cfRule>
  </conditionalFormatting>
  <conditionalFormatting sqref="H220:J221">
    <cfRule type="dataBar" priority="451">
      <dataBar>
        <cfvo type="min"/>
        <cfvo type="max"/>
        <color rgb="FF008AEF"/>
      </dataBar>
    </cfRule>
  </conditionalFormatting>
  <conditionalFormatting sqref="R220:T221">
    <cfRule type="dataBar" priority="450">
      <dataBar>
        <cfvo type="min"/>
        <cfvo type="max"/>
        <color rgb="FF008AEF"/>
      </dataBar>
    </cfRule>
  </conditionalFormatting>
  <conditionalFormatting sqref="U220:U221">
    <cfRule type="dataBar" priority="454">
      <dataBar>
        <cfvo type="min"/>
        <cfvo type="max"/>
        <color rgb="FF008AEF"/>
      </dataBar>
    </cfRule>
  </conditionalFormatting>
  <conditionalFormatting sqref="AB216">
    <cfRule type="cellIs" dxfId="1249" priority="447" operator="greaterThan">
      <formula>0.03</formula>
    </cfRule>
    <cfRule type="cellIs" dxfId="1248" priority="448" stopIfTrue="1" operator="lessThan">
      <formula>-0.03</formula>
    </cfRule>
  </conditionalFormatting>
  <conditionalFormatting sqref="AB219">
    <cfRule type="cellIs" dxfId="1247" priority="445" operator="lessThan">
      <formula>-0.03</formula>
    </cfRule>
    <cfRule type="cellIs" dxfId="1246" priority="446" stopIfTrue="1" operator="greaterThan">
      <formula>0.03</formula>
    </cfRule>
  </conditionalFormatting>
  <conditionalFormatting sqref="H216:J216">
    <cfRule type="dataBar" priority="444">
      <dataBar>
        <cfvo type="min"/>
        <cfvo type="max"/>
        <color rgb="FF008AEF"/>
      </dataBar>
    </cfRule>
  </conditionalFormatting>
  <conditionalFormatting sqref="Z216">
    <cfRule type="cellIs" dxfId="1245" priority="442" stopIfTrue="1" operator="lessThan">
      <formula>-0.01</formula>
    </cfRule>
    <cfRule type="cellIs" dxfId="1244" priority="443" stopIfTrue="1" operator="greaterThan">
      <formula>0.01</formula>
    </cfRule>
  </conditionalFormatting>
  <conditionalFormatting sqref="Z217">
    <cfRule type="cellIs" dxfId="1243" priority="440" stopIfTrue="1" operator="lessThan">
      <formula>-0.01</formula>
    </cfRule>
    <cfRule type="cellIs" dxfId="1242" priority="441" stopIfTrue="1" operator="greaterThan">
      <formula>0.01</formula>
    </cfRule>
  </conditionalFormatting>
  <conditionalFormatting sqref="Z218">
    <cfRule type="cellIs" dxfId="1241" priority="438" stopIfTrue="1" operator="lessThan">
      <formula>-0.01</formula>
    </cfRule>
    <cfRule type="cellIs" dxfId="1240" priority="439" stopIfTrue="1" operator="greaterThan">
      <formula>0.01</formula>
    </cfRule>
  </conditionalFormatting>
  <conditionalFormatting sqref="Z219">
    <cfRule type="cellIs" dxfId="1239" priority="436" stopIfTrue="1" operator="lessThan">
      <formula>-0.01</formula>
    </cfRule>
    <cfRule type="cellIs" dxfId="1238" priority="437" stopIfTrue="1" operator="greaterThan">
      <formula>0.01</formula>
    </cfRule>
  </conditionalFormatting>
  <conditionalFormatting sqref="V216:V219">
    <cfRule type="cellIs" dxfId="1237" priority="434" operator="greaterThan">
      <formula>0.03</formula>
    </cfRule>
    <cfRule type="cellIs" dxfId="1236" priority="435" stopIfTrue="1" operator="lessThan">
      <formula>-0.03</formula>
    </cfRule>
  </conditionalFormatting>
  <conditionalFormatting sqref="H217:J217">
    <cfRule type="dataBar" priority="433">
      <dataBar>
        <cfvo type="min"/>
        <cfvo type="max"/>
        <color rgb="FF008AEF"/>
      </dataBar>
    </cfRule>
  </conditionalFormatting>
  <conditionalFormatting sqref="H218:J218">
    <cfRule type="dataBar" priority="432">
      <dataBar>
        <cfvo type="min"/>
        <cfvo type="max"/>
        <color rgb="FF008AEF"/>
      </dataBar>
    </cfRule>
  </conditionalFormatting>
  <conditionalFormatting sqref="H219:J219">
    <cfRule type="dataBar" priority="431">
      <dataBar>
        <cfvo type="min"/>
        <cfvo type="max"/>
        <color rgb="FF008AEF"/>
      </dataBar>
    </cfRule>
  </conditionalFormatting>
  <conditionalFormatting sqref="R217:T217">
    <cfRule type="dataBar" priority="430">
      <dataBar>
        <cfvo type="min"/>
        <cfvo type="max"/>
        <color rgb="FF008AEF"/>
      </dataBar>
    </cfRule>
  </conditionalFormatting>
  <conditionalFormatting sqref="R218:T218">
    <cfRule type="dataBar" priority="429">
      <dataBar>
        <cfvo type="min"/>
        <cfvo type="max"/>
        <color rgb="FF008AEF"/>
      </dataBar>
    </cfRule>
  </conditionalFormatting>
  <conditionalFormatting sqref="R219:T219">
    <cfRule type="dataBar" priority="428">
      <dataBar>
        <cfvo type="min"/>
        <cfvo type="max"/>
        <color rgb="FF008AEF"/>
      </dataBar>
    </cfRule>
  </conditionalFormatting>
  <conditionalFormatting sqref="R216:U216 U217:U219">
    <cfRule type="dataBar" priority="449">
      <dataBar>
        <cfvo type="min"/>
        <cfvo type="max"/>
        <color rgb="FF008AEF"/>
      </dataBar>
    </cfRule>
  </conditionalFormatting>
  <conditionalFormatting sqref="I16">
    <cfRule type="dataBar" priority="424">
      <dataBar>
        <cfvo type="min"/>
        <cfvo type="max"/>
        <color rgb="FF008AEF"/>
      </dataBar>
    </cfRule>
  </conditionalFormatting>
  <conditionalFormatting sqref="I17">
    <cfRule type="dataBar" priority="423">
      <dataBar>
        <cfvo type="min"/>
        <cfvo type="max"/>
        <color rgb="FF008AEF"/>
      </dataBar>
    </cfRule>
  </conditionalFormatting>
  <conditionalFormatting sqref="H110:J111">
    <cfRule type="dataBar" priority="400">
      <dataBar>
        <cfvo type="min"/>
        <cfvo type="max"/>
        <color rgb="FF008AEF"/>
      </dataBar>
    </cfRule>
  </conditionalFormatting>
  <conditionalFormatting sqref="H106:J106">
    <cfRule type="dataBar" priority="399">
      <dataBar>
        <cfvo type="min"/>
        <cfvo type="max"/>
        <color rgb="FF008AEF"/>
      </dataBar>
    </cfRule>
  </conditionalFormatting>
  <conditionalFormatting sqref="H107:J107">
    <cfRule type="dataBar" priority="398">
      <dataBar>
        <cfvo type="min"/>
        <cfvo type="max"/>
        <color rgb="FF008AEF"/>
      </dataBar>
    </cfRule>
  </conditionalFormatting>
  <conditionalFormatting sqref="H108:J108">
    <cfRule type="dataBar" priority="397">
      <dataBar>
        <cfvo type="min"/>
        <cfvo type="max"/>
        <color rgb="FF008AEF"/>
      </dataBar>
    </cfRule>
  </conditionalFormatting>
  <conditionalFormatting sqref="H109:J109">
    <cfRule type="dataBar" priority="396">
      <dataBar>
        <cfvo type="min"/>
        <cfvo type="max"/>
        <color rgb="FF008AEF"/>
      </dataBar>
    </cfRule>
  </conditionalFormatting>
  <conditionalFormatting sqref="H108:J109">
    <cfRule type="dataBar" priority="395">
      <dataBar>
        <cfvo type="min"/>
        <cfvo type="max"/>
        <color rgb="FF008AEF"/>
      </dataBar>
    </cfRule>
  </conditionalFormatting>
  <conditionalFormatting sqref="H104:J104">
    <cfRule type="dataBar" priority="394">
      <dataBar>
        <cfvo type="min"/>
        <cfvo type="max"/>
        <color rgb="FF008AEF"/>
      </dataBar>
    </cfRule>
  </conditionalFormatting>
  <conditionalFormatting sqref="H105:J105">
    <cfRule type="dataBar" priority="393">
      <dataBar>
        <cfvo type="min"/>
        <cfvo type="max"/>
        <color rgb="FF008AEF"/>
      </dataBar>
    </cfRule>
  </conditionalFormatting>
  <conditionalFormatting sqref="H106:J106">
    <cfRule type="dataBar" priority="392">
      <dataBar>
        <cfvo type="min"/>
        <cfvo type="max"/>
        <color rgb="FF008AEF"/>
      </dataBar>
    </cfRule>
  </conditionalFormatting>
  <conditionalFormatting sqref="H107:J107">
    <cfRule type="dataBar" priority="391">
      <dataBar>
        <cfvo type="min"/>
        <cfvo type="max"/>
        <color rgb="FF008AEF"/>
      </dataBar>
    </cfRule>
  </conditionalFormatting>
  <conditionalFormatting sqref="N24">
    <cfRule type="cellIs" dxfId="1235" priority="387" stopIfTrue="1" operator="lessThan">
      <formula>-0.01</formula>
    </cfRule>
    <cfRule type="cellIs" dxfId="1234" priority="388" stopIfTrue="1" operator="greaterThan">
      <formula>0.01</formula>
    </cfRule>
  </conditionalFormatting>
  <conditionalFormatting sqref="I35">
    <cfRule type="dataBar" priority="374">
      <dataBar>
        <cfvo type="min"/>
        <cfvo type="max"/>
        <color rgb="FF008AEF"/>
      </dataBar>
    </cfRule>
  </conditionalFormatting>
  <conditionalFormatting sqref="I27">
    <cfRule type="dataBar" priority="368">
      <dataBar>
        <cfvo type="min"/>
        <cfvo type="max"/>
        <color rgb="FF008AEF"/>
      </dataBar>
    </cfRule>
  </conditionalFormatting>
  <conditionalFormatting sqref="I28">
    <cfRule type="dataBar" priority="367">
      <dataBar>
        <cfvo type="min"/>
        <cfvo type="max"/>
        <color rgb="FF008AEF"/>
      </dataBar>
    </cfRule>
  </conditionalFormatting>
  <conditionalFormatting sqref="N35">
    <cfRule type="cellIs" dxfId="1233" priority="361" stopIfTrue="1" operator="lessThan">
      <formula>-0.01</formula>
    </cfRule>
    <cfRule type="cellIs" dxfId="1232" priority="362" stopIfTrue="1" operator="greaterThan">
      <formula>0.01</formula>
    </cfRule>
  </conditionalFormatting>
  <conditionalFormatting sqref="I45:I46">
    <cfRule type="dataBar" priority="348">
      <dataBar>
        <cfvo type="min"/>
        <cfvo type="max"/>
        <color rgb="FF008AEF"/>
      </dataBar>
    </cfRule>
  </conditionalFormatting>
  <conditionalFormatting sqref="I40">
    <cfRule type="dataBar" priority="347">
      <dataBar>
        <cfvo type="min"/>
        <cfvo type="max"/>
        <color rgb="FF008AEF"/>
      </dataBar>
    </cfRule>
  </conditionalFormatting>
  <conditionalFormatting sqref="I41">
    <cfRule type="dataBar" priority="346">
      <dataBar>
        <cfvo type="min"/>
        <cfvo type="max"/>
        <color rgb="FF008AEF"/>
      </dataBar>
    </cfRule>
  </conditionalFormatting>
  <conditionalFormatting sqref="I42:I43">
    <cfRule type="dataBar" priority="345">
      <dataBar>
        <cfvo type="min"/>
        <cfvo type="max"/>
        <color rgb="FF008AEF"/>
      </dataBar>
    </cfRule>
  </conditionalFormatting>
  <conditionalFormatting sqref="I44">
    <cfRule type="dataBar" priority="344">
      <dataBar>
        <cfvo type="min"/>
        <cfvo type="max"/>
        <color rgb="FF008AEF"/>
      </dataBar>
    </cfRule>
  </conditionalFormatting>
  <conditionalFormatting sqref="I42:I44">
    <cfRule type="dataBar" priority="343">
      <dataBar>
        <cfvo type="min"/>
        <cfvo type="max"/>
        <color rgb="FF008AEF"/>
      </dataBar>
    </cfRule>
  </conditionalFormatting>
  <conditionalFormatting sqref="I38">
    <cfRule type="dataBar" priority="342">
      <dataBar>
        <cfvo type="min"/>
        <cfvo type="max"/>
        <color rgb="FF008AEF"/>
      </dataBar>
    </cfRule>
  </conditionalFormatting>
  <conditionalFormatting sqref="I39">
    <cfRule type="dataBar" priority="341">
      <dataBar>
        <cfvo type="min"/>
        <cfvo type="max"/>
        <color rgb="FF008AEF"/>
      </dataBar>
    </cfRule>
  </conditionalFormatting>
  <conditionalFormatting sqref="I40">
    <cfRule type="dataBar" priority="340">
      <dataBar>
        <cfvo type="min"/>
        <cfvo type="max"/>
        <color rgb="FF008AEF"/>
      </dataBar>
    </cfRule>
  </conditionalFormatting>
  <conditionalFormatting sqref="I41">
    <cfRule type="dataBar" priority="339">
      <dataBar>
        <cfvo type="min"/>
        <cfvo type="max"/>
        <color rgb="FF008AEF"/>
      </dataBar>
    </cfRule>
  </conditionalFormatting>
  <conditionalFormatting sqref="N45:N46">
    <cfRule type="cellIs" dxfId="1231" priority="335" stopIfTrue="1" operator="lessThan">
      <formula>-0.01</formula>
    </cfRule>
    <cfRule type="cellIs" dxfId="1230" priority="336" stopIfTrue="1" operator="greaterThan">
      <formula>0.01</formula>
    </cfRule>
  </conditionalFormatting>
  <conditionalFormatting sqref="I56:I57">
    <cfRule type="dataBar" priority="322">
      <dataBar>
        <cfvo type="min"/>
        <cfvo type="max"/>
        <color rgb="FF008AEF"/>
      </dataBar>
    </cfRule>
  </conditionalFormatting>
  <conditionalFormatting sqref="I51">
    <cfRule type="dataBar" priority="321">
      <dataBar>
        <cfvo type="min"/>
        <cfvo type="max"/>
        <color rgb="FF008AEF"/>
      </dataBar>
    </cfRule>
  </conditionalFormatting>
  <conditionalFormatting sqref="I52">
    <cfRule type="dataBar" priority="320">
      <dataBar>
        <cfvo type="min"/>
        <cfvo type="max"/>
        <color rgb="FF008AEF"/>
      </dataBar>
    </cfRule>
  </conditionalFormatting>
  <conditionalFormatting sqref="I53:I54">
    <cfRule type="dataBar" priority="319">
      <dataBar>
        <cfvo type="min"/>
        <cfvo type="max"/>
        <color rgb="FF008AEF"/>
      </dataBar>
    </cfRule>
  </conditionalFormatting>
  <conditionalFormatting sqref="I55">
    <cfRule type="dataBar" priority="318">
      <dataBar>
        <cfvo type="min"/>
        <cfvo type="max"/>
        <color rgb="FF008AEF"/>
      </dataBar>
    </cfRule>
  </conditionalFormatting>
  <conditionalFormatting sqref="I53:I55">
    <cfRule type="dataBar" priority="317">
      <dataBar>
        <cfvo type="min"/>
        <cfvo type="max"/>
        <color rgb="FF008AEF"/>
      </dataBar>
    </cfRule>
  </conditionalFormatting>
  <conditionalFormatting sqref="I49">
    <cfRule type="dataBar" priority="316">
      <dataBar>
        <cfvo type="min"/>
        <cfvo type="max"/>
        <color rgb="FF008AEF"/>
      </dataBar>
    </cfRule>
  </conditionalFormatting>
  <conditionalFormatting sqref="I50">
    <cfRule type="dataBar" priority="315">
      <dataBar>
        <cfvo type="min"/>
        <cfvo type="max"/>
        <color rgb="FF008AEF"/>
      </dataBar>
    </cfRule>
  </conditionalFormatting>
  <conditionalFormatting sqref="I51">
    <cfRule type="dataBar" priority="314">
      <dataBar>
        <cfvo type="min"/>
        <cfvo type="max"/>
        <color rgb="FF008AEF"/>
      </dataBar>
    </cfRule>
  </conditionalFormatting>
  <conditionalFormatting sqref="I52">
    <cfRule type="dataBar" priority="313">
      <dataBar>
        <cfvo type="min"/>
        <cfvo type="max"/>
        <color rgb="FF008AEF"/>
      </dataBar>
    </cfRule>
  </conditionalFormatting>
  <conditionalFormatting sqref="J51:J55">
    <cfRule type="cellIs" dxfId="1229" priority="311" operator="greaterThan">
      <formula>0.03</formula>
    </cfRule>
    <cfRule type="cellIs" dxfId="1228" priority="312" stopIfTrue="1" operator="lessThan">
      <formula>-0.03</formula>
    </cfRule>
  </conditionalFormatting>
  <conditionalFormatting sqref="N56:N57">
    <cfRule type="cellIs" dxfId="1227" priority="309" stopIfTrue="1" operator="lessThan">
      <formula>-0.01</formula>
    </cfRule>
    <cfRule type="cellIs" dxfId="1226" priority="310" stopIfTrue="1" operator="greaterThan">
      <formula>0.01</formula>
    </cfRule>
  </conditionalFormatting>
  <conditionalFormatting sqref="N51">
    <cfRule type="cellIs" dxfId="1225" priority="307" stopIfTrue="1" operator="lessThan">
      <formula>-0.01</formula>
    </cfRule>
    <cfRule type="cellIs" dxfId="1224" priority="308" stopIfTrue="1" operator="greaterThan">
      <formula>0.01</formula>
    </cfRule>
  </conditionalFormatting>
  <conditionalFormatting sqref="N52">
    <cfRule type="cellIs" dxfId="1223" priority="305" stopIfTrue="1" operator="lessThan">
      <formula>-0.01</formula>
    </cfRule>
    <cfRule type="cellIs" dxfId="1222" priority="306" stopIfTrue="1" operator="greaterThan">
      <formula>0.01</formula>
    </cfRule>
  </conditionalFormatting>
  <conditionalFormatting sqref="N53:N54">
    <cfRule type="cellIs" dxfId="1221" priority="303" stopIfTrue="1" operator="lessThan">
      <formula>-0.01</formula>
    </cfRule>
    <cfRule type="cellIs" dxfId="1220" priority="304" stopIfTrue="1" operator="greaterThan">
      <formula>0.01</formula>
    </cfRule>
  </conditionalFormatting>
  <conditionalFormatting sqref="N55">
    <cfRule type="cellIs" dxfId="1219" priority="301" stopIfTrue="1" operator="lessThan">
      <formula>-0.01</formula>
    </cfRule>
    <cfRule type="cellIs" dxfId="1218" priority="302" stopIfTrue="1" operator="greaterThan">
      <formula>0.01</formula>
    </cfRule>
  </conditionalFormatting>
  <conditionalFormatting sqref="P51">
    <cfRule type="cellIs" dxfId="1217" priority="299" operator="greaterThan">
      <formula>0.03</formula>
    </cfRule>
    <cfRule type="cellIs" dxfId="1216" priority="300" stopIfTrue="1" operator="lessThan">
      <formula>-0.03</formula>
    </cfRule>
  </conditionalFormatting>
  <conditionalFormatting sqref="P55">
    <cfRule type="cellIs" dxfId="1215" priority="297" operator="lessThan">
      <formula>-0.03</formula>
    </cfRule>
    <cfRule type="cellIs" dxfId="1214" priority="298" stopIfTrue="1" operator="greaterThan">
      <formula>0.03</formula>
    </cfRule>
  </conditionalFormatting>
  <conditionalFormatting sqref="I68">
    <cfRule type="dataBar" priority="296">
      <dataBar>
        <cfvo type="min"/>
        <cfvo type="max"/>
        <color rgb="FF008AEF"/>
      </dataBar>
    </cfRule>
  </conditionalFormatting>
  <conditionalFormatting sqref="I60">
    <cfRule type="dataBar" priority="290">
      <dataBar>
        <cfvo type="min"/>
        <cfvo type="max"/>
        <color rgb="FF008AEF"/>
      </dataBar>
    </cfRule>
  </conditionalFormatting>
  <conditionalFormatting sqref="I61">
    <cfRule type="dataBar" priority="289">
      <dataBar>
        <cfvo type="min"/>
        <cfvo type="max"/>
        <color rgb="FF008AEF"/>
      </dataBar>
    </cfRule>
  </conditionalFormatting>
  <conditionalFormatting sqref="N68">
    <cfRule type="cellIs" dxfId="1213" priority="283" stopIfTrue="1" operator="lessThan">
      <formula>-0.01</formula>
    </cfRule>
    <cfRule type="cellIs" dxfId="1212" priority="284" stopIfTrue="1" operator="greaterThan">
      <formula>0.01</formula>
    </cfRule>
  </conditionalFormatting>
  <conditionalFormatting sqref="I79">
    <cfRule type="dataBar" priority="270">
      <dataBar>
        <cfvo type="min"/>
        <cfvo type="max"/>
        <color rgb="FF008AEF"/>
      </dataBar>
    </cfRule>
  </conditionalFormatting>
  <conditionalFormatting sqref="I71">
    <cfRule type="dataBar" priority="264">
      <dataBar>
        <cfvo type="min"/>
        <cfvo type="max"/>
        <color rgb="FF008AEF"/>
      </dataBar>
    </cfRule>
  </conditionalFormatting>
  <conditionalFormatting sqref="I72">
    <cfRule type="dataBar" priority="263">
      <dataBar>
        <cfvo type="min"/>
        <cfvo type="max"/>
        <color rgb="FF008AEF"/>
      </dataBar>
    </cfRule>
  </conditionalFormatting>
  <conditionalFormatting sqref="N79">
    <cfRule type="cellIs" dxfId="1211" priority="257" stopIfTrue="1" operator="lessThan">
      <formula>-0.01</formula>
    </cfRule>
    <cfRule type="cellIs" dxfId="1210" priority="258" stopIfTrue="1" operator="greaterThan">
      <formula>0.01</formula>
    </cfRule>
  </conditionalFormatting>
  <conditionalFormatting sqref="R89:T90">
    <cfRule type="dataBar" priority="244">
      <dataBar>
        <cfvo type="min"/>
        <cfvo type="max"/>
        <color rgb="FF008AEF"/>
      </dataBar>
    </cfRule>
  </conditionalFormatting>
  <conditionalFormatting sqref="R85:T85">
    <cfRule type="dataBar" priority="242">
      <dataBar>
        <cfvo type="min"/>
        <cfvo type="max"/>
        <color rgb="FF008AEF"/>
      </dataBar>
    </cfRule>
  </conditionalFormatting>
  <conditionalFormatting sqref="R86:T87">
    <cfRule type="dataBar" priority="241">
      <dataBar>
        <cfvo type="min"/>
        <cfvo type="max"/>
        <color rgb="FF008AEF"/>
      </dataBar>
    </cfRule>
  </conditionalFormatting>
  <conditionalFormatting sqref="R88:T88">
    <cfRule type="dataBar" priority="240">
      <dataBar>
        <cfvo type="min"/>
        <cfvo type="max"/>
        <color rgb="FF008AEF"/>
      </dataBar>
    </cfRule>
  </conditionalFormatting>
  <conditionalFormatting sqref="R84:T84">
    <cfRule type="dataBar" priority="243">
      <dataBar>
        <cfvo type="min"/>
        <cfvo type="max"/>
        <color rgb="FF008AEF"/>
      </dataBar>
    </cfRule>
  </conditionalFormatting>
  <conditionalFormatting sqref="I90">
    <cfRule type="dataBar" priority="239">
      <dataBar>
        <cfvo type="min"/>
        <cfvo type="max"/>
        <color rgb="FF008AEF"/>
      </dataBar>
    </cfRule>
  </conditionalFormatting>
  <conditionalFormatting sqref="I82">
    <cfRule type="dataBar" priority="233">
      <dataBar>
        <cfvo type="min"/>
        <cfvo type="max"/>
        <color rgb="FF008AEF"/>
      </dataBar>
    </cfRule>
  </conditionalFormatting>
  <conditionalFormatting sqref="I83">
    <cfRule type="dataBar" priority="232">
      <dataBar>
        <cfvo type="min"/>
        <cfvo type="max"/>
        <color rgb="FF008AEF"/>
      </dataBar>
    </cfRule>
  </conditionalFormatting>
  <conditionalFormatting sqref="N90">
    <cfRule type="cellIs" dxfId="1209" priority="226" stopIfTrue="1" operator="lessThan">
      <formula>-0.01</formula>
    </cfRule>
    <cfRule type="cellIs" dxfId="1208" priority="227" stopIfTrue="1" operator="greaterThan">
      <formula>0.01</formula>
    </cfRule>
  </conditionalFormatting>
  <conditionalFormatting sqref="R100:T101">
    <cfRule type="dataBar" priority="213">
      <dataBar>
        <cfvo type="min"/>
        <cfvo type="max"/>
        <color rgb="FF008AEF"/>
      </dataBar>
    </cfRule>
  </conditionalFormatting>
  <conditionalFormatting sqref="R96:T96">
    <cfRule type="dataBar" priority="211">
      <dataBar>
        <cfvo type="min"/>
        <cfvo type="max"/>
        <color rgb="FF008AEF"/>
      </dataBar>
    </cfRule>
  </conditionalFormatting>
  <conditionalFormatting sqref="R97:T98">
    <cfRule type="dataBar" priority="210">
      <dataBar>
        <cfvo type="min"/>
        <cfvo type="max"/>
        <color rgb="FF008AEF"/>
      </dataBar>
    </cfRule>
  </conditionalFormatting>
  <conditionalFormatting sqref="R99:T99">
    <cfRule type="dataBar" priority="209">
      <dataBar>
        <cfvo type="min"/>
        <cfvo type="max"/>
        <color rgb="FF008AEF"/>
      </dataBar>
    </cfRule>
  </conditionalFormatting>
  <conditionalFormatting sqref="R95:T95">
    <cfRule type="dataBar" priority="212">
      <dataBar>
        <cfvo type="min"/>
        <cfvo type="max"/>
        <color rgb="FF008AEF"/>
      </dataBar>
    </cfRule>
  </conditionalFormatting>
  <conditionalFormatting sqref="I101">
    <cfRule type="dataBar" priority="208">
      <dataBar>
        <cfvo type="min"/>
        <cfvo type="max"/>
        <color rgb="FF008AEF"/>
      </dataBar>
    </cfRule>
  </conditionalFormatting>
  <conditionalFormatting sqref="I93">
    <cfRule type="dataBar" priority="202">
      <dataBar>
        <cfvo type="min"/>
        <cfvo type="max"/>
        <color rgb="FF008AEF"/>
      </dataBar>
    </cfRule>
  </conditionalFormatting>
  <conditionalFormatting sqref="I94">
    <cfRule type="dataBar" priority="201">
      <dataBar>
        <cfvo type="min"/>
        <cfvo type="max"/>
        <color rgb="FF008AEF"/>
      </dataBar>
    </cfRule>
  </conditionalFormatting>
  <conditionalFormatting sqref="N101">
    <cfRule type="cellIs" dxfId="1207" priority="195" stopIfTrue="1" operator="lessThan">
      <formula>-0.01</formula>
    </cfRule>
    <cfRule type="cellIs" dxfId="1206" priority="196" stopIfTrue="1" operator="greaterThan">
      <formula>0.01</formula>
    </cfRule>
  </conditionalFormatting>
  <conditionalFormatting sqref="J40:J44">
    <cfRule type="cellIs" dxfId="1205" priority="181" operator="greaterThan">
      <formula>0.03</formula>
    </cfRule>
    <cfRule type="cellIs" dxfId="1204" priority="182" stopIfTrue="1" operator="lessThan">
      <formula>-0.03</formula>
    </cfRule>
  </conditionalFormatting>
  <conditionalFormatting sqref="N40">
    <cfRule type="cellIs" dxfId="1203" priority="179" stopIfTrue="1" operator="lessThan">
      <formula>-0.01</formula>
    </cfRule>
    <cfRule type="cellIs" dxfId="1202" priority="180" stopIfTrue="1" operator="greaterThan">
      <formula>0.01</formula>
    </cfRule>
  </conditionalFormatting>
  <conditionalFormatting sqref="N41">
    <cfRule type="cellIs" dxfId="1201" priority="177" stopIfTrue="1" operator="lessThan">
      <formula>-0.01</formula>
    </cfRule>
    <cfRule type="cellIs" dxfId="1200" priority="178" stopIfTrue="1" operator="greaterThan">
      <formula>0.01</formula>
    </cfRule>
  </conditionalFormatting>
  <conditionalFormatting sqref="N42:N43">
    <cfRule type="cellIs" dxfId="1199" priority="175" stopIfTrue="1" operator="lessThan">
      <formula>-0.01</formula>
    </cfRule>
    <cfRule type="cellIs" dxfId="1198" priority="176" stopIfTrue="1" operator="greaterThan">
      <formula>0.01</formula>
    </cfRule>
  </conditionalFormatting>
  <conditionalFormatting sqref="N44">
    <cfRule type="cellIs" dxfId="1197" priority="173" stopIfTrue="1" operator="lessThan">
      <formula>-0.01</formula>
    </cfRule>
    <cfRule type="cellIs" dxfId="1196" priority="174" stopIfTrue="1" operator="greaterThan">
      <formula>0.01</formula>
    </cfRule>
  </conditionalFormatting>
  <conditionalFormatting sqref="P40">
    <cfRule type="cellIs" dxfId="1195" priority="171" operator="greaterThan">
      <formula>0.03</formula>
    </cfRule>
    <cfRule type="cellIs" dxfId="1194" priority="172" stopIfTrue="1" operator="lessThan">
      <formula>-0.03</formula>
    </cfRule>
  </conditionalFormatting>
  <conditionalFormatting sqref="P44">
    <cfRule type="cellIs" dxfId="1193" priority="169" operator="lessThan">
      <formula>-0.03</formula>
    </cfRule>
    <cfRule type="cellIs" dxfId="1192" priority="170" stopIfTrue="1" operator="greaterThan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I29"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1">
      <dataBar>
        <cfvo type="min"/>
        <cfvo type="max"/>
        <color rgb="FF008AEF"/>
      </dataBar>
    </cfRule>
  </conditionalFormatting>
  <conditionalFormatting sqref="N34">
    <cfRule type="cellIs" dxfId="1191" priority="159" stopIfTrue="1" operator="lessThan">
      <formula>-0.01</formula>
    </cfRule>
    <cfRule type="cellIs" dxfId="1190" priority="160" stopIfTrue="1" operator="greaterThan">
      <formula>0.01</formula>
    </cfRule>
  </conditionalFormatting>
  <conditionalFormatting sqref="J29:J33">
    <cfRule type="cellIs" dxfId="1189" priority="157" operator="greaterThan">
      <formula>0.03</formula>
    </cfRule>
    <cfRule type="cellIs" dxfId="1188" priority="158" stopIfTrue="1" operator="lessThan">
      <formula>-0.03</formula>
    </cfRule>
  </conditionalFormatting>
  <conditionalFormatting sqref="N29">
    <cfRule type="cellIs" dxfId="1187" priority="155" stopIfTrue="1" operator="lessThan">
      <formula>-0.01</formula>
    </cfRule>
    <cfRule type="cellIs" dxfId="1186" priority="156" stopIfTrue="1" operator="greaterThan">
      <formula>0.01</formula>
    </cfRule>
  </conditionalFormatting>
  <conditionalFormatting sqref="N30">
    <cfRule type="cellIs" dxfId="1185" priority="153" stopIfTrue="1" operator="lessThan">
      <formula>-0.01</formula>
    </cfRule>
    <cfRule type="cellIs" dxfId="1184" priority="154" stopIfTrue="1" operator="greaterThan">
      <formula>0.01</formula>
    </cfRule>
  </conditionalFormatting>
  <conditionalFormatting sqref="N31:N32">
    <cfRule type="cellIs" dxfId="1183" priority="151" stopIfTrue="1" operator="lessThan">
      <formula>-0.01</formula>
    </cfRule>
    <cfRule type="cellIs" dxfId="1182" priority="152" stopIfTrue="1" operator="greaterThan">
      <formula>0.01</formula>
    </cfRule>
  </conditionalFormatting>
  <conditionalFormatting sqref="N33">
    <cfRule type="cellIs" dxfId="1181" priority="149" stopIfTrue="1" operator="lessThan">
      <formula>-0.01</formula>
    </cfRule>
    <cfRule type="cellIs" dxfId="1180" priority="150" stopIfTrue="1" operator="greaterThan">
      <formula>0.01</formula>
    </cfRule>
  </conditionalFormatting>
  <conditionalFormatting sqref="P29">
    <cfRule type="cellIs" dxfId="1179" priority="147" operator="greaterThan">
      <formula>0.03</formula>
    </cfRule>
    <cfRule type="cellIs" dxfId="1178" priority="148" stopIfTrue="1" operator="lessThan">
      <formula>-0.03</formula>
    </cfRule>
  </conditionalFormatting>
  <conditionalFormatting sqref="P33">
    <cfRule type="cellIs" dxfId="1177" priority="145" operator="lessThan">
      <formula>-0.03</formula>
    </cfRule>
    <cfRule type="cellIs" dxfId="1176" priority="146" stopIfTrue="1" operator="greaterThan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I18"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37">
      <dataBar>
        <cfvo type="min"/>
        <cfvo type="max"/>
        <color rgb="FF008AEF"/>
      </dataBar>
    </cfRule>
  </conditionalFormatting>
  <conditionalFormatting sqref="N23">
    <cfRule type="cellIs" dxfId="1175" priority="135" stopIfTrue="1" operator="lessThan">
      <formula>-0.01</formula>
    </cfRule>
    <cfRule type="cellIs" dxfId="1174" priority="136" stopIfTrue="1" operator="greaterThan">
      <formula>0.01</formula>
    </cfRule>
  </conditionalFormatting>
  <conditionalFormatting sqref="J18:J22">
    <cfRule type="cellIs" dxfId="1173" priority="133" operator="greaterThan">
      <formula>0.03</formula>
    </cfRule>
    <cfRule type="cellIs" dxfId="1172" priority="134" stopIfTrue="1" operator="lessThan">
      <formula>-0.03</formula>
    </cfRule>
  </conditionalFormatting>
  <conditionalFormatting sqref="N18">
    <cfRule type="cellIs" dxfId="1171" priority="131" stopIfTrue="1" operator="lessThan">
      <formula>-0.01</formula>
    </cfRule>
    <cfRule type="cellIs" dxfId="1170" priority="132" stopIfTrue="1" operator="greaterThan">
      <formula>0.01</formula>
    </cfRule>
  </conditionalFormatting>
  <conditionalFormatting sqref="N19">
    <cfRule type="cellIs" dxfId="1169" priority="129" stopIfTrue="1" operator="lessThan">
      <formula>-0.01</formula>
    </cfRule>
    <cfRule type="cellIs" dxfId="1168" priority="130" stopIfTrue="1" operator="greaterThan">
      <formula>0.01</formula>
    </cfRule>
  </conditionalFormatting>
  <conditionalFormatting sqref="N20:N21">
    <cfRule type="cellIs" dxfId="1167" priority="127" stopIfTrue="1" operator="lessThan">
      <formula>-0.01</formula>
    </cfRule>
    <cfRule type="cellIs" dxfId="1166" priority="128" stopIfTrue="1" operator="greaterThan">
      <formula>0.01</formula>
    </cfRule>
  </conditionalFormatting>
  <conditionalFormatting sqref="N22">
    <cfRule type="cellIs" dxfId="1165" priority="125" stopIfTrue="1" operator="lessThan">
      <formula>-0.01</formula>
    </cfRule>
    <cfRule type="cellIs" dxfId="1164" priority="126" stopIfTrue="1" operator="greaterThan">
      <formula>0.01</formula>
    </cfRule>
  </conditionalFormatting>
  <conditionalFormatting sqref="P18">
    <cfRule type="cellIs" dxfId="1163" priority="123" operator="greaterThan">
      <formula>0.03</formula>
    </cfRule>
    <cfRule type="cellIs" dxfId="1162" priority="124" stopIfTrue="1" operator="lessThan">
      <formula>-0.03</formula>
    </cfRule>
  </conditionalFormatting>
  <conditionalFormatting sqref="P22">
    <cfRule type="cellIs" dxfId="1161" priority="121" operator="lessThan">
      <formula>-0.03</formula>
    </cfRule>
    <cfRule type="cellIs" dxfId="1160" priority="122" stopIfTrue="1" operator="greaterThan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I7"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3">
      <dataBar>
        <cfvo type="min"/>
        <cfvo type="max"/>
        <color rgb="FF008AEF"/>
      </dataBar>
    </cfRule>
  </conditionalFormatting>
  <conditionalFormatting sqref="N12">
    <cfRule type="cellIs" dxfId="1159" priority="111" stopIfTrue="1" operator="lessThan">
      <formula>-0.01</formula>
    </cfRule>
    <cfRule type="cellIs" dxfId="1158" priority="112" stopIfTrue="1" operator="greaterThan">
      <formula>0.01</formula>
    </cfRule>
  </conditionalFormatting>
  <conditionalFormatting sqref="J7:J11">
    <cfRule type="cellIs" dxfId="1157" priority="109" operator="greaterThan">
      <formula>0.03</formula>
    </cfRule>
    <cfRule type="cellIs" dxfId="1156" priority="110" stopIfTrue="1" operator="lessThan">
      <formula>-0.03</formula>
    </cfRule>
  </conditionalFormatting>
  <conditionalFormatting sqref="N7">
    <cfRule type="cellIs" dxfId="1155" priority="107" stopIfTrue="1" operator="lessThan">
      <formula>-0.01</formula>
    </cfRule>
    <cfRule type="cellIs" dxfId="1154" priority="108" stopIfTrue="1" operator="greaterThan">
      <formula>0.01</formula>
    </cfRule>
  </conditionalFormatting>
  <conditionalFormatting sqref="N8">
    <cfRule type="cellIs" dxfId="1153" priority="105" stopIfTrue="1" operator="lessThan">
      <formula>-0.01</formula>
    </cfRule>
    <cfRule type="cellIs" dxfId="1152" priority="106" stopIfTrue="1" operator="greaterThan">
      <formula>0.01</formula>
    </cfRule>
  </conditionalFormatting>
  <conditionalFormatting sqref="N9:N10">
    <cfRule type="cellIs" dxfId="1151" priority="103" stopIfTrue="1" operator="lessThan">
      <formula>-0.01</formula>
    </cfRule>
    <cfRule type="cellIs" dxfId="1150" priority="104" stopIfTrue="1" operator="greaterThan">
      <formula>0.01</formula>
    </cfRule>
  </conditionalFormatting>
  <conditionalFormatting sqref="N11">
    <cfRule type="cellIs" dxfId="1149" priority="101" stopIfTrue="1" operator="lessThan">
      <formula>-0.01</formula>
    </cfRule>
    <cfRule type="cellIs" dxfId="1148" priority="102" stopIfTrue="1" operator="greaterThan">
      <formula>0.01</formula>
    </cfRule>
  </conditionalFormatting>
  <conditionalFormatting sqref="P7">
    <cfRule type="cellIs" dxfId="1147" priority="99" operator="greaterThan">
      <formula>0.03</formula>
    </cfRule>
    <cfRule type="cellIs" dxfId="1146" priority="100" stopIfTrue="1" operator="lessThan">
      <formula>-0.03</formula>
    </cfRule>
  </conditionalFormatting>
  <conditionalFormatting sqref="P11">
    <cfRule type="cellIs" dxfId="1145" priority="97" operator="lessThan">
      <formula>-0.03</formula>
    </cfRule>
    <cfRule type="cellIs" dxfId="1144" priority="98" stopIfTrue="1" operator="greaterThan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I62">
    <cfRule type="dataBar" priority="90">
      <dataBar>
        <cfvo type="min"/>
        <cfvo type="max"/>
        <color rgb="FF008AEF"/>
      </dataBar>
    </cfRule>
  </conditionalFormatting>
  <conditionalFormatting sqref="I63">
    <cfRule type="dataBar" priority="89">
      <dataBar>
        <cfvo type="min"/>
        <cfvo type="max"/>
        <color rgb="FF008AEF"/>
      </dataBar>
    </cfRule>
  </conditionalFormatting>
  <conditionalFormatting sqref="J62:J66">
    <cfRule type="cellIs" dxfId="1143" priority="87" operator="greaterThan">
      <formula>0.03</formula>
    </cfRule>
    <cfRule type="cellIs" dxfId="1142" priority="88" stopIfTrue="1" operator="lessThan">
      <formula>-0.03</formula>
    </cfRule>
  </conditionalFormatting>
  <conditionalFormatting sqref="N67">
    <cfRule type="cellIs" dxfId="1141" priority="85" stopIfTrue="1" operator="lessThan">
      <formula>-0.01</formula>
    </cfRule>
    <cfRule type="cellIs" dxfId="1140" priority="86" stopIfTrue="1" operator="greaterThan">
      <formula>0.01</formula>
    </cfRule>
  </conditionalFormatting>
  <conditionalFormatting sqref="N62">
    <cfRule type="cellIs" dxfId="1139" priority="83" stopIfTrue="1" operator="lessThan">
      <formula>-0.01</formula>
    </cfRule>
    <cfRule type="cellIs" dxfId="1138" priority="84" stopIfTrue="1" operator="greaterThan">
      <formula>0.01</formula>
    </cfRule>
  </conditionalFormatting>
  <conditionalFormatting sqref="N63">
    <cfRule type="cellIs" dxfId="1137" priority="81" stopIfTrue="1" operator="lessThan">
      <formula>-0.01</formula>
    </cfRule>
    <cfRule type="cellIs" dxfId="1136" priority="82" stopIfTrue="1" operator="greaterThan">
      <formula>0.01</formula>
    </cfRule>
  </conditionalFormatting>
  <conditionalFormatting sqref="N64:N65">
    <cfRule type="cellIs" dxfId="1135" priority="79" stopIfTrue="1" operator="lessThan">
      <formula>-0.01</formula>
    </cfRule>
    <cfRule type="cellIs" dxfId="1134" priority="80" stopIfTrue="1" operator="greaterThan">
      <formula>0.01</formula>
    </cfRule>
  </conditionalFormatting>
  <conditionalFormatting sqref="N66">
    <cfRule type="cellIs" dxfId="1133" priority="77" stopIfTrue="1" operator="lessThan">
      <formula>-0.01</formula>
    </cfRule>
    <cfRule type="cellIs" dxfId="1132" priority="78" stopIfTrue="1" operator="greaterThan">
      <formula>0.01</formula>
    </cfRule>
  </conditionalFormatting>
  <conditionalFormatting sqref="P62">
    <cfRule type="cellIs" dxfId="1131" priority="75" operator="greaterThan">
      <formula>0.03</formula>
    </cfRule>
    <cfRule type="cellIs" dxfId="1130" priority="76" stopIfTrue="1" operator="lessThan">
      <formula>-0.03</formula>
    </cfRule>
  </conditionalFormatting>
  <conditionalFormatting sqref="P66">
    <cfRule type="cellIs" dxfId="1129" priority="73" operator="lessThan">
      <formula>-0.03</formula>
    </cfRule>
    <cfRule type="cellIs" dxfId="1128" priority="74" stopIfTrue="1" operator="greaterThan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I73">
    <cfRule type="dataBar" priority="66">
      <dataBar>
        <cfvo type="min"/>
        <cfvo type="max"/>
        <color rgb="FF008AEF"/>
      </dataBar>
    </cfRule>
  </conditionalFormatting>
  <conditionalFormatting sqref="I74">
    <cfRule type="dataBar" priority="65">
      <dataBar>
        <cfvo type="min"/>
        <cfvo type="max"/>
        <color rgb="FF008AEF"/>
      </dataBar>
    </cfRule>
  </conditionalFormatting>
  <conditionalFormatting sqref="J73:J77">
    <cfRule type="cellIs" dxfId="1127" priority="63" operator="greaterThan">
      <formula>0.03</formula>
    </cfRule>
    <cfRule type="cellIs" dxfId="1126" priority="64" stopIfTrue="1" operator="lessThan">
      <formula>-0.03</formula>
    </cfRule>
  </conditionalFormatting>
  <conditionalFormatting sqref="N78">
    <cfRule type="cellIs" dxfId="1125" priority="61" stopIfTrue="1" operator="lessThan">
      <formula>-0.01</formula>
    </cfRule>
    <cfRule type="cellIs" dxfId="1124" priority="62" stopIfTrue="1" operator="greaterThan">
      <formula>0.01</formula>
    </cfRule>
  </conditionalFormatting>
  <conditionalFormatting sqref="N73">
    <cfRule type="cellIs" dxfId="1123" priority="59" stopIfTrue="1" operator="lessThan">
      <formula>-0.01</formula>
    </cfRule>
    <cfRule type="cellIs" dxfId="1122" priority="60" stopIfTrue="1" operator="greaterThan">
      <formula>0.01</formula>
    </cfRule>
  </conditionalFormatting>
  <conditionalFormatting sqref="N74">
    <cfRule type="cellIs" dxfId="1121" priority="57" stopIfTrue="1" operator="lessThan">
      <formula>-0.01</formula>
    </cfRule>
    <cfRule type="cellIs" dxfId="1120" priority="58" stopIfTrue="1" operator="greaterThan">
      <formula>0.01</formula>
    </cfRule>
  </conditionalFormatting>
  <conditionalFormatting sqref="N75:N76">
    <cfRule type="cellIs" dxfId="1119" priority="55" stopIfTrue="1" operator="lessThan">
      <formula>-0.01</formula>
    </cfRule>
    <cfRule type="cellIs" dxfId="1118" priority="56" stopIfTrue="1" operator="greaterThan">
      <formula>0.01</formula>
    </cfRule>
  </conditionalFormatting>
  <conditionalFormatting sqref="N77">
    <cfRule type="cellIs" dxfId="1117" priority="53" stopIfTrue="1" operator="lessThan">
      <formula>-0.01</formula>
    </cfRule>
    <cfRule type="cellIs" dxfId="1116" priority="54" stopIfTrue="1" operator="greaterThan">
      <formula>0.01</formula>
    </cfRule>
  </conditionalFormatting>
  <conditionalFormatting sqref="P73">
    <cfRule type="cellIs" dxfId="1115" priority="51" operator="greaterThan">
      <formula>0.03</formula>
    </cfRule>
    <cfRule type="cellIs" dxfId="1114" priority="52" stopIfTrue="1" operator="lessThan">
      <formula>-0.03</formula>
    </cfRule>
  </conditionalFormatting>
  <conditionalFormatting sqref="P77">
    <cfRule type="cellIs" dxfId="1113" priority="49" operator="lessThan">
      <formula>-0.03</formula>
    </cfRule>
    <cfRule type="cellIs" dxfId="1112" priority="50" stopIfTrue="1" operator="greaterThan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I84"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1">
      <dataBar>
        <cfvo type="min"/>
        <cfvo type="max"/>
        <color rgb="FF008AEF"/>
      </dataBar>
    </cfRule>
  </conditionalFormatting>
  <conditionalFormatting sqref="J84:J88">
    <cfRule type="cellIs" dxfId="1111" priority="39" operator="greaterThan">
      <formula>0.03</formula>
    </cfRule>
    <cfRule type="cellIs" dxfId="1110" priority="40" stopIfTrue="1" operator="lessThan">
      <formula>-0.03</formula>
    </cfRule>
  </conditionalFormatting>
  <conditionalFormatting sqref="N89">
    <cfRule type="cellIs" dxfId="1109" priority="37" stopIfTrue="1" operator="lessThan">
      <formula>-0.01</formula>
    </cfRule>
    <cfRule type="cellIs" dxfId="1108" priority="38" stopIfTrue="1" operator="greaterThan">
      <formula>0.01</formula>
    </cfRule>
  </conditionalFormatting>
  <conditionalFormatting sqref="N84">
    <cfRule type="cellIs" dxfId="1107" priority="35" stopIfTrue="1" operator="lessThan">
      <formula>-0.01</formula>
    </cfRule>
    <cfRule type="cellIs" dxfId="1106" priority="36" stopIfTrue="1" operator="greaterThan">
      <formula>0.01</formula>
    </cfRule>
  </conditionalFormatting>
  <conditionalFormatting sqref="N85">
    <cfRule type="cellIs" dxfId="1105" priority="33" stopIfTrue="1" operator="lessThan">
      <formula>-0.01</formula>
    </cfRule>
    <cfRule type="cellIs" dxfId="1104" priority="34" stopIfTrue="1" operator="greaterThan">
      <formula>0.01</formula>
    </cfRule>
  </conditionalFormatting>
  <conditionalFormatting sqref="N86:N87">
    <cfRule type="cellIs" dxfId="1103" priority="31" stopIfTrue="1" operator="lessThan">
      <formula>-0.01</formula>
    </cfRule>
    <cfRule type="cellIs" dxfId="1102" priority="32" stopIfTrue="1" operator="greaterThan">
      <formula>0.01</formula>
    </cfRule>
  </conditionalFormatting>
  <conditionalFormatting sqref="N88">
    <cfRule type="cellIs" dxfId="1101" priority="29" stopIfTrue="1" operator="lessThan">
      <formula>-0.01</formula>
    </cfRule>
    <cfRule type="cellIs" dxfId="1100" priority="30" stopIfTrue="1" operator="greaterThan">
      <formula>0.01</formula>
    </cfRule>
  </conditionalFormatting>
  <conditionalFormatting sqref="P84">
    <cfRule type="cellIs" dxfId="1099" priority="27" operator="greaterThan">
      <formula>0.03</formula>
    </cfRule>
    <cfRule type="cellIs" dxfId="1098" priority="28" stopIfTrue="1" operator="lessThan">
      <formula>-0.03</formula>
    </cfRule>
  </conditionalFormatting>
  <conditionalFormatting sqref="P88">
    <cfRule type="cellIs" dxfId="1097" priority="25" operator="lessThan">
      <formula>-0.03</formula>
    </cfRule>
    <cfRule type="cellIs" dxfId="1096" priority="26" stopIfTrue="1" operator="greaterThan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I95">
    <cfRule type="dataBar" priority="18">
      <dataBar>
        <cfvo type="min"/>
        <cfvo type="max"/>
        <color rgb="FF008AEF"/>
      </dataBar>
    </cfRule>
  </conditionalFormatting>
  <conditionalFormatting sqref="I96">
    <cfRule type="dataBar" priority="17">
      <dataBar>
        <cfvo type="min"/>
        <cfvo type="max"/>
        <color rgb="FF008AEF"/>
      </dataBar>
    </cfRule>
  </conditionalFormatting>
  <conditionalFormatting sqref="J95:J99">
    <cfRule type="cellIs" dxfId="1095" priority="15" operator="greaterThan">
      <formula>0.03</formula>
    </cfRule>
    <cfRule type="cellIs" dxfId="1094" priority="16" stopIfTrue="1" operator="lessThan">
      <formula>-0.03</formula>
    </cfRule>
  </conditionalFormatting>
  <conditionalFormatting sqref="N100">
    <cfRule type="cellIs" dxfId="1093" priority="13" stopIfTrue="1" operator="lessThan">
      <formula>-0.01</formula>
    </cfRule>
    <cfRule type="cellIs" dxfId="1092" priority="14" stopIfTrue="1" operator="greaterThan">
      <formula>0.01</formula>
    </cfRule>
  </conditionalFormatting>
  <conditionalFormatting sqref="N95">
    <cfRule type="cellIs" dxfId="1091" priority="11" stopIfTrue="1" operator="lessThan">
      <formula>-0.01</formula>
    </cfRule>
    <cfRule type="cellIs" dxfId="1090" priority="12" stopIfTrue="1" operator="greaterThan">
      <formula>0.01</formula>
    </cfRule>
  </conditionalFormatting>
  <conditionalFormatting sqref="N96">
    <cfRule type="cellIs" dxfId="1089" priority="9" stopIfTrue="1" operator="lessThan">
      <formula>-0.01</formula>
    </cfRule>
    <cfRule type="cellIs" dxfId="1088" priority="10" stopIfTrue="1" operator="greaterThan">
      <formula>0.01</formula>
    </cfRule>
  </conditionalFormatting>
  <conditionalFormatting sqref="N97:N98">
    <cfRule type="cellIs" dxfId="1087" priority="7" stopIfTrue="1" operator="lessThan">
      <formula>-0.01</formula>
    </cfRule>
    <cfRule type="cellIs" dxfId="1086" priority="8" stopIfTrue="1" operator="greaterThan">
      <formula>0.01</formula>
    </cfRule>
  </conditionalFormatting>
  <conditionalFormatting sqref="N99">
    <cfRule type="cellIs" dxfId="1085" priority="5" stopIfTrue="1" operator="lessThan">
      <formula>-0.01</formula>
    </cfRule>
    <cfRule type="cellIs" dxfId="1084" priority="6" stopIfTrue="1" operator="greaterThan">
      <formula>0.01</formula>
    </cfRule>
  </conditionalFormatting>
  <conditionalFormatting sqref="P95">
    <cfRule type="cellIs" dxfId="1083" priority="3" operator="greaterThan">
      <formula>0.03</formula>
    </cfRule>
    <cfRule type="cellIs" dxfId="1082" priority="4" stopIfTrue="1" operator="lessThan">
      <formula>-0.03</formula>
    </cfRule>
  </conditionalFormatting>
  <conditionalFormatting sqref="P99">
    <cfRule type="cellIs" dxfId="1081" priority="1" operator="lessThan">
      <formula>-0.03</formula>
    </cfRule>
    <cfRule type="cellIs" dxfId="108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21"/>
  <sheetViews>
    <sheetView zoomScaleNormal="100" workbookViewId="0">
      <selection activeCell="B2" sqref="B2:D2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1992187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19921875" bestFit="1" customWidth="1"/>
    <col min="26" max="26" width="5.19921875" bestFit="1" customWidth="1"/>
    <col min="27" max="27" width="1.69921875" bestFit="1" customWidth="1"/>
    <col min="28" max="28" width="8.19921875" style="155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5" t="s">
        <v>33</v>
      </c>
      <c r="AF1" s="15" t="s">
        <v>33</v>
      </c>
    </row>
    <row r="2" spans="1:32" x14ac:dyDescent="0.25">
      <c r="B2" s="325" t="str">
        <f>'Summary (auto)'!B3</f>
        <v>Anchor</v>
      </c>
      <c r="C2" s="325"/>
      <c r="D2" s="325"/>
      <c r="E2" s="158"/>
      <c r="F2" s="325" t="str">
        <f>'Summary (auto)'!B4</f>
        <v>Proposal</v>
      </c>
      <c r="G2" s="325"/>
      <c r="H2" s="325"/>
      <c r="I2" s="155"/>
      <c r="J2" s="156" t="s">
        <v>34</v>
      </c>
      <c r="K2" s="155"/>
      <c r="L2" s="314" t="s">
        <v>35</v>
      </c>
      <c r="M2" s="313"/>
      <c r="N2" s="313"/>
      <c r="O2" s="155"/>
      <c r="P2" s="156" t="s">
        <v>36</v>
      </c>
      <c r="U2" s="156"/>
      <c r="V2" s="156"/>
    </row>
    <row r="3" spans="1:32" ht="16.5" customHeight="1" thickBot="1" x14ac:dyDescent="0.3">
      <c r="A3" s="291" t="s">
        <v>0</v>
      </c>
      <c r="B3" s="158"/>
      <c r="C3" s="158"/>
      <c r="D3" s="158"/>
      <c r="E3" s="158"/>
      <c r="F3" s="158"/>
      <c r="G3" s="158"/>
      <c r="H3" s="158"/>
      <c r="I3" s="155"/>
      <c r="J3" s="155"/>
      <c r="K3" s="292" t="s">
        <v>0</v>
      </c>
      <c r="L3" s="137" t="s">
        <v>52</v>
      </c>
      <c r="M3" s="137" t="s">
        <v>53</v>
      </c>
      <c r="N3" s="155"/>
      <c r="O3" s="292" t="s">
        <v>0</v>
      </c>
      <c r="P3" s="155"/>
      <c r="U3" s="291" t="s">
        <v>0</v>
      </c>
      <c r="W3" s="291" t="s">
        <v>0</v>
      </c>
    </row>
    <row r="4" spans="1:32" x14ac:dyDescent="0.25">
      <c r="B4" s="315" t="s">
        <v>14</v>
      </c>
      <c r="C4" s="316"/>
      <c r="D4" s="317"/>
      <c r="E4" s="166"/>
      <c r="F4" s="315" t="str">
        <f>B4</f>
        <v>M_CG1</v>
      </c>
      <c r="G4" s="316"/>
      <c r="H4" s="317"/>
      <c r="I4" s="155"/>
      <c r="J4" s="159"/>
      <c r="K4" s="155"/>
      <c r="L4" s="318" t="str">
        <f>F4</f>
        <v>M_CG1</v>
      </c>
      <c r="M4" s="319"/>
      <c r="N4" s="320"/>
      <c r="O4" s="155"/>
      <c r="P4" s="159"/>
      <c r="U4" s="155"/>
      <c r="V4" s="155"/>
    </row>
    <row r="5" spans="1:32" x14ac:dyDescent="0.25">
      <c r="B5" s="321" t="s">
        <v>39</v>
      </c>
      <c r="C5" s="322"/>
      <c r="D5" s="116" t="s">
        <v>40</v>
      </c>
      <c r="E5" s="157"/>
      <c r="F5" s="321" t="s">
        <v>39</v>
      </c>
      <c r="G5" s="322"/>
      <c r="H5" s="116" t="s">
        <v>40</v>
      </c>
      <c r="I5" s="155"/>
      <c r="J5" s="160" t="s">
        <v>41</v>
      </c>
      <c r="K5" s="155"/>
      <c r="L5" s="323" t="s">
        <v>54</v>
      </c>
      <c r="M5" s="313"/>
      <c r="N5" s="324"/>
      <c r="O5" s="155"/>
      <c r="P5" s="7"/>
      <c r="R5" s="112"/>
      <c r="U5" s="156"/>
      <c r="V5" s="156"/>
    </row>
    <row r="6" spans="1:32" x14ac:dyDescent="0.25">
      <c r="B6" s="293" t="s">
        <v>2</v>
      </c>
      <c r="C6" s="177" t="s">
        <v>43</v>
      </c>
      <c r="D6" s="115" t="s">
        <v>44</v>
      </c>
      <c r="E6" s="117"/>
      <c r="F6" s="293" t="s">
        <v>2</v>
      </c>
      <c r="G6" s="177" t="s">
        <v>43</v>
      </c>
      <c r="H6" s="115" t="s">
        <v>44</v>
      </c>
      <c r="I6" s="113"/>
      <c r="J6" s="125"/>
      <c r="K6" s="155"/>
      <c r="L6" s="294" t="str">
        <f>CONCATENATE(B$2," ",L4)</f>
        <v>Anchor M_CG1</v>
      </c>
      <c r="M6" s="295" t="str">
        <f>CONCATENATE(F$2," ",L4)</f>
        <v>Proposal M_CG1</v>
      </c>
      <c r="N6" s="296" t="s">
        <v>45</v>
      </c>
      <c r="O6" s="155"/>
      <c r="P6" s="7" t="s">
        <v>36</v>
      </c>
      <c r="Q6" s="6"/>
      <c r="R6" s="6"/>
      <c r="S6" s="6"/>
      <c r="T6" s="6"/>
      <c r="U6" s="6"/>
      <c r="V6" s="6"/>
    </row>
    <row r="7" spans="1:32" x14ac:dyDescent="0.25">
      <c r="B7" s="166" t="str">
        <f>B4</f>
        <v>M_CG1</v>
      </c>
      <c r="C7" s="177" t="s">
        <v>46</v>
      </c>
      <c r="D7" s="118" t="e">
        <f ca="1">0.001*INDIRECT($B7&amp;"!E5")</f>
        <v>#REF!</v>
      </c>
      <c r="E7" s="32"/>
      <c r="F7" s="166" t="str">
        <f>F4</f>
        <v>M_CG1</v>
      </c>
      <c r="G7" s="177" t="s">
        <v>46</v>
      </c>
      <c r="H7" s="118" t="e">
        <f ca="1">0.001*INDIRECT($B7&amp;"!W5")</f>
        <v>#REF!</v>
      </c>
      <c r="I7" s="14"/>
      <c r="J7" s="33" t="e">
        <f ca="1">H7/D7-1</f>
        <v>#REF!</v>
      </c>
      <c r="L7" s="126" t="e">
        <f ca="1">INDIRECT($B7&amp;"!"&amp;L$3&amp;"5")</f>
        <v>#REF!</v>
      </c>
      <c r="M7" s="127" t="e">
        <f ca="1">INDIRECT($B7&amp;"!"&amp;M$3&amp;"5")</f>
        <v>#REF!</v>
      </c>
      <c r="N7" s="128" t="e">
        <f ca="1">M7-L7</f>
        <v>#REF!</v>
      </c>
      <c r="O7" s="32"/>
      <c r="P7" s="33" t="e">
        <f ca="1">bdrate(D7:D11,L7:L11,H7:H11,M7:M11)</f>
        <v>#VALUE!</v>
      </c>
      <c r="Q7" s="32"/>
      <c r="R7" s="14"/>
      <c r="S7" s="14"/>
      <c r="T7" s="14"/>
      <c r="U7" s="14"/>
      <c r="V7" s="107"/>
    </row>
    <row r="8" spans="1:32" x14ac:dyDescent="0.25">
      <c r="B8" s="166" t="str">
        <f>B7</f>
        <v>M_CG1</v>
      </c>
      <c r="C8" s="177" t="s">
        <v>47</v>
      </c>
      <c r="D8" s="118" t="e">
        <f ca="1">0.001*INDIRECT($B8&amp;"!E6")</f>
        <v>#REF!</v>
      </c>
      <c r="E8" s="32"/>
      <c r="F8" s="166" t="str">
        <f>F7</f>
        <v>M_CG1</v>
      </c>
      <c r="G8" s="177" t="s">
        <v>47</v>
      </c>
      <c r="H8" s="118" t="e">
        <f ca="1">0.001*INDIRECT($B8&amp;"!W6")</f>
        <v>#REF!</v>
      </c>
      <c r="I8" s="14"/>
      <c r="J8" s="33" t="e">
        <f ca="1">H8/D8-1</f>
        <v>#REF!</v>
      </c>
      <c r="L8" s="126" t="e">
        <f ca="1">INDIRECT($B8&amp;"!"&amp;L$3&amp;"6")</f>
        <v>#REF!</v>
      </c>
      <c r="M8" s="127" t="e">
        <f ca="1">INDIRECT($B8&amp;"!"&amp;M$3&amp;"6")</f>
        <v>#REF!</v>
      </c>
      <c r="N8" s="128" t="e">
        <f ca="1">M8-L8</f>
        <v>#REF!</v>
      </c>
      <c r="O8" s="32"/>
      <c r="P8" s="7"/>
      <c r="Q8" s="32"/>
      <c r="R8" s="14"/>
      <c r="S8" s="14"/>
      <c r="T8" s="14"/>
      <c r="U8" s="14"/>
      <c r="V8" s="107"/>
    </row>
    <row r="9" spans="1:32" x14ac:dyDescent="0.25">
      <c r="B9" s="166" t="str">
        <f>B8</f>
        <v>M_CG1</v>
      </c>
      <c r="C9" s="177" t="s">
        <v>48</v>
      </c>
      <c r="D9" s="118" t="e">
        <f ca="1">0.001*INDIRECT($B9&amp;"!E7")</f>
        <v>#REF!</v>
      </c>
      <c r="E9" s="32"/>
      <c r="F9" s="166" t="str">
        <f>F8</f>
        <v>M_CG1</v>
      </c>
      <c r="G9" s="177" t="s">
        <v>48</v>
      </c>
      <c r="H9" s="118" t="e">
        <f ca="1">0.001*INDIRECT($B9&amp;"!W7")</f>
        <v>#REF!</v>
      </c>
      <c r="I9" s="14"/>
      <c r="J9" s="33" t="e">
        <f ca="1">H9/D9-1</f>
        <v>#REF!</v>
      </c>
      <c r="L9" s="126" t="e">
        <f ca="1">INDIRECT($B9&amp;"!"&amp;L$3&amp;"7")</f>
        <v>#REF!</v>
      </c>
      <c r="M9" s="127" t="e">
        <f ca="1">INDIRECT($B9&amp;"!"&amp;M$3&amp;"7")</f>
        <v>#REF!</v>
      </c>
      <c r="N9" s="128" t="e">
        <f ca="1">M9-L9</f>
        <v>#REF!</v>
      </c>
      <c r="O9" s="32"/>
      <c r="P9" s="7" t="s">
        <v>49</v>
      </c>
      <c r="Q9" s="32"/>
      <c r="R9" s="14"/>
      <c r="S9" s="14"/>
      <c r="T9" s="14"/>
      <c r="U9" s="14"/>
      <c r="V9" s="107"/>
    </row>
    <row r="10" spans="1:32" x14ac:dyDescent="0.25">
      <c r="B10" s="166" t="str">
        <f>B9</f>
        <v>M_CG1</v>
      </c>
      <c r="C10" s="177" t="s">
        <v>50</v>
      </c>
      <c r="D10" s="118" t="e">
        <f ca="1">0.001*INDIRECT($B10&amp;"!E8")</f>
        <v>#REF!</v>
      </c>
      <c r="E10" s="32"/>
      <c r="F10" s="166" t="str">
        <f>F9</f>
        <v>M_CG1</v>
      </c>
      <c r="G10" s="177" t="s">
        <v>50</v>
      </c>
      <c r="H10" s="118" t="e">
        <f ca="1">0.001*INDIRECT($B10&amp;"!W8")</f>
        <v>#REF!</v>
      </c>
      <c r="I10" s="14"/>
      <c r="J10" s="33" t="e">
        <f ca="1">H10/D10-1</f>
        <v>#REF!</v>
      </c>
      <c r="L10" s="126" t="e">
        <f ca="1">INDIRECT($B10&amp;"!"&amp;L$3&amp;"8")</f>
        <v>#REF!</v>
      </c>
      <c r="M10" s="127" t="e">
        <f ca="1">INDIRECT($B10&amp;"!"&amp;M$3&amp;"8")</f>
        <v>#REF!</v>
      </c>
      <c r="N10" s="128" t="e">
        <f ca="1">M10-L10</f>
        <v>#REF!</v>
      </c>
      <c r="O10" s="32"/>
      <c r="P10" s="268" t="e">
        <f ca="1">bdrate(L7:L11,D7:D11,M7:M11,H7:H11)</f>
        <v>#VALUE!</v>
      </c>
      <c r="Q10" s="32"/>
      <c r="R10" s="14"/>
      <c r="S10" s="14"/>
      <c r="T10" s="14"/>
      <c r="U10" s="14"/>
      <c r="V10" s="107"/>
    </row>
    <row r="11" spans="1:32" ht="16.5" customHeight="1" thickBot="1" x14ac:dyDescent="0.3">
      <c r="B11" s="120" t="str">
        <f>B10</f>
        <v>M_CG1</v>
      </c>
      <c r="C11" s="178" t="s">
        <v>51</v>
      </c>
      <c r="D11" s="121" t="e">
        <f ca="1">0.001*INDIRECT($B11&amp;"!E9")</f>
        <v>#REF!</v>
      </c>
      <c r="E11" s="32"/>
      <c r="F11" s="120" t="str">
        <f>F10</f>
        <v>M_CG1</v>
      </c>
      <c r="G11" s="178" t="s">
        <v>51</v>
      </c>
      <c r="H11" s="118" t="e">
        <f ca="1">0.001*INDIRECT($B11&amp;"!W9")</f>
        <v>#REF!</v>
      </c>
      <c r="I11" s="14"/>
      <c r="J11" s="33" t="e">
        <f ca="1">H11/D11-1</f>
        <v>#REF!</v>
      </c>
      <c r="L11" s="126" t="e">
        <f ca="1">INDIRECT($B11&amp;"!"&amp;L$3&amp;"9")</f>
        <v>#REF!</v>
      </c>
      <c r="M11" s="127" t="e">
        <f ca="1">INDIRECT($B11&amp;"!"&amp;M$3&amp;"9")</f>
        <v>#REF!</v>
      </c>
      <c r="N11" s="129" t="e">
        <f ca="1">M11-L11</f>
        <v>#REF!</v>
      </c>
      <c r="O11" s="32"/>
      <c r="P11" s="37"/>
      <c r="Q11" s="32"/>
      <c r="R11" s="14"/>
      <c r="S11" s="14"/>
      <c r="T11" s="14"/>
      <c r="U11" s="14"/>
      <c r="V11" s="107"/>
    </row>
    <row r="12" spans="1:32" ht="16.5" customHeight="1" x14ac:dyDescent="0.25">
      <c r="B12" s="122"/>
      <c r="C12" s="153"/>
      <c r="D12" s="123"/>
      <c r="F12" s="122"/>
      <c r="G12" s="153"/>
      <c r="H12" s="123"/>
      <c r="J12" s="130" t="e">
        <f ca="1">MIN(D7:D11,H7:H11)</f>
        <v>#REF!</v>
      </c>
      <c r="L12" s="131"/>
      <c r="M12" s="132"/>
      <c r="N12" s="133"/>
      <c r="O12" s="32"/>
      <c r="P12" s="159"/>
      <c r="Q12" s="32"/>
      <c r="R12" s="14"/>
      <c r="S12" s="14"/>
      <c r="T12" s="14"/>
      <c r="U12" s="14"/>
      <c r="V12" s="110"/>
    </row>
    <row r="13" spans="1:32" ht="16.5" customHeight="1" thickBot="1" x14ac:dyDescent="0.3">
      <c r="B13" s="120"/>
      <c r="C13" s="124"/>
      <c r="D13" s="121"/>
      <c r="E13" s="119"/>
      <c r="F13" s="120"/>
      <c r="G13" s="124"/>
      <c r="H13" s="121"/>
      <c r="I13" s="114"/>
      <c r="J13" s="134" t="e">
        <f ca="1">MAX(D7:D11,H7:H11)</f>
        <v>#REF!</v>
      </c>
      <c r="K13" s="155"/>
      <c r="L13" s="135">
        <f>L12</f>
        <v>0</v>
      </c>
      <c r="M13" s="136">
        <f>M12</f>
        <v>0</v>
      </c>
      <c r="N13" s="129"/>
      <c r="O13" s="155"/>
      <c r="P13" s="10"/>
      <c r="Q13" s="32"/>
      <c r="R13" s="14"/>
      <c r="S13" s="14"/>
      <c r="T13" s="14"/>
      <c r="U13" s="14"/>
      <c r="V13" s="110"/>
    </row>
    <row r="14" spans="1:32" ht="16.5" customHeight="1" thickBot="1" x14ac:dyDescent="0.3"/>
    <row r="15" spans="1:32" x14ac:dyDescent="0.25">
      <c r="B15" s="315" t="s">
        <v>16</v>
      </c>
      <c r="C15" s="316"/>
      <c r="D15" s="317"/>
      <c r="E15" s="6"/>
      <c r="F15" s="315" t="str">
        <f>B15</f>
        <v>M_CG2</v>
      </c>
      <c r="G15" s="316"/>
      <c r="H15" s="317"/>
      <c r="I15" s="6"/>
      <c r="J15" s="159"/>
      <c r="L15" s="318" t="str">
        <f>F15</f>
        <v>M_CG2</v>
      </c>
      <c r="M15" s="319"/>
      <c r="N15" s="320"/>
      <c r="O15" s="297"/>
      <c r="P15" s="159"/>
      <c r="Q15" s="297"/>
      <c r="R15" s="297"/>
      <c r="S15" s="297"/>
      <c r="T15" s="297"/>
      <c r="U15" s="155"/>
      <c r="V15" s="155"/>
      <c r="X15" s="313"/>
      <c r="Y15" s="301"/>
      <c r="Z15" s="301"/>
    </row>
    <row r="16" spans="1:32" x14ac:dyDescent="0.25">
      <c r="B16" s="321" t="s">
        <v>39</v>
      </c>
      <c r="C16" s="322"/>
      <c r="D16" s="116" t="s">
        <v>40</v>
      </c>
      <c r="E16" s="32"/>
      <c r="F16" s="321" t="s">
        <v>39</v>
      </c>
      <c r="G16" s="322"/>
      <c r="H16" s="116" t="s">
        <v>40</v>
      </c>
      <c r="I16" s="14"/>
      <c r="J16" s="160" t="s">
        <v>41</v>
      </c>
      <c r="L16" s="323" t="s">
        <v>54</v>
      </c>
      <c r="M16" s="313"/>
      <c r="N16" s="324"/>
      <c r="O16" s="112"/>
      <c r="P16" s="7"/>
      <c r="Q16" s="112"/>
      <c r="R16" s="314"/>
      <c r="S16" s="314"/>
      <c r="T16" s="314"/>
      <c r="U16" s="156"/>
      <c r="V16" s="156"/>
      <c r="X16" s="314"/>
      <c r="Y16" s="301"/>
      <c r="Z16" s="301"/>
    </row>
    <row r="17" spans="2:28" x14ac:dyDescent="0.25">
      <c r="B17" s="293" t="s">
        <v>2</v>
      </c>
      <c r="C17" s="177" t="s">
        <v>43</v>
      </c>
      <c r="D17" s="115" t="s">
        <v>44</v>
      </c>
      <c r="E17" s="32"/>
      <c r="F17" s="293" t="s">
        <v>2</v>
      </c>
      <c r="G17" s="177" t="s">
        <v>43</v>
      </c>
      <c r="H17" s="115" t="s">
        <v>44</v>
      </c>
      <c r="I17" s="14"/>
      <c r="J17" s="125"/>
      <c r="L17" s="294" t="str">
        <f>CONCATENATE(B$2," ",L15)</f>
        <v>Anchor M_CG2</v>
      </c>
      <c r="M17" s="295" t="str">
        <f>CONCATENATE(F$2," ",L15)</f>
        <v>Proposal M_CG2</v>
      </c>
      <c r="N17" s="296" t="s">
        <v>45</v>
      </c>
      <c r="O17" s="6"/>
      <c r="P17" s="7" t="s">
        <v>36</v>
      </c>
      <c r="Q17" s="6"/>
      <c r="R17" s="6"/>
      <c r="S17" s="6"/>
      <c r="T17" s="6"/>
      <c r="U17" s="6"/>
      <c r="V17" s="6"/>
      <c r="X17" s="297"/>
      <c r="Y17" s="297"/>
      <c r="Z17" s="297"/>
    </row>
    <row r="18" spans="2:28" x14ac:dyDescent="0.25">
      <c r="B18" s="166" t="str">
        <f>B15</f>
        <v>M_CG2</v>
      </c>
      <c r="C18" s="177" t="s">
        <v>46</v>
      </c>
      <c r="D18" s="118" t="e">
        <f ca="1">0.001*INDIRECT($B18&amp;"!E5")</f>
        <v>#REF!</v>
      </c>
      <c r="E18" s="32"/>
      <c r="F18" s="166" t="str">
        <f>F15</f>
        <v>M_CG2</v>
      </c>
      <c r="G18" s="177" t="s">
        <v>46</v>
      </c>
      <c r="H18" s="118" t="e">
        <f ca="1">0.001*INDIRECT($B18&amp;"!W5")</f>
        <v>#REF!</v>
      </c>
      <c r="I18" s="14"/>
      <c r="J18" s="33" t="e">
        <f ca="1">H18/D18-1</f>
        <v>#REF!</v>
      </c>
      <c r="L18" s="126" t="e">
        <f ca="1">INDIRECT($B18&amp;"!"&amp;L$3&amp;"5")</f>
        <v>#REF!</v>
      </c>
      <c r="M18" s="127" t="e">
        <f ca="1">INDIRECT($B18&amp;"!"&amp;M$3&amp;"5")</f>
        <v>#REF!</v>
      </c>
      <c r="N18" s="128" t="e">
        <f ca="1">M18-L18</f>
        <v>#REF!</v>
      </c>
      <c r="O18" s="32"/>
      <c r="P18" s="33" t="e">
        <f ca="1">bdrate(D18:D22,L18:L22,H18:H22,M18:M22)</f>
        <v>#VALUE!</v>
      </c>
      <c r="Q18" s="32"/>
      <c r="R18" s="14"/>
      <c r="S18" s="14"/>
      <c r="T18" s="14"/>
      <c r="U18" s="14"/>
      <c r="V18" s="107"/>
      <c r="X18" s="11"/>
      <c r="Y18" s="11"/>
      <c r="Z18" s="108"/>
      <c r="AB18" s="109"/>
    </row>
    <row r="19" spans="2:28" x14ac:dyDescent="0.25">
      <c r="B19" s="166" t="str">
        <f>B18</f>
        <v>M_CG2</v>
      </c>
      <c r="C19" s="177" t="s">
        <v>47</v>
      </c>
      <c r="D19" s="118" t="e">
        <f ca="1">0.001*INDIRECT($B19&amp;"!E6")</f>
        <v>#REF!</v>
      </c>
      <c r="E19" s="32"/>
      <c r="F19" s="166" t="str">
        <f>F18</f>
        <v>M_CG2</v>
      </c>
      <c r="G19" s="177" t="s">
        <v>47</v>
      </c>
      <c r="H19" s="118" t="e">
        <f ca="1">0.001*INDIRECT($B19&amp;"!W6")</f>
        <v>#REF!</v>
      </c>
      <c r="I19" s="14"/>
      <c r="J19" s="33" t="e">
        <f ca="1">H19/D19-1</f>
        <v>#REF!</v>
      </c>
      <c r="L19" s="126" t="e">
        <f ca="1">INDIRECT($B19&amp;"!"&amp;L$3&amp;"6")</f>
        <v>#REF!</v>
      </c>
      <c r="M19" s="127" t="e">
        <f ca="1">INDIRECT($B19&amp;"!"&amp;M$3&amp;"6")</f>
        <v>#REF!</v>
      </c>
      <c r="N19" s="128" t="e">
        <f ca="1">M19-L19</f>
        <v>#REF!</v>
      </c>
      <c r="O19" s="32"/>
      <c r="P19" s="7"/>
      <c r="Q19" s="32"/>
      <c r="R19" s="14"/>
      <c r="S19" s="14"/>
      <c r="T19" s="14"/>
      <c r="U19" s="14"/>
      <c r="V19" s="107"/>
      <c r="X19" s="11"/>
      <c r="Y19" s="11"/>
      <c r="Z19" s="108"/>
    </row>
    <row r="20" spans="2:28" x14ac:dyDescent="0.25">
      <c r="B20" s="166" t="str">
        <f>B19</f>
        <v>M_CG2</v>
      </c>
      <c r="C20" s="177" t="s">
        <v>48</v>
      </c>
      <c r="D20" s="118" t="e">
        <f ca="1">0.001*INDIRECT($B20&amp;"!E7")</f>
        <v>#REF!</v>
      </c>
      <c r="E20" s="32"/>
      <c r="F20" s="166" t="str">
        <f>F19</f>
        <v>M_CG2</v>
      </c>
      <c r="G20" s="177" t="s">
        <v>48</v>
      </c>
      <c r="H20" s="118" t="e">
        <f ca="1">0.001*INDIRECT($B20&amp;"!W7")</f>
        <v>#REF!</v>
      </c>
      <c r="I20" s="14"/>
      <c r="J20" s="33" t="e">
        <f ca="1">H20/D20-1</f>
        <v>#REF!</v>
      </c>
      <c r="L20" s="126" t="e">
        <f ca="1">INDIRECT($B20&amp;"!"&amp;L$3&amp;"7")</f>
        <v>#REF!</v>
      </c>
      <c r="M20" s="127" t="e">
        <f ca="1">INDIRECT($B20&amp;"!"&amp;M$3&amp;"7")</f>
        <v>#REF!</v>
      </c>
      <c r="N20" s="128" t="e">
        <f ca="1">M20-L20</f>
        <v>#REF!</v>
      </c>
      <c r="O20" s="32"/>
      <c r="P20" s="7" t="s">
        <v>49</v>
      </c>
      <c r="Q20" s="32"/>
      <c r="R20" s="14"/>
      <c r="S20" s="14"/>
      <c r="T20" s="14"/>
      <c r="U20" s="14"/>
      <c r="V20" s="107"/>
      <c r="X20" s="11"/>
      <c r="Y20" s="11"/>
      <c r="Z20" s="108"/>
    </row>
    <row r="21" spans="2:28" x14ac:dyDescent="0.25">
      <c r="B21" s="166" t="str">
        <f>B20</f>
        <v>M_CG2</v>
      </c>
      <c r="C21" s="177" t="s">
        <v>50</v>
      </c>
      <c r="D21" s="118" t="e">
        <f ca="1">0.001*INDIRECT($B21&amp;"!E8")</f>
        <v>#REF!</v>
      </c>
      <c r="E21" s="32"/>
      <c r="F21" s="166" t="str">
        <f>F20</f>
        <v>M_CG2</v>
      </c>
      <c r="G21" s="177" t="s">
        <v>50</v>
      </c>
      <c r="H21" s="118" t="e">
        <f ca="1">0.001*INDIRECT($B21&amp;"!W8")</f>
        <v>#REF!</v>
      </c>
      <c r="I21" s="14"/>
      <c r="J21" s="33" t="e">
        <f ca="1">H21/D21-1</f>
        <v>#REF!</v>
      </c>
      <c r="L21" s="126" t="e">
        <f ca="1">INDIRECT($B21&amp;"!"&amp;L$3&amp;"8")</f>
        <v>#REF!</v>
      </c>
      <c r="M21" s="127" t="e">
        <f ca="1">INDIRECT($B21&amp;"!"&amp;M$3&amp;"8")</f>
        <v>#REF!</v>
      </c>
      <c r="N21" s="128" t="e">
        <f ca="1">M21-L21</f>
        <v>#REF!</v>
      </c>
      <c r="O21" s="32"/>
      <c r="P21" s="268" t="e">
        <f ca="1">bdrate(L18:L22,D18:D22,M18:M22,H18:H22)</f>
        <v>#VALUE!</v>
      </c>
      <c r="Q21" s="32"/>
      <c r="R21" s="14"/>
      <c r="S21" s="14"/>
      <c r="T21" s="14"/>
      <c r="U21" s="14"/>
      <c r="V21" s="107"/>
      <c r="X21" s="11"/>
      <c r="Y21" s="11"/>
      <c r="Z21" s="108"/>
    </row>
    <row r="22" spans="2:28" ht="16.5" customHeight="1" thickBot="1" x14ac:dyDescent="0.3">
      <c r="B22" s="120" t="str">
        <f>B21</f>
        <v>M_CG2</v>
      </c>
      <c r="C22" s="178" t="s">
        <v>51</v>
      </c>
      <c r="D22" s="121" t="e">
        <f ca="1">0.001*INDIRECT($B22&amp;"!E9")</f>
        <v>#REF!</v>
      </c>
      <c r="E22" s="32"/>
      <c r="F22" s="120" t="str">
        <f>F21</f>
        <v>M_CG2</v>
      </c>
      <c r="G22" s="178" t="s">
        <v>51</v>
      </c>
      <c r="H22" s="118" t="e">
        <f ca="1">0.001*INDIRECT($B22&amp;"!W9")</f>
        <v>#REF!</v>
      </c>
      <c r="I22" s="14"/>
      <c r="J22" s="33" t="e">
        <f ca="1">H22/D22-1</f>
        <v>#REF!</v>
      </c>
      <c r="L22" s="126" t="e">
        <f ca="1">INDIRECT($B22&amp;"!"&amp;L$3&amp;"9")</f>
        <v>#REF!</v>
      </c>
      <c r="M22" s="127" t="e">
        <f ca="1">INDIRECT($B22&amp;"!"&amp;M$3&amp;"9")</f>
        <v>#REF!</v>
      </c>
      <c r="N22" s="129" t="e">
        <f ca="1">M22-L22</f>
        <v>#REF!</v>
      </c>
      <c r="O22" s="32"/>
      <c r="P22" s="37"/>
      <c r="Q22" s="32"/>
      <c r="R22" s="14"/>
      <c r="S22" s="14"/>
      <c r="T22" s="14"/>
      <c r="U22" s="14"/>
      <c r="V22" s="107"/>
      <c r="X22" s="11"/>
      <c r="Y22" s="11"/>
      <c r="Z22" s="108"/>
      <c r="AB22" s="109"/>
    </row>
    <row r="23" spans="2:28" ht="16.5" customHeight="1" x14ac:dyDescent="0.25">
      <c r="B23" s="122"/>
      <c r="C23" s="153"/>
      <c r="D23" s="123"/>
      <c r="F23" s="122"/>
      <c r="G23" s="153"/>
      <c r="H23" s="123"/>
      <c r="J23" s="130" t="e">
        <f ca="1">MIN(D18:D22,H18:H22)</f>
        <v>#REF!</v>
      </c>
      <c r="L23" s="131"/>
      <c r="M23" s="132"/>
      <c r="N23" s="133"/>
      <c r="O23" s="32"/>
      <c r="P23" s="159"/>
      <c r="Q23" s="32"/>
      <c r="R23" s="14"/>
      <c r="S23" s="14"/>
      <c r="T23" s="14"/>
      <c r="U23" s="14"/>
      <c r="V23" s="110"/>
      <c r="X23" s="11"/>
      <c r="Y23" s="11"/>
      <c r="Z23" s="108"/>
    </row>
    <row r="24" spans="2:28" ht="16.5" customHeight="1" thickBot="1" x14ac:dyDescent="0.3">
      <c r="B24" s="120"/>
      <c r="C24" s="124"/>
      <c r="D24" s="121"/>
      <c r="E24" s="32"/>
      <c r="F24" s="120"/>
      <c r="G24" s="124"/>
      <c r="H24" s="121"/>
      <c r="I24" s="14"/>
      <c r="J24" s="134" t="e">
        <f ca="1">MAX(D18:D22,H18:H22)</f>
        <v>#REF!</v>
      </c>
      <c r="L24" s="135">
        <f>L23</f>
        <v>0</v>
      </c>
      <c r="M24" s="136">
        <f>M23</f>
        <v>0</v>
      </c>
      <c r="N24" s="129"/>
      <c r="O24" s="32"/>
      <c r="P24" s="10"/>
      <c r="Q24" s="32"/>
      <c r="R24" s="14"/>
      <c r="S24" s="14"/>
      <c r="T24" s="14"/>
      <c r="U24" s="14"/>
      <c r="V24" s="110"/>
      <c r="X24" s="111"/>
      <c r="Y24" s="111"/>
      <c r="Z24" s="108"/>
    </row>
    <row r="25" spans="2:28" ht="16.5" customHeight="1" thickBot="1" x14ac:dyDescent="0.3"/>
    <row r="26" spans="2:28" x14ac:dyDescent="0.25">
      <c r="B26" s="315" t="s">
        <v>18</v>
      </c>
      <c r="C26" s="316"/>
      <c r="D26" s="317"/>
      <c r="E26" s="6"/>
      <c r="F26" s="315" t="str">
        <f>B26</f>
        <v>M_NC1</v>
      </c>
      <c r="G26" s="316"/>
      <c r="H26" s="317"/>
      <c r="I26" s="6"/>
      <c r="J26" s="159"/>
      <c r="L26" s="318" t="str">
        <f>F26</f>
        <v>M_NC1</v>
      </c>
      <c r="M26" s="319"/>
      <c r="N26" s="320"/>
      <c r="O26" s="297"/>
      <c r="P26" s="159"/>
      <c r="U26" s="155"/>
      <c r="V26" s="155"/>
      <c r="X26" s="313"/>
      <c r="Y26" s="301"/>
      <c r="Z26" s="301"/>
    </row>
    <row r="27" spans="2:28" x14ac:dyDescent="0.25">
      <c r="B27" s="321" t="s">
        <v>39</v>
      </c>
      <c r="C27" s="322"/>
      <c r="D27" s="116" t="s">
        <v>40</v>
      </c>
      <c r="E27" s="32"/>
      <c r="F27" s="321" t="s">
        <v>39</v>
      </c>
      <c r="G27" s="322"/>
      <c r="H27" s="116" t="s">
        <v>40</v>
      </c>
      <c r="I27" s="14"/>
      <c r="J27" s="160" t="s">
        <v>41</v>
      </c>
      <c r="L27" s="323" t="s">
        <v>54</v>
      </c>
      <c r="M27" s="313"/>
      <c r="N27" s="324"/>
      <c r="O27" s="112"/>
      <c r="P27" s="7"/>
      <c r="R27" s="314"/>
      <c r="S27" s="301"/>
      <c r="T27" s="301"/>
      <c r="U27" s="156"/>
      <c r="V27" s="156"/>
      <c r="X27" s="314"/>
      <c r="Y27" s="301"/>
      <c r="Z27" s="301"/>
    </row>
    <row r="28" spans="2:28" x14ac:dyDescent="0.25">
      <c r="B28" s="293" t="s">
        <v>2</v>
      </c>
      <c r="C28" s="177" t="s">
        <v>43</v>
      </c>
      <c r="D28" s="115" t="s">
        <v>44</v>
      </c>
      <c r="E28" s="32"/>
      <c r="F28" s="293" t="s">
        <v>2</v>
      </c>
      <c r="G28" s="177" t="s">
        <v>43</v>
      </c>
      <c r="H28" s="115" t="s">
        <v>44</v>
      </c>
      <c r="I28" s="14"/>
      <c r="J28" s="125"/>
      <c r="L28" s="294" t="str">
        <f>CONCATENATE(B$2," ",L26)</f>
        <v>Anchor M_NC1</v>
      </c>
      <c r="M28" s="295" t="str">
        <f>CONCATENATE(F$2," ",L26)</f>
        <v>Proposal M_NC1</v>
      </c>
      <c r="N28" s="296" t="s">
        <v>45</v>
      </c>
      <c r="O28" s="6"/>
      <c r="P28" s="7" t="s">
        <v>36</v>
      </c>
      <c r="Q28" s="6"/>
      <c r="R28" s="6"/>
      <c r="S28" s="6"/>
      <c r="T28" s="6"/>
      <c r="U28" s="6"/>
      <c r="V28" s="6"/>
      <c r="X28" s="297"/>
      <c r="Y28" s="297"/>
      <c r="Z28" s="297"/>
    </row>
    <row r="29" spans="2:28" x14ac:dyDescent="0.25">
      <c r="B29" s="166" t="str">
        <f>B26</f>
        <v>M_NC1</v>
      </c>
      <c r="C29" s="177" t="s">
        <v>46</v>
      </c>
      <c r="D29" s="118" t="e">
        <f ca="1">0.001*INDIRECT($B29&amp;"!E5")</f>
        <v>#REF!</v>
      </c>
      <c r="E29" s="32"/>
      <c r="F29" s="166" t="str">
        <f>F26</f>
        <v>M_NC1</v>
      </c>
      <c r="G29" s="177" t="s">
        <v>46</v>
      </c>
      <c r="H29" s="118" t="e">
        <f ca="1">0.001*INDIRECT($B29&amp;"!W5")</f>
        <v>#REF!</v>
      </c>
      <c r="I29" s="14"/>
      <c r="J29" s="33" t="e">
        <f ca="1">H29/D29-1</f>
        <v>#REF!</v>
      </c>
      <c r="L29" s="126" t="e">
        <f ca="1">INDIRECT($B29&amp;"!"&amp;L$3&amp;"5")</f>
        <v>#REF!</v>
      </c>
      <c r="M29" s="127" t="e">
        <f ca="1">INDIRECT($B29&amp;"!"&amp;M$3&amp;"5")</f>
        <v>#REF!</v>
      </c>
      <c r="N29" s="128" t="e">
        <f ca="1">M29-L29</f>
        <v>#REF!</v>
      </c>
      <c r="O29" s="32"/>
      <c r="P29" s="33" t="e">
        <f ca="1">bdrate(D29:D33,L29:L33,H29:H33,M29:M33)</f>
        <v>#VALUE!</v>
      </c>
      <c r="Q29" s="32"/>
      <c r="R29" s="14"/>
      <c r="S29" s="14"/>
      <c r="T29" s="14"/>
      <c r="U29" s="14"/>
      <c r="V29" s="107"/>
      <c r="X29" s="11"/>
      <c r="Y29" s="11"/>
      <c r="Z29" s="108"/>
      <c r="AB29" s="109"/>
    </row>
    <row r="30" spans="2:28" x14ac:dyDescent="0.25">
      <c r="B30" s="166" t="str">
        <f>B29</f>
        <v>M_NC1</v>
      </c>
      <c r="C30" s="177" t="s">
        <v>47</v>
      </c>
      <c r="D30" s="118" t="e">
        <f ca="1">0.001*INDIRECT($B30&amp;"!E6")</f>
        <v>#REF!</v>
      </c>
      <c r="E30" s="32"/>
      <c r="F30" s="166" t="str">
        <f>F29</f>
        <v>M_NC1</v>
      </c>
      <c r="G30" s="177" t="s">
        <v>47</v>
      </c>
      <c r="H30" s="118" t="e">
        <f ca="1">0.001*INDIRECT($B30&amp;"!W6")</f>
        <v>#REF!</v>
      </c>
      <c r="I30" s="14"/>
      <c r="J30" s="33" t="e">
        <f ca="1">H30/D30-1</f>
        <v>#REF!</v>
      </c>
      <c r="L30" s="126" t="e">
        <f ca="1">INDIRECT($B30&amp;"!"&amp;L$3&amp;"6")</f>
        <v>#REF!</v>
      </c>
      <c r="M30" s="127" t="e">
        <f ca="1">INDIRECT($B30&amp;"!"&amp;M$3&amp;"6")</f>
        <v>#REF!</v>
      </c>
      <c r="N30" s="128" t="e">
        <f ca="1">M30-L30</f>
        <v>#REF!</v>
      </c>
      <c r="O30" s="32"/>
      <c r="P30" s="7"/>
      <c r="Q30" s="32"/>
      <c r="R30" s="14"/>
      <c r="S30" s="14"/>
      <c r="T30" s="14"/>
      <c r="U30" s="14"/>
      <c r="V30" s="107"/>
      <c r="X30" s="11"/>
      <c r="Y30" s="11"/>
      <c r="Z30" s="108"/>
    </row>
    <row r="31" spans="2:28" x14ac:dyDescent="0.25">
      <c r="B31" s="166" t="str">
        <f>B30</f>
        <v>M_NC1</v>
      </c>
      <c r="C31" s="177" t="s">
        <v>48</v>
      </c>
      <c r="D31" s="118" t="e">
        <f ca="1">0.001*INDIRECT($B31&amp;"!E7")</f>
        <v>#REF!</v>
      </c>
      <c r="E31" s="32"/>
      <c r="F31" s="166" t="str">
        <f>F30</f>
        <v>M_NC1</v>
      </c>
      <c r="G31" s="177" t="s">
        <v>48</v>
      </c>
      <c r="H31" s="118" t="e">
        <f ca="1">0.001*INDIRECT($B31&amp;"!W7")</f>
        <v>#REF!</v>
      </c>
      <c r="I31" s="14"/>
      <c r="J31" s="33" t="e">
        <f ca="1">H31/D31-1</f>
        <v>#REF!</v>
      </c>
      <c r="L31" s="126" t="e">
        <f ca="1">INDIRECT($B31&amp;"!"&amp;L$3&amp;"7")</f>
        <v>#REF!</v>
      </c>
      <c r="M31" s="127" t="e">
        <f ca="1">INDIRECT($B31&amp;"!"&amp;M$3&amp;"7")</f>
        <v>#REF!</v>
      </c>
      <c r="N31" s="128" t="e">
        <f ca="1">M31-L31</f>
        <v>#REF!</v>
      </c>
      <c r="O31" s="32"/>
      <c r="P31" s="7" t="s">
        <v>49</v>
      </c>
      <c r="Q31" s="32"/>
      <c r="R31" s="14"/>
      <c r="S31" s="14"/>
      <c r="T31" s="14"/>
      <c r="U31" s="14"/>
      <c r="V31" s="107"/>
      <c r="X31" s="11"/>
      <c r="Y31" s="11"/>
      <c r="Z31" s="108"/>
    </row>
    <row r="32" spans="2:28" x14ac:dyDescent="0.25">
      <c r="B32" s="166" t="str">
        <f>B31</f>
        <v>M_NC1</v>
      </c>
      <c r="C32" s="177" t="s">
        <v>50</v>
      </c>
      <c r="D32" s="118" t="e">
        <f ca="1">0.001*INDIRECT($B32&amp;"!E8")</f>
        <v>#REF!</v>
      </c>
      <c r="E32" s="32"/>
      <c r="F32" s="166" t="str">
        <f>F31</f>
        <v>M_NC1</v>
      </c>
      <c r="G32" s="177" t="s">
        <v>50</v>
      </c>
      <c r="H32" s="118" t="e">
        <f ca="1">0.001*INDIRECT($B32&amp;"!W8")</f>
        <v>#REF!</v>
      </c>
      <c r="I32" s="14"/>
      <c r="J32" s="33" t="e">
        <f ca="1">H32/D32-1</f>
        <v>#REF!</v>
      </c>
      <c r="L32" s="126" t="e">
        <f ca="1">INDIRECT($B32&amp;"!"&amp;L$3&amp;"8")</f>
        <v>#REF!</v>
      </c>
      <c r="M32" s="127" t="e">
        <f ca="1">INDIRECT($B32&amp;"!"&amp;M$3&amp;"8")</f>
        <v>#REF!</v>
      </c>
      <c r="N32" s="128" t="e">
        <f ca="1">M32-L32</f>
        <v>#REF!</v>
      </c>
      <c r="O32" s="32"/>
      <c r="P32" s="268" t="e">
        <f ca="1">bdrate(L29:L33,D29:D33,M29:M33,H29:H33)</f>
        <v>#VALUE!</v>
      </c>
      <c r="Q32" s="32"/>
      <c r="R32" s="14"/>
      <c r="S32" s="14"/>
      <c r="T32" s="14"/>
      <c r="U32" s="14"/>
      <c r="V32" s="107"/>
      <c r="X32" s="11"/>
      <c r="Y32" s="11"/>
      <c r="Z32" s="108"/>
    </row>
    <row r="33" spans="2:28" ht="16.5" customHeight="1" thickBot="1" x14ac:dyDescent="0.3">
      <c r="B33" s="120" t="str">
        <f>B32</f>
        <v>M_NC1</v>
      </c>
      <c r="C33" s="178" t="s">
        <v>51</v>
      </c>
      <c r="D33" s="121" t="e">
        <f ca="1">0.001*INDIRECT($B33&amp;"!E9")</f>
        <v>#REF!</v>
      </c>
      <c r="E33" s="32"/>
      <c r="F33" s="120" t="str">
        <f>F32</f>
        <v>M_NC1</v>
      </c>
      <c r="G33" s="178" t="s">
        <v>51</v>
      </c>
      <c r="H33" s="118" t="e">
        <f ca="1">0.001*INDIRECT($B33&amp;"!W9")</f>
        <v>#REF!</v>
      </c>
      <c r="I33" s="14"/>
      <c r="J33" s="33" t="e">
        <f ca="1">H33/D33-1</f>
        <v>#REF!</v>
      </c>
      <c r="L33" s="126" t="e">
        <f ca="1">INDIRECT($B33&amp;"!"&amp;L$3&amp;"9")</f>
        <v>#REF!</v>
      </c>
      <c r="M33" s="127" t="e">
        <f ca="1">INDIRECT($B33&amp;"!"&amp;M$3&amp;"9")</f>
        <v>#REF!</v>
      </c>
      <c r="N33" s="129" t="e">
        <f ca="1">M33-L33</f>
        <v>#REF!</v>
      </c>
      <c r="O33" s="32"/>
      <c r="P33" s="37"/>
      <c r="Q33" s="32"/>
      <c r="R33" s="14"/>
      <c r="S33" s="14"/>
      <c r="T33" s="14"/>
      <c r="U33" s="14"/>
      <c r="V33" s="107"/>
      <c r="X33" s="11"/>
      <c r="Y33" s="11"/>
      <c r="Z33" s="108"/>
      <c r="AB33" s="109"/>
    </row>
    <row r="34" spans="2:28" ht="16.5" customHeight="1" x14ac:dyDescent="0.25">
      <c r="B34" s="122"/>
      <c r="C34" s="153"/>
      <c r="D34" s="123"/>
      <c r="F34" s="122"/>
      <c r="G34" s="153"/>
      <c r="H34" s="123"/>
      <c r="J34" s="130" t="e">
        <f ca="1">MIN(D29:D33,H29:H33)</f>
        <v>#REF!</v>
      </c>
      <c r="L34" s="131"/>
      <c r="M34" s="132"/>
      <c r="N34" s="133"/>
      <c r="O34" s="32"/>
      <c r="P34" s="159"/>
      <c r="Q34" s="32"/>
      <c r="R34" s="14"/>
      <c r="S34" s="14"/>
      <c r="T34" s="14"/>
      <c r="U34" s="14"/>
      <c r="V34" s="110"/>
      <c r="X34" s="11"/>
      <c r="Y34" s="11"/>
      <c r="Z34" s="108"/>
    </row>
    <row r="35" spans="2:28" ht="16.5" customHeight="1" thickBot="1" x14ac:dyDescent="0.3">
      <c r="B35" s="120"/>
      <c r="C35" s="124"/>
      <c r="D35" s="121"/>
      <c r="E35" s="32"/>
      <c r="F35" s="120"/>
      <c r="G35" s="124"/>
      <c r="H35" s="121"/>
      <c r="I35" s="14"/>
      <c r="J35" s="134" t="e">
        <f ca="1">MAX(D29:D33,H29:H33)</f>
        <v>#REF!</v>
      </c>
      <c r="L35" s="135">
        <f>L34</f>
        <v>0</v>
      </c>
      <c r="M35" s="136">
        <f>M34</f>
        <v>0</v>
      </c>
      <c r="N35" s="129"/>
      <c r="O35" s="32"/>
      <c r="P35" s="10"/>
      <c r="Q35" s="32"/>
      <c r="R35" s="14"/>
      <c r="S35" s="14"/>
      <c r="T35" s="14"/>
      <c r="U35" s="14"/>
      <c r="V35" s="110"/>
      <c r="X35" s="111"/>
      <c r="Y35" s="111"/>
      <c r="Z35" s="108"/>
    </row>
    <row r="36" spans="2:28" ht="16.5" customHeight="1" thickBot="1" x14ac:dyDescent="0.3"/>
    <row r="37" spans="2:28" x14ac:dyDescent="0.25">
      <c r="B37" s="315" t="s">
        <v>20</v>
      </c>
      <c r="C37" s="316"/>
      <c r="D37" s="317"/>
      <c r="E37" s="6"/>
      <c r="F37" s="315" t="str">
        <f>B37</f>
        <v>M_NC2</v>
      </c>
      <c r="G37" s="316"/>
      <c r="H37" s="317"/>
      <c r="I37" s="6"/>
      <c r="J37" s="159"/>
      <c r="L37" s="318" t="str">
        <f>F37</f>
        <v>M_NC2</v>
      </c>
      <c r="M37" s="319"/>
      <c r="N37" s="320"/>
      <c r="O37" s="297"/>
      <c r="P37" s="159"/>
      <c r="U37" s="155"/>
      <c r="V37" s="155"/>
      <c r="X37" s="313"/>
      <c r="Y37" s="301"/>
      <c r="Z37" s="301"/>
    </row>
    <row r="38" spans="2:28" x14ac:dyDescent="0.25">
      <c r="B38" s="321" t="s">
        <v>39</v>
      </c>
      <c r="C38" s="322"/>
      <c r="D38" s="116" t="s">
        <v>40</v>
      </c>
      <c r="E38" s="32"/>
      <c r="F38" s="321" t="s">
        <v>39</v>
      </c>
      <c r="G38" s="322"/>
      <c r="H38" s="116" t="s">
        <v>40</v>
      </c>
      <c r="I38" s="14"/>
      <c r="J38" s="160" t="s">
        <v>41</v>
      </c>
      <c r="L38" s="323" t="s">
        <v>54</v>
      </c>
      <c r="M38" s="313"/>
      <c r="N38" s="324"/>
      <c r="O38" s="112"/>
      <c r="P38" s="7"/>
      <c r="R38" s="314"/>
      <c r="S38" s="301"/>
      <c r="T38" s="301"/>
      <c r="U38" s="156"/>
      <c r="V38" s="156"/>
      <c r="X38" s="314"/>
      <c r="Y38" s="301"/>
      <c r="Z38" s="301"/>
    </row>
    <row r="39" spans="2:28" x14ac:dyDescent="0.25">
      <c r="B39" s="293" t="s">
        <v>2</v>
      </c>
      <c r="C39" s="177" t="s">
        <v>43</v>
      </c>
      <c r="D39" s="115" t="s">
        <v>44</v>
      </c>
      <c r="E39" s="32"/>
      <c r="F39" s="293" t="s">
        <v>2</v>
      </c>
      <c r="G39" s="177" t="s">
        <v>43</v>
      </c>
      <c r="H39" s="115" t="s">
        <v>44</v>
      </c>
      <c r="I39" s="14"/>
      <c r="J39" s="125"/>
      <c r="L39" s="294" t="str">
        <f>CONCATENATE(B$2," ",L37)</f>
        <v>Anchor M_NC2</v>
      </c>
      <c r="M39" s="295" t="str">
        <f>CONCATENATE(F$2," ",L37)</f>
        <v>Proposal M_NC2</v>
      </c>
      <c r="N39" s="296" t="s">
        <v>45</v>
      </c>
      <c r="O39" s="6"/>
      <c r="P39" s="7" t="s">
        <v>36</v>
      </c>
      <c r="Q39" s="6"/>
      <c r="R39" s="6"/>
      <c r="S39" s="6"/>
      <c r="T39" s="6"/>
      <c r="U39" s="6"/>
      <c r="V39" s="6"/>
      <c r="X39" s="297"/>
      <c r="Y39" s="297"/>
      <c r="Z39" s="297"/>
    </row>
    <row r="40" spans="2:28" x14ac:dyDescent="0.25">
      <c r="B40" s="166" t="str">
        <f>B37</f>
        <v>M_NC2</v>
      </c>
      <c r="C40" s="177" t="s">
        <v>46</v>
      </c>
      <c r="D40" s="118">
        <f ca="1">0.001*INDIRECT($B40&amp;"!E5")</f>
        <v>0</v>
      </c>
      <c r="E40" s="32"/>
      <c r="F40" s="166" t="str">
        <f>F37</f>
        <v>M_NC2</v>
      </c>
      <c r="G40" s="177" t="s">
        <v>46</v>
      </c>
      <c r="H40" s="118">
        <f ca="1">0.001*INDIRECT($B40&amp;"!W5")</f>
        <v>0</v>
      </c>
      <c r="I40" s="14"/>
      <c r="J40" s="33" t="e">
        <f ca="1">H40/D40-1</f>
        <v>#DIV/0!</v>
      </c>
      <c r="L40" s="126" t="e">
        <f ca="1">INDIRECT($B40&amp;"!"&amp;L$3&amp;"5")</f>
        <v>#DIV/0!</v>
      </c>
      <c r="M40" s="127" t="e">
        <f ca="1">INDIRECT($B40&amp;"!"&amp;M$3&amp;"5")</f>
        <v>#DIV/0!</v>
      </c>
      <c r="N40" s="128" t="e">
        <f ca="1">M40-L40</f>
        <v>#DIV/0!</v>
      </c>
      <c r="O40" s="32"/>
      <c r="P40" s="33" t="e">
        <f ca="1">bdrate(D40:D44,L40:L44,H40:H44,M40:M44)</f>
        <v>#VALUE!</v>
      </c>
      <c r="Q40" s="32"/>
      <c r="R40" s="14"/>
      <c r="S40" s="14"/>
      <c r="T40" s="14"/>
      <c r="U40" s="14"/>
      <c r="V40" s="107"/>
      <c r="X40" s="11"/>
      <c r="Y40" s="11"/>
      <c r="Z40" s="108"/>
      <c r="AB40" s="109"/>
    </row>
    <row r="41" spans="2:28" x14ac:dyDescent="0.25">
      <c r="B41" s="166" t="str">
        <f>B40</f>
        <v>M_NC2</v>
      </c>
      <c r="C41" s="177" t="s">
        <v>47</v>
      </c>
      <c r="D41" s="118">
        <f ca="1">0.001*INDIRECT($B41&amp;"!E6")</f>
        <v>0</v>
      </c>
      <c r="E41" s="32"/>
      <c r="F41" s="166" t="str">
        <f>F40</f>
        <v>M_NC2</v>
      </c>
      <c r="G41" s="177" t="s">
        <v>47</v>
      </c>
      <c r="H41" s="118">
        <f ca="1">0.001*INDIRECT($B41&amp;"!W6")</f>
        <v>0</v>
      </c>
      <c r="I41" s="14"/>
      <c r="J41" s="33" t="e">
        <f ca="1">H41/D41-1</f>
        <v>#DIV/0!</v>
      </c>
      <c r="L41" s="126" t="e">
        <f ca="1">INDIRECT($B41&amp;"!"&amp;L$3&amp;"6")</f>
        <v>#DIV/0!</v>
      </c>
      <c r="M41" s="127" t="e">
        <f ca="1">INDIRECT($B41&amp;"!"&amp;M$3&amp;"6")</f>
        <v>#DIV/0!</v>
      </c>
      <c r="N41" s="128" t="e">
        <f ca="1">M41-L41</f>
        <v>#DIV/0!</v>
      </c>
      <c r="O41" s="32"/>
      <c r="P41" s="7"/>
      <c r="Q41" s="32"/>
      <c r="R41" s="14"/>
      <c r="S41" s="14"/>
      <c r="T41" s="14"/>
      <c r="U41" s="14"/>
      <c r="V41" s="107"/>
      <c r="X41" s="11"/>
      <c r="Y41" s="11"/>
      <c r="Z41" s="108"/>
    </row>
    <row r="42" spans="2:28" x14ac:dyDescent="0.25">
      <c r="B42" s="166" t="str">
        <f>B41</f>
        <v>M_NC2</v>
      </c>
      <c r="C42" s="177" t="s">
        <v>48</v>
      </c>
      <c r="D42" s="118">
        <f ca="1">0.001*INDIRECT($B42&amp;"!E7")</f>
        <v>0</v>
      </c>
      <c r="E42" s="32"/>
      <c r="F42" s="166" t="str">
        <f>F41</f>
        <v>M_NC2</v>
      </c>
      <c r="G42" s="177" t="s">
        <v>48</v>
      </c>
      <c r="H42" s="118">
        <f ca="1">0.001*INDIRECT($B42&amp;"!W7")</f>
        <v>0</v>
      </c>
      <c r="I42" s="14"/>
      <c r="J42" s="33" t="e">
        <f ca="1">H42/D42-1</f>
        <v>#DIV/0!</v>
      </c>
      <c r="L42" s="126" t="e">
        <f ca="1">INDIRECT($B42&amp;"!"&amp;L$3&amp;"7")</f>
        <v>#DIV/0!</v>
      </c>
      <c r="M42" s="127" t="e">
        <f ca="1">INDIRECT($B42&amp;"!"&amp;M$3&amp;"7")</f>
        <v>#DIV/0!</v>
      </c>
      <c r="N42" s="128" t="e">
        <f ca="1">M42-L42</f>
        <v>#DIV/0!</v>
      </c>
      <c r="O42" s="32"/>
      <c r="P42" s="7" t="s">
        <v>49</v>
      </c>
      <c r="Q42" s="32"/>
      <c r="R42" s="14"/>
      <c r="S42" s="14"/>
      <c r="T42" s="14"/>
      <c r="U42" s="14"/>
      <c r="V42" s="107"/>
      <c r="X42" s="11"/>
      <c r="Y42" s="11"/>
      <c r="Z42" s="108"/>
    </row>
    <row r="43" spans="2:28" x14ac:dyDescent="0.25">
      <c r="B43" s="166" t="str">
        <f>B42</f>
        <v>M_NC2</v>
      </c>
      <c r="C43" s="177" t="s">
        <v>50</v>
      </c>
      <c r="D43" s="118">
        <f ca="1">0.001*INDIRECT($B43&amp;"!E8")</f>
        <v>0</v>
      </c>
      <c r="E43" s="32"/>
      <c r="F43" s="166" t="str">
        <f>F42</f>
        <v>M_NC2</v>
      </c>
      <c r="G43" s="177" t="s">
        <v>50</v>
      </c>
      <c r="H43" s="118">
        <f ca="1">0.001*INDIRECT($B43&amp;"!W8")</f>
        <v>0</v>
      </c>
      <c r="I43" s="14"/>
      <c r="J43" s="33" t="e">
        <f ca="1">H43/D43-1</f>
        <v>#DIV/0!</v>
      </c>
      <c r="L43" s="126" t="e">
        <f ca="1">INDIRECT($B43&amp;"!"&amp;L$3&amp;"8")</f>
        <v>#DIV/0!</v>
      </c>
      <c r="M43" s="127" t="e">
        <f ca="1">INDIRECT($B43&amp;"!"&amp;M$3&amp;"8")</f>
        <v>#DIV/0!</v>
      </c>
      <c r="N43" s="128" t="e">
        <f ca="1">M43-L43</f>
        <v>#DIV/0!</v>
      </c>
      <c r="O43" s="32"/>
      <c r="P43" s="268" t="e">
        <f ca="1">bdrate(L40:L44,D40:D44,M40:M44,H40:H44)</f>
        <v>#VALUE!</v>
      </c>
      <c r="Q43" s="32"/>
      <c r="R43" s="14"/>
      <c r="S43" s="14"/>
      <c r="T43" s="14"/>
      <c r="U43" s="14"/>
      <c r="V43" s="107"/>
      <c r="X43" s="11"/>
      <c r="Y43" s="11"/>
      <c r="Z43" s="108"/>
    </row>
    <row r="44" spans="2:28" ht="16.5" customHeight="1" thickBot="1" x14ac:dyDescent="0.3">
      <c r="B44" s="120" t="str">
        <f>B43</f>
        <v>M_NC2</v>
      </c>
      <c r="C44" s="178" t="s">
        <v>51</v>
      </c>
      <c r="D44" s="121">
        <f ca="1">0.001*INDIRECT($B44&amp;"!E9")</f>
        <v>0</v>
      </c>
      <c r="E44" s="32"/>
      <c r="F44" s="120" t="str">
        <f>F43</f>
        <v>M_NC2</v>
      </c>
      <c r="G44" s="178" t="s">
        <v>51</v>
      </c>
      <c r="H44" s="118">
        <f ca="1">0.001*INDIRECT($B44&amp;"!W9")</f>
        <v>0</v>
      </c>
      <c r="I44" s="14"/>
      <c r="J44" s="33" t="e">
        <f ca="1">H44/D44-1</f>
        <v>#DIV/0!</v>
      </c>
      <c r="L44" s="126" t="e">
        <f ca="1">INDIRECT($B44&amp;"!"&amp;L$3&amp;"9")</f>
        <v>#DIV/0!</v>
      </c>
      <c r="M44" s="127" t="e">
        <f ca="1">INDIRECT($B44&amp;"!"&amp;M$3&amp;"9")</f>
        <v>#DIV/0!</v>
      </c>
      <c r="N44" s="129" t="e">
        <f ca="1">M44-L44</f>
        <v>#DIV/0!</v>
      </c>
      <c r="O44" s="32"/>
      <c r="P44" s="37"/>
      <c r="Q44" s="32"/>
      <c r="R44" s="14"/>
      <c r="S44" s="14"/>
      <c r="T44" s="14"/>
      <c r="U44" s="14"/>
      <c r="V44" s="107"/>
      <c r="X44" s="11"/>
      <c r="Y44" s="11"/>
      <c r="Z44" s="108"/>
      <c r="AB44" s="109"/>
    </row>
    <row r="45" spans="2:28" ht="16.5" customHeight="1" x14ac:dyDescent="0.25">
      <c r="B45" s="122"/>
      <c r="C45" s="153"/>
      <c r="D45" s="123"/>
      <c r="F45" s="122"/>
      <c r="G45" s="153"/>
      <c r="H45" s="123"/>
      <c r="J45" s="130">
        <f ca="1">MIN(D40:D44,H40:H44)</f>
        <v>0</v>
      </c>
      <c r="L45" s="131"/>
      <c r="M45" s="132"/>
      <c r="N45" s="133"/>
      <c r="O45" s="32"/>
      <c r="P45" s="159"/>
      <c r="Q45" s="32"/>
      <c r="R45" s="14"/>
      <c r="S45" s="14"/>
      <c r="T45" s="14"/>
      <c r="U45" s="14"/>
      <c r="V45" s="110"/>
      <c r="X45" s="11"/>
      <c r="Y45" s="11"/>
      <c r="Z45" s="108"/>
    </row>
    <row r="46" spans="2:28" ht="16.5" customHeight="1" thickBot="1" x14ac:dyDescent="0.3">
      <c r="B46" s="120"/>
      <c r="C46" s="124"/>
      <c r="D46" s="121"/>
      <c r="E46" s="32"/>
      <c r="F46" s="120"/>
      <c r="G46" s="124"/>
      <c r="H46" s="121"/>
      <c r="I46" s="14"/>
      <c r="J46" s="134">
        <f ca="1">MAX(D40:D44,H40:H44)</f>
        <v>0</v>
      </c>
      <c r="L46" s="135">
        <f>L45</f>
        <v>0</v>
      </c>
      <c r="M46" s="136">
        <f>M45</f>
        <v>0</v>
      </c>
      <c r="N46" s="129"/>
      <c r="O46" s="32"/>
      <c r="P46" s="10"/>
      <c r="Q46" s="32"/>
      <c r="R46" s="14"/>
      <c r="S46" s="14"/>
      <c r="T46" s="14"/>
      <c r="U46" s="14"/>
      <c r="V46" s="110"/>
      <c r="X46" s="111"/>
      <c r="Y46" s="111"/>
      <c r="Z46" s="108"/>
    </row>
    <row r="47" spans="2:28" ht="16.5" customHeight="1" thickBot="1" x14ac:dyDescent="0.3"/>
    <row r="48" spans="2:28" x14ac:dyDescent="0.25">
      <c r="B48" s="315" t="s">
        <v>22</v>
      </c>
      <c r="C48" s="316"/>
      <c r="D48" s="317"/>
      <c r="E48" s="6"/>
      <c r="F48" s="315" t="str">
        <f>B48</f>
        <v>M_NC3</v>
      </c>
      <c r="G48" s="316"/>
      <c r="H48" s="317"/>
      <c r="I48" s="6"/>
      <c r="J48" s="159"/>
      <c r="L48" s="318" t="str">
        <f>F48</f>
        <v>M_NC3</v>
      </c>
      <c r="M48" s="319"/>
      <c r="N48" s="320"/>
      <c r="O48" s="297"/>
      <c r="P48" s="159"/>
      <c r="U48" s="155"/>
      <c r="V48" s="155"/>
      <c r="X48" s="313"/>
      <c r="Y48" s="301"/>
      <c r="Z48" s="301"/>
    </row>
    <row r="49" spans="2:28" x14ac:dyDescent="0.25">
      <c r="B49" s="321" t="s">
        <v>39</v>
      </c>
      <c r="C49" s="322"/>
      <c r="D49" s="116" t="s">
        <v>40</v>
      </c>
      <c r="E49" s="32"/>
      <c r="F49" s="321" t="s">
        <v>39</v>
      </c>
      <c r="G49" s="322"/>
      <c r="H49" s="116" t="s">
        <v>40</v>
      </c>
      <c r="I49" s="14"/>
      <c r="J49" s="160" t="s">
        <v>41</v>
      </c>
      <c r="L49" s="323" t="s">
        <v>54</v>
      </c>
      <c r="M49" s="313"/>
      <c r="N49" s="324"/>
      <c r="O49" s="112"/>
      <c r="P49" s="7"/>
      <c r="R49" s="314"/>
      <c r="S49" s="301"/>
      <c r="T49" s="301"/>
      <c r="U49" s="156"/>
      <c r="V49" s="156"/>
      <c r="X49" s="314"/>
      <c r="Y49" s="301"/>
      <c r="Z49" s="301"/>
    </row>
    <row r="50" spans="2:28" x14ac:dyDescent="0.25">
      <c r="B50" s="293" t="s">
        <v>2</v>
      </c>
      <c r="C50" s="177" t="s">
        <v>43</v>
      </c>
      <c r="D50" s="115" t="s">
        <v>44</v>
      </c>
      <c r="E50" s="32"/>
      <c r="F50" s="293" t="s">
        <v>2</v>
      </c>
      <c r="G50" s="177" t="s">
        <v>43</v>
      </c>
      <c r="H50" s="115" t="s">
        <v>44</v>
      </c>
      <c r="I50" s="14"/>
      <c r="J50" s="125"/>
      <c r="L50" s="294" t="str">
        <f>CONCATENATE(B$2," ",L48)</f>
        <v>Anchor M_NC3</v>
      </c>
      <c r="M50" s="295" t="str">
        <f>CONCATENATE(F$2," ",L48)</f>
        <v>Proposal M_NC3</v>
      </c>
      <c r="N50" s="296" t="s">
        <v>45</v>
      </c>
      <c r="O50" s="6"/>
      <c r="P50" s="7" t="s">
        <v>36</v>
      </c>
      <c r="Q50" s="6"/>
      <c r="R50" s="6"/>
      <c r="S50" s="6"/>
      <c r="T50" s="6"/>
      <c r="U50" s="6"/>
      <c r="V50" s="6"/>
      <c r="X50" s="297"/>
      <c r="Y50" s="297"/>
      <c r="Z50" s="297"/>
    </row>
    <row r="51" spans="2:28" x14ac:dyDescent="0.25">
      <c r="B51" s="166" t="str">
        <f>B48</f>
        <v>M_NC3</v>
      </c>
      <c r="C51" s="177" t="s">
        <v>46</v>
      </c>
      <c r="D51" s="118" t="e">
        <f ca="1">0.001*INDIRECT($B51&amp;"!E5")</f>
        <v>#REF!</v>
      </c>
      <c r="E51" s="32"/>
      <c r="F51" s="166" t="str">
        <f>F48</f>
        <v>M_NC3</v>
      </c>
      <c r="G51" s="177" t="s">
        <v>46</v>
      </c>
      <c r="H51" s="118" t="e">
        <f ca="1">0.001*INDIRECT($B51&amp;"!W5")</f>
        <v>#REF!</v>
      </c>
      <c r="I51" s="14"/>
      <c r="J51" s="33" t="e">
        <f ca="1">H51/D51-1</f>
        <v>#REF!</v>
      </c>
      <c r="L51" s="126" t="e">
        <f ca="1">INDIRECT($B51&amp;"!"&amp;L$3&amp;"5")</f>
        <v>#REF!</v>
      </c>
      <c r="M51" s="127" t="e">
        <f ca="1">INDIRECT($B51&amp;"!"&amp;M$3&amp;"5")</f>
        <v>#REF!</v>
      </c>
      <c r="N51" s="128" t="e">
        <f ca="1">M51-L51</f>
        <v>#REF!</v>
      </c>
      <c r="O51" s="32"/>
      <c r="P51" s="33" t="e">
        <f ca="1">bdrate(D51:D55,L51:L55,H51:H55,M51:M55)</f>
        <v>#VALUE!</v>
      </c>
      <c r="Q51" s="32"/>
      <c r="R51" s="14"/>
      <c r="S51" s="14"/>
      <c r="T51" s="14"/>
      <c r="U51" s="14"/>
      <c r="V51" s="107"/>
      <c r="X51" s="11"/>
      <c r="Y51" s="11"/>
      <c r="Z51" s="108"/>
      <c r="AB51" s="109"/>
    </row>
    <row r="52" spans="2:28" x14ac:dyDescent="0.25">
      <c r="B52" s="166" t="str">
        <f>B51</f>
        <v>M_NC3</v>
      </c>
      <c r="C52" s="177" t="s">
        <v>47</v>
      </c>
      <c r="D52" s="118" t="e">
        <f ca="1">0.001*INDIRECT($B52&amp;"!E6")</f>
        <v>#REF!</v>
      </c>
      <c r="E52" s="32"/>
      <c r="F52" s="166" t="str">
        <f>F51</f>
        <v>M_NC3</v>
      </c>
      <c r="G52" s="177" t="s">
        <v>47</v>
      </c>
      <c r="H52" s="118" t="e">
        <f ca="1">0.001*INDIRECT($B52&amp;"!W6")</f>
        <v>#REF!</v>
      </c>
      <c r="I52" s="14"/>
      <c r="J52" s="33" t="e">
        <f ca="1">H52/D52-1</f>
        <v>#REF!</v>
      </c>
      <c r="L52" s="126" t="e">
        <f ca="1">INDIRECT($B52&amp;"!"&amp;L$3&amp;"6")</f>
        <v>#REF!</v>
      </c>
      <c r="M52" s="127" t="e">
        <f ca="1">INDIRECT($B52&amp;"!"&amp;M$3&amp;"6")</f>
        <v>#REF!</v>
      </c>
      <c r="N52" s="128" t="e">
        <f ca="1">M52-L52</f>
        <v>#REF!</v>
      </c>
      <c r="O52" s="32"/>
      <c r="P52" s="7"/>
      <c r="Q52" s="32"/>
      <c r="R52" s="14"/>
      <c r="S52" s="14"/>
      <c r="T52" s="14"/>
      <c r="U52" s="14"/>
      <c r="V52" s="107"/>
      <c r="X52" s="11"/>
      <c r="Y52" s="11"/>
      <c r="Z52" s="108"/>
    </row>
    <row r="53" spans="2:28" x14ac:dyDescent="0.25">
      <c r="B53" s="166" t="str">
        <f>B52</f>
        <v>M_NC3</v>
      </c>
      <c r="C53" s="177" t="s">
        <v>48</v>
      </c>
      <c r="D53" s="118" t="e">
        <f ca="1">0.001*INDIRECT($B53&amp;"!E7")</f>
        <v>#REF!</v>
      </c>
      <c r="E53" s="32"/>
      <c r="F53" s="166" t="str">
        <f>F52</f>
        <v>M_NC3</v>
      </c>
      <c r="G53" s="177" t="s">
        <v>48</v>
      </c>
      <c r="H53" s="118" t="e">
        <f ca="1">0.001*INDIRECT($B53&amp;"!W7")</f>
        <v>#REF!</v>
      </c>
      <c r="I53" s="14"/>
      <c r="J53" s="33" t="e">
        <f ca="1">H53/D53-1</f>
        <v>#REF!</v>
      </c>
      <c r="L53" s="126" t="e">
        <f ca="1">INDIRECT($B53&amp;"!"&amp;L$3&amp;"7")</f>
        <v>#REF!</v>
      </c>
      <c r="M53" s="127" t="e">
        <f ca="1">INDIRECT($B53&amp;"!"&amp;M$3&amp;"7")</f>
        <v>#REF!</v>
      </c>
      <c r="N53" s="128" t="e">
        <f ca="1">M53-L53</f>
        <v>#REF!</v>
      </c>
      <c r="O53" s="32"/>
      <c r="P53" s="7" t="s">
        <v>49</v>
      </c>
      <c r="Q53" s="32"/>
      <c r="R53" s="14"/>
      <c r="S53" s="14"/>
      <c r="T53" s="14"/>
      <c r="U53" s="14"/>
      <c r="V53" s="107"/>
      <c r="X53" s="11"/>
      <c r="Y53" s="11"/>
      <c r="Z53" s="108"/>
    </row>
    <row r="54" spans="2:28" x14ac:dyDescent="0.25">
      <c r="B54" s="166" t="str">
        <f>B53</f>
        <v>M_NC3</v>
      </c>
      <c r="C54" s="177" t="s">
        <v>50</v>
      </c>
      <c r="D54" s="118" t="e">
        <f ca="1">0.001*INDIRECT($B54&amp;"!E8")</f>
        <v>#REF!</v>
      </c>
      <c r="E54" s="32"/>
      <c r="F54" s="166" t="str">
        <f>F53</f>
        <v>M_NC3</v>
      </c>
      <c r="G54" s="177" t="s">
        <v>50</v>
      </c>
      <c r="H54" s="118" t="e">
        <f ca="1">0.001*INDIRECT($B54&amp;"!W8")</f>
        <v>#REF!</v>
      </c>
      <c r="I54" s="14"/>
      <c r="J54" s="33" t="e">
        <f ca="1">H54/D54-1</f>
        <v>#REF!</v>
      </c>
      <c r="L54" s="126" t="e">
        <f ca="1">INDIRECT($B54&amp;"!"&amp;L$3&amp;"8")</f>
        <v>#REF!</v>
      </c>
      <c r="M54" s="127" t="e">
        <f ca="1">INDIRECT($B54&amp;"!"&amp;M$3&amp;"8")</f>
        <v>#REF!</v>
      </c>
      <c r="N54" s="128" t="e">
        <f ca="1">M54-L54</f>
        <v>#REF!</v>
      </c>
      <c r="O54" s="32"/>
      <c r="P54" s="268" t="e">
        <f ca="1">bdrate(L51:L55,D51:D55,M51:M55,H51:H55)</f>
        <v>#VALUE!</v>
      </c>
      <c r="Q54" s="32"/>
      <c r="R54" s="14"/>
      <c r="S54" s="14"/>
      <c r="T54" s="14"/>
      <c r="U54" s="14"/>
      <c r="V54" s="107"/>
      <c r="X54" s="11"/>
      <c r="Y54" s="11"/>
      <c r="Z54" s="108"/>
    </row>
    <row r="55" spans="2:28" ht="16.5" customHeight="1" thickBot="1" x14ac:dyDescent="0.3">
      <c r="B55" s="120" t="str">
        <f>B54</f>
        <v>M_NC3</v>
      </c>
      <c r="C55" s="178" t="s">
        <v>51</v>
      </c>
      <c r="D55" s="121" t="e">
        <f ca="1">0.001*INDIRECT($B55&amp;"!E9")</f>
        <v>#REF!</v>
      </c>
      <c r="E55" s="32"/>
      <c r="F55" s="120" t="str">
        <f>F54</f>
        <v>M_NC3</v>
      </c>
      <c r="G55" s="178" t="s">
        <v>51</v>
      </c>
      <c r="H55" s="118" t="e">
        <f ca="1">0.001*INDIRECT($B55&amp;"!W9")</f>
        <v>#REF!</v>
      </c>
      <c r="I55" s="14"/>
      <c r="J55" s="33" t="e">
        <f ca="1">H55/D55-1</f>
        <v>#REF!</v>
      </c>
      <c r="L55" s="126" t="e">
        <f ca="1">INDIRECT($B55&amp;"!"&amp;L$3&amp;"9")</f>
        <v>#REF!</v>
      </c>
      <c r="M55" s="127" t="e">
        <f ca="1">INDIRECT($B55&amp;"!"&amp;M$3&amp;"9")</f>
        <v>#REF!</v>
      </c>
      <c r="N55" s="129" t="e">
        <f ca="1">M55-L55</f>
        <v>#REF!</v>
      </c>
      <c r="O55" s="32"/>
      <c r="P55" s="37"/>
      <c r="Q55" s="32"/>
      <c r="R55" s="14"/>
      <c r="S55" s="14"/>
      <c r="T55" s="14"/>
      <c r="U55" s="14"/>
      <c r="V55" s="107"/>
      <c r="X55" s="11"/>
      <c r="Y55" s="11"/>
      <c r="Z55" s="108"/>
      <c r="AB55" s="109"/>
    </row>
    <row r="56" spans="2:28" ht="16.5" customHeight="1" x14ac:dyDescent="0.25">
      <c r="B56" s="152"/>
      <c r="C56" s="153"/>
      <c r="D56" s="123"/>
      <c r="F56" s="152"/>
      <c r="G56" s="153"/>
      <c r="H56" s="123"/>
      <c r="J56" s="130" t="e">
        <f ca="1">MIN(D51:D55,H51:H55)</f>
        <v>#REF!</v>
      </c>
      <c r="L56" s="131"/>
      <c r="M56" s="132"/>
      <c r="N56" s="133"/>
      <c r="O56" s="32"/>
      <c r="P56" s="159"/>
      <c r="Q56" s="32"/>
      <c r="R56" s="14"/>
      <c r="S56" s="14"/>
      <c r="T56" s="14"/>
      <c r="U56" s="14"/>
      <c r="V56" s="110"/>
      <c r="X56" s="11"/>
      <c r="Y56" s="11"/>
      <c r="Z56" s="108"/>
    </row>
    <row r="57" spans="2:28" ht="16.5" customHeight="1" thickBot="1" x14ac:dyDescent="0.3">
      <c r="B57" s="120"/>
      <c r="C57" s="124"/>
      <c r="D57" s="121"/>
      <c r="E57" s="32"/>
      <c r="F57" s="120"/>
      <c r="G57" s="124"/>
      <c r="H57" s="121"/>
      <c r="I57" s="14"/>
      <c r="J57" s="134" t="e">
        <f ca="1">MAX(D51:D55,H51:H55)</f>
        <v>#REF!</v>
      </c>
      <c r="L57" s="135">
        <f>L56</f>
        <v>0</v>
      </c>
      <c r="M57" s="136">
        <f>M56</f>
        <v>0</v>
      </c>
      <c r="N57" s="129"/>
      <c r="O57" s="32"/>
      <c r="P57" s="10"/>
      <c r="Q57" s="32"/>
      <c r="R57" s="14"/>
      <c r="S57" s="14"/>
      <c r="T57" s="14"/>
      <c r="U57" s="14"/>
      <c r="V57" s="110"/>
      <c r="X57" s="111"/>
      <c r="Y57" s="111"/>
      <c r="Z57" s="108"/>
    </row>
    <row r="58" spans="2:28" ht="16.5" customHeight="1" thickBot="1" x14ac:dyDescent="0.3"/>
    <row r="59" spans="2:28" x14ac:dyDescent="0.25">
      <c r="B59" s="315" t="s">
        <v>24</v>
      </c>
      <c r="C59" s="316"/>
      <c r="D59" s="317"/>
      <c r="E59" s="6"/>
      <c r="F59" s="315" t="str">
        <f>B59</f>
        <v>M_NC4</v>
      </c>
      <c r="G59" s="316"/>
      <c r="H59" s="317"/>
      <c r="I59" s="6"/>
      <c r="J59" s="159"/>
      <c r="L59" s="318" t="str">
        <f>F59</f>
        <v>M_NC4</v>
      </c>
      <c r="M59" s="319"/>
      <c r="N59" s="320"/>
      <c r="O59" s="297"/>
      <c r="P59" s="159"/>
      <c r="U59" s="155"/>
      <c r="V59" s="155"/>
      <c r="X59" s="313"/>
      <c r="Y59" s="301"/>
      <c r="Z59" s="301"/>
    </row>
    <row r="60" spans="2:28" x14ac:dyDescent="0.25">
      <c r="B60" s="321" t="s">
        <v>39</v>
      </c>
      <c r="C60" s="322"/>
      <c r="D60" s="116" t="s">
        <v>40</v>
      </c>
      <c r="E60" s="32"/>
      <c r="F60" s="321" t="s">
        <v>39</v>
      </c>
      <c r="G60" s="322"/>
      <c r="H60" s="116" t="s">
        <v>40</v>
      </c>
      <c r="I60" s="14"/>
      <c r="J60" s="160" t="s">
        <v>41</v>
      </c>
      <c r="L60" s="323" t="s">
        <v>54</v>
      </c>
      <c r="M60" s="313"/>
      <c r="N60" s="324"/>
      <c r="O60" s="112"/>
      <c r="P60" s="7"/>
      <c r="R60" s="314"/>
      <c r="S60" s="301"/>
      <c r="T60" s="301"/>
      <c r="U60" s="156"/>
      <c r="V60" s="156"/>
      <c r="X60" s="314"/>
      <c r="Y60" s="301"/>
      <c r="Z60" s="301"/>
    </row>
    <row r="61" spans="2:28" x14ac:dyDescent="0.25">
      <c r="B61" s="293" t="s">
        <v>2</v>
      </c>
      <c r="C61" s="177" t="s">
        <v>43</v>
      </c>
      <c r="D61" s="115" t="s">
        <v>44</v>
      </c>
      <c r="E61" s="32"/>
      <c r="F61" s="293" t="s">
        <v>2</v>
      </c>
      <c r="G61" s="177" t="s">
        <v>43</v>
      </c>
      <c r="H61" s="115" t="s">
        <v>44</v>
      </c>
      <c r="I61" s="14"/>
      <c r="J61" s="125"/>
      <c r="L61" s="294" t="str">
        <f>CONCATENATE(B$2," ",L59)</f>
        <v>Anchor M_NC4</v>
      </c>
      <c r="M61" s="295" t="str">
        <f>CONCATENATE(F$2," ",L59)</f>
        <v>Proposal M_NC4</v>
      </c>
      <c r="N61" s="296" t="s">
        <v>45</v>
      </c>
      <c r="O61" s="6"/>
      <c r="P61" s="7" t="s">
        <v>36</v>
      </c>
      <c r="Q61" s="6"/>
      <c r="R61" s="6"/>
      <c r="S61" s="6"/>
      <c r="T61" s="6"/>
      <c r="U61" s="6"/>
      <c r="V61" s="6"/>
      <c r="X61" s="297"/>
      <c r="Y61" s="297"/>
      <c r="Z61" s="297"/>
    </row>
    <row r="62" spans="2:28" x14ac:dyDescent="0.25">
      <c r="B62" s="166" t="str">
        <f>B59</f>
        <v>M_NC4</v>
      </c>
      <c r="C62" s="177" t="s">
        <v>46</v>
      </c>
      <c r="D62" s="118" t="e">
        <f ca="1">0.001*INDIRECT($B62&amp;"!E5")</f>
        <v>#REF!</v>
      </c>
      <c r="E62" s="32"/>
      <c r="F62" s="166" t="str">
        <f>F59</f>
        <v>M_NC4</v>
      </c>
      <c r="G62" s="177" t="s">
        <v>46</v>
      </c>
      <c r="H62" s="118" t="e">
        <f ca="1">0.001*INDIRECT($B62&amp;"!W5")</f>
        <v>#REF!</v>
      </c>
      <c r="I62" s="14"/>
      <c r="J62" s="33" t="e">
        <f ca="1">H62/D62-1</f>
        <v>#REF!</v>
      </c>
      <c r="L62" s="126" t="e">
        <f ca="1">INDIRECT($B62&amp;"!"&amp;L$3&amp;"5")</f>
        <v>#REF!</v>
      </c>
      <c r="M62" s="127" t="e">
        <f ca="1">INDIRECT($B62&amp;"!"&amp;M$3&amp;"5")</f>
        <v>#REF!</v>
      </c>
      <c r="N62" s="128" t="e">
        <f ca="1">M62-L62</f>
        <v>#REF!</v>
      </c>
      <c r="O62" s="32"/>
      <c r="P62" s="33" t="e">
        <f ca="1">bdrate(D62:D66,L62:L66,H62:H66,M62:M66)</f>
        <v>#VALUE!</v>
      </c>
      <c r="Q62" s="32"/>
      <c r="R62" s="14"/>
      <c r="S62" s="14"/>
      <c r="T62" s="14"/>
      <c r="U62" s="14"/>
      <c r="V62" s="107"/>
      <c r="X62" s="11"/>
      <c r="Y62" s="11"/>
      <c r="Z62" s="108"/>
      <c r="AB62" s="109"/>
    </row>
    <row r="63" spans="2:28" x14ac:dyDescent="0.25">
      <c r="B63" s="166" t="str">
        <f>B62</f>
        <v>M_NC4</v>
      </c>
      <c r="C63" s="177" t="s">
        <v>47</v>
      </c>
      <c r="D63" s="118" t="e">
        <f ca="1">0.001*INDIRECT($B63&amp;"!E6")</f>
        <v>#REF!</v>
      </c>
      <c r="E63" s="32"/>
      <c r="F63" s="166" t="str">
        <f>F62</f>
        <v>M_NC4</v>
      </c>
      <c r="G63" s="177" t="s">
        <v>47</v>
      </c>
      <c r="H63" s="118" t="e">
        <f ca="1">0.001*INDIRECT($B63&amp;"!W6")</f>
        <v>#REF!</v>
      </c>
      <c r="I63" s="14"/>
      <c r="J63" s="33" t="e">
        <f ca="1">H63/D63-1</f>
        <v>#REF!</v>
      </c>
      <c r="L63" s="126" t="e">
        <f ca="1">INDIRECT($B63&amp;"!"&amp;L$3&amp;"6")</f>
        <v>#REF!</v>
      </c>
      <c r="M63" s="127" t="e">
        <f ca="1">INDIRECT($B63&amp;"!"&amp;M$3&amp;"6")</f>
        <v>#REF!</v>
      </c>
      <c r="N63" s="128" t="e">
        <f ca="1">M63-L63</f>
        <v>#REF!</v>
      </c>
      <c r="O63" s="32"/>
      <c r="P63" s="7"/>
      <c r="Q63" s="32"/>
      <c r="R63" s="14"/>
      <c r="S63" s="14"/>
      <c r="T63" s="14"/>
      <c r="U63" s="14"/>
      <c r="V63" s="107"/>
      <c r="X63" s="11"/>
      <c r="Y63" s="11"/>
      <c r="Z63" s="108"/>
    </row>
    <row r="64" spans="2:28" x14ac:dyDescent="0.25">
      <c r="B64" s="166" t="str">
        <f>B63</f>
        <v>M_NC4</v>
      </c>
      <c r="C64" s="177" t="s">
        <v>48</v>
      </c>
      <c r="D64" s="118" t="e">
        <f ca="1">0.001*INDIRECT($B64&amp;"!E7")</f>
        <v>#REF!</v>
      </c>
      <c r="E64" s="32"/>
      <c r="F64" s="166" t="str">
        <f>F63</f>
        <v>M_NC4</v>
      </c>
      <c r="G64" s="177" t="s">
        <v>48</v>
      </c>
      <c r="H64" s="118" t="e">
        <f ca="1">0.001*INDIRECT($B64&amp;"!W7")</f>
        <v>#REF!</v>
      </c>
      <c r="I64" s="14"/>
      <c r="J64" s="33" t="e">
        <f ca="1">H64/D64-1</f>
        <v>#REF!</v>
      </c>
      <c r="L64" s="126" t="e">
        <f ca="1">INDIRECT($B64&amp;"!"&amp;L$3&amp;"7")</f>
        <v>#REF!</v>
      </c>
      <c r="M64" s="127" t="e">
        <f ca="1">INDIRECT($B64&amp;"!"&amp;M$3&amp;"7")</f>
        <v>#REF!</v>
      </c>
      <c r="N64" s="128" t="e">
        <f ca="1">M64-L64</f>
        <v>#REF!</v>
      </c>
      <c r="O64" s="32"/>
      <c r="P64" s="7" t="s">
        <v>49</v>
      </c>
      <c r="Q64" s="32"/>
      <c r="R64" s="14"/>
      <c r="S64" s="14"/>
      <c r="T64" s="14"/>
      <c r="U64" s="14"/>
      <c r="V64" s="107"/>
      <c r="X64" s="11"/>
      <c r="Y64" s="11"/>
      <c r="Z64" s="108"/>
    </row>
    <row r="65" spans="2:28" x14ac:dyDescent="0.25">
      <c r="B65" s="166" t="str">
        <f>B64</f>
        <v>M_NC4</v>
      </c>
      <c r="C65" s="177" t="s">
        <v>50</v>
      </c>
      <c r="D65" s="118" t="e">
        <f ca="1">0.001*INDIRECT($B65&amp;"!E8")</f>
        <v>#REF!</v>
      </c>
      <c r="E65" s="32"/>
      <c r="F65" s="166" t="str">
        <f>F64</f>
        <v>M_NC4</v>
      </c>
      <c r="G65" s="177" t="s">
        <v>50</v>
      </c>
      <c r="H65" s="118" t="e">
        <f ca="1">0.001*INDIRECT($B65&amp;"!W8")</f>
        <v>#REF!</v>
      </c>
      <c r="I65" s="14"/>
      <c r="J65" s="33" t="e">
        <f ca="1">H65/D65-1</f>
        <v>#REF!</v>
      </c>
      <c r="L65" s="126" t="e">
        <f ca="1">INDIRECT($B65&amp;"!"&amp;L$3&amp;"8")</f>
        <v>#REF!</v>
      </c>
      <c r="M65" s="127" t="e">
        <f ca="1">INDIRECT($B65&amp;"!"&amp;M$3&amp;"8")</f>
        <v>#REF!</v>
      </c>
      <c r="N65" s="128" t="e">
        <f ca="1">M65-L65</f>
        <v>#REF!</v>
      </c>
      <c r="O65" s="32"/>
      <c r="P65" s="268" t="e">
        <f ca="1">bdrate(L62:L66,D62:D66,M62:M66,H62:H66)</f>
        <v>#VALUE!</v>
      </c>
      <c r="Q65" s="32"/>
      <c r="R65" s="14"/>
      <c r="S65" s="14"/>
      <c r="T65" s="14"/>
      <c r="U65" s="14"/>
      <c r="V65" s="107"/>
      <c r="X65" s="11"/>
      <c r="Y65" s="11"/>
      <c r="Z65" s="108"/>
    </row>
    <row r="66" spans="2:28" ht="16.5" customHeight="1" thickBot="1" x14ac:dyDescent="0.3">
      <c r="B66" s="120" t="str">
        <f>B65</f>
        <v>M_NC4</v>
      </c>
      <c r="C66" s="178" t="s">
        <v>51</v>
      </c>
      <c r="D66" s="121" t="e">
        <f ca="1">0.001*INDIRECT($B66&amp;"!E9")</f>
        <v>#REF!</v>
      </c>
      <c r="E66" s="32"/>
      <c r="F66" s="120" t="str">
        <f>F65</f>
        <v>M_NC4</v>
      </c>
      <c r="G66" s="178" t="s">
        <v>51</v>
      </c>
      <c r="H66" s="118" t="e">
        <f ca="1">0.001*INDIRECT($B66&amp;"!W9")</f>
        <v>#REF!</v>
      </c>
      <c r="I66" s="14"/>
      <c r="J66" s="33" t="e">
        <f ca="1">H66/D66-1</f>
        <v>#REF!</v>
      </c>
      <c r="L66" s="126" t="e">
        <f ca="1">INDIRECT($B66&amp;"!"&amp;L$3&amp;"9")</f>
        <v>#REF!</v>
      </c>
      <c r="M66" s="127" t="e">
        <f ca="1">INDIRECT($B66&amp;"!"&amp;M$3&amp;"9")</f>
        <v>#REF!</v>
      </c>
      <c r="N66" s="129" t="e">
        <f ca="1">M66-L66</f>
        <v>#REF!</v>
      </c>
      <c r="O66" s="32"/>
      <c r="P66" s="37"/>
      <c r="Q66" s="32"/>
      <c r="R66" s="14"/>
      <c r="S66" s="14"/>
      <c r="T66" s="14"/>
      <c r="U66" s="14"/>
      <c r="V66" s="107"/>
      <c r="X66" s="11"/>
      <c r="Y66" s="11"/>
      <c r="Z66" s="108"/>
      <c r="AB66" s="109"/>
    </row>
    <row r="67" spans="2:28" ht="16.5" customHeight="1" x14ac:dyDescent="0.25">
      <c r="B67" s="152"/>
      <c r="C67" s="153"/>
      <c r="D67" s="123"/>
      <c r="F67" s="152"/>
      <c r="G67" s="153"/>
      <c r="H67" s="123"/>
      <c r="J67" s="130" t="e">
        <f ca="1">MIN(D62:D66,H62:H66)</f>
        <v>#REF!</v>
      </c>
      <c r="L67" s="131"/>
      <c r="M67" s="132"/>
      <c r="N67" s="133"/>
      <c r="O67" s="32"/>
      <c r="P67" s="159"/>
      <c r="Q67" s="32"/>
      <c r="R67" s="14"/>
      <c r="S67" s="14"/>
      <c r="T67" s="14"/>
      <c r="U67" s="14"/>
      <c r="V67" s="110"/>
      <c r="X67" s="11"/>
      <c r="Y67" s="11"/>
      <c r="Z67" s="108"/>
    </row>
    <row r="68" spans="2:28" ht="16.5" customHeight="1" thickBot="1" x14ac:dyDescent="0.3">
      <c r="B68" s="120"/>
      <c r="C68" s="124"/>
      <c r="D68" s="121"/>
      <c r="E68" s="32"/>
      <c r="F68" s="120"/>
      <c r="G68" s="124"/>
      <c r="H68" s="121"/>
      <c r="I68" s="14"/>
      <c r="J68" s="134" t="e">
        <f ca="1">MAX(D62:D66,H62:H66)</f>
        <v>#REF!</v>
      </c>
      <c r="L68" s="135">
        <f>L67</f>
        <v>0</v>
      </c>
      <c r="M68" s="136">
        <f>M67</f>
        <v>0</v>
      </c>
      <c r="N68" s="129"/>
      <c r="O68" s="32"/>
      <c r="P68" s="10"/>
      <c r="Q68" s="32"/>
      <c r="R68" s="14"/>
      <c r="S68" s="14"/>
      <c r="T68" s="14"/>
      <c r="U68" s="14"/>
      <c r="V68" s="110"/>
      <c r="X68" s="111"/>
      <c r="Y68" s="111"/>
      <c r="Z68" s="108"/>
    </row>
    <row r="69" spans="2:28" ht="16.5" customHeight="1" thickBot="1" x14ac:dyDescent="0.3"/>
    <row r="70" spans="2:28" x14ac:dyDescent="0.25">
      <c r="B70" s="315" t="s">
        <v>25</v>
      </c>
      <c r="C70" s="316"/>
      <c r="D70" s="317"/>
      <c r="E70" s="6"/>
      <c r="F70" s="315" t="str">
        <f>B70</f>
        <v>M_NC5</v>
      </c>
      <c r="G70" s="316"/>
      <c r="H70" s="317"/>
      <c r="I70" s="6"/>
      <c r="J70" s="159"/>
      <c r="L70" s="318" t="str">
        <f>F70</f>
        <v>M_NC5</v>
      </c>
      <c r="M70" s="319"/>
      <c r="N70" s="320"/>
      <c r="O70" s="297"/>
      <c r="P70" s="159"/>
      <c r="U70" s="155"/>
      <c r="V70" s="155"/>
      <c r="X70" s="313"/>
      <c r="Y70" s="301"/>
      <c r="Z70" s="301"/>
    </row>
    <row r="71" spans="2:28" x14ac:dyDescent="0.25">
      <c r="B71" s="321" t="s">
        <v>39</v>
      </c>
      <c r="C71" s="322"/>
      <c r="D71" s="116" t="s">
        <v>40</v>
      </c>
      <c r="E71" s="32"/>
      <c r="F71" s="321" t="s">
        <v>39</v>
      </c>
      <c r="G71" s="322"/>
      <c r="H71" s="116" t="s">
        <v>40</v>
      </c>
      <c r="I71" s="14"/>
      <c r="J71" s="160" t="s">
        <v>41</v>
      </c>
      <c r="L71" s="323" t="s">
        <v>54</v>
      </c>
      <c r="M71" s="313"/>
      <c r="N71" s="324"/>
      <c r="O71" s="112"/>
      <c r="P71" s="7"/>
      <c r="R71" s="314"/>
      <c r="S71" s="301"/>
      <c r="T71" s="301"/>
      <c r="U71" s="156"/>
      <c r="V71" s="156"/>
      <c r="X71" s="314"/>
      <c r="Y71" s="301"/>
      <c r="Z71" s="301"/>
    </row>
    <row r="72" spans="2:28" x14ac:dyDescent="0.25">
      <c r="B72" s="293" t="s">
        <v>2</v>
      </c>
      <c r="C72" s="177" t="s">
        <v>43</v>
      </c>
      <c r="D72" s="115" t="s">
        <v>44</v>
      </c>
      <c r="E72" s="32"/>
      <c r="F72" s="293" t="s">
        <v>2</v>
      </c>
      <c r="G72" s="177" t="s">
        <v>43</v>
      </c>
      <c r="H72" s="115" t="s">
        <v>44</v>
      </c>
      <c r="I72" s="14"/>
      <c r="J72" s="125"/>
      <c r="L72" s="294" t="str">
        <f>CONCATENATE(B$2," ",L70)</f>
        <v>Anchor M_NC5</v>
      </c>
      <c r="M72" s="295" t="str">
        <f>CONCATENATE(F$2," ",L70)</f>
        <v>Proposal M_NC5</v>
      </c>
      <c r="N72" s="296" t="s">
        <v>45</v>
      </c>
      <c r="O72" s="6"/>
      <c r="P72" s="7" t="s">
        <v>36</v>
      </c>
      <c r="Q72" s="6"/>
      <c r="R72" s="6"/>
      <c r="S72" s="6"/>
      <c r="T72" s="6"/>
      <c r="U72" s="6"/>
      <c r="V72" s="6"/>
      <c r="X72" s="297"/>
      <c r="Y72" s="297"/>
      <c r="Z72" s="297"/>
    </row>
    <row r="73" spans="2:28" x14ac:dyDescent="0.25">
      <c r="B73" s="166" t="str">
        <f>B70</f>
        <v>M_NC5</v>
      </c>
      <c r="C73" s="177" t="s">
        <v>46</v>
      </c>
      <c r="D73" s="118" t="e">
        <f ca="1">0.001*INDIRECT($B73&amp;"!E5")</f>
        <v>#REF!</v>
      </c>
      <c r="E73" s="32"/>
      <c r="F73" s="166" t="str">
        <f>F70</f>
        <v>M_NC5</v>
      </c>
      <c r="G73" s="177" t="s">
        <v>46</v>
      </c>
      <c r="H73" s="118" t="e">
        <f ca="1">0.001*INDIRECT($B73&amp;"!W5")</f>
        <v>#REF!</v>
      </c>
      <c r="I73" s="14"/>
      <c r="J73" s="33" t="e">
        <f ca="1">H73/D73-1</f>
        <v>#REF!</v>
      </c>
      <c r="L73" s="126" t="e">
        <f ca="1">INDIRECT($B73&amp;"!"&amp;L$3&amp;"5")</f>
        <v>#REF!</v>
      </c>
      <c r="M73" s="127" t="e">
        <f ca="1">INDIRECT($B73&amp;"!"&amp;M$3&amp;"5")</f>
        <v>#REF!</v>
      </c>
      <c r="N73" s="128" t="e">
        <f ca="1">M73-L73</f>
        <v>#REF!</v>
      </c>
      <c r="O73" s="32"/>
      <c r="P73" s="33" t="e">
        <f ca="1">bdrate(D73:D77,L73:L77,H73:H77,M73:M77)</f>
        <v>#VALUE!</v>
      </c>
      <c r="Q73" s="32"/>
      <c r="R73" s="14"/>
      <c r="S73" s="14"/>
      <c r="T73" s="14"/>
      <c r="U73" s="14"/>
      <c r="V73" s="107"/>
      <c r="X73" s="11"/>
      <c r="Y73" s="11"/>
      <c r="Z73" s="108"/>
      <c r="AB73" s="109"/>
    </row>
    <row r="74" spans="2:28" x14ac:dyDescent="0.25">
      <c r="B74" s="166" t="str">
        <f>B73</f>
        <v>M_NC5</v>
      </c>
      <c r="C74" s="177" t="s">
        <v>47</v>
      </c>
      <c r="D74" s="118" t="e">
        <f ca="1">0.001*INDIRECT($B74&amp;"!E6")</f>
        <v>#REF!</v>
      </c>
      <c r="E74" s="32"/>
      <c r="F74" s="166" t="str">
        <f>F73</f>
        <v>M_NC5</v>
      </c>
      <c r="G74" s="177" t="s">
        <v>47</v>
      </c>
      <c r="H74" s="118" t="e">
        <f ca="1">0.001*INDIRECT($B74&amp;"!W6")</f>
        <v>#REF!</v>
      </c>
      <c r="I74" s="14"/>
      <c r="J74" s="33" t="e">
        <f ca="1">H74/D74-1</f>
        <v>#REF!</v>
      </c>
      <c r="L74" s="126" t="e">
        <f ca="1">INDIRECT($B74&amp;"!"&amp;L$3&amp;"6")</f>
        <v>#REF!</v>
      </c>
      <c r="M74" s="127" t="e">
        <f ca="1">INDIRECT($B74&amp;"!"&amp;M$3&amp;"6")</f>
        <v>#REF!</v>
      </c>
      <c r="N74" s="128" t="e">
        <f ca="1">M74-L74</f>
        <v>#REF!</v>
      </c>
      <c r="O74" s="32"/>
      <c r="P74" s="7"/>
      <c r="Q74" s="32"/>
      <c r="R74" s="14"/>
      <c r="S74" s="14"/>
      <c r="T74" s="14"/>
      <c r="U74" s="14"/>
      <c r="V74" s="107"/>
      <c r="X74" s="11"/>
      <c r="Y74" s="11"/>
      <c r="Z74" s="108"/>
    </row>
    <row r="75" spans="2:28" x14ac:dyDescent="0.25">
      <c r="B75" s="166" t="str">
        <f>B74</f>
        <v>M_NC5</v>
      </c>
      <c r="C75" s="177" t="s">
        <v>48</v>
      </c>
      <c r="D75" s="118" t="e">
        <f ca="1">0.001*INDIRECT($B75&amp;"!E7")</f>
        <v>#REF!</v>
      </c>
      <c r="E75" s="32"/>
      <c r="F75" s="166" t="str">
        <f>F74</f>
        <v>M_NC5</v>
      </c>
      <c r="G75" s="177" t="s">
        <v>48</v>
      </c>
      <c r="H75" s="118" t="e">
        <f ca="1">0.001*INDIRECT($B75&amp;"!W7")</f>
        <v>#REF!</v>
      </c>
      <c r="I75" s="14"/>
      <c r="J75" s="33" t="e">
        <f ca="1">H75/D75-1</f>
        <v>#REF!</v>
      </c>
      <c r="L75" s="126" t="e">
        <f ca="1">INDIRECT($B75&amp;"!"&amp;L$3&amp;"7")</f>
        <v>#REF!</v>
      </c>
      <c r="M75" s="127" t="e">
        <f ca="1">INDIRECT($B75&amp;"!"&amp;M$3&amp;"7")</f>
        <v>#REF!</v>
      </c>
      <c r="N75" s="128" t="e">
        <f ca="1">M75-L75</f>
        <v>#REF!</v>
      </c>
      <c r="O75" s="32"/>
      <c r="P75" s="7" t="s">
        <v>49</v>
      </c>
      <c r="Q75" s="32"/>
      <c r="R75" s="14"/>
      <c r="S75" s="14"/>
      <c r="T75" s="14"/>
      <c r="U75" s="14"/>
      <c r="V75" s="107"/>
      <c r="X75" s="11"/>
      <c r="Y75" s="11"/>
      <c r="Z75" s="108"/>
    </row>
    <row r="76" spans="2:28" x14ac:dyDescent="0.25">
      <c r="B76" s="166" t="str">
        <f>B75</f>
        <v>M_NC5</v>
      </c>
      <c r="C76" s="177" t="s">
        <v>50</v>
      </c>
      <c r="D76" s="118" t="e">
        <f ca="1">0.001*INDIRECT($B76&amp;"!E8")</f>
        <v>#REF!</v>
      </c>
      <c r="E76" s="32"/>
      <c r="F76" s="166" t="str">
        <f>F75</f>
        <v>M_NC5</v>
      </c>
      <c r="G76" s="177" t="s">
        <v>50</v>
      </c>
      <c r="H76" s="118" t="e">
        <f ca="1">0.001*INDIRECT($B76&amp;"!W8")</f>
        <v>#REF!</v>
      </c>
      <c r="I76" s="14"/>
      <c r="J76" s="33" t="e">
        <f ca="1">H76/D76-1</f>
        <v>#REF!</v>
      </c>
      <c r="L76" s="126" t="e">
        <f ca="1">INDIRECT($B76&amp;"!"&amp;L$3&amp;"8")</f>
        <v>#REF!</v>
      </c>
      <c r="M76" s="127" t="e">
        <f ca="1">INDIRECT($B76&amp;"!"&amp;M$3&amp;"8")</f>
        <v>#REF!</v>
      </c>
      <c r="N76" s="128" t="e">
        <f ca="1">M76-L76</f>
        <v>#REF!</v>
      </c>
      <c r="O76" s="32"/>
      <c r="P76" s="268" t="e">
        <f ca="1">bdrate(L73:L77,D73:D77,M73:M77,H73:H77)</f>
        <v>#VALUE!</v>
      </c>
      <c r="Q76" s="32"/>
      <c r="R76" s="14"/>
      <c r="S76" s="14"/>
      <c r="T76" s="14"/>
      <c r="U76" s="14"/>
      <c r="V76" s="107"/>
      <c r="X76" s="11"/>
      <c r="Y76" s="11"/>
      <c r="Z76" s="108"/>
    </row>
    <row r="77" spans="2:28" ht="16.5" customHeight="1" thickBot="1" x14ac:dyDescent="0.3">
      <c r="B77" s="120" t="str">
        <f>B76</f>
        <v>M_NC5</v>
      </c>
      <c r="C77" s="178" t="s">
        <v>51</v>
      </c>
      <c r="D77" s="121" t="e">
        <f ca="1">0.001*INDIRECT($B77&amp;"!E9")</f>
        <v>#REF!</v>
      </c>
      <c r="E77" s="32"/>
      <c r="F77" s="120" t="str">
        <f>F76</f>
        <v>M_NC5</v>
      </c>
      <c r="G77" s="178" t="s">
        <v>51</v>
      </c>
      <c r="H77" s="118" t="e">
        <f ca="1">0.001*INDIRECT($B77&amp;"!W9")</f>
        <v>#REF!</v>
      </c>
      <c r="I77" s="14"/>
      <c r="J77" s="33" t="e">
        <f ca="1">H77/D77-1</f>
        <v>#REF!</v>
      </c>
      <c r="L77" s="126" t="e">
        <f ca="1">INDIRECT($B77&amp;"!"&amp;L$3&amp;"9")</f>
        <v>#REF!</v>
      </c>
      <c r="M77" s="127" t="e">
        <f ca="1">INDIRECT($B77&amp;"!"&amp;M$3&amp;"9")</f>
        <v>#REF!</v>
      </c>
      <c r="N77" s="129" t="e">
        <f ca="1">M77-L77</f>
        <v>#REF!</v>
      </c>
      <c r="O77" s="32"/>
      <c r="P77" s="37"/>
      <c r="Q77" s="32"/>
      <c r="R77" s="14"/>
      <c r="S77" s="14"/>
      <c r="T77" s="14"/>
      <c r="U77" s="14"/>
      <c r="V77" s="107"/>
      <c r="X77" s="11"/>
      <c r="Y77" s="11"/>
      <c r="Z77" s="108"/>
      <c r="AB77" s="109"/>
    </row>
    <row r="78" spans="2:28" ht="16.5" customHeight="1" x14ac:dyDescent="0.25">
      <c r="B78" s="152"/>
      <c r="C78" s="153"/>
      <c r="D78" s="123"/>
      <c r="F78" s="152"/>
      <c r="G78" s="153"/>
      <c r="H78" s="123"/>
      <c r="J78" s="130" t="e">
        <f ca="1">MIN(D73:D77,H73:H77)</f>
        <v>#REF!</v>
      </c>
      <c r="L78" s="131"/>
      <c r="M78" s="132"/>
      <c r="N78" s="133"/>
      <c r="O78" s="32"/>
      <c r="P78" s="159"/>
      <c r="Q78" s="32"/>
      <c r="R78" s="14"/>
      <c r="S78" s="14"/>
      <c r="T78" s="14"/>
      <c r="U78" s="14"/>
      <c r="V78" s="110"/>
      <c r="X78" s="11"/>
      <c r="Y78" s="11"/>
      <c r="Z78" s="108"/>
    </row>
    <row r="79" spans="2:28" ht="16.5" customHeight="1" thickBot="1" x14ac:dyDescent="0.3">
      <c r="B79" s="120"/>
      <c r="C79" s="124"/>
      <c r="D79" s="121"/>
      <c r="E79" s="32"/>
      <c r="F79" s="120"/>
      <c r="G79" s="124"/>
      <c r="H79" s="121"/>
      <c r="I79" s="14"/>
      <c r="J79" s="134" t="e">
        <f ca="1">MAX(D73:D77,H73:H77)</f>
        <v>#REF!</v>
      </c>
      <c r="L79" s="135">
        <f>L78</f>
        <v>0</v>
      </c>
      <c r="M79" s="136">
        <f>M78</f>
        <v>0</v>
      </c>
      <c r="N79" s="129"/>
      <c r="O79" s="32"/>
      <c r="P79" s="10"/>
      <c r="Q79" s="32"/>
      <c r="R79" s="14"/>
      <c r="S79" s="14"/>
      <c r="T79" s="14"/>
      <c r="U79" s="14"/>
      <c r="V79" s="110"/>
      <c r="X79" s="111"/>
      <c r="Y79" s="111"/>
      <c r="Z79" s="108"/>
    </row>
    <row r="80" spans="2:28" ht="16.5" customHeight="1" thickBot="1" x14ac:dyDescent="0.3"/>
    <row r="81" spans="2:28" x14ac:dyDescent="0.25">
      <c r="B81" s="315" t="s">
        <v>30</v>
      </c>
      <c r="C81" s="316"/>
      <c r="D81" s="317"/>
      <c r="E81" s="6"/>
      <c r="F81" s="315" t="str">
        <f>B81</f>
        <v>S_NC1</v>
      </c>
      <c r="G81" s="316"/>
      <c r="H81" s="317"/>
      <c r="I81" s="6"/>
      <c r="J81" s="159"/>
      <c r="L81" s="318" t="str">
        <f>F81</f>
        <v>S_NC1</v>
      </c>
      <c r="M81" s="319"/>
      <c r="N81" s="320"/>
      <c r="O81" s="297"/>
      <c r="P81" s="159"/>
      <c r="U81" s="155"/>
      <c r="V81" s="155"/>
      <c r="X81" s="313"/>
      <c r="Y81" s="301"/>
      <c r="Z81" s="301"/>
    </row>
    <row r="82" spans="2:28" x14ac:dyDescent="0.25">
      <c r="B82" s="321" t="s">
        <v>39</v>
      </c>
      <c r="C82" s="322"/>
      <c r="D82" s="116" t="s">
        <v>40</v>
      </c>
      <c r="E82" s="32"/>
      <c r="F82" s="321" t="s">
        <v>39</v>
      </c>
      <c r="G82" s="322"/>
      <c r="H82" s="116" t="s">
        <v>40</v>
      </c>
      <c r="I82" s="14"/>
      <c r="J82" s="160" t="s">
        <v>41</v>
      </c>
      <c r="L82" s="323" t="s">
        <v>54</v>
      </c>
      <c r="M82" s="313"/>
      <c r="N82" s="324"/>
      <c r="O82" s="112"/>
      <c r="P82" s="7"/>
      <c r="R82" s="314"/>
      <c r="S82" s="301"/>
      <c r="T82" s="301"/>
      <c r="U82" s="156"/>
      <c r="V82" s="156"/>
      <c r="X82" s="314"/>
      <c r="Y82" s="301"/>
      <c r="Z82" s="301"/>
    </row>
    <row r="83" spans="2:28" x14ac:dyDescent="0.25">
      <c r="B83" s="293" t="s">
        <v>2</v>
      </c>
      <c r="C83" s="177" t="s">
        <v>43</v>
      </c>
      <c r="D83" s="115" t="s">
        <v>44</v>
      </c>
      <c r="E83" s="32"/>
      <c r="F83" s="293" t="s">
        <v>2</v>
      </c>
      <c r="G83" s="177" t="s">
        <v>43</v>
      </c>
      <c r="H83" s="115" t="s">
        <v>44</v>
      </c>
      <c r="I83" s="14"/>
      <c r="J83" s="125"/>
      <c r="L83" s="294" t="str">
        <f>CONCATENATE(B$2," ",L81)</f>
        <v>Anchor S_NC1</v>
      </c>
      <c r="M83" s="295" t="str">
        <f>CONCATENATE(F$2," ",L81)</f>
        <v>Proposal S_NC1</v>
      </c>
      <c r="N83" s="296" t="s">
        <v>45</v>
      </c>
      <c r="O83" s="6"/>
      <c r="P83" s="7" t="s">
        <v>36</v>
      </c>
      <c r="Q83" s="6"/>
      <c r="R83" s="6"/>
      <c r="S83" s="6"/>
      <c r="T83" s="6"/>
      <c r="U83" s="6"/>
      <c r="V83" s="6"/>
      <c r="X83" s="297"/>
      <c r="Y83" s="297"/>
      <c r="Z83" s="297"/>
    </row>
    <row r="84" spans="2:28" x14ac:dyDescent="0.25">
      <c r="B84" s="166" t="str">
        <f>B81</f>
        <v>S_NC1</v>
      </c>
      <c r="C84" s="177" t="s">
        <v>46</v>
      </c>
      <c r="D84" s="118" t="e">
        <f ca="1">0.001*INDIRECT($B84&amp;"!E5")</f>
        <v>#REF!</v>
      </c>
      <c r="E84" s="32"/>
      <c r="F84" s="166" t="str">
        <f>F81</f>
        <v>S_NC1</v>
      </c>
      <c r="G84" s="177" t="s">
        <v>46</v>
      </c>
      <c r="H84" s="118" t="e">
        <f ca="1">0.001*INDIRECT($B84&amp;"!W5")</f>
        <v>#REF!</v>
      </c>
      <c r="I84" s="14"/>
      <c r="J84" s="33" t="e">
        <f ca="1">H84/D84-1</f>
        <v>#REF!</v>
      </c>
      <c r="L84" s="126" t="e">
        <f ca="1">INDIRECT($B84&amp;"!"&amp;L$3&amp;"5")</f>
        <v>#REF!</v>
      </c>
      <c r="M84" s="127" t="e">
        <f ca="1">INDIRECT($B84&amp;"!"&amp;M$3&amp;"5")</f>
        <v>#REF!</v>
      </c>
      <c r="N84" s="128" t="e">
        <f ca="1">M84-L84</f>
        <v>#REF!</v>
      </c>
      <c r="O84" s="32"/>
      <c r="P84" s="33" t="e">
        <f ca="1">bdrate(D84:D88,L84:L88,H84:H88,M84:M88)</f>
        <v>#VALUE!</v>
      </c>
      <c r="Q84" s="32"/>
      <c r="R84" s="14"/>
      <c r="S84" s="14"/>
      <c r="T84" s="14"/>
      <c r="U84" s="14"/>
      <c r="V84" s="107"/>
      <c r="X84" s="11"/>
      <c r="Y84" s="11"/>
      <c r="Z84" s="108"/>
      <c r="AB84" s="109"/>
    </row>
    <row r="85" spans="2:28" x14ac:dyDescent="0.25">
      <c r="B85" s="166" t="str">
        <f>B84</f>
        <v>S_NC1</v>
      </c>
      <c r="C85" s="177" t="s">
        <v>47</v>
      </c>
      <c r="D85" s="118" t="e">
        <f ca="1">0.001*INDIRECT($B85&amp;"!E6")</f>
        <v>#REF!</v>
      </c>
      <c r="E85" s="32"/>
      <c r="F85" s="166" t="str">
        <f>F84</f>
        <v>S_NC1</v>
      </c>
      <c r="G85" s="177" t="s">
        <v>47</v>
      </c>
      <c r="H85" s="118" t="e">
        <f ca="1">0.001*INDIRECT($B85&amp;"!W6")</f>
        <v>#REF!</v>
      </c>
      <c r="I85" s="14"/>
      <c r="J85" s="33" t="e">
        <f ca="1">H85/D85-1</f>
        <v>#REF!</v>
      </c>
      <c r="L85" s="126" t="e">
        <f ca="1">INDIRECT($B85&amp;"!"&amp;L$3&amp;"6")</f>
        <v>#REF!</v>
      </c>
      <c r="M85" s="127" t="e">
        <f ca="1">INDIRECT($B85&amp;"!"&amp;M$3&amp;"6")</f>
        <v>#REF!</v>
      </c>
      <c r="N85" s="128" t="e">
        <f ca="1">M85-L85</f>
        <v>#REF!</v>
      </c>
      <c r="O85" s="32"/>
      <c r="P85" s="7"/>
      <c r="Q85" s="32"/>
      <c r="R85" s="14"/>
      <c r="S85" s="14"/>
      <c r="T85" s="14"/>
      <c r="U85" s="14"/>
      <c r="V85" s="107"/>
      <c r="X85" s="11"/>
      <c r="Y85" s="11"/>
      <c r="Z85" s="108"/>
    </row>
    <row r="86" spans="2:28" x14ac:dyDescent="0.25">
      <c r="B86" s="166" t="str">
        <f>B85</f>
        <v>S_NC1</v>
      </c>
      <c r="C86" s="177" t="s">
        <v>48</v>
      </c>
      <c r="D86" s="118" t="e">
        <f ca="1">0.001*INDIRECT($B86&amp;"!E7")</f>
        <v>#REF!</v>
      </c>
      <c r="E86" s="32"/>
      <c r="F86" s="166" t="str">
        <f>F85</f>
        <v>S_NC1</v>
      </c>
      <c r="G86" s="177" t="s">
        <v>48</v>
      </c>
      <c r="H86" s="118" t="e">
        <f ca="1">0.001*INDIRECT($B86&amp;"!W7")</f>
        <v>#REF!</v>
      </c>
      <c r="I86" s="14"/>
      <c r="J86" s="33" t="e">
        <f ca="1">H86/D86-1</f>
        <v>#REF!</v>
      </c>
      <c r="L86" s="126" t="e">
        <f ca="1">INDIRECT($B86&amp;"!"&amp;L$3&amp;"7")</f>
        <v>#REF!</v>
      </c>
      <c r="M86" s="127" t="e">
        <f ca="1">INDIRECT($B86&amp;"!"&amp;M$3&amp;"7")</f>
        <v>#REF!</v>
      </c>
      <c r="N86" s="128" t="e">
        <f ca="1">M86-L86</f>
        <v>#REF!</v>
      </c>
      <c r="O86" s="32"/>
      <c r="P86" s="7" t="s">
        <v>49</v>
      </c>
      <c r="Q86" s="32"/>
      <c r="R86" s="14"/>
      <c r="S86" s="14"/>
      <c r="T86" s="14"/>
      <c r="U86" s="14"/>
      <c r="V86" s="107"/>
      <c r="X86" s="11"/>
      <c r="Y86" s="11"/>
      <c r="Z86" s="108"/>
    </row>
    <row r="87" spans="2:28" x14ac:dyDescent="0.25">
      <c r="B87" s="166" t="str">
        <f>B86</f>
        <v>S_NC1</v>
      </c>
      <c r="C87" s="177" t="s">
        <v>50</v>
      </c>
      <c r="D87" s="118" t="e">
        <f ca="1">0.001*INDIRECT($B87&amp;"!E8")</f>
        <v>#REF!</v>
      </c>
      <c r="E87" s="32"/>
      <c r="F87" s="166" t="str">
        <f>F86</f>
        <v>S_NC1</v>
      </c>
      <c r="G87" s="177" t="s">
        <v>50</v>
      </c>
      <c r="H87" s="118" t="e">
        <f ca="1">0.001*INDIRECT($B87&amp;"!W8")</f>
        <v>#REF!</v>
      </c>
      <c r="I87" s="14"/>
      <c r="J87" s="33" t="e">
        <f ca="1">H87/D87-1</f>
        <v>#REF!</v>
      </c>
      <c r="L87" s="126" t="e">
        <f ca="1">INDIRECT($B87&amp;"!"&amp;L$3&amp;"8")</f>
        <v>#REF!</v>
      </c>
      <c r="M87" s="127" t="e">
        <f ca="1">INDIRECT($B87&amp;"!"&amp;M$3&amp;"8")</f>
        <v>#REF!</v>
      </c>
      <c r="N87" s="128" t="e">
        <f ca="1">M87-L87</f>
        <v>#REF!</v>
      </c>
      <c r="O87" s="32"/>
      <c r="P87" s="268" t="e">
        <f ca="1">bdrate(L84:L88,D84:D88,M84:M88,H84:H88)</f>
        <v>#VALUE!</v>
      </c>
      <c r="Q87" s="32"/>
      <c r="R87" s="14"/>
      <c r="S87" s="14"/>
      <c r="T87" s="14"/>
      <c r="U87" s="14"/>
      <c r="V87" s="107"/>
      <c r="X87" s="11"/>
      <c r="Y87" s="11"/>
      <c r="Z87" s="108"/>
    </row>
    <row r="88" spans="2:28" ht="16.5" customHeight="1" thickBot="1" x14ac:dyDescent="0.3">
      <c r="B88" s="120" t="str">
        <f>B87</f>
        <v>S_NC1</v>
      </c>
      <c r="C88" s="178" t="s">
        <v>51</v>
      </c>
      <c r="D88" s="121" t="e">
        <f ca="1">0.001*INDIRECT($B88&amp;"!E9")</f>
        <v>#REF!</v>
      </c>
      <c r="E88" s="32"/>
      <c r="F88" s="120" t="str">
        <f>F87</f>
        <v>S_NC1</v>
      </c>
      <c r="G88" s="178" t="s">
        <v>51</v>
      </c>
      <c r="H88" s="118" t="e">
        <f ca="1">0.001*INDIRECT($B88&amp;"!W9")</f>
        <v>#REF!</v>
      </c>
      <c r="I88" s="14"/>
      <c r="J88" s="33" t="e">
        <f ca="1">H88/D88-1</f>
        <v>#REF!</v>
      </c>
      <c r="L88" s="126" t="e">
        <f ca="1">INDIRECT($B88&amp;"!"&amp;L$3&amp;"9")</f>
        <v>#REF!</v>
      </c>
      <c r="M88" s="127" t="e">
        <f ca="1">INDIRECT($B88&amp;"!"&amp;M$3&amp;"9")</f>
        <v>#REF!</v>
      </c>
      <c r="N88" s="129" t="e">
        <f ca="1">M88-L88</f>
        <v>#REF!</v>
      </c>
      <c r="O88" s="32"/>
      <c r="P88" s="37"/>
      <c r="Q88" s="32"/>
      <c r="R88" s="14"/>
      <c r="S88" s="14"/>
      <c r="T88" s="14"/>
      <c r="U88" s="14"/>
      <c r="V88" s="107"/>
      <c r="X88" s="11"/>
      <c r="Y88" s="11"/>
      <c r="Z88" s="108"/>
      <c r="AB88" s="109"/>
    </row>
    <row r="89" spans="2:28" ht="16.5" customHeight="1" x14ac:dyDescent="0.25">
      <c r="B89" s="152"/>
      <c r="C89" s="153"/>
      <c r="D89" s="123"/>
      <c r="F89" s="152"/>
      <c r="G89" s="153"/>
      <c r="H89" s="123"/>
      <c r="J89" s="130" t="e">
        <f ca="1">MIN(D84:D88,H84:H88)</f>
        <v>#REF!</v>
      </c>
      <c r="L89" s="131"/>
      <c r="M89" s="132"/>
      <c r="N89" s="133"/>
      <c r="O89" s="32"/>
      <c r="P89" s="159"/>
      <c r="Q89" s="32"/>
      <c r="R89" s="14"/>
      <c r="S89" s="14"/>
      <c r="T89" s="14"/>
      <c r="U89" s="14"/>
      <c r="V89" s="110"/>
      <c r="X89" s="11"/>
      <c r="Y89" s="11"/>
      <c r="Z89" s="108"/>
    </row>
    <row r="90" spans="2:28" ht="16.5" customHeight="1" thickBot="1" x14ac:dyDescent="0.3">
      <c r="B90" s="120"/>
      <c r="C90" s="124"/>
      <c r="D90" s="121"/>
      <c r="E90" s="32"/>
      <c r="F90" s="120"/>
      <c r="G90" s="124"/>
      <c r="H90" s="121"/>
      <c r="I90" s="14"/>
      <c r="J90" s="134" t="e">
        <f ca="1">MAX(D84:D88,H84:H88)</f>
        <v>#REF!</v>
      </c>
      <c r="L90" s="135">
        <f>L89</f>
        <v>0</v>
      </c>
      <c r="M90" s="136">
        <f>M89</f>
        <v>0</v>
      </c>
      <c r="N90" s="129"/>
      <c r="O90" s="32"/>
      <c r="P90" s="10"/>
      <c r="Q90" s="32"/>
      <c r="R90" s="14"/>
      <c r="S90" s="14"/>
      <c r="T90" s="14"/>
      <c r="U90" s="14"/>
      <c r="V90" s="110"/>
      <c r="X90" s="111"/>
      <c r="Y90" s="111"/>
      <c r="Z90" s="108"/>
    </row>
    <row r="91" spans="2:28" ht="16.5" customHeight="1" thickBot="1" x14ac:dyDescent="0.3"/>
    <row r="92" spans="2:28" x14ac:dyDescent="0.25">
      <c r="B92" s="315" t="s">
        <v>31</v>
      </c>
      <c r="C92" s="316"/>
      <c r="D92" s="317"/>
      <c r="E92" s="6"/>
      <c r="F92" s="315" t="str">
        <f>B92</f>
        <v>S_NC2</v>
      </c>
      <c r="G92" s="316"/>
      <c r="H92" s="317"/>
      <c r="I92" s="6"/>
      <c r="J92" s="159"/>
      <c r="L92" s="318" t="str">
        <f>F92</f>
        <v>S_NC2</v>
      </c>
      <c r="M92" s="319"/>
      <c r="N92" s="320"/>
      <c r="O92" s="297"/>
      <c r="P92" s="159"/>
      <c r="U92" s="155"/>
      <c r="V92" s="155"/>
      <c r="X92" s="313"/>
      <c r="Y92" s="301"/>
      <c r="Z92" s="301"/>
    </row>
    <row r="93" spans="2:28" x14ac:dyDescent="0.25">
      <c r="B93" s="321" t="s">
        <v>39</v>
      </c>
      <c r="C93" s="322"/>
      <c r="D93" s="116" t="s">
        <v>40</v>
      </c>
      <c r="E93" s="32"/>
      <c r="F93" s="321" t="s">
        <v>39</v>
      </c>
      <c r="G93" s="322"/>
      <c r="H93" s="116" t="s">
        <v>40</v>
      </c>
      <c r="I93" s="14"/>
      <c r="J93" s="160" t="s">
        <v>41</v>
      </c>
      <c r="L93" s="323" t="s">
        <v>54</v>
      </c>
      <c r="M93" s="313"/>
      <c r="N93" s="324"/>
      <c r="O93" s="112"/>
      <c r="P93" s="7"/>
      <c r="R93" s="314"/>
      <c r="S93" s="301"/>
      <c r="T93" s="301"/>
      <c r="U93" s="156"/>
      <c r="V93" s="156"/>
      <c r="X93" s="314"/>
      <c r="Y93" s="301"/>
      <c r="Z93" s="301"/>
    </row>
    <row r="94" spans="2:28" x14ac:dyDescent="0.25">
      <c r="B94" s="293" t="s">
        <v>2</v>
      </c>
      <c r="C94" s="177" t="s">
        <v>43</v>
      </c>
      <c r="D94" s="115" t="s">
        <v>44</v>
      </c>
      <c r="E94" s="32"/>
      <c r="F94" s="293" t="s">
        <v>2</v>
      </c>
      <c r="G94" s="177" t="s">
        <v>43</v>
      </c>
      <c r="H94" s="115" t="s">
        <v>44</v>
      </c>
      <c r="I94" s="14"/>
      <c r="J94" s="125"/>
      <c r="L94" s="294" t="str">
        <f>CONCATENATE(B$2," ",L92)</f>
        <v>Anchor S_NC2</v>
      </c>
      <c r="M94" s="295" t="str">
        <f>CONCATENATE(F$2," ",L92)</f>
        <v>Proposal S_NC2</v>
      </c>
      <c r="N94" s="296" t="s">
        <v>45</v>
      </c>
      <c r="O94" s="6"/>
      <c r="P94" s="7" t="s">
        <v>36</v>
      </c>
      <c r="Q94" s="6"/>
      <c r="R94" s="6"/>
      <c r="S94" s="6"/>
      <c r="T94" s="6"/>
      <c r="U94" s="6"/>
      <c r="V94" s="6"/>
      <c r="X94" s="297"/>
      <c r="Y94" s="297"/>
      <c r="Z94" s="297"/>
    </row>
    <row r="95" spans="2:28" x14ac:dyDescent="0.25">
      <c r="B95" s="166" t="str">
        <f>B92</f>
        <v>S_NC2</v>
      </c>
      <c r="C95" s="177" t="s">
        <v>46</v>
      </c>
      <c r="D95" s="118" t="e">
        <f ca="1">0.001*INDIRECT($B95&amp;"!E5")</f>
        <v>#REF!</v>
      </c>
      <c r="E95" s="32"/>
      <c r="F95" s="166" t="str">
        <f>F92</f>
        <v>S_NC2</v>
      </c>
      <c r="G95" s="177" t="s">
        <v>46</v>
      </c>
      <c r="H95" s="118" t="e">
        <f ca="1">0.001*INDIRECT($B95&amp;"!W5")</f>
        <v>#REF!</v>
      </c>
      <c r="I95" s="14"/>
      <c r="J95" s="33" t="e">
        <f ca="1">H95/D95-1</f>
        <v>#REF!</v>
      </c>
      <c r="L95" s="126" t="e">
        <f ca="1">INDIRECT($B95&amp;"!"&amp;L$3&amp;"5")</f>
        <v>#REF!</v>
      </c>
      <c r="M95" s="127" t="e">
        <f ca="1">INDIRECT($B95&amp;"!"&amp;M$3&amp;"5")</f>
        <v>#REF!</v>
      </c>
      <c r="N95" s="128" t="e">
        <f ca="1">M95-L95</f>
        <v>#REF!</v>
      </c>
      <c r="O95" s="32"/>
      <c r="P95" s="33" t="e">
        <f ca="1">bdrate(D95:D99,L95:L99,H95:H99,M95:M99)</f>
        <v>#VALUE!</v>
      </c>
      <c r="Q95" s="32"/>
      <c r="R95" s="14"/>
      <c r="S95" s="14"/>
      <c r="T95" s="14"/>
      <c r="U95" s="14"/>
      <c r="V95" s="107"/>
      <c r="X95" s="11"/>
      <c r="Y95" s="11"/>
      <c r="Z95" s="108"/>
      <c r="AB95" s="109"/>
    </row>
    <row r="96" spans="2:28" x14ac:dyDescent="0.25">
      <c r="B96" s="166" t="str">
        <f>B95</f>
        <v>S_NC2</v>
      </c>
      <c r="C96" s="177" t="s">
        <v>47</v>
      </c>
      <c r="D96" s="118" t="e">
        <f ca="1">0.001*INDIRECT($B96&amp;"!E6")</f>
        <v>#REF!</v>
      </c>
      <c r="E96" s="32"/>
      <c r="F96" s="166" t="str">
        <f>F95</f>
        <v>S_NC2</v>
      </c>
      <c r="G96" s="177" t="s">
        <v>47</v>
      </c>
      <c r="H96" s="118" t="e">
        <f ca="1">0.001*INDIRECT($B96&amp;"!W6")</f>
        <v>#REF!</v>
      </c>
      <c r="I96" s="14"/>
      <c r="J96" s="33" t="e">
        <f ca="1">H96/D96-1</f>
        <v>#REF!</v>
      </c>
      <c r="L96" s="126" t="e">
        <f ca="1">INDIRECT($B96&amp;"!"&amp;L$3&amp;"6")</f>
        <v>#REF!</v>
      </c>
      <c r="M96" s="127" t="e">
        <f ca="1">INDIRECT($B96&amp;"!"&amp;M$3&amp;"6")</f>
        <v>#REF!</v>
      </c>
      <c r="N96" s="128" t="e">
        <f ca="1">M96-L96</f>
        <v>#REF!</v>
      </c>
      <c r="O96" s="32"/>
      <c r="P96" s="7"/>
      <c r="Q96" s="32"/>
      <c r="R96" s="14"/>
      <c r="S96" s="14"/>
      <c r="T96" s="14"/>
      <c r="U96" s="14"/>
      <c r="V96" s="107"/>
      <c r="X96" s="11"/>
      <c r="Y96" s="11"/>
      <c r="Z96" s="108"/>
    </row>
    <row r="97" spans="2:28" x14ac:dyDescent="0.25">
      <c r="B97" s="166" t="str">
        <f>B96</f>
        <v>S_NC2</v>
      </c>
      <c r="C97" s="177" t="s">
        <v>48</v>
      </c>
      <c r="D97" s="118" t="e">
        <f ca="1">0.001*INDIRECT($B97&amp;"!E7")</f>
        <v>#REF!</v>
      </c>
      <c r="E97" s="32"/>
      <c r="F97" s="166" t="str">
        <f>F96</f>
        <v>S_NC2</v>
      </c>
      <c r="G97" s="177" t="s">
        <v>48</v>
      </c>
      <c r="H97" s="118" t="e">
        <f ca="1">0.001*INDIRECT($B97&amp;"!W7")</f>
        <v>#REF!</v>
      </c>
      <c r="I97" s="14"/>
      <c r="J97" s="33" t="e">
        <f ca="1">H97/D97-1</f>
        <v>#REF!</v>
      </c>
      <c r="L97" s="126" t="e">
        <f ca="1">INDIRECT($B97&amp;"!"&amp;L$3&amp;"7")</f>
        <v>#REF!</v>
      </c>
      <c r="M97" s="127" t="e">
        <f ca="1">INDIRECT($B97&amp;"!"&amp;M$3&amp;"7")</f>
        <v>#REF!</v>
      </c>
      <c r="N97" s="128" t="e">
        <f ca="1">M97-L97</f>
        <v>#REF!</v>
      </c>
      <c r="O97" s="32"/>
      <c r="P97" s="7" t="s">
        <v>49</v>
      </c>
      <c r="Q97" s="32"/>
      <c r="R97" s="14"/>
      <c r="S97" s="14"/>
      <c r="T97" s="14"/>
      <c r="U97" s="14"/>
      <c r="V97" s="107"/>
      <c r="X97" s="11"/>
      <c r="Y97" s="11"/>
      <c r="Z97" s="108"/>
    </row>
    <row r="98" spans="2:28" x14ac:dyDescent="0.25">
      <c r="B98" s="166" t="str">
        <f>B97</f>
        <v>S_NC2</v>
      </c>
      <c r="C98" s="177" t="s">
        <v>50</v>
      </c>
      <c r="D98" s="118" t="e">
        <f ca="1">0.001*INDIRECT($B98&amp;"!E8")</f>
        <v>#REF!</v>
      </c>
      <c r="E98" s="32"/>
      <c r="F98" s="166" t="str">
        <f>F97</f>
        <v>S_NC2</v>
      </c>
      <c r="G98" s="177" t="s">
        <v>50</v>
      </c>
      <c r="H98" s="118" t="e">
        <f ca="1">0.001*INDIRECT($B98&amp;"!W8")</f>
        <v>#REF!</v>
      </c>
      <c r="I98" s="14"/>
      <c r="J98" s="33" t="e">
        <f ca="1">H98/D98-1</f>
        <v>#REF!</v>
      </c>
      <c r="L98" s="126" t="e">
        <f ca="1">INDIRECT($B98&amp;"!"&amp;L$3&amp;"8")</f>
        <v>#REF!</v>
      </c>
      <c r="M98" s="127" t="e">
        <f ca="1">INDIRECT($B98&amp;"!"&amp;M$3&amp;"8")</f>
        <v>#REF!</v>
      </c>
      <c r="N98" s="128" t="e">
        <f ca="1">M98-L98</f>
        <v>#REF!</v>
      </c>
      <c r="O98" s="32"/>
      <c r="P98" s="268" t="e">
        <f ca="1">bdrate(L95:L99,D95:D99,M95:M99,H95:H99)</f>
        <v>#VALUE!</v>
      </c>
      <c r="Q98" s="32"/>
      <c r="R98" s="14"/>
      <c r="S98" s="14"/>
      <c r="T98" s="14"/>
      <c r="U98" s="14"/>
      <c r="V98" s="107"/>
      <c r="X98" s="11"/>
      <c r="Y98" s="11"/>
      <c r="Z98" s="108"/>
    </row>
    <row r="99" spans="2:28" ht="16.5" customHeight="1" thickBot="1" x14ac:dyDescent="0.3">
      <c r="B99" s="120" t="str">
        <f>B98</f>
        <v>S_NC2</v>
      </c>
      <c r="C99" s="178" t="s">
        <v>51</v>
      </c>
      <c r="D99" s="121" t="e">
        <f ca="1">0.001*INDIRECT($B99&amp;"!E9")</f>
        <v>#REF!</v>
      </c>
      <c r="E99" s="32"/>
      <c r="F99" s="120" t="str">
        <f>F98</f>
        <v>S_NC2</v>
      </c>
      <c r="G99" s="178" t="s">
        <v>51</v>
      </c>
      <c r="H99" s="118" t="e">
        <f ca="1">0.001*INDIRECT($B99&amp;"!W9")</f>
        <v>#REF!</v>
      </c>
      <c r="I99" s="14"/>
      <c r="J99" s="33" t="e">
        <f ca="1">H99/D99-1</f>
        <v>#REF!</v>
      </c>
      <c r="L99" s="126" t="e">
        <f ca="1">INDIRECT($B99&amp;"!"&amp;L$3&amp;"9")</f>
        <v>#REF!</v>
      </c>
      <c r="M99" s="127" t="e">
        <f ca="1">INDIRECT($B99&amp;"!"&amp;M$3&amp;"9")</f>
        <v>#REF!</v>
      </c>
      <c r="N99" s="129" t="e">
        <f ca="1">M99-L99</f>
        <v>#REF!</v>
      </c>
      <c r="O99" s="32"/>
      <c r="P99" s="37"/>
      <c r="Q99" s="32"/>
      <c r="R99" s="14"/>
      <c r="S99" s="14"/>
      <c r="T99" s="14"/>
      <c r="U99" s="14"/>
      <c r="V99" s="107"/>
      <c r="X99" s="11"/>
      <c r="Y99" s="11"/>
      <c r="Z99" s="108"/>
      <c r="AB99" s="109"/>
    </row>
    <row r="100" spans="2:28" ht="16.5" customHeight="1" x14ac:dyDescent="0.25">
      <c r="B100" s="152"/>
      <c r="C100" s="153"/>
      <c r="D100" s="123"/>
      <c r="F100" s="152"/>
      <c r="G100" s="153"/>
      <c r="H100" s="123"/>
      <c r="J100" s="130" t="e">
        <f ca="1">MIN(D95:D99,H95:H99)</f>
        <v>#REF!</v>
      </c>
      <c r="L100" s="131"/>
      <c r="M100" s="132"/>
      <c r="N100" s="133"/>
      <c r="O100" s="32"/>
      <c r="P100" s="159"/>
      <c r="Q100" s="32"/>
      <c r="R100" s="14"/>
      <c r="S100" s="14"/>
      <c r="T100" s="14"/>
      <c r="U100" s="14"/>
      <c r="V100" s="110"/>
      <c r="X100" s="11"/>
      <c r="Y100" s="11"/>
      <c r="Z100" s="108"/>
    </row>
    <row r="101" spans="2:28" ht="16.5" customHeight="1" thickBot="1" x14ac:dyDescent="0.3">
      <c r="B101" s="120"/>
      <c r="C101" s="124"/>
      <c r="D101" s="121"/>
      <c r="E101" s="32"/>
      <c r="F101" s="120"/>
      <c r="G101" s="124"/>
      <c r="H101" s="121"/>
      <c r="I101" s="14"/>
      <c r="J101" s="134" t="e">
        <f ca="1">MAX(D95:D99,H95:H99)</f>
        <v>#REF!</v>
      </c>
      <c r="L101" s="135">
        <f>L100</f>
        <v>0</v>
      </c>
      <c r="M101" s="136">
        <f>M100</f>
        <v>0</v>
      </c>
      <c r="N101" s="129"/>
      <c r="O101" s="32"/>
      <c r="P101" s="10"/>
      <c r="Q101" s="32"/>
      <c r="R101" s="14"/>
      <c r="S101" s="14"/>
      <c r="T101" s="14"/>
      <c r="U101" s="14"/>
      <c r="V101" s="110"/>
      <c r="X101" s="111"/>
      <c r="Y101" s="111"/>
      <c r="Z101" s="108"/>
    </row>
    <row r="102" spans="2:28" ht="16.5" customHeight="1" x14ac:dyDescent="0.25"/>
    <row r="103" spans="2:28" x14ac:dyDescent="0.25">
      <c r="B103" s="297"/>
      <c r="C103" s="297"/>
      <c r="D103" s="6"/>
      <c r="E103" s="6"/>
      <c r="F103" s="6"/>
      <c r="G103" s="6"/>
      <c r="H103" s="6"/>
      <c r="I103" s="6"/>
      <c r="J103" s="6"/>
      <c r="L103" s="312"/>
      <c r="M103" s="301"/>
      <c r="N103" s="301"/>
      <c r="O103" s="301"/>
      <c r="P103" s="301"/>
      <c r="Q103" s="301"/>
      <c r="R103" s="301"/>
      <c r="S103" s="301"/>
      <c r="T103" s="301"/>
      <c r="U103" s="155"/>
      <c r="V103" s="155"/>
      <c r="X103" s="313"/>
      <c r="Y103" s="301"/>
      <c r="Z103" s="301"/>
    </row>
    <row r="104" spans="2:28" x14ac:dyDescent="0.25">
      <c r="B104" s="70"/>
      <c r="C104" s="297"/>
      <c r="D104" s="32"/>
      <c r="E104" s="32"/>
      <c r="F104" s="32"/>
      <c r="G104" s="32"/>
      <c r="H104" s="14"/>
      <c r="I104" s="14"/>
      <c r="J104" s="14"/>
      <c r="L104" s="314"/>
      <c r="M104" s="301"/>
      <c r="N104" s="314"/>
      <c r="O104" s="301"/>
      <c r="P104" s="301"/>
      <c r="Q104" s="301"/>
      <c r="R104" s="314"/>
      <c r="S104" s="301"/>
      <c r="T104" s="301"/>
      <c r="U104" s="156"/>
      <c r="V104" s="156"/>
      <c r="X104" s="314"/>
      <c r="Y104" s="301"/>
      <c r="Z104" s="301"/>
    </row>
    <row r="105" spans="2:28" x14ac:dyDescent="0.25">
      <c r="B105" s="70"/>
      <c r="C105" s="297"/>
      <c r="D105" s="32"/>
      <c r="E105" s="32"/>
      <c r="F105" s="32"/>
      <c r="G105" s="32"/>
      <c r="H105" s="14"/>
      <c r="I105" s="14"/>
      <c r="J105" s="14"/>
      <c r="L105" s="297"/>
      <c r="M105" s="297"/>
      <c r="N105" s="6"/>
      <c r="O105" s="6"/>
      <c r="P105" s="6"/>
      <c r="Q105" s="6"/>
      <c r="R105" s="6"/>
      <c r="S105" s="6"/>
      <c r="T105" s="6"/>
      <c r="U105" s="6"/>
      <c r="V105" s="6"/>
      <c r="X105" s="297"/>
      <c r="Y105" s="297"/>
      <c r="Z105" s="297"/>
    </row>
    <row r="106" spans="2:28" x14ac:dyDescent="0.25">
      <c r="B106" s="70"/>
      <c r="C106" s="297"/>
      <c r="D106" s="32"/>
      <c r="E106" s="32"/>
      <c r="F106" s="32"/>
      <c r="G106" s="32"/>
      <c r="H106" s="14"/>
      <c r="I106" s="14"/>
      <c r="J106" s="14"/>
      <c r="L106" s="70"/>
      <c r="M106" s="297"/>
      <c r="N106" s="32"/>
      <c r="O106" s="32"/>
      <c r="P106" s="32"/>
      <c r="Q106" s="32"/>
      <c r="R106" s="14"/>
      <c r="S106" s="14"/>
      <c r="T106" s="14"/>
      <c r="U106" s="14"/>
      <c r="V106" s="107"/>
      <c r="X106" s="11"/>
      <c r="Y106" s="11"/>
      <c r="Z106" s="108"/>
      <c r="AB106" s="109"/>
    </row>
    <row r="107" spans="2:28" x14ac:dyDescent="0.25">
      <c r="B107" s="70"/>
      <c r="C107" s="297"/>
      <c r="D107" s="32"/>
      <c r="E107" s="32"/>
      <c r="F107" s="32"/>
      <c r="G107" s="32"/>
      <c r="H107" s="14"/>
      <c r="I107" s="14"/>
      <c r="J107" s="14"/>
      <c r="L107" s="70"/>
      <c r="M107" s="297"/>
      <c r="N107" s="32"/>
      <c r="O107" s="32"/>
      <c r="P107" s="32"/>
      <c r="Q107" s="32"/>
      <c r="R107" s="14"/>
      <c r="S107" s="14"/>
      <c r="T107" s="14"/>
      <c r="U107" s="14"/>
      <c r="V107" s="107"/>
      <c r="X107" s="11"/>
      <c r="Y107" s="11"/>
      <c r="Z107" s="108"/>
    </row>
    <row r="108" spans="2:28" x14ac:dyDescent="0.25">
      <c r="B108" s="70"/>
      <c r="C108" s="297"/>
      <c r="D108" s="32"/>
      <c r="E108" s="32"/>
      <c r="F108" s="32"/>
      <c r="G108" s="32"/>
      <c r="H108" s="14"/>
      <c r="I108" s="14"/>
      <c r="J108" s="14"/>
      <c r="L108" s="70"/>
      <c r="M108" s="297"/>
      <c r="N108" s="32"/>
      <c r="O108" s="32"/>
      <c r="P108" s="32"/>
      <c r="Q108" s="32"/>
      <c r="R108" s="14"/>
      <c r="S108" s="14"/>
      <c r="T108" s="14"/>
      <c r="U108" s="14"/>
      <c r="V108" s="107"/>
      <c r="X108" s="11"/>
      <c r="Y108" s="11"/>
      <c r="Z108" s="108"/>
    </row>
    <row r="109" spans="2:28" ht="16.5" customHeight="1" x14ac:dyDescent="0.25">
      <c r="B109" s="70"/>
      <c r="D109" s="32"/>
      <c r="E109" s="32"/>
      <c r="F109" s="32"/>
      <c r="G109" s="32"/>
      <c r="H109" s="14"/>
      <c r="I109" s="14"/>
      <c r="J109" s="14"/>
      <c r="L109" s="70"/>
      <c r="M109" s="297"/>
      <c r="N109" s="32"/>
      <c r="O109" s="32"/>
      <c r="P109" s="32"/>
      <c r="Q109" s="32"/>
      <c r="R109" s="14"/>
      <c r="S109" s="14"/>
      <c r="T109" s="14"/>
      <c r="U109" s="14"/>
      <c r="V109" s="107"/>
      <c r="X109" s="11"/>
      <c r="Y109" s="11"/>
      <c r="Z109" s="108"/>
      <c r="AB109" s="109"/>
    </row>
    <row r="110" spans="2:28" ht="16.5" customHeight="1" x14ac:dyDescent="0.25">
      <c r="L110" s="70"/>
      <c r="M110" s="297"/>
      <c r="N110" s="32"/>
      <c r="O110" s="32"/>
      <c r="P110" s="32"/>
      <c r="Q110" s="32"/>
      <c r="R110" s="14"/>
      <c r="S110" s="14"/>
      <c r="T110" s="14"/>
      <c r="U110" s="14"/>
      <c r="V110" s="110"/>
      <c r="X110" s="11"/>
      <c r="Y110" s="11"/>
      <c r="Z110" s="108"/>
    </row>
    <row r="111" spans="2:28" ht="16.5" customHeight="1" x14ac:dyDescent="0.25">
      <c r="B111" s="70"/>
      <c r="D111" s="32"/>
      <c r="E111" s="32"/>
      <c r="F111" s="32"/>
      <c r="G111" s="32"/>
      <c r="H111" s="14"/>
      <c r="I111" s="14"/>
      <c r="J111" s="14"/>
      <c r="L111" s="70"/>
      <c r="M111" s="297"/>
      <c r="N111" s="32"/>
      <c r="O111" s="32"/>
      <c r="P111" s="32"/>
      <c r="Q111" s="32"/>
      <c r="R111" s="14"/>
      <c r="S111" s="14"/>
      <c r="T111" s="14"/>
      <c r="U111" s="14"/>
      <c r="V111" s="110"/>
      <c r="X111" s="111"/>
      <c r="Y111" s="111"/>
      <c r="Z111" s="108"/>
    </row>
    <row r="112" spans="2:28" ht="16.5" customHeight="1" x14ac:dyDescent="0.25"/>
    <row r="116" spans="28:28" x14ac:dyDescent="0.25">
      <c r="AB116" s="109"/>
    </row>
    <row r="119" spans="28:28" ht="16.5" customHeight="1" x14ac:dyDescent="0.25">
      <c r="AB119" s="109"/>
    </row>
    <row r="121" spans="28:28" ht="16.5" customHeight="1" x14ac:dyDescent="0.25"/>
    <row r="122" spans="28:28" ht="16.5" customHeight="1" x14ac:dyDescent="0.25"/>
    <row r="126" spans="28:28" x14ac:dyDescent="0.25">
      <c r="AB126" s="109"/>
    </row>
    <row r="129" spans="28:28" ht="16.5" customHeight="1" x14ac:dyDescent="0.25">
      <c r="AB129" s="109"/>
    </row>
    <row r="131" spans="28:28" ht="16.5" customHeight="1" x14ac:dyDescent="0.25"/>
    <row r="132" spans="28:28" ht="16.5" customHeight="1" x14ac:dyDescent="0.25"/>
    <row r="136" spans="28:28" x14ac:dyDescent="0.25">
      <c r="AB136" s="109"/>
    </row>
    <row r="139" spans="28:28" ht="16.5" customHeight="1" x14ac:dyDescent="0.25">
      <c r="AB139" s="109"/>
    </row>
    <row r="141" spans="28:28" ht="16.5" customHeight="1" x14ac:dyDescent="0.25"/>
    <row r="142" spans="28:28" ht="16.5" customHeight="1" x14ac:dyDescent="0.25"/>
    <row r="146" spans="28:28" x14ac:dyDescent="0.25">
      <c r="AB146" s="109"/>
    </row>
    <row r="149" spans="28:28" ht="16.5" customHeight="1" x14ac:dyDescent="0.25">
      <c r="AB149" s="109"/>
    </row>
    <row r="151" spans="28:28" ht="16.5" customHeight="1" x14ac:dyDescent="0.25"/>
    <row r="152" spans="28:28" ht="16.5" customHeight="1" x14ac:dyDescent="0.25"/>
    <row r="156" spans="28:28" x14ac:dyDescent="0.25">
      <c r="AB156" s="109"/>
    </row>
    <row r="159" spans="28:28" ht="16.5" customHeight="1" x14ac:dyDescent="0.25">
      <c r="AB159" s="109"/>
    </row>
    <row r="161" spans="28:28" ht="16.5" customHeight="1" x14ac:dyDescent="0.25"/>
    <row r="162" spans="28:28" ht="16.5" customHeight="1" x14ac:dyDescent="0.25"/>
    <row r="166" spans="28:28" x14ac:dyDescent="0.25">
      <c r="AB166" s="109"/>
    </row>
    <row r="169" spans="28:28" ht="16.5" customHeight="1" x14ac:dyDescent="0.25">
      <c r="AB169" s="109"/>
    </row>
    <row r="171" spans="28:28" ht="16.5" customHeight="1" x14ac:dyDescent="0.25"/>
    <row r="172" spans="28:28" ht="16.5" customHeight="1" x14ac:dyDescent="0.25"/>
    <row r="176" spans="28:28" x14ac:dyDescent="0.25">
      <c r="AB176" s="109"/>
    </row>
    <row r="179" spans="28:28" ht="16.5" customHeight="1" x14ac:dyDescent="0.25">
      <c r="AB179" s="109"/>
    </row>
    <row r="181" spans="28:28" ht="16.5" customHeight="1" x14ac:dyDescent="0.25"/>
    <row r="182" spans="28:28" ht="16.5" customHeight="1" x14ac:dyDescent="0.25"/>
    <row r="186" spans="28:28" x14ac:dyDescent="0.25">
      <c r="AB186" s="109"/>
    </row>
    <row r="189" spans="28:28" ht="16.5" customHeight="1" x14ac:dyDescent="0.25">
      <c r="AB189" s="109"/>
    </row>
    <row r="191" spans="28:28" ht="16.5" customHeight="1" x14ac:dyDescent="0.25"/>
    <row r="192" spans="28:28" ht="16.5" customHeight="1" x14ac:dyDescent="0.25"/>
    <row r="196" spans="28:28" x14ac:dyDescent="0.25">
      <c r="AB196" s="109"/>
    </row>
    <row r="199" spans="28:28" ht="16.5" customHeight="1" x14ac:dyDescent="0.25">
      <c r="AB199" s="109"/>
    </row>
    <row r="201" spans="28:28" ht="16.5" customHeight="1" x14ac:dyDescent="0.25"/>
    <row r="202" spans="28:28" ht="16.5" customHeight="1" x14ac:dyDescent="0.25"/>
    <row r="206" spans="28:28" x14ac:dyDescent="0.25">
      <c r="AB206" s="109"/>
    </row>
    <row r="209" spans="2:28" ht="16.5" customHeight="1" x14ac:dyDescent="0.25">
      <c r="AB209" s="109"/>
    </row>
    <row r="211" spans="2:28" ht="16.5" customHeight="1" x14ac:dyDescent="0.25"/>
    <row r="212" spans="2:28" ht="16.5" customHeight="1" x14ac:dyDescent="0.25"/>
    <row r="215" spans="2:28" x14ac:dyDescent="0.25">
      <c r="B215" s="297"/>
      <c r="C215" s="297"/>
      <c r="D215" s="6"/>
      <c r="E215" s="6"/>
      <c r="F215" s="6"/>
      <c r="G215" s="6"/>
      <c r="H215" s="6"/>
      <c r="I215" s="6"/>
      <c r="J215" s="6"/>
      <c r="L215" s="297"/>
      <c r="M215" s="297"/>
      <c r="N215" s="6"/>
      <c r="O215" s="6"/>
      <c r="P215" s="6"/>
      <c r="Q215" s="6"/>
      <c r="R215" s="6"/>
      <c r="S215" s="6"/>
      <c r="T215" s="6"/>
      <c r="U215" s="6"/>
      <c r="V215" s="6"/>
      <c r="X215" s="297"/>
      <c r="Y215" s="297"/>
      <c r="Z215" s="297"/>
    </row>
    <row r="216" spans="2:28" x14ac:dyDescent="0.25">
      <c r="B216" s="70"/>
      <c r="C216" s="297"/>
      <c r="D216" s="32"/>
      <c r="E216" s="32"/>
      <c r="F216" s="32"/>
      <c r="G216" s="32"/>
      <c r="H216" s="14"/>
      <c r="I216" s="14"/>
      <c r="J216" s="14"/>
      <c r="L216" s="70"/>
      <c r="M216" s="297"/>
      <c r="N216" s="32"/>
      <c r="O216" s="32"/>
      <c r="P216" s="32"/>
      <c r="Q216" s="32"/>
      <c r="R216" s="14"/>
      <c r="S216" s="14"/>
      <c r="T216" s="14"/>
      <c r="U216" s="14"/>
      <c r="V216" s="107"/>
      <c r="X216" s="11"/>
      <c r="Y216" s="11"/>
      <c r="Z216" s="108"/>
      <c r="AB216" s="109"/>
    </row>
    <row r="217" spans="2:28" x14ac:dyDescent="0.25">
      <c r="B217" s="70"/>
      <c r="C217" s="297"/>
      <c r="D217" s="32"/>
      <c r="E217" s="32"/>
      <c r="F217" s="32"/>
      <c r="G217" s="32"/>
      <c r="H217" s="14"/>
      <c r="I217" s="14"/>
      <c r="J217" s="14"/>
      <c r="L217" s="70"/>
      <c r="M217" s="297"/>
      <c r="N217" s="32"/>
      <c r="O217" s="32"/>
      <c r="P217" s="32"/>
      <c r="Q217" s="32"/>
      <c r="R217" s="14"/>
      <c r="S217" s="14"/>
      <c r="T217" s="14"/>
      <c r="U217" s="14"/>
      <c r="V217" s="107"/>
      <c r="X217" s="11"/>
      <c r="Y217" s="11"/>
      <c r="Z217" s="108"/>
    </row>
    <row r="218" spans="2:28" x14ac:dyDescent="0.25">
      <c r="B218" s="70"/>
      <c r="C218" s="297"/>
      <c r="D218" s="32"/>
      <c r="E218" s="32"/>
      <c r="F218" s="32"/>
      <c r="G218" s="32"/>
      <c r="H218" s="14"/>
      <c r="I218" s="14"/>
      <c r="J218" s="14"/>
      <c r="L218" s="70"/>
      <c r="M218" s="297"/>
      <c r="N218" s="32"/>
      <c r="O218" s="32"/>
      <c r="P218" s="32"/>
      <c r="Q218" s="32"/>
      <c r="R218" s="14"/>
      <c r="S218" s="14"/>
      <c r="T218" s="14"/>
      <c r="U218" s="14"/>
      <c r="V218" s="107"/>
      <c r="X218" s="11"/>
      <c r="Y218" s="11"/>
      <c r="Z218" s="108"/>
    </row>
    <row r="219" spans="2:28" ht="16.5" customHeight="1" x14ac:dyDescent="0.25">
      <c r="B219" s="70"/>
      <c r="C219" s="297"/>
      <c r="D219" s="32"/>
      <c r="E219" s="32"/>
      <c r="F219" s="32"/>
      <c r="G219" s="32"/>
      <c r="H219" s="14"/>
      <c r="I219" s="14"/>
      <c r="J219" s="14"/>
      <c r="L219" s="70"/>
      <c r="M219" s="297"/>
      <c r="N219" s="32"/>
      <c r="O219" s="32"/>
      <c r="P219" s="32"/>
      <c r="Q219" s="32"/>
      <c r="R219" s="14"/>
      <c r="S219" s="14"/>
      <c r="T219" s="14"/>
      <c r="U219" s="14"/>
      <c r="V219" s="107"/>
      <c r="X219" s="11"/>
      <c r="Y219" s="11"/>
      <c r="Z219" s="108"/>
      <c r="AB219" s="109"/>
    </row>
    <row r="220" spans="2:28" x14ac:dyDescent="0.25">
      <c r="B220" s="70"/>
      <c r="C220" s="297"/>
      <c r="D220" s="32"/>
      <c r="E220" s="32"/>
      <c r="F220" s="32"/>
      <c r="G220" s="32"/>
      <c r="H220" s="14"/>
      <c r="I220" s="14"/>
      <c r="J220" s="14"/>
      <c r="L220" s="70"/>
      <c r="M220" s="297"/>
      <c r="N220" s="32"/>
      <c r="O220" s="32"/>
      <c r="P220" s="32"/>
      <c r="Q220" s="32"/>
      <c r="R220" s="14"/>
      <c r="S220" s="14"/>
      <c r="T220" s="14"/>
      <c r="U220" s="14"/>
      <c r="V220" s="110"/>
      <c r="X220" s="11"/>
      <c r="Y220" s="11"/>
      <c r="Z220" s="108"/>
    </row>
    <row r="221" spans="2:28" ht="16.5" customHeight="1" x14ac:dyDescent="0.25">
      <c r="B221" s="70"/>
      <c r="D221" s="32"/>
      <c r="E221" s="32"/>
      <c r="F221" s="32"/>
      <c r="G221" s="32"/>
      <c r="H221" s="14"/>
      <c r="I221" s="14"/>
      <c r="J221" s="14"/>
      <c r="L221" s="70"/>
      <c r="M221" s="297"/>
      <c r="N221" s="32"/>
      <c r="O221" s="32"/>
      <c r="P221" s="32"/>
      <c r="Q221" s="32"/>
      <c r="R221" s="14"/>
      <c r="S221" s="14"/>
      <c r="T221" s="14"/>
      <c r="U221" s="14"/>
      <c r="V221" s="110"/>
      <c r="X221" s="111"/>
      <c r="Y221" s="111"/>
      <c r="Z221" s="108"/>
    </row>
  </sheetData>
  <mergeCells count="87">
    <mergeCell ref="B2:D2"/>
    <mergeCell ref="F2:H2"/>
    <mergeCell ref="L2:N2"/>
    <mergeCell ref="B4:D4"/>
    <mergeCell ref="F4:H4"/>
    <mergeCell ref="L4:N4"/>
    <mergeCell ref="B5:C5"/>
    <mergeCell ref="F5:G5"/>
    <mergeCell ref="L5:N5"/>
    <mergeCell ref="B15:D15"/>
    <mergeCell ref="F15:H15"/>
    <mergeCell ref="L15:N15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L103:T103"/>
    <mergeCell ref="X103:Z103"/>
    <mergeCell ref="L104:M104"/>
    <mergeCell ref="N104:Q104"/>
    <mergeCell ref="R104:T104"/>
    <mergeCell ref="X104:Z104"/>
  </mergeCells>
  <phoneticPr fontId="32" type="noConversion"/>
  <conditionalFormatting sqref="N13">
    <cfRule type="cellIs" dxfId="1079" priority="536" stopIfTrue="1" operator="lessThan">
      <formula>-0.01</formula>
    </cfRule>
    <cfRule type="cellIs" dxfId="1078" priority="537" stopIfTrue="1" operator="greaterThan">
      <formula>0.01</formula>
    </cfRule>
  </conditionalFormatting>
  <conditionalFormatting sqref="I13">
    <cfRule type="dataBar" priority="535">
      <dataBar>
        <cfvo type="min"/>
        <cfvo type="max"/>
        <color rgb="FF008AEF"/>
      </dataBar>
    </cfRule>
  </conditionalFormatting>
  <conditionalFormatting sqref="R12:T13">
    <cfRule type="dataBar" priority="534">
      <dataBar>
        <cfvo type="min"/>
        <cfvo type="max"/>
        <color rgb="FF008AEF"/>
      </dataBar>
    </cfRule>
  </conditionalFormatting>
  <conditionalFormatting sqref="U12:U13">
    <cfRule type="dataBar" priority="538">
      <dataBar>
        <cfvo type="min"/>
        <cfvo type="max"/>
        <color rgb="FF008AEF"/>
      </dataBar>
    </cfRule>
  </conditionalFormatting>
  <conditionalFormatting sqref="V7:V11">
    <cfRule type="cellIs" dxfId="1077" priority="531" operator="greaterThan">
      <formula>0.03</formula>
    </cfRule>
    <cfRule type="cellIs" dxfId="1076" priority="532" stopIfTrue="1" operator="lessThan">
      <formula>-0.03</formula>
    </cfRule>
  </conditionalFormatting>
  <conditionalFormatting sqref="R8:T8">
    <cfRule type="dataBar" priority="530">
      <dataBar>
        <cfvo type="min"/>
        <cfvo type="max"/>
        <color rgb="FF008AEF"/>
      </dataBar>
    </cfRule>
  </conditionalFormatting>
  <conditionalFormatting sqref="R9:T10">
    <cfRule type="dataBar" priority="529">
      <dataBar>
        <cfvo type="min"/>
        <cfvo type="max"/>
        <color rgb="FF008AEF"/>
      </dataBar>
    </cfRule>
  </conditionalFormatting>
  <conditionalFormatting sqref="R11:T11">
    <cfRule type="dataBar" priority="528">
      <dataBar>
        <cfvo type="min"/>
        <cfvo type="max"/>
        <color rgb="FF008AEF"/>
      </dataBar>
    </cfRule>
  </conditionalFormatting>
  <conditionalFormatting sqref="R7:U7 U8:U11">
    <cfRule type="dataBar" priority="533">
      <dataBar>
        <cfvo type="min"/>
        <cfvo type="max"/>
        <color rgb="FF008AEF"/>
      </dataBar>
    </cfRule>
  </conditionalFormatting>
  <conditionalFormatting sqref="Z23:Z24">
    <cfRule type="cellIs" dxfId="1075" priority="525" stopIfTrue="1" operator="lessThan">
      <formula>-0.01</formula>
    </cfRule>
    <cfRule type="cellIs" dxfId="1074" priority="526" stopIfTrue="1" operator="greaterThan">
      <formula>0.01</formula>
    </cfRule>
  </conditionalFormatting>
  <conditionalFormatting sqref="I24">
    <cfRule type="dataBar" priority="524">
      <dataBar>
        <cfvo type="min"/>
        <cfvo type="max"/>
        <color rgb="FF008AEF"/>
      </dataBar>
    </cfRule>
  </conditionalFormatting>
  <conditionalFormatting sqref="R23:T24">
    <cfRule type="dataBar" priority="523">
      <dataBar>
        <cfvo type="min"/>
        <cfvo type="max"/>
        <color rgb="FF008AEF"/>
      </dataBar>
    </cfRule>
  </conditionalFormatting>
  <conditionalFormatting sqref="U23:U24">
    <cfRule type="dataBar" priority="527">
      <dataBar>
        <cfvo type="min"/>
        <cfvo type="max"/>
        <color rgb="FF008AEF"/>
      </dataBar>
    </cfRule>
  </conditionalFormatting>
  <conditionalFormatting sqref="AB18">
    <cfRule type="cellIs" dxfId="1073" priority="520" operator="greaterThan">
      <formula>0.03</formula>
    </cfRule>
    <cfRule type="cellIs" dxfId="1072" priority="521" stopIfTrue="1" operator="lessThan">
      <formula>-0.03</formula>
    </cfRule>
  </conditionalFormatting>
  <conditionalFormatting sqref="AB22">
    <cfRule type="cellIs" dxfId="1071" priority="518" operator="lessThan">
      <formula>-0.03</formula>
    </cfRule>
    <cfRule type="cellIs" dxfId="1070" priority="519" stopIfTrue="1" operator="greaterThan">
      <formula>0.03</formula>
    </cfRule>
  </conditionalFormatting>
  <conditionalFormatting sqref="Z18">
    <cfRule type="cellIs" dxfId="1069" priority="516" stopIfTrue="1" operator="lessThan">
      <formula>-0.01</formula>
    </cfRule>
    <cfRule type="cellIs" dxfId="1068" priority="517" stopIfTrue="1" operator="greaterThan">
      <formula>0.01</formula>
    </cfRule>
  </conditionalFormatting>
  <conditionalFormatting sqref="Z19">
    <cfRule type="cellIs" dxfId="1067" priority="514" stopIfTrue="1" operator="lessThan">
      <formula>-0.01</formula>
    </cfRule>
    <cfRule type="cellIs" dxfId="1066" priority="515" stopIfTrue="1" operator="greaterThan">
      <formula>0.01</formula>
    </cfRule>
  </conditionalFormatting>
  <conditionalFormatting sqref="Z20:Z21">
    <cfRule type="cellIs" dxfId="1065" priority="512" stopIfTrue="1" operator="lessThan">
      <formula>-0.01</formula>
    </cfRule>
    <cfRule type="cellIs" dxfId="1064" priority="513" stopIfTrue="1" operator="greaterThan">
      <formula>0.01</formula>
    </cfRule>
  </conditionalFormatting>
  <conditionalFormatting sqref="Z22">
    <cfRule type="cellIs" dxfId="1063" priority="510" stopIfTrue="1" operator="lessThan">
      <formula>-0.01</formula>
    </cfRule>
    <cfRule type="cellIs" dxfId="1062" priority="511" stopIfTrue="1" operator="greaterThan">
      <formula>0.01</formula>
    </cfRule>
  </conditionalFormatting>
  <conditionalFormatting sqref="V18:V22">
    <cfRule type="cellIs" dxfId="1061" priority="508" operator="greaterThan">
      <formula>0.03</formula>
    </cfRule>
    <cfRule type="cellIs" dxfId="1060" priority="509" stopIfTrue="1" operator="lessThan">
      <formula>-0.03</formula>
    </cfRule>
  </conditionalFormatting>
  <conditionalFormatting sqref="R19:T19">
    <cfRule type="dataBar" priority="507">
      <dataBar>
        <cfvo type="min"/>
        <cfvo type="max"/>
        <color rgb="FF008AEF"/>
      </dataBar>
    </cfRule>
  </conditionalFormatting>
  <conditionalFormatting sqref="R20:T21">
    <cfRule type="dataBar" priority="506">
      <dataBar>
        <cfvo type="min"/>
        <cfvo type="max"/>
        <color rgb="FF008AEF"/>
      </dataBar>
    </cfRule>
  </conditionalFormatting>
  <conditionalFormatting sqref="R22:T22">
    <cfRule type="dataBar" priority="505">
      <dataBar>
        <cfvo type="min"/>
        <cfvo type="max"/>
        <color rgb="FF008AEF"/>
      </dataBar>
    </cfRule>
  </conditionalFormatting>
  <conditionalFormatting sqref="R18:U18 U19:U22">
    <cfRule type="dataBar" priority="522">
      <dataBar>
        <cfvo type="min"/>
        <cfvo type="max"/>
        <color rgb="FF008AEF"/>
      </dataBar>
    </cfRule>
  </conditionalFormatting>
  <conditionalFormatting sqref="Z34:Z35">
    <cfRule type="cellIs" dxfId="1059" priority="502" stopIfTrue="1" operator="lessThan">
      <formula>-0.01</formula>
    </cfRule>
    <cfRule type="cellIs" dxfId="1058" priority="503" stopIfTrue="1" operator="greaterThan">
      <formula>0.01</formula>
    </cfRule>
  </conditionalFormatting>
  <conditionalFormatting sqref="R34:T35">
    <cfRule type="dataBar" priority="501">
      <dataBar>
        <cfvo type="min"/>
        <cfvo type="max"/>
        <color rgb="FF008AEF"/>
      </dataBar>
    </cfRule>
  </conditionalFormatting>
  <conditionalFormatting sqref="U34:U35">
    <cfRule type="dataBar" priority="504">
      <dataBar>
        <cfvo type="min"/>
        <cfvo type="max"/>
        <color rgb="FF008AEF"/>
      </dataBar>
    </cfRule>
  </conditionalFormatting>
  <conditionalFormatting sqref="AB29">
    <cfRule type="cellIs" dxfId="1057" priority="498" operator="greaterThan">
      <formula>0.03</formula>
    </cfRule>
    <cfRule type="cellIs" dxfId="1056" priority="499" stopIfTrue="1" operator="lessThan">
      <formula>-0.03</formula>
    </cfRule>
  </conditionalFormatting>
  <conditionalFormatting sqref="AB33">
    <cfRule type="cellIs" dxfId="1055" priority="496" operator="lessThan">
      <formula>-0.03</formula>
    </cfRule>
    <cfRule type="cellIs" dxfId="1054" priority="497" stopIfTrue="1" operator="greaterThan">
      <formula>0.03</formula>
    </cfRule>
  </conditionalFormatting>
  <conditionalFormatting sqref="Z29">
    <cfRule type="cellIs" dxfId="1053" priority="494" stopIfTrue="1" operator="lessThan">
      <formula>-0.01</formula>
    </cfRule>
    <cfRule type="cellIs" dxfId="1052" priority="495" stopIfTrue="1" operator="greaterThan">
      <formula>0.01</formula>
    </cfRule>
  </conditionalFormatting>
  <conditionalFormatting sqref="Z30">
    <cfRule type="cellIs" dxfId="1051" priority="492" stopIfTrue="1" operator="lessThan">
      <formula>-0.01</formula>
    </cfRule>
    <cfRule type="cellIs" dxfId="1050" priority="493" stopIfTrue="1" operator="greaterThan">
      <formula>0.01</formula>
    </cfRule>
  </conditionalFormatting>
  <conditionalFormatting sqref="Z31:Z32">
    <cfRule type="cellIs" dxfId="1049" priority="490" stopIfTrue="1" operator="lessThan">
      <formula>-0.01</formula>
    </cfRule>
    <cfRule type="cellIs" dxfId="1048" priority="491" stopIfTrue="1" operator="greaterThan">
      <formula>0.01</formula>
    </cfRule>
  </conditionalFormatting>
  <conditionalFormatting sqref="Z33">
    <cfRule type="cellIs" dxfId="1047" priority="488" stopIfTrue="1" operator="lessThan">
      <formula>-0.01</formula>
    </cfRule>
    <cfRule type="cellIs" dxfId="1046" priority="489" stopIfTrue="1" operator="greaterThan">
      <formula>0.01</formula>
    </cfRule>
  </conditionalFormatting>
  <conditionalFormatting sqref="V29:V33">
    <cfRule type="cellIs" dxfId="1045" priority="486" operator="greaterThan">
      <formula>0.03</formula>
    </cfRule>
    <cfRule type="cellIs" dxfId="1044" priority="487" stopIfTrue="1" operator="lessThan">
      <formula>-0.03</formula>
    </cfRule>
  </conditionalFormatting>
  <conditionalFormatting sqref="R30:T30">
    <cfRule type="dataBar" priority="485">
      <dataBar>
        <cfvo type="min"/>
        <cfvo type="max"/>
        <color rgb="FF008AEF"/>
      </dataBar>
    </cfRule>
  </conditionalFormatting>
  <conditionalFormatting sqref="R31:T32">
    <cfRule type="dataBar" priority="484">
      <dataBar>
        <cfvo type="min"/>
        <cfvo type="max"/>
        <color rgb="FF008AEF"/>
      </dataBar>
    </cfRule>
  </conditionalFormatting>
  <conditionalFormatting sqref="R33:T33">
    <cfRule type="dataBar" priority="483">
      <dataBar>
        <cfvo type="min"/>
        <cfvo type="max"/>
        <color rgb="FF008AEF"/>
      </dataBar>
    </cfRule>
  </conditionalFormatting>
  <conditionalFormatting sqref="R29:U29 U30:U33">
    <cfRule type="dataBar" priority="500">
      <dataBar>
        <cfvo type="min"/>
        <cfvo type="max"/>
        <color rgb="FF008AEF"/>
      </dataBar>
    </cfRule>
  </conditionalFormatting>
  <conditionalFormatting sqref="Z45:Z46">
    <cfRule type="cellIs" dxfId="1043" priority="480" stopIfTrue="1" operator="lessThan">
      <formula>-0.01</formula>
    </cfRule>
    <cfRule type="cellIs" dxfId="1042" priority="481" stopIfTrue="1" operator="greaterThan">
      <formula>0.01</formula>
    </cfRule>
  </conditionalFormatting>
  <conditionalFormatting sqref="R45:T46">
    <cfRule type="dataBar" priority="479">
      <dataBar>
        <cfvo type="min"/>
        <cfvo type="max"/>
        <color rgb="FF008AEF"/>
      </dataBar>
    </cfRule>
  </conditionalFormatting>
  <conditionalFormatting sqref="U45:U46">
    <cfRule type="dataBar" priority="482">
      <dataBar>
        <cfvo type="min"/>
        <cfvo type="max"/>
        <color rgb="FF008AEF"/>
      </dataBar>
    </cfRule>
  </conditionalFormatting>
  <conditionalFormatting sqref="AB40">
    <cfRule type="cellIs" dxfId="1041" priority="476" operator="greaterThan">
      <formula>0.03</formula>
    </cfRule>
    <cfRule type="cellIs" dxfId="1040" priority="477" stopIfTrue="1" operator="lessThan">
      <formula>-0.03</formula>
    </cfRule>
  </conditionalFormatting>
  <conditionalFormatting sqref="AB44">
    <cfRule type="cellIs" dxfId="1039" priority="474" operator="lessThan">
      <formula>-0.03</formula>
    </cfRule>
    <cfRule type="cellIs" dxfId="1038" priority="475" stopIfTrue="1" operator="greaterThan">
      <formula>0.03</formula>
    </cfRule>
  </conditionalFormatting>
  <conditionalFormatting sqref="Z40">
    <cfRule type="cellIs" dxfId="1037" priority="472" stopIfTrue="1" operator="lessThan">
      <formula>-0.01</formula>
    </cfRule>
    <cfRule type="cellIs" dxfId="1036" priority="473" stopIfTrue="1" operator="greaterThan">
      <formula>0.01</formula>
    </cfRule>
  </conditionalFormatting>
  <conditionalFormatting sqref="Z41">
    <cfRule type="cellIs" dxfId="1035" priority="470" stopIfTrue="1" operator="lessThan">
      <formula>-0.01</formula>
    </cfRule>
    <cfRule type="cellIs" dxfId="1034" priority="471" stopIfTrue="1" operator="greaterThan">
      <formula>0.01</formula>
    </cfRule>
  </conditionalFormatting>
  <conditionalFormatting sqref="Z42:Z43">
    <cfRule type="cellIs" dxfId="1033" priority="468" stopIfTrue="1" operator="lessThan">
      <formula>-0.01</formula>
    </cfRule>
    <cfRule type="cellIs" dxfId="1032" priority="469" stopIfTrue="1" operator="greaterThan">
      <formula>0.01</formula>
    </cfRule>
  </conditionalFormatting>
  <conditionalFormatting sqref="Z44">
    <cfRule type="cellIs" dxfId="1031" priority="466" stopIfTrue="1" operator="lessThan">
      <formula>-0.01</formula>
    </cfRule>
    <cfRule type="cellIs" dxfId="1030" priority="467" stopIfTrue="1" operator="greaterThan">
      <formula>0.01</formula>
    </cfRule>
  </conditionalFormatting>
  <conditionalFormatting sqref="V40:V44">
    <cfRule type="cellIs" dxfId="1029" priority="464" operator="greaterThan">
      <formula>0.03</formula>
    </cfRule>
    <cfRule type="cellIs" dxfId="1028" priority="465" stopIfTrue="1" operator="lessThan">
      <formula>-0.03</formula>
    </cfRule>
  </conditionalFormatting>
  <conditionalFormatting sqref="R41:T41">
    <cfRule type="dataBar" priority="463">
      <dataBar>
        <cfvo type="min"/>
        <cfvo type="max"/>
        <color rgb="FF008AEF"/>
      </dataBar>
    </cfRule>
  </conditionalFormatting>
  <conditionalFormatting sqref="R42:T43">
    <cfRule type="dataBar" priority="462">
      <dataBar>
        <cfvo type="min"/>
        <cfvo type="max"/>
        <color rgb="FF008AEF"/>
      </dataBar>
    </cfRule>
  </conditionalFormatting>
  <conditionalFormatting sqref="R44:T44">
    <cfRule type="dataBar" priority="461">
      <dataBar>
        <cfvo type="min"/>
        <cfvo type="max"/>
        <color rgb="FF008AEF"/>
      </dataBar>
    </cfRule>
  </conditionalFormatting>
  <conditionalFormatting sqref="R40:U40 U41:U44">
    <cfRule type="dataBar" priority="478">
      <dataBar>
        <cfvo type="min"/>
        <cfvo type="max"/>
        <color rgb="FF008AEF"/>
      </dataBar>
    </cfRule>
  </conditionalFormatting>
  <conditionalFormatting sqref="Z56:Z57">
    <cfRule type="cellIs" dxfId="1027" priority="458" stopIfTrue="1" operator="lessThan">
      <formula>-0.01</formula>
    </cfRule>
    <cfRule type="cellIs" dxfId="1026" priority="459" stopIfTrue="1" operator="greaterThan">
      <formula>0.01</formula>
    </cfRule>
  </conditionalFormatting>
  <conditionalFormatting sqref="R56:T57">
    <cfRule type="dataBar" priority="457">
      <dataBar>
        <cfvo type="min"/>
        <cfvo type="max"/>
        <color rgb="FF008AEF"/>
      </dataBar>
    </cfRule>
  </conditionalFormatting>
  <conditionalFormatting sqref="U56:U57">
    <cfRule type="dataBar" priority="460">
      <dataBar>
        <cfvo type="min"/>
        <cfvo type="max"/>
        <color rgb="FF008AEF"/>
      </dataBar>
    </cfRule>
  </conditionalFormatting>
  <conditionalFormatting sqref="AB51">
    <cfRule type="cellIs" dxfId="1025" priority="454" operator="greaterThan">
      <formula>0.03</formula>
    </cfRule>
    <cfRule type="cellIs" dxfId="1024" priority="455" stopIfTrue="1" operator="lessThan">
      <formula>-0.03</formula>
    </cfRule>
  </conditionalFormatting>
  <conditionalFormatting sqref="AB55">
    <cfRule type="cellIs" dxfId="1023" priority="452" operator="lessThan">
      <formula>-0.03</formula>
    </cfRule>
    <cfRule type="cellIs" dxfId="1022" priority="453" stopIfTrue="1" operator="greaterThan">
      <formula>0.03</formula>
    </cfRule>
  </conditionalFormatting>
  <conditionalFormatting sqref="Z51">
    <cfRule type="cellIs" dxfId="1021" priority="450" stopIfTrue="1" operator="lessThan">
      <formula>-0.01</formula>
    </cfRule>
    <cfRule type="cellIs" dxfId="1020" priority="451" stopIfTrue="1" operator="greaterThan">
      <formula>0.01</formula>
    </cfRule>
  </conditionalFormatting>
  <conditionalFormatting sqref="Z52">
    <cfRule type="cellIs" dxfId="1019" priority="448" stopIfTrue="1" operator="lessThan">
      <formula>-0.01</formula>
    </cfRule>
    <cfRule type="cellIs" dxfId="1018" priority="449" stopIfTrue="1" operator="greaterThan">
      <formula>0.01</formula>
    </cfRule>
  </conditionalFormatting>
  <conditionalFormatting sqref="Z53:Z54">
    <cfRule type="cellIs" dxfId="1017" priority="446" stopIfTrue="1" operator="lessThan">
      <formula>-0.01</formula>
    </cfRule>
    <cfRule type="cellIs" dxfId="1016" priority="447" stopIfTrue="1" operator="greaterThan">
      <formula>0.01</formula>
    </cfRule>
  </conditionalFormatting>
  <conditionalFormatting sqref="Z55">
    <cfRule type="cellIs" dxfId="1015" priority="444" stopIfTrue="1" operator="lessThan">
      <formula>-0.01</formula>
    </cfRule>
    <cfRule type="cellIs" dxfId="1014" priority="445" stopIfTrue="1" operator="greaterThan">
      <formula>0.01</formula>
    </cfRule>
  </conditionalFormatting>
  <conditionalFormatting sqref="V51:V55">
    <cfRule type="cellIs" dxfId="1013" priority="442" operator="greaterThan">
      <formula>0.03</formula>
    </cfRule>
    <cfRule type="cellIs" dxfId="1012" priority="443" stopIfTrue="1" operator="lessThan">
      <formula>-0.03</formula>
    </cfRule>
  </conditionalFormatting>
  <conditionalFormatting sqref="R52:T52">
    <cfRule type="dataBar" priority="441">
      <dataBar>
        <cfvo type="min"/>
        <cfvo type="max"/>
        <color rgb="FF008AEF"/>
      </dataBar>
    </cfRule>
  </conditionalFormatting>
  <conditionalFormatting sqref="R53:T54">
    <cfRule type="dataBar" priority="440">
      <dataBar>
        <cfvo type="min"/>
        <cfvo type="max"/>
        <color rgb="FF008AEF"/>
      </dataBar>
    </cfRule>
  </conditionalFormatting>
  <conditionalFormatting sqref="R55:T55">
    <cfRule type="dataBar" priority="439">
      <dataBar>
        <cfvo type="min"/>
        <cfvo type="max"/>
        <color rgb="FF008AEF"/>
      </dataBar>
    </cfRule>
  </conditionalFormatting>
  <conditionalFormatting sqref="R51:U51 U52:U55">
    <cfRule type="dataBar" priority="456">
      <dataBar>
        <cfvo type="min"/>
        <cfvo type="max"/>
        <color rgb="FF008AEF"/>
      </dataBar>
    </cfRule>
  </conditionalFormatting>
  <conditionalFormatting sqref="Z67:Z68">
    <cfRule type="cellIs" dxfId="1011" priority="436" stopIfTrue="1" operator="lessThan">
      <formula>-0.01</formula>
    </cfRule>
    <cfRule type="cellIs" dxfId="1010" priority="437" stopIfTrue="1" operator="greaterThan">
      <formula>0.01</formula>
    </cfRule>
  </conditionalFormatting>
  <conditionalFormatting sqref="R67:T68">
    <cfRule type="dataBar" priority="435">
      <dataBar>
        <cfvo type="min"/>
        <cfvo type="max"/>
        <color rgb="FF008AEF"/>
      </dataBar>
    </cfRule>
  </conditionalFormatting>
  <conditionalFormatting sqref="U67:U68">
    <cfRule type="dataBar" priority="438">
      <dataBar>
        <cfvo type="min"/>
        <cfvo type="max"/>
        <color rgb="FF008AEF"/>
      </dataBar>
    </cfRule>
  </conditionalFormatting>
  <conditionalFormatting sqref="AB62">
    <cfRule type="cellIs" dxfId="1009" priority="432" operator="greaterThan">
      <formula>0.03</formula>
    </cfRule>
    <cfRule type="cellIs" dxfId="1008" priority="433" stopIfTrue="1" operator="lessThan">
      <formula>-0.03</formula>
    </cfRule>
  </conditionalFormatting>
  <conditionalFormatting sqref="AB66">
    <cfRule type="cellIs" dxfId="1007" priority="430" operator="lessThan">
      <formula>-0.03</formula>
    </cfRule>
    <cfRule type="cellIs" dxfId="1006" priority="431" stopIfTrue="1" operator="greaterThan">
      <formula>0.03</formula>
    </cfRule>
  </conditionalFormatting>
  <conditionalFormatting sqref="Z62">
    <cfRule type="cellIs" dxfId="1005" priority="428" stopIfTrue="1" operator="lessThan">
      <formula>-0.01</formula>
    </cfRule>
    <cfRule type="cellIs" dxfId="1004" priority="429" stopIfTrue="1" operator="greaterThan">
      <formula>0.01</formula>
    </cfRule>
  </conditionalFormatting>
  <conditionalFormatting sqref="Z63">
    <cfRule type="cellIs" dxfId="1003" priority="426" stopIfTrue="1" operator="lessThan">
      <formula>-0.01</formula>
    </cfRule>
    <cfRule type="cellIs" dxfId="1002" priority="427" stopIfTrue="1" operator="greaterThan">
      <formula>0.01</formula>
    </cfRule>
  </conditionalFormatting>
  <conditionalFormatting sqref="Z64:Z65">
    <cfRule type="cellIs" dxfId="1001" priority="424" stopIfTrue="1" operator="lessThan">
      <formula>-0.01</formula>
    </cfRule>
    <cfRule type="cellIs" dxfId="1000" priority="425" stopIfTrue="1" operator="greaterThan">
      <formula>0.01</formula>
    </cfRule>
  </conditionalFormatting>
  <conditionalFormatting sqref="Z66">
    <cfRule type="cellIs" dxfId="999" priority="422" stopIfTrue="1" operator="lessThan">
      <formula>-0.01</formula>
    </cfRule>
    <cfRule type="cellIs" dxfId="998" priority="423" stopIfTrue="1" operator="greaterThan">
      <formula>0.01</formula>
    </cfRule>
  </conditionalFormatting>
  <conditionalFormatting sqref="V62:V66">
    <cfRule type="cellIs" dxfId="997" priority="420" operator="greaterThan">
      <formula>0.03</formula>
    </cfRule>
    <cfRule type="cellIs" dxfId="996" priority="421" stopIfTrue="1" operator="lessThan">
      <formula>-0.03</formula>
    </cfRule>
  </conditionalFormatting>
  <conditionalFormatting sqref="R63:T63">
    <cfRule type="dataBar" priority="419">
      <dataBar>
        <cfvo type="min"/>
        <cfvo type="max"/>
        <color rgb="FF008AEF"/>
      </dataBar>
    </cfRule>
  </conditionalFormatting>
  <conditionalFormatting sqref="R64:T65">
    <cfRule type="dataBar" priority="418">
      <dataBar>
        <cfvo type="min"/>
        <cfvo type="max"/>
        <color rgb="FF008AEF"/>
      </dataBar>
    </cfRule>
  </conditionalFormatting>
  <conditionalFormatting sqref="R66:T66">
    <cfRule type="dataBar" priority="417">
      <dataBar>
        <cfvo type="min"/>
        <cfvo type="max"/>
        <color rgb="FF008AEF"/>
      </dataBar>
    </cfRule>
  </conditionalFormatting>
  <conditionalFormatting sqref="R62:U62 U63:U66">
    <cfRule type="dataBar" priority="434">
      <dataBar>
        <cfvo type="min"/>
        <cfvo type="max"/>
        <color rgb="FF008AEF"/>
      </dataBar>
    </cfRule>
  </conditionalFormatting>
  <conditionalFormatting sqref="Z78:Z79">
    <cfRule type="cellIs" dxfId="995" priority="414" stopIfTrue="1" operator="lessThan">
      <formula>-0.01</formula>
    </cfRule>
    <cfRule type="cellIs" dxfId="994" priority="415" stopIfTrue="1" operator="greaterThan">
      <formula>0.01</formula>
    </cfRule>
  </conditionalFormatting>
  <conditionalFormatting sqref="R78:T79">
    <cfRule type="dataBar" priority="413">
      <dataBar>
        <cfvo type="min"/>
        <cfvo type="max"/>
        <color rgb="FF008AEF"/>
      </dataBar>
    </cfRule>
  </conditionalFormatting>
  <conditionalFormatting sqref="U78:U79">
    <cfRule type="dataBar" priority="416">
      <dataBar>
        <cfvo type="min"/>
        <cfvo type="max"/>
        <color rgb="FF008AEF"/>
      </dataBar>
    </cfRule>
  </conditionalFormatting>
  <conditionalFormatting sqref="AB73">
    <cfRule type="cellIs" dxfId="993" priority="410" operator="greaterThan">
      <formula>0.03</formula>
    </cfRule>
    <cfRule type="cellIs" dxfId="992" priority="411" stopIfTrue="1" operator="lessThan">
      <formula>-0.03</formula>
    </cfRule>
  </conditionalFormatting>
  <conditionalFormatting sqref="AB77">
    <cfRule type="cellIs" dxfId="991" priority="408" operator="lessThan">
      <formula>-0.03</formula>
    </cfRule>
    <cfRule type="cellIs" dxfId="990" priority="409" stopIfTrue="1" operator="greaterThan">
      <formula>0.03</formula>
    </cfRule>
  </conditionalFormatting>
  <conditionalFormatting sqref="Z73">
    <cfRule type="cellIs" dxfId="989" priority="406" stopIfTrue="1" operator="lessThan">
      <formula>-0.01</formula>
    </cfRule>
    <cfRule type="cellIs" dxfId="988" priority="407" stopIfTrue="1" operator="greaterThan">
      <formula>0.01</formula>
    </cfRule>
  </conditionalFormatting>
  <conditionalFormatting sqref="Z74">
    <cfRule type="cellIs" dxfId="987" priority="404" stopIfTrue="1" operator="lessThan">
      <formula>-0.01</formula>
    </cfRule>
    <cfRule type="cellIs" dxfId="986" priority="405" stopIfTrue="1" operator="greaterThan">
      <formula>0.01</formula>
    </cfRule>
  </conditionalFormatting>
  <conditionalFormatting sqref="Z75:Z76">
    <cfRule type="cellIs" dxfId="985" priority="402" stopIfTrue="1" operator="lessThan">
      <formula>-0.01</formula>
    </cfRule>
    <cfRule type="cellIs" dxfId="984" priority="403" stopIfTrue="1" operator="greaterThan">
      <formula>0.01</formula>
    </cfRule>
  </conditionalFormatting>
  <conditionalFormatting sqref="Z77">
    <cfRule type="cellIs" dxfId="983" priority="400" stopIfTrue="1" operator="lessThan">
      <formula>-0.01</formula>
    </cfRule>
    <cfRule type="cellIs" dxfId="982" priority="401" stopIfTrue="1" operator="greaterThan">
      <formula>0.01</formula>
    </cfRule>
  </conditionalFormatting>
  <conditionalFormatting sqref="V73:V77">
    <cfRule type="cellIs" dxfId="981" priority="398" operator="greaterThan">
      <formula>0.03</formula>
    </cfRule>
    <cfRule type="cellIs" dxfId="980" priority="399" stopIfTrue="1" operator="lessThan">
      <formula>-0.03</formula>
    </cfRule>
  </conditionalFormatting>
  <conditionalFormatting sqref="R74:T74">
    <cfRule type="dataBar" priority="397">
      <dataBar>
        <cfvo type="min"/>
        <cfvo type="max"/>
        <color rgb="FF008AEF"/>
      </dataBar>
    </cfRule>
  </conditionalFormatting>
  <conditionalFormatting sqref="R75:T76">
    <cfRule type="dataBar" priority="396">
      <dataBar>
        <cfvo type="min"/>
        <cfvo type="max"/>
        <color rgb="FF008AEF"/>
      </dataBar>
    </cfRule>
  </conditionalFormatting>
  <conditionalFormatting sqref="R77:T77">
    <cfRule type="dataBar" priority="395">
      <dataBar>
        <cfvo type="min"/>
        <cfvo type="max"/>
        <color rgb="FF008AEF"/>
      </dataBar>
    </cfRule>
  </conditionalFormatting>
  <conditionalFormatting sqref="R73:U73 U74:U77">
    <cfRule type="dataBar" priority="412">
      <dataBar>
        <cfvo type="min"/>
        <cfvo type="max"/>
        <color rgb="FF008AEF"/>
      </dataBar>
    </cfRule>
  </conditionalFormatting>
  <conditionalFormatting sqref="Z89:Z90">
    <cfRule type="cellIs" dxfId="979" priority="392" stopIfTrue="1" operator="lessThan">
      <formula>-0.01</formula>
    </cfRule>
    <cfRule type="cellIs" dxfId="978" priority="393" stopIfTrue="1" operator="greaterThan">
      <formula>0.01</formula>
    </cfRule>
  </conditionalFormatting>
  <conditionalFormatting sqref="U89:U90">
    <cfRule type="dataBar" priority="394">
      <dataBar>
        <cfvo type="min"/>
        <cfvo type="max"/>
        <color rgb="FF008AEF"/>
      </dataBar>
    </cfRule>
  </conditionalFormatting>
  <conditionalFormatting sqref="AB84">
    <cfRule type="cellIs" dxfId="977" priority="389" operator="greaterThan">
      <formula>0.03</formula>
    </cfRule>
    <cfRule type="cellIs" dxfId="976" priority="390" stopIfTrue="1" operator="lessThan">
      <formula>-0.03</formula>
    </cfRule>
  </conditionalFormatting>
  <conditionalFormatting sqref="AB88">
    <cfRule type="cellIs" dxfId="975" priority="387" operator="lessThan">
      <formula>-0.03</formula>
    </cfRule>
    <cfRule type="cellIs" dxfId="974" priority="388" stopIfTrue="1" operator="greaterThan">
      <formula>0.03</formula>
    </cfRule>
  </conditionalFormatting>
  <conditionalFormatting sqref="Z84">
    <cfRule type="cellIs" dxfId="973" priority="385" stopIfTrue="1" operator="lessThan">
      <formula>-0.01</formula>
    </cfRule>
    <cfRule type="cellIs" dxfId="972" priority="386" stopIfTrue="1" operator="greaterThan">
      <formula>0.01</formula>
    </cfRule>
  </conditionalFormatting>
  <conditionalFormatting sqref="Z85">
    <cfRule type="cellIs" dxfId="971" priority="383" stopIfTrue="1" operator="lessThan">
      <formula>-0.01</formula>
    </cfRule>
    <cfRule type="cellIs" dxfId="970" priority="384" stopIfTrue="1" operator="greaterThan">
      <formula>0.01</formula>
    </cfRule>
  </conditionalFormatting>
  <conditionalFormatting sqref="Z86:Z87">
    <cfRule type="cellIs" dxfId="969" priority="381" stopIfTrue="1" operator="lessThan">
      <formula>-0.01</formula>
    </cfRule>
    <cfRule type="cellIs" dxfId="968" priority="382" stopIfTrue="1" operator="greaterThan">
      <formula>0.01</formula>
    </cfRule>
  </conditionalFormatting>
  <conditionalFormatting sqref="Z88">
    <cfRule type="cellIs" dxfId="967" priority="379" stopIfTrue="1" operator="lessThan">
      <formula>-0.01</formula>
    </cfRule>
    <cfRule type="cellIs" dxfId="966" priority="380" stopIfTrue="1" operator="greaterThan">
      <formula>0.01</formula>
    </cfRule>
  </conditionalFormatting>
  <conditionalFormatting sqref="V84:V88">
    <cfRule type="cellIs" dxfId="965" priority="377" operator="greaterThan">
      <formula>0.03</formula>
    </cfRule>
    <cfRule type="cellIs" dxfId="964" priority="378" stopIfTrue="1" operator="lessThan">
      <formula>-0.03</formula>
    </cfRule>
  </conditionalFormatting>
  <conditionalFormatting sqref="U84:U88">
    <cfRule type="dataBar" priority="391">
      <dataBar>
        <cfvo type="min"/>
        <cfvo type="max"/>
        <color rgb="FF008AEF"/>
      </dataBar>
    </cfRule>
  </conditionalFormatting>
  <conditionalFormatting sqref="Z100:Z101">
    <cfRule type="cellIs" dxfId="963" priority="374" stopIfTrue="1" operator="lessThan">
      <formula>-0.01</formula>
    </cfRule>
    <cfRule type="cellIs" dxfId="962" priority="375" stopIfTrue="1" operator="greaterThan">
      <formula>0.01</formula>
    </cfRule>
  </conditionalFormatting>
  <conditionalFormatting sqref="U100:U101">
    <cfRule type="dataBar" priority="376">
      <dataBar>
        <cfvo type="min"/>
        <cfvo type="max"/>
        <color rgb="FF008AEF"/>
      </dataBar>
    </cfRule>
  </conditionalFormatting>
  <conditionalFormatting sqref="AB95">
    <cfRule type="cellIs" dxfId="961" priority="371" operator="greaterThan">
      <formula>0.03</formula>
    </cfRule>
    <cfRule type="cellIs" dxfId="960" priority="372" stopIfTrue="1" operator="lessThan">
      <formula>-0.03</formula>
    </cfRule>
  </conditionalFormatting>
  <conditionalFormatting sqref="AB99">
    <cfRule type="cellIs" dxfId="959" priority="369" operator="lessThan">
      <formula>-0.03</formula>
    </cfRule>
    <cfRule type="cellIs" dxfId="958" priority="370" stopIfTrue="1" operator="greaterThan">
      <formula>0.03</formula>
    </cfRule>
  </conditionalFormatting>
  <conditionalFormatting sqref="Z95">
    <cfRule type="cellIs" dxfId="957" priority="367" stopIfTrue="1" operator="lessThan">
      <formula>-0.01</formula>
    </cfRule>
    <cfRule type="cellIs" dxfId="956" priority="368" stopIfTrue="1" operator="greaterThan">
      <formula>0.01</formula>
    </cfRule>
  </conditionalFormatting>
  <conditionalFormatting sqref="Z96">
    <cfRule type="cellIs" dxfId="955" priority="365" stopIfTrue="1" operator="lessThan">
      <formula>-0.01</formula>
    </cfRule>
    <cfRule type="cellIs" dxfId="954" priority="366" stopIfTrue="1" operator="greaterThan">
      <formula>0.01</formula>
    </cfRule>
  </conditionalFormatting>
  <conditionalFormatting sqref="Z97:Z98">
    <cfRule type="cellIs" dxfId="953" priority="363" stopIfTrue="1" operator="lessThan">
      <formula>-0.01</formula>
    </cfRule>
    <cfRule type="cellIs" dxfId="952" priority="364" stopIfTrue="1" operator="greaterThan">
      <formula>0.01</formula>
    </cfRule>
  </conditionalFormatting>
  <conditionalFormatting sqref="Z99">
    <cfRule type="cellIs" dxfId="951" priority="361" stopIfTrue="1" operator="lessThan">
      <formula>-0.01</formula>
    </cfRule>
    <cfRule type="cellIs" dxfId="950" priority="362" stopIfTrue="1" operator="greaterThan">
      <formula>0.01</formula>
    </cfRule>
  </conditionalFormatting>
  <conditionalFormatting sqref="V95:V99">
    <cfRule type="cellIs" dxfId="949" priority="359" operator="greaterThan">
      <formula>0.03</formula>
    </cfRule>
    <cfRule type="cellIs" dxfId="948" priority="360" stopIfTrue="1" operator="lessThan">
      <formula>-0.03</formula>
    </cfRule>
  </conditionalFormatting>
  <conditionalFormatting sqref="U95:U99">
    <cfRule type="dataBar" priority="373">
      <dataBar>
        <cfvo type="min"/>
        <cfvo type="max"/>
        <color rgb="FF008AEF"/>
      </dataBar>
    </cfRule>
  </conditionalFormatting>
  <conditionalFormatting sqref="Z110:Z111">
    <cfRule type="cellIs" dxfId="947" priority="356" stopIfTrue="1" operator="lessThan">
      <formula>-0.01</formula>
    </cfRule>
    <cfRule type="cellIs" dxfId="946" priority="357" stopIfTrue="1" operator="greaterThan">
      <formula>0.01</formula>
    </cfRule>
  </conditionalFormatting>
  <conditionalFormatting sqref="R110:T111">
    <cfRule type="dataBar" priority="355">
      <dataBar>
        <cfvo type="min"/>
        <cfvo type="max"/>
        <color rgb="FF008AEF"/>
      </dataBar>
    </cfRule>
  </conditionalFormatting>
  <conditionalFormatting sqref="U110:U111">
    <cfRule type="dataBar" priority="358">
      <dataBar>
        <cfvo type="min"/>
        <cfvo type="max"/>
        <color rgb="FF008AEF"/>
      </dataBar>
    </cfRule>
  </conditionalFormatting>
  <conditionalFormatting sqref="AB106">
    <cfRule type="cellIs" dxfId="945" priority="352" operator="greaterThan">
      <formula>0.03</formula>
    </cfRule>
    <cfRule type="cellIs" dxfId="944" priority="353" stopIfTrue="1" operator="lessThan">
      <formula>-0.03</formula>
    </cfRule>
  </conditionalFormatting>
  <conditionalFormatting sqref="AB109">
    <cfRule type="cellIs" dxfId="943" priority="350" operator="lessThan">
      <formula>-0.03</formula>
    </cfRule>
    <cfRule type="cellIs" dxfId="942" priority="351" stopIfTrue="1" operator="greaterThan">
      <formula>0.03</formula>
    </cfRule>
  </conditionalFormatting>
  <conditionalFormatting sqref="Z106">
    <cfRule type="cellIs" dxfId="941" priority="348" stopIfTrue="1" operator="lessThan">
      <formula>-0.01</formula>
    </cfRule>
    <cfRule type="cellIs" dxfId="940" priority="349" stopIfTrue="1" operator="greaterThan">
      <formula>0.01</formula>
    </cfRule>
  </conditionalFormatting>
  <conditionalFormatting sqref="Z107">
    <cfRule type="cellIs" dxfId="939" priority="346" stopIfTrue="1" operator="lessThan">
      <formula>-0.01</formula>
    </cfRule>
    <cfRule type="cellIs" dxfId="938" priority="347" stopIfTrue="1" operator="greaterThan">
      <formula>0.01</formula>
    </cfRule>
  </conditionalFormatting>
  <conditionalFormatting sqref="Z108">
    <cfRule type="cellIs" dxfId="937" priority="344" stopIfTrue="1" operator="lessThan">
      <formula>-0.01</formula>
    </cfRule>
    <cfRule type="cellIs" dxfId="936" priority="345" stopIfTrue="1" operator="greaterThan">
      <formula>0.01</formula>
    </cfRule>
  </conditionalFormatting>
  <conditionalFormatting sqref="Z109">
    <cfRule type="cellIs" dxfId="935" priority="342" stopIfTrue="1" operator="lessThan">
      <formula>-0.01</formula>
    </cfRule>
    <cfRule type="cellIs" dxfId="934" priority="343" stopIfTrue="1" operator="greaterThan">
      <formula>0.01</formula>
    </cfRule>
  </conditionalFormatting>
  <conditionalFormatting sqref="V106:V109">
    <cfRule type="cellIs" dxfId="933" priority="340" operator="greaterThan">
      <formula>0.03</formula>
    </cfRule>
    <cfRule type="cellIs" dxfId="932" priority="341" stopIfTrue="1" operator="lessThan">
      <formula>-0.03</formula>
    </cfRule>
  </conditionalFormatting>
  <conditionalFormatting sqref="R107:T107">
    <cfRule type="dataBar" priority="339">
      <dataBar>
        <cfvo type="min"/>
        <cfvo type="max"/>
        <color rgb="FF008AEF"/>
      </dataBar>
    </cfRule>
  </conditionalFormatting>
  <conditionalFormatting sqref="R108:T108">
    <cfRule type="dataBar" priority="338">
      <dataBar>
        <cfvo type="min"/>
        <cfvo type="max"/>
        <color rgb="FF008AEF"/>
      </dataBar>
    </cfRule>
  </conditionalFormatting>
  <conditionalFormatting sqref="R109:T109">
    <cfRule type="dataBar" priority="337">
      <dataBar>
        <cfvo type="min"/>
        <cfvo type="max"/>
        <color rgb="FF008AEF"/>
      </dataBar>
    </cfRule>
  </conditionalFormatting>
  <conditionalFormatting sqref="R106:U106 U107:U109">
    <cfRule type="dataBar" priority="354">
      <dataBar>
        <cfvo type="min"/>
        <cfvo type="max"/>
        <color rgb="FF008AEF"/>
      </dataBar>
    </cfRule>
  </conditionalFormatting>
  <conditionalFormatting sqref="AB116">
    <cfRule type="cellIs" dxfId="931" priority="335" operator="greaterThan">
      <formula>0.03</formula>
    </cfRule>
    <cfRule type="cellIs" dxfId="930" priority="336" stopIfTrue="1" operator="lessThan">
      <formula>-0.03</formula>
    </cfRule>
  </conditionalFormatting>
  <conditionalFormatting sqref="AB119">
    <cfRule type="cellIs" dxfId="929" priority="333" operator="lessThan">
      <formula>-0.03</formula>
    </cfRule>
    <cfRule type="cellIs" dxfId="928" priority="334" stopIfTrue="1" operator="greaterThan">
      <formula>0.03</formula>
    </cfRule>
  </conditionalFormatting>
  <conditionalFormatting sqref="AB126">
    <cfRule type="cellIs" dxfId="927" priority="331" operator="greaterThan">
      <formula>0.03</formula>
    </cfRule>
    <cfRule type="cellIs" dxfId="926" priority="332" stopIfTrue="1" operator="lessThan">
      <formula>-0.03</formula>
    </cfRule>
  </conditionalFormatting>
  <conditionalFormatting sqref="AB129">
    <cfRule type="cellIs" dxfId="925" priority="329" operator="lessThan">
      <formula>-0.03</formula>
    </cfRule>
    <cfRule type="cellIs" dxfId="924" priority="330" stopIfTrue="1" operator="greaterThan">
      <formula>0.03</formula>
    </cfRule>
  </conditionalFormatting>
  <conditionalFormatting sqref="AB136">
    <cfRule type="cellIs" dxfId="923" priority="327" operator="greaterThan">
      <formula>0.03</formula>
    </cfRule>
    <cfRule type="cellIs" dxfId="922" priority="328" stopIfTrue="1" operator="lessThan">
      <formula>-0.03</formula>
    </cfRule>
  </conditionalFormatting>
  <conditionalFormatting sqref="AB139">
    <cfRule type="cellIs" dxfId="921" priority="325" operator="lessThan">
      <formula>-0.03</formula>
    </cfRule>
    <cfRule type="cellIs" dxfId="920" priority="326" stopIfTrue="1" operator="greaterThan">
      <formula>0.03</formula>
    </cfRule>
  </conditionalFormatting>
  <conditionalFormatting sqref="AB146">
    <cfRule type="cellIs" dxfId="919" priority="323" operator="greaterThan">
      <formula>0.03</formula>
    </cfRule>
    <cfRule type="cellIs" dxfId="918" priority="324" stopIfTrue="1" operator="lessThan">
      <formula>-0.03</formula>
    </cfRule>
  </conditionalFormatting>
  <conditionalFormatting sqref="AB149">
    <cfRule type="cellIs" dxfId="917" priority="321" operator="lessThan">
      <formula>-0.03</formula>
    </cfRule>
    <cfRule type="cellIs" dxfId="916" priority="322" stopIfTrue="1" operator="greaterThan">
      <formula>0.03</formula>
    </cfRule>
  </conditionalFormatting>
  <conditionalFormatting sqref="AB156">
    <cfRule type="cellIs" dxfId="915" priority="319" operator="greaterThan">
      <formula>0.03</formula>
    </cfRule>
    <cfRule type="cellIs" dxfId="914" priority="320" stopIfTrue="1" operator="lessThan">
      <formula>-0.03</formula>
    </cfRule>
  </conditionalFormatting>
  <conditionalFormatting sqref="AB159">
    <cfRule type="cellIs" dxfId="913" priority="317" operator="lessThan">
      <formula>-0.03</formula>
    </cfRule>
    <cfRule type="cellIs" dxfId="912" priority="318" stopIfTrue="1" operator="greaterThan">
      <formula>0.03</formula>
    </cfRule>
  </conditionalFormatting>
  <conditionalFormatting sqref="AB166">
    <cfRule type="cellIs" dxfId="911" priority="315" operator="greaterThan">
      <formula>0.03</formula>
    </cfRule>
    <cfRule type="cellIs" dxfId="910" priority="316" stopIfTrue="1" operator="lessThan">
      <formula>-0.03</formula>
    </cfRule>
  </conditionalFormatting>
  <conditionalFormatting sqref="AB169">
    <cfRule type="cellIs" dxfId="909" priority="313" operator="lessThan">
      <formula>-0.03</formula>
    </cfRule>
    <cfRule type="cellIs" dxfId="908" priority="314" stopIfTrue="1" operator="greaterThan">
      <formula>0.03</formula>
    </cfRule>
  </conditionalFormatting>
  <conditionalFormatting sqref="AB176">
    <cfRule type="cellIs" dxfId="907" priority="311" operator="greaterThan">
      <formula>0.03</formula>
    </cfRule>
    <cfRule type="cellIs" dxfId="906" priority="312" stopIfTrue="1" operator="lessThan">
      <formula>-0.03</formula>
    </cfRule>
  </conditionalFormatting>
  <conditionalFormatting sqref="AB179">
    <cfRule type="cellIs" dxfId="905" priority="309" operator="lessThan">
      <formula>-0.03</formula>
    </cfRule>
    <cfRule type="cellIs" dxfId="904" priority="310" stopIfTrue="1" operator="greaterThan">
      <formula>0.03</formula>
    </cfRule>
  </conditionalFormatting>
  <conditionalFormatting sqref="AB186">
    <cfRule type="cellIs" dxfId="903" priority="307" operator="greaterThan">
      <formula>0.03</formula>
    </cfRule>
    <cfRule type="cellIs" dxfId="902" priority="308" stopIfTrue="1" operator="lessThan">
      <formula>-0.03</formula>
    </cfRule>
  </conditionalFormatting>
  <conditionalFormatting sqref="AB189">
    <cfRule type="cellIs" dxfId="901" priority="305" operator="lessThan">
      <formula>-0.03</formula>
    </cfRule>
    <cfRule type="cellIs" dxfId="900" priority="306" stopIfTrue="1" operator="greaterThan">
      <formula>0.03</formula>
    </cfRule>
  </conditionalFormatting>
  <conditionalFormatting sqref="AB196">
    <cfRule type="cellIs" dxfId="899" priority="303" operator="greaterThan">
      <formula>0.03</formula>
    </cfRule>
    <cfRule type="cellIs" dxfId="898" priority="304" stopIfTrue="1" operator="lessThan">
      <formula>-0.03</formula>
    </cfRule>
  </conditionalFormatting>
  <conditionalFormatting sqref="AB199">
    <cfRule type="cellIs" dxfId="897" priority="301" operator="lessThan">
      <formula>-0.03</formula>
    </cfRule>
    <cfRule type="cellIs" dxfId="896" priority="302" stopIfTrue="1" operator="greaterThan">
      <formula>0.03</formula>
    </cfRule>
  </conditionalFormatting>
  <conditionalFormatting sqref="AB206">
    <cfRule type="cellIs" dxfId="895" priority="299" operator="greaterThan">
      <formula>0.03</formula>
    </cfRule>
    <cfRule type="cellIs" dxfId="894" priority="300" stopIfTrue="1" operator="lessThan">
      <formula>-0.03</formula>
    </cfRule>
  </conditionalFormatting>
  <conditionalFormatting sqref="AB209">
    <cfRule type="cellIs" dxfId="893" priority="297" operator="lessThan">
      <formula>-0.03</formula>
    </cfRule>
    <cfRule type="cellIs" dxfId="892" priority="298" stopIfTrue="1" operator="greaterThan">
      <formula>0.03</formula>
    </cfRule>
  </conditionalFormatting>
  <conditionalFormatting sqref="Z220:Z221">
    <cfRule type="cellIs" dxfId="891" priority="294" stopIfTrue="1" operator="lessThan">
      <formula>-0.01</formula>
    </cfRule>
    <cfRule type="cellIs" dxfId="890" priority="295" stopIfTrue="1" operator="greaterThan">
      <formula>0.01</formula>
    </cfRule>
  </conditionalFormatting>
  <conditionalFormatting sqref="H220:J221">
    <cfRule type="dataBar" priority="293">
      <dataBar>
        <cfvo type="min"/>
        <cfvo type="max"/>
        <color rgb="FF008AEF"/>
      </dataBar>
    </cfRule>
  </conditionalFormatting>
  <conditionalFormatting sqref="R220:T221">
    <cfRule type="dataBar" priority="292">
      <dataBar>
        <cfvo type="min"/>
        <cfvo type="max"/>
        <color rgb="FF008AEF"/>
      </dataBar>
    </cfRule>
  </conditionalFormatting>
  <conditionalFormatting sqref="U220:U221">
    <cfRule type="dataBar" priority="296">
      <dataBar>
        <cfvo type="min"/>
        <cfvo type="max"/>
        <color rgb="FF008AEF"/>
      </dataBar>
    </cfRule>
  </conditionalFormatting>
  <conditionalFormatting sqref="AB216">
    <cfRule type="cellIs" dxfId="889" priority="289" operator="greaterThan">
      <formula>0.03</formula>
    </cfRule>
    <cfRule type="cellIs" dxfId="888" priority="290" stopIfTrue="1" operator="lessThan">
      <formula>-0.03</formula>
    </cfRule>
  </conditionalFormatting>
  <conditionalFormatting sqref="AB219">
    <cfRule type="cellIs" dxfId="887" priority="287" operator="lessThan">
      <formula>-0.03</formula>
    </cfRule>
    <cfRule type="cellIs" dxfId="886" priority="288" stopIfTrue="1" operator="greaterThan">
      <formula>0.03</formula>
    </cfRule>
  </conditionalFormatting>
  <conditionalFormatting sqref="H216:J216">
    <cfRule type="dataBar" priority="286">
      <dataBar>
        <cfvo type="min"/>
        <cfvo type="max"/>
        <color rgb="FF008AEF"/>
      </dataBar>
    </cfRule>
  </conditionalFormatting>
  <conditionalFormatting sqref="Z216">
    <cfRule type="cellIs" dxfId="885" priority="284" stopIfTrue="1" operator="lessThan">
      <formula>-0.01</formula>
    </cfRule>
    <cfRule type="cellIs" dxfId="884" priority="285" stopIfTrue="1" operator="greaterThan">
      <formula>0.01</formula>
    </cfRule>
  </conditionalFormatting>
  <conditionalFormatting sqref="Z217">
    <cfRule type="cellIs" dxfId="883" priority="282" stopIfTrue="1" operator="lessThan">
      <formula>-0.01</formula>
    </cfRule>
    <cfRule type="cellIs" dxfId="882" priority="283" stopIfTrue="1" operator="greaterThan">
      <formula>0.01</formula>
    </cfRule>
  </conditionalFormatting>
  <conditionalFormatting sqref="Z218">
    <cfRule type="cellIs" dxfId="881" priority="280" stopIfTrue="1" operator="lessThan">
      <formula>-0.01</formula>
    </cfRule>
    <cfRule type="cellIs" dxfId="880" priority="281" stopIfTrue="1" operator="greaterThan">
      <formula>0.01</formula>
    </cfRule>
  </conditionalFormatting>
  <conditionalFormatting sqref="Z219">
    <cfRule type="cellIs" dxfId="879" priority="278" stopIfTrue="1" operator="lessThan">
      <formula>-0.01</formula>
    </cfRule>
    <cfRule type="cellIs" dxfId="878" priority="279" stopIfTrue="1" operator="greaterThan">
      <formula>0.01</formula>
    </cfRule>
  </conditionalFormatting>
  <conditionalFormatting sqref="V216:V219">
    <cfRule type="cellIs" dxfId="877" priority="276" operator="greaterThan">
      <formula>0.03</formula>
    </cfRule>
    <cfRule type="cellIs" dxfId="876" priority="277" stopIfTrue="1" operator="lessThan">
      <formula>-0.03</formula>
    </cfRule>
  </conditionalFormatting>
  <conditionalFormatting sqref="H217:J217">
    <cfRule type="dataBar" priority="275">
      <dataBar>
        <cfvo type="min"/>
        <cfvo type="max"/>
        <color rgb="FF008AEF"/>
      </dataBar>
    </cfRule>
  </conditionalFormatting>
  <conditionalFormatting sqref="H218:J218">
    <cfRule type="dataBar" priority="274">
      <dataBar>
        <cfvo type="min"/>
        <cfvo type="max"/>
        <color rgb="FF008AEF"/>
      </dataBar>
    </cfRule>
  </conditionalFormatting>
  <conditionalFormatting sqref="H219:J219">
    <cfRule type="dataBar" priority="273">
      <dataBar>
        <cfvo type="min"/>
        <cfvo type="max"/>
        <color rgb="FF008AEF"/>
      </dataBar>
    </cfRule>
  </conditionalFormatting>
  <conditionalFormatting sqref="R217:T217">
    <cfRule type="dataBar" priority="272">
      <dataBar>
        <cfvo type="min"/>
        <cfvo type="max"/>
        <color rgb="FF008AEF"/>
      </dataBar>
    </cfRule>
  </conditionalFormatting>
  <conditionalFormatting sqref="R218:T218">
    <cfRule type="dataBar" priority="271">
      <dataBar>
        <cfvo type="min"/>
        <cfvo type="max"/>
        <color rgb="FF008AEF"/>
      </dataBar>
    </cfRule>
  </conditionalFormatting>
  <conditionalFormatting sqref="R219:T219">
    <cfRule type="dataBar" priority="270">
      <dataBar>
        <cfvo type="min"/>
        <cfvo type="max"/>
        <color rgb="FF008AEF"/>
      </dataBar>
    </cfRule>
  </conditionalFormatting>
  <conditionalFormatting sqref="R216:U216 U217:U219">
    <cfRule type="dataBar" priority="291">
      <dataBar>
        <cfvo type="min"/>
        <cfvo type="max"/>
        <color rgb="FF008AEF"/>
      </dataBar>
    </cfRule>
  </conditionalFormatting>
  <conditionalFormatting sqref="I16">
    <cfRule type="dataBar" priority="269">
      <dataBar>
        <cfvo type="min"/>
        <cfvo type="max"/>
        <color rgb="FF008AEF"/>
      </dataBar>
    </cfRule>
  </conditionalFormatting>
  <conditionalFormatting sqref="I17">
    <cfRule type="dataBar" priority="268">
      <dataBar>
        <cfvo type="min"/>
        <cfvo type="max"/>
        <color rgb="FF008AEF"/>
      </dataBar>
    </cfRule>
  </conditionalFormatting>
  <conditionalFormatting sqref="H110:J111">
    <cfRule type="dataBar" priority="267">
      <dataBar>
        <cfvo type="min"/>
        <cfvo type="max"/>
        <color rgb="FF008AEF"/>
      </dataBar>
    </cfRule>
  </conditionalFormatting>
  <conditionalFormatting sqref="H106:J106">
    <cfRule type="dataBar" priority="266">
      <dataBar>
        <cfvo type="min"/>
        <cfvo type="max"/>
        <color rgb="FF008AEF"/>
      </dataBar>
    </cfRule>
  </conditionalFormatting>
  <conditionalFormatting sqref="H107:J107">
    <cfRule type="dataBar" priority="265">
      <dataBar>
        <cfvo type="min"/>
        <cfvo type="max"/>
        <color rgb="FF008AEF"/>
      </dataBar>
    </cfRule>
  </conditionalFormatting>
  <conditionalFormatting sqref="H108:J108">
    <cfRule type="dataBar" priority="264">
      <dataBar>
        <cfvo type="min"/>
        <cfvo type="max"/>
        <color rgb="FF008AEF"/>
      </dataBar>
    </cfRule>
  </conditionalFormatting>
  <conditionalFormatting sqref="H109:J109">
    <cfRule type="dataBar" priority="263">
      <dataBar>
        <cfvo type="min"/>
        <cfvo type="max"/>
        <color rgb="FF008AEF"/>
      </dataBar>
    </cfRule>
  </conditionalFormatting>
  <conditionalFormatting sqref="H108:J109">
    <cfRule type="dataBar" priority="262">
      <dataBar>
        <cfvo type="min"/>
        <cfvo type="max"/>
        <color rgb="FF008AEF"/>
      </dataBar>
    </cfRule>
  </conditionalFormatting>
  <conditionalFormatting sqref="H104:J104">
    <cfRule type="dataBar" priority="261">
      <dataBar>
        <cfvo type="min"/>
        <cfvo type="max"/>
        <color rgb="FF008AEF"/>
      </dataBar>
    </cfRule>
  </conditionalFormatting>
  <conditionalFormatting sqref="H105:J105">
    <cfRule type="dataBar" priority="260">
      <dataBar>
        <cfvo type="min"/>
        <cfvo type="max"/>
        <color rgb="FF008AEF"/>
      </dataBar>
    </cfRule>
  </conditionalFormatting>
  <conditionalFormatting sqref="H106:J106">
    <cfRule type="dataBar" priority="259">
      <dataBar>
        <cfvo type="min"/>
        <cfvo type="max"/>
        <color rgb="FF008AEF"/>
      </dataBar>
    </cfRule>
  </conditionalFormatting>
  <conditionalFormatting sqref="H107:J107">
    <cfRule type="dataBar" priority="258">
      <dataBar>
        <cfvo type="min"/>
        <cfvo type="max"/>
        <color rgb="FF008AEF"/>
      </dataBar>
    </cfRule>
  </conditionalFormatting>
  <conditionalFormatting sqref="N24">
    <cfRule type="cellIs" dxfId="875" priority="256" stopIfTrue="1" operator="lessThan">
      <formula>-0.01</formula>
    </cfRule>
    <cfRule type="cellIs" dxfId="874" priority="257" stopIfTrue="1" operator="greaterThan">
      <formula>0.01</formula>
    </cfRule>
  </conditionalFormatting>
  <conditionalFormatting sqref="I35">
    <cfRule type="dataBar" priority="255">
      <dataBar>
        <cfvo type="min"/>
        <cfvo type="max"/>
        <color rgb="FF008AEF"/>
      </dataBar>
    </cfRule>
  </conditionalFormatting>
  <conditionalFormatting sqref="I27">
    <cfRule type="dataBar" priority="254">
      <dataBar>
        <cfvo type="min"/>
        <cfvo type="max"/>
        <color rgb="FF008AEF"/>
      </dataBar>
    </cfRule>
  </conditionalFormatting>
  <conditionalFormatting sqref="I28">
    <cfRule type="dataBar" priority="253">
      <dataBar>
        <cfvo type="min"/>
        <cfvo type="max"/>
        <color rgb="FF008AEF"/>
      </dataBar>
    </cfRule>
  </conditionalFormatting>
  <conditionalFormatting sqref="N35">
    <cfRule type="cellIs" dxfId="873" priority="251" stopIfTrue="1" operator="lessThan">
      <formula>-0.01</formula>
    </cfRule>
    <cfRule type="cellIs" dxfId="872" priority="252" stopIfTrue="1" operator="greaterThan">
      <formula>0.01</formula>
    </cfRule>
  </conditionalFormatting>
  <conditionalFormatting sqref="I45:I46">
    <cfRule type="dataBar" priority="250">
      <dataBar>
        <cfvo type="min"/>
        <cfvo type="max"/>
        <color rgb="FF008AEF"/>
      </dataBar>
    </cfRule>
  </conditionalFormatting>
  <conditionalFormatting sqref="I40">
    <cfRule type="dataBar" priority="249">
      <dataBar>
        <cfvo type="min"/>
        <cfvo type="max"/>
        <color rgb="FF008AEF"/>
      </dataBar>
    </cfRule>
  </conditionalFormatting>
  <conditionalFormatting sqref="I41">
    <cfRule type="dataBar" priority="248">
      <dataBar>
        <cfvo type="min"/>
        <cfvo type="max"/>
        <color rgb="FF008AEF"/>
      </dataBar>
    </cfRule>
  </conditionalFormatting>
  <conditionalFormatting sqref="I42:I43">
    <cfRule type="dataBar" priority="247">
      <dataBar>
        <cfvo type="min"/>
        <cfvo type="max"/>
        <color rgb="FF008AEF"/>
      </dataBar>
    </cfRule>
  </conditionalFormatting>
  <conditionalFormatting sqref="I44">
    <cfRule type="dataBar" priority="246">
      <dataBar>
        <cfvo type="min"/>
        <cfvo type="max"/>
        <color rgb="FF008AEF"/>
      </dataBar>
    </cfRule>
  </conditionalFormatting>
  <conditionalFormatting sqref="I42:I44">
    <cfRule type="dataBar" priority="245">
      <dataBar>
        <cfvo type="min"/>
        <cfvo type="max"/>
        <color rgb="FF008AEF"/>
      </dataBar>
    </cfRule>
  </conditionalFormatting>
  <conditionalFormatting sqref="I38">
    <cfRule type="dataBar" priority="244">
      <dataBar>
        <cfvo type="min"/>
        <cfvo type="max"/>
        <color rgb="FF008AEF"/>
      </dataBar>
    </cfRule>
  </conditionalFormatting>
  <conditionalFormatting sqref="I39">
    <cfRule type="dataBar" priority="243">
      <dataBar>
        <cfvo type="min"/>
        <cfvo type="max"/>
        <color rgb="FF008AEF"/>
      </dataBar>
    </cfRule>
  </conditionalFormatting>
  <conditionalFormatting sqref="I40">
    <cfRule type="dataBar" priority="242">
      <dataBar>
        <cfvo type="min"/>
        <cfvo type="max"/>
        <color rgb="FF008AEF"/>
      </dataBar>
    </cfRule>
  </conditionalFormatting>
  <conditionalFormatting sqref="I41">
    <cfRule type="dataBar" priority="241">
      <dataBar>
        <cfvo type="min"/>
        <cfvo type="max"/>
        <color rgb="FF008AEF"/>
      </dataBar>
    </cfRule>
  </conditionalFormatting>
  <conditionalFormatting sqref="N45:N46">
    <cfRule type="cellIs" dxfId="871" priority="239" stopIfTrue="1" operator="lessThan">
      <formula>-0.01</formula>
    </cfRule>
    <cfRule type="cellIs" dxfId="870" priority="240" stopIfTrue="1" operator="greaterThan">
      <formula>0.01</formula>
    </cfRule>
  </conditionalFormatting>
  <conditionalFormatting sqref="I56:I57">
    <cfRule type="dataBar" priority="238">
      <dataBar>
        <cfvo type="min"/>
        <cfvo type="max"/>
        <color rgb="FF008AEF"/>
      </dataBar>
    </cfRule>
  </conditionalFormatting>
  <conditionalFormatting sqref="I51">
    <cfRule type="dataBar" priority="237">
      <dataBar>
        <cfvo type="min"/>
        <cfvo type="max"/>
        <color rgb="FF008AEF"/>
      </dataBar>
    </cfRule>
  </conditionalFormatting>
  <conditionalFormatting sqref="I52">
    <cfRule type="dataBar" priority="236">
      <dataBar>
        <cfvo type="min"/>
        <cfvo type="max"/>
        <color rgb="FF008AEF"/>
      </dataBar>
    </cfRule>
  </conditionalFormatting>
  <conditionalFormatting sqref="I53:I54">
    <cfRule type="dataBar" priority="235">
      <dataBar>
        <cfvo type="min"/>
        <cfvo type="max"/>
        <color rgb="FF008AEF"/>
      </dataBar>
    </cfRule>
  </conditionalFormatting>
  <conditionalFormatting sqref="I55">
    <cfRule type="dataBar" priority="234">
      <dataBar>
        <cfvo type="min"/>
        <cfvo type="max"/>
        <color rgb="FF008AEF"/>
      </dataBar>
    </cfRule>
  </conditionalFormatting>
  <conditionalFormatting sqref="I53:I55">
    <cfRule type="dataBar" priority="233">
      <dataBar>
        <cfvo type="min"/>
        <cfvo type="max"/>
        <color rgb="FF008AEF"/>
      </dataBar>
    </cfRule>
  </conditionalFormatting>
  <conditionalFormatting sqref="I49">
    <cfRule type="dataBar" priority="232">
      <dataBar>
        <cfvo type="min"/>
        <cfvo type="max"/>
        <color rgb="FF008AEF"/>
      </dataBar>
    </cfRule>
  </conditionalFormatting>
  <conditionalFormatting sqref="I50">
    <cfRule type="dataBar" priority="231">
      <dataBar>
        <cfvo type="min"/>
        <cfvo type="max"/>
        <color rgb="FF008AEF"/>
      </dataBar>
    </cfRule>
  </conditionalFormatting>
  <conditionalFormatting sqref="I51">
    <cfRule type="dataBar" priority="230">
      <dataBar>
        <cfvo type="min"/>
        <cfvo type="max"/>
        <color rgb="FF008AEF"/>
      </dataBar>
    </cfRule>
  </conditionalFormatting>
  <conditionalFormatting sqref="I52">
    <cfRule type="dataBar" priority="229">
      <dataBar>
        <cfvo type="min"/>
        <cfvo type="max"/>
        <color rgb="FF008AEF"/>
      </dataBar>
    </cfRule>
  </conditionalFormatting>
  <conditionalFormatting sqref="J51:J55">
    <cfRule type="cellIs" dxfId="869" priority="227" operator="greaterThan">
      <formula>0.03</formula>
    </cfRule>
    <cfRule type="cellIs" dxfId="868" priority="228" stopIfTrue="1" operator="lessThan">
      <formula>-0.03</formula>
    </cfRule>
  </conditionalFormatting>
  <conditionalFormatting sqref="N56:N57">
    <cfRule type="cellIs" dxfId="867" priority="225" stopIfTrue="1" operator="lessThan">
      <formula>-0.01</formula>
    </cfRule>
    <cfRule type="cellIs" dxfId="866" priority="226" stopIfTrue="1" operator="greaterThan">
      <formula>0.01</formula>
    </cfRule>
  </conditionalFormatting>
  <conditionalFormatting sqref="N51">
    <cfRule type="cellIs" dxfId="865" priority="223" stopIfTrue="1" operator="lessThan">
      <formula>-0.01</formula>
    </cfRule>
    <cfRule type="cellIs" dxfId="864" priority="224" stopIfTrue="1" operator="greaterThan">
      <formula>0.01</formula>
    </cfRule>
  </conditionalFormatting>
  <conditionalFormatting sqref="N52">
    <cfRule type="cellIs" dxfId="863" priority="221" stopIfTrue="1" operator="lessThan">
      <formula>-0.01</formula>
    </cfRule>
    <cfRule type="cellIs" dxfId="862" priority="222" stopIfTrue="1" operator="greaterThan">
      <formula>0.01</formula>
    </cfRule>
  </conditionalFormatting>
  <conditionalFormatting sqref="N53:N54">
    <cfRule type="cellIs" dxfId="861" priority="219" stopIfTrue="1" operator="lessThan">
      <formula>-0.01</formula>
    </cfRule>
    <cfRule type="cellIs" dxfId="860" priority="220" stopIfTrue="1" operator="greaterThan">
      <formula>0.01</formula>
    </cfRule>
  </conditionalFormatting>
  <conditionalFormatting sqref="N55">
    <cfRule type="cellIs" dxfId="859" priority="217" stopIfTrue="1" operator="lessThan">
      <formula>-0.01</formula>
    </cfRule>
    <cfRule type="cellIs" dxfId="858" priority="218" stopIfTrue="1" operator="greaterThan">
      <formula>0.01</formula>
    </cfRule>
  </conditionalFormatting>
  <conditionalFormatting sqref="P51">
    <cfRule type="cellIs" dxfId="857" priority="215" operator="greaterThan">
      <formula>0.03</formula>
    </cfRule>
    <cfRule type="cellIs" dxfId="856" priority="216" stopIfTrue="1" operator="lessThan">
      <formula>-0.03</formula>
    </cfRule>
  </conditionalFormatting>
  <conditionalFormatting sqref="P55">
    <cfRule type="cellIs" dxfId="855" priority="213" operator="lessThan">
      <formula>-0.03</formula>
    </cfRule>
    <cfRule type="cellIs" dxfId="854" priority="214" stopIfTrue="1" operator="greaterThan">
      <formula>0.03</formula>
    </cfRule>
  </conditionalFormatting>
  <conditionalFormatting sqref="I68">
    <cfRule type="dataBar" priority="212">
      <dataBar>
        <cfvo type="min"/>
        <cfvo type="max"/>
        <color rgb="FF008AEF"/>
      </dataBar>
    </cfRule>
  </conditionalFormatting>
  <conditionalFormatting sqref="I60">
    <cfRule type="dataBar" priority="211">
      <dataBar>
        <cfvo type="min"/>
        <cfvo type="max"/>
        <color rgb="FF008AEF"/>
      </dataBar>
    </cfRule>
  </conditionalFormatting>
  <conditionalFormatting sqref="I61">
    <cfRule type="dataBar" priority="210">
      <dataBar>
        <cfvo type="min"/>
        <cfvo type="max"/>
        <color rgb="FF008AEF"/>
      </dataBar>
    </cfRule>
  </conditionalFormatting>
  <conditionalFormatting sqref="N68">
    <cfRule type="cellIs" dxfId="853" priority="208" stopIfTrue="1" operator="lessThan">
      <formula>-0.01</formula>
    </cfRule>
    <cfRule type="cellIs" dxfId="852" priority="209" stopIfTrue="1" operator="greaterThan">
      <formula>0.01</formula>
    </cfRule>
  </conditionalFormatting>
  <conditionalFormatting sqref="I79">
    <cfRule type="dataBar" priority="207">
      <dataBar>
        <cfvo type="min"/>
        <cfvo type="max"/>
        <color rgb="FF008AEF"/>
      </dataBar>
    </cfRule>
  </conditionalFormatting>
  <conditionalFormatting sqref="I71">
    <cfRule type="dataBar" priority="206">
      <dataBar>
        <cfvo type="min"/>
        <cfvo type="max"/>
        <color rgb="FF008AEF"/>
      </dataBar>
    </cfRule>
  </conditionalFormatting>
  <conditionalFormatting sqref="I72">
    <cfRule type="dataBar" priority="205">
      <dataBar>
        <cfvo type="min"/>
        <cfvo type="max"/>
        <color rgb="FF008AEF"/>
      </dataBar>
    </cfRule>
  </conditionalFormatting>
  <conditionalFormatting sqref="N79">
    <cfRule type="cellIs" dxfId="851" priority="203" stopIfTrue="1" operator="lessThan">
      <formula>-0.01</formula>
    </cfRule>
    <cfRule type="cellIs" dxfId="850" priority="204" stopIfTrue="1" operator="greaterThan">
      <formula>0.01</formula>
    </cfRule>
  </conditionalFormatting>
  <conditionalFormatting sqref="R89:T90">
    <cfRule type="dataBar" priority="202">
      <dataBar>
        <cfvo type="min"/>
        <cfvo type="max"/>
        <color rgb="FF008AEF"/>
      </dataBar>
    </cfRule>
  </conditionalFormatting>
  <conditionalFormatting sqref="R85:T85">
    <cfRule type="dataBar" priority="200">
      <dataBar>
        <cfvo type="min"/>
        <cfvo type="max"/>
        <color rgb="FF008AEF"/>
      </dataBar>
    </cfRule>
  </conditionalFormatting>
  <conditionalFormatting sqref="R86:T87">
    <cfRule type="dataBar" priority="199">
      <dataBar>
        <cfvo type="min"/>
        <cfvo type="max"/>
        <color rgb="FF008AEF"/>
      </dataBar>
    </cfRule>
  </conditionalFormatting>
  <conditionalFormatting sqref="R88:T88">
    <cfRule type="dataBar" priority="198">
      <dataBar>
        <cfvo type="min"/>
        <cfvo type="max"/>
        <color rgb="FF008AEF"/>
      </dataBar>
    </cfRule>
  </conditionalFormatting>
  <conditionalFormatting sqref="R84:T84">
    <cfRule type="dataBar" priority="201">
      <dataBar>
        <cfvo type="min"/>
        <cfvo type="max"/>
        <color rgb="FF008AEF"/>
      </dataBar>
    </cfRule>
  </conditionalFormatting>
  <conditionalFormatting sqref="I90">
    <cfRule type="dataBar" priority="197">
      <dataBar>
        <cfvo type="min"/>
        <cfvo type="max"/>
        <color rgb="FF008AEF"/>
      </dataBar>
    </cfRule>
  </conditionalFormatting>
  <conditionalFormatting sqref="I82">
    <cfRule type="dataBar" priority="196">
      <dataBar>
        <cfvo type="min"/>
        <cfvo type="max"/>
        <color rgb="FF008AEF"/>
      </dataBar>
    </cfRule>
  </conditionalFormatting>
  <conditionalFormatting sqref="I83">
    <cfRule type="dataBar" priority="195">
      <dataBar>
        <cfvo type="min"/>
        <cfvo type="max"/>
        <color rgb="FF008AEF"/>
      </dataBar>
    </cfRule>
  </conditionalFormatting>
  <conditionalFormatting sqref="N90">
    <cfRule type="cellIs" dxfId="849" priority="193" stopIfTrue="1" operator="lessThan">
      <formula>-0.01</formula>
    </cfRule>
    <cfRule type="cellIs" dxfId="848" priority="194" stopIfTrue="1" operator="greaterThan">
      <formula>0.01</formula>
    </cfRule>
  </conditionalFormatting>
  <conditionalFormatting sqref="R100:T101">
    <cfRule type="dataBar" priority="192">
      <dataBar>
        <cfvo type="min"/>
        <cfvo type="max"/>
        <color rgb="FF008AEF"/>
      </dataBar>
    </cfRule>
  </conditionalFormatting>
  <conditionalFormatting sqref="R96:T96">
    <cfRule type="dataBar" priority="190">
      <dataBar>
        <cfvo type="min"/>
        <cfvo type="max"/>
        <color rgb="FF008AEF"/>
      </dataBar>
    </cfRule>
  </conditionalFormatting>
  <conditionalFormatting sqref="R97:T98">
    <cfRule type="dataBar" priority="189">
      <dataBar>
        <cfvo type="min"/>
        <cfvo type="max"/>
        <color rgb="FF008AEF"/>
      </dataBar>
    </cfRule>
  </conditionalFormatting>
  <conditionalFormatting sqref="R99:T99">
    <cfRule type="dataBar" priority="188">
      <dataBar>
        <cfvo type="min"/>
        <cfvo type="max"/>
        <color rgb="FF008AEF"/>
      </dataBar>
    </cfRule>
  </conditionalFormatting>
  <conditionalFormatting sqref="R95:T95">
    <cfRule type="dataBar" priority="191">
      <dataBar>
        <cfvo type="min"/>
        <cfvo type="max"/>
        <color rgb="FF008AEF"/>
      </dataBar>
    </cfRule>
  </conditionalFormatting>
  <conditionalFormatting sqref="I101">
    <cfRule type="dataBar" priority="187">
      <dataBar>
        <cfvo type="min"/>
        <cfvo type="max"/>
        <color rgb="FF008AEF"/>
      </dataBar>
    </cfRule>
  </conditionalFormatting>
  <conditionalFormatting sqref="I93">
    <cfRule type="dataBar" priority="186">
      <dataBar>
        <cfvo type="min"/>
        <cfvo type="max"/>
        <color rgb="FF008AEF"/>
      </dataBar>
    </cfRule>
  </conditionalFormatting>
  <conditionalFormatting sqref="I94">
    <cfRule type="dataBar" priority="185">
      <dataBar>
        <cfvo type="min"/>
        <cfvo type="max"/>
        <color rgb="FF008AEF"/>
      </dataBar>
    </cfRule>
  </conditionalFormatting>
  <conditionalFormatting sqref="N101">
    <cfRule type="cellIs" dxfId="847" priority="183" stopIfTrue="1" operator="lessThan">
      <formula>-0.01</formula>
    </cfRule>
    <cfRule type="cellIs" dxfId="846" priority="184" stopIfTrue="1" operator="greaterThan">
      <formula>0.01</formula>
    </cfRule>
  </conditionalFormatting>
  <conditionalFormatting sqref="J40:J44">
    <cfRule type="cellIs" dxfId="845" priority="181" operator="greaterThan">
      <formula>0.03</formula>
    </cfRule>
    <cfRule type="cellIs" dxfId="844" priority="182" stopIfTrue="1" operator="lessThan">
      <formula>-0.03</formula>
    </cfRule>
  </conditionalFormatting>
  <conditionalFormatting sqref="N40">
    <cfRule type="cellIs" dxfId="843" priority="179" stopIfTrue="1" operator="lessThan">
      <formula>-0.01</formula>
    </cfRule>
    <cfRule type="cellIs" dxfId="842" priority="180" stopIfTrue="1" operator="greaterThan">
      <formula>0.01</formula>
    </cfRule>
  </conditionalFormatting>
  <conditionalFormatting sqref="N41">
    <cfRule type="cellIs" dxfId="841" priority="177" stopIfTrue="1" operator="lessThan">
      <formula>-0.01</formula>
    </cfRule>
    <cfRule type="cellIs" dxfId="840" priority="178" stopIfTrue="1" operator="greaterThan">
      <formula>0.01</formula>
    </cfRule>
  </conditionalFormatting>
  <conditionalFormatting sqref="N42:N43">
    <cfRule type="cellIs" dxfId="839" priority="175" stopIfTrue="1" operator="lessThan">
      <formula>-0.01</formula>
    </cfRule>
    <cfRule type="cellIs" dxfId="838" priority="176" stopIfTrue="1" operator="greaterThan">
      <formula>0.01</formula>
    </cfRule>
  </conditionalFormatting>
  <conditionalFormatting sqref="N44">
    <cfRule type="cellIs" dxfId="837" priority="173" stopIfTrue="1" operator="lessThan">
      <formula>-0.01</formula>
    </cfRule>
    <cfRule type="cellIs" dxfId="836" priority="174" stopIfTrue="1" operator="greaterThan">
      <formula>0.01</formula>
    </cfRule>
  </conditionalFormatting>
  <conditionalFormatting sqref="P40">
    <cfRule type="cellIs" dxfId="835" priority="171" operator="greaterThan">
      <formula>0.03</formula>
    </cfRule>
    <cfRule type="cellIs" dxfId="834" priority="172" stopIfTrue="1" operator="lessThan">
      <formula>-0.03</formula>
    </cfRule>
  </conditionalFormatting>
  <conditionalFormatting sqref="P44">
    <cfRule type="cellIs" dxfId="833" priority="169" operator="lessThan">
      <formula>-0.03</formula>
    </cfRule>
    <cfRule type="cellIs" dxfId="832" priority="170" stopIfTrue="1" operator="greaterThan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I29"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1">
      <dataBar>
        <cfvo type="min"/>
        <cfvo type="max"/>
        <color rgb="FF008AEF"/>
      </dataBar>
    </cfRule>
  </conditionalFormatting>
  <conditionalFormatting sqref="N34">
    <cfRule type="cellIs" dxfId="831" priority="159" stopIfTrue="1" operator="lessThan">
      <formula>-0.01</formula>
    </cfRule>
    <cfRule type="cellIs" dxfId="830" priority="160" stopIfTrue="1" operator="greaterThan">
      <formula>0.01</formula>
    </cfRule>
  </conditionalFormatting>
  <conditionalFormatting sqref="J29:J33">
    <cfRule type="cellIs" dxfId="829" priority="157" operator="greaterThan">
      <formula>0.03</formula>
    </cfRule>
    <cfRule type="cellIs" dxfId="828" priority="158" stopIfTrue="1" operator="lessThan">
      <formula>-0.03</formula>
    </cfRule>
  </conditionalFormatting>
  <conditionalFormatting sqref="N29">
    <cfRule type="cellIs" dxfId="827" priority="155" stopIfTrue="1" operator="lessThan">
      <formula>-0.01</formula>
    </cfRule>
    <cfRule type="cellIs" dxfId="826" priority="156" stopIfTrue="1" operator="greaterThan">
      <formula>0.01</formula>
    </cfRule>
  </conditionalFormatting>
  <conditionalFormatting sqref="N30">
    <cfRule type="cellIs" dxfId="825" priority="153" stopIfTrue="1" operator="lessThan">
      <formula>-0.01</formula>
    </cfRule>
    <cfRule type="cellIs" dxfId="824" priority="154" stopIfTrue="1" operator="greaterThan">
      <formula>0.01</formula>
    </cfRule>
  </conditionalFormatting>
  <conditionalFormatting sqref="N31:N32">
    <cfRule type="cellIs" dxfId="823" priority="151" stopIfTrue="1" operator="lessThan">
      <formula>-0.01</formula>
    </cfRule>
    <cfRule type="cellIs" dxfId="822" priority="152" stopIfTrue="1" operator="greaterThan">
      <formula>0.01</formula>
    </cfRule>
  </conditionalFormatting>
  <conditionalFormatting sqref="N33">
    <cfRule type="cellIs" dxfId="821" priority="149" stopIfTrue="1" operator="lessThan">
      <formula>-0.01</formula>
    </cfRule>
    <cfRule type="cellIs" dxfId="820" priority="150" stopIfTrue="1" operator="greaterThan">
      <formula>0.01</formula>
    </cfRule>
  </conditionalFormatting>
  <conditionalFormatting sqref="P29">
    <cfRule type="cellIs" dxfId="819" priority="147" operator="greaterThan">
      <formula>0.03</formula>
    </cfRule>
    <cfRule type="cellIs" dxfId="818" priority="148" stopIfTrue="1" operator="lessThan">
      <formula>-0.03</formula>
    </cfRule>
  </conditionalFormatting>
  <conditionalFormatting sqref="P33">
    <cfRule type="cellIs" dxfId="817" priority="145" operator="lessThan">
      <formula>-0.03</formula>
    </cfRule>
    <cfRule type="cellIs" dxfId="816" priority="146" stopIfTrue="1" operator="greaterThan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I18"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37">
      <dataBar>
        <cfvo type="min"/>
        <cfvo type="max"/>
        <color rgb="FF008AEF"/>
      </dataBar>
    </cfRule>
  </conditionalFormatting>
  <conditionalFormatting sqref="N23">
    <cfRule type="cellIs" dxfId="815" priority="135" stopIfTrue="1" operator="lessThan">
      <formula>-0.01</formula>
    </cfRule>
    <cfRule type="cellIs" dxfId="814" priority="136" stopIfTrue="1" operator="greaterThan">
      <formula>0.01</formula>
    </cfRule>
  </conditionalFormatting>
  <conditionalFormatting sqref="J18:J22">
    <cfRule type="cellIs" dxfId="813" priority="133" operator="greaterThan">
      <formula>0.03</formula>
    </cfRule>
    <cfRule type="cellIs" dxfId="812" priority="134" stopIfTrue="1" operator="lessThan">
      <formula>-0.03</formula>
    </cfRule>
  </conditionalFormatting>
  <conditionalFormatting sqref="N18">
    <cfRule type="cellIs" dxfId="811" priority="131" stopIfTrue="1" operator="lessThan">
      <formula>-0.01</formula>
    </cfRule>
    <cfRule type="cellIs" dxfId="810" priority="132" stopIfTrue="1" operator="greaterThan">
      <formula>0.01</formula>
    </cfRule>
  </conditionalFormatting>
  <conditionalFormatting sqref="N19">
    <cfRule type="cellIs" dxfId="809" priority="129" stopIfTrue="1" operator="lessThan">
      <formula>-0.01</formula>
    </cfRule>
    <cfRule type="cellIs" dxfId="808" priority="130" stopIfTrue="1" operator="greaterThan">
      <formula>0.01</formula>
    </cfRule>
  </conditionalFormatting>
  <conditionalFormatting sqref="N20:N21">
    <cfRule type="cellIs" dxfId="807" priority="127" stopIfTrue="1" operator="lessThan">
      <formula>-0.01</formula>
    </cfRule>
    <cfRule type="cellIs" dxfId="806" priority="128" stopIfTrue="1" operator="greaterThan">
      <formula>0.01</formula>
    </cfRule>
  </conditionalFormatting>
  <conditionalFormatting sqref="N22">
    <cfRule type="cellIs" dxfId="805" priority="125" stopIfTrue="1" operator="lessThan">
      <formula>-0.01</formula>
    </cfRule>
    <cfRule type="cellIs" dxfId="804" priority="126" stopIfTrue="1" operator="greaterThan">
      <formula>0.01</formula>
    </cfRule>
  </conditionalFormatting>
  <conditionalFormatting sqref="P18">
    <cfRule type="cellIs" dxfId="803" priority="123" operator="greaterThan">
      <formula>0.03</formula>
    </cfRule>
    <cfRule type="cellIs" dxfId="802" priority="124" stopIfTrue="1" operator="lessThan">
      <formula>-0.03</formula>
    </cfRule>
  </conditionalFormatting>
  <conditionalFormatting sqref="P22">
    <cfRule type="cellIs" dxfId="801" priority="121" operator="lessThan">
      <formula>-0.03</formula>
    </cfRule>
    <cfRule type="cellIs" dxfId="800" priority="122" stopIfTrue="1" operator="greaterThan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I7"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3">
      <dataBar>
        <cfvo type="min"/>
        <cfvo type="max"/>
        <color rgb="FF008AEF"/>
      </dataBar>
    </cfRule>
  </conditionalFormatting>
  <conditionalFormatting sqref="N12">
    <cfRule type="cellIs" dxfId="799" priority="111" stopIfTrue="1" operator="lessThan">
      <formula>-0.01</formula>
    </cfRule>
    <cfRule type="cellIs" dxfId="798" priority="112" stopIfTrue="1" operator="greaterThan">
      <formula>0.01</formula>
    </cfRule>
  </conditionalFormatting>
  <conditionalFormatting sqref="J7:J11">
    <cfRule type="cellIs" dxfId="797" priority="109" operator="greaterThan">
      <formula>0.03</formula>
    </cfRule>
    <cfRule type="cellIs" dxfId="796" priority="110" stopIfTrue="1" operator="lessThan">
      <formula>-0.03</formula>
    </cfRule>
  </conditionalFormatting>
  <conditionalFormatting sqref="N7">
    <cfRule type="cellIs" dxfId="795" priority="107" stopIfTrue="1" operator="lessThan">
      <formula>-0.01</formula>
    </cfRule>
    <cfRule type="cellIs" dxfId="794" priority="108" stopIfTrue="1" operator="greaterThan">
      <formula>0.01</formula>
    </cfRule>
  </conditionalFormatting>
  <conditionalFormatting sqref="N8">
    <cfRule type="cellIs" dxfId="793" priority="105" stopIfTrue="1" operator="lessThan">
      <formula>-0.01</formula>
    </cfRule>
    <cfRule type="cellIs" dxfId="792" priority="106" stopIfTrue="1" operator="greaterThan">
      <formula>0.01</formula>
    </cfRule>
  </conditionalFormatting>
  <conditionalFormatting sqref="N9:N10">
    <cfRule type="cellIs" dxfId="791" priority="103" stopIfTrue="1" operator="lessThan">
      <formula>-0.01</formula>
    </cfRule>
    <cfRule type="cellIs" dxfId="790" priority="104" stopIfTrue="1" operator="greaterThan">
      <formula>0.01</formula>
    </cfRule>
  </conditionalFormatting>
  <conditionalFormatting sqref="N11">
    <cfRule type="cellIs" dxfId="789" priority="101" stopIfTrue="1" operator="lessThan">
      <formula>-0.01</formula>
    </cfRule>
    <cfRule type="cellIs" dxfId="788" priority="102" stopIfTrue="1" operator="greaterThan">
      <formula>0.01</formula>
    </cfRule>
  </conditionalFormatting>
  <conditionalFormatting sqref="P7">
    <cfRule type="cellIs" dxfId="787" priority="99" operator="greaterThan">
      <formula>0.03</formula>
    </cfRule>
    <cfRule type="cellIs" dxfId="786" priority="100" stopIfTrue="1" operator="lessThan">
      <formula>-0.03</formula>
    </cfRule>
  </conditionalFormatting>
  <conditionalFormatting sqref="P11">
    <cfRule type="cellIs" dxfId="785" priority="97" operator="lessThan">
      <formula>-0.03</formula>
    </cfRule>
    <cfRule type="cellIs" dxfId="784" priority="98" stopIfTrue="1" operator="greaterThan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I62">
    <cfRule type="dataBar" priority="90">
      <dataBar>
        <cfvo type="min"/>
        <cfvo type="max"/>
        <color rgb="FF008AEF"/>
      </dataBar>
    </cfRule>
  </conditionalFormatting>
  <conditionalFormatting sqref="I63">
    <cfRule type="dataBar" priority="89">
      <dataBar>
        <cfvo type="min"/>
        <cfvo type="max"/>
        <color rgb="FF008AEF"/>
      </dataBar>
    </cfRule>
  </conditionalFormatting>
  <conditionalFormatting sqref="J62:J66">
    <cfRule type="cellIs" dxfId="783" priority="87" operator="greaterThan">
      <formula>0.03</formula>
    </cfRule>
    <cfRule type="cellIs" dxfId="782" priority="88" stopIfTrue="1" operator="lessThan">
      <formula>-0.03</formula>
    </cfRule>
  </conditionalFormatting>
  <conditionalFormatting sqref="N67">
    <cfRule type="cellIs" dxfId="781" priority="85" stopIfTrue="1" operator="lessThan">
      <formula>-0.01</formula>
    </cfRule>
    <cfRule type="cellIs" dxfId="780" priority="86" stopIfTrue="1" operator="greaterThan">
      <formula>0.01</formula>
    </cfRule>
  </conditionalFormatting>
  <conditionalFormatting sqref="N62">
    <cfRule type="cellIs" dxfId="779" priority="83" stopIfTrue="1" operator="lessThan">
      <formula>-0.01</formula>
    </cfRule>
    <cfRule type="cellIs" dxfId="778" priority="84" stopIfTrue="1" operator="greaterThan">
      <formula>0.01</formula>
    </cfRule>
  </conditionalFormatting>
  <conditionalFormatting sqref="N63">
    <cfRule type="cellIs" dxfId="777" priority="81" stopIfTrue="1" operator="lessThan">
      <formula>-0.01</formula>
    </cfRule>
    <cfRule type="cellIs" dxfId="776" priority="82" stopIfTrue="1" operator="greaterThan">
      <formula>0.01</formula>
    </cfRule>
  </conditionalFormatting>
  <conditionalFormatting sqref="N64:N65">
    <cfRule type="cellIs" dxfId="775" priority="79" stopIfTrue="1" operator="lessThan">
      <formula>-0.01</formula>
    </cfRule>
    <cfRule type="cellIs" dxfId="774" priority="80" stopIfTrue="1" operator="greaterThan">
      <formula>0.01</formula>
    </cfRule>
  </conditionalFormatting>
  <conditionalFormatting sqref="N66">
    <cfRule type="cellIs" dxfId="773" priority="77" stopIfTrue="1" operator="lessThan">
      <formula>-0.01</formula>
    </cfRule>
    <cfRule type="cellIs" dxfId="772" priority="78" stopIfTrue="1" operator="greaterThan">
      <formula>0.01</formula>
    </cfRule>
  </conditionalFormatting>
  <conditionalFormatting sqref="P62">
    <cfRule type="cellIs" dxfId="771" priority="75" operator="greaterThan">
      <formula>0.03</formula>
    </cfRule>
    <cfRule type="cellIs" dxfId="770" priority="76" stopIfTrue="1" operator="lessThan">
      <formula>-0.03</formula>
    </cfRule>
  </conditionalFormatting>
  <conditionalFormatting sqref="P66">
    <cfRule type="cellIs" dxfId="769" priority="73" operator="lessThan">
      <formula>-0.03</formula>
    </cfRule>
    <cfRule type="cellIs" dxfId="768" priority="74" stopIfTrue="1" operator="greaterThan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I73">
    <cfRule type="dataBar" priority="66">
      <dataBar>
        <cfvo type="min"/>
        <cfvo type="max"/>
        <color rgb="FF008AEF"/>
      </dataBar>
    </cfRule>
  </conditionalFormatting>
  <conditionalFormatting sqref="I74">
    <cfRule type="dataBar" priority="65">
      <dataBar>
        <cfvo type="min"/>
        <cfvo type="max"/>
        <color rgb="FF008AEF"/>
      </dataBar>
    </cfRule>
  </conditionalFormatting>
  <conditionalFormatting sqref="J73:J77">
    <cfRule type="cellIs" dxfId="767" priority="63" operator="greaterThan">
      <formula>0.03</formula>
    </cfRule>
    <cfRule type="cellIs" dxfId="766" priority="64" stopIfTrue="1" operator="lessThan">
      <formula>-0.03</formula>
    </cfRule>
  </conditionalFormatting>
  <conditionalFormatting sqref="N78">
    <cfRule type="cellIs" dxfId="765" priority="61" stopIfTrue="1" operator="lessThan">
      <formula>-0.01</formula>
    </cfRule>
    <cfRule type="cellIs" dxfId="764" priority="62" stopIfTrue="1" operator="greaterThan">
      <formula>0.01</formula>
    </cfRule>
  </conditionalFormatting>
  <conditionalFormatting sqref="N73">
    <cfRule type="cellIs" dxfId="763" priority="59" stopIfTrue="1" operator="lessThan">
      <formula>-0.01</formula>
    </cfRule>
    <cfRule type="cellIs" dxfId="762" priority="60" stopIfTrue="1" operator="greaterThan">
      <formula>0.01</formula>
    </cfRule>
  </conditionalFormatting>
  <conditionalFormatting sqref="N74">
    <cfRule type="cellIs" dxfId="761" priority="57" stopIfTrue="1" operator="lessThan">
      <formula>-0.01</formula>
    </cfRule>
    <cfRule type="cellIs" dxfId="760" priority="58" stopIfTrue="1" operator="greaterThan">
      <formula>0.01</formula>
    </cfRule>
  </conditionalFormatting>
  <conditionalFormatting sqref="N75:N76">
    <cfRule type="cellIs" dxfId="759" priority="55" stopIfTrue="1" operator="lessThan">
      <formula>-0.01</formula>
    </cfRule>
    <cfRule type="cellIs" dxfId="758" priority="56" stopIfTrue="1" operator="greaterThan">
      <formula>0.01</formula>
    </cfRule>
  </conditionalFormatting>
  <conditionalFormatting sqref="N77">
    <cfRule type="cellIs" dxfId="757" priority="53" stopIfTrue="1" operator="lessThan">
      <formula>-0.01</formula>
    </cfRule>
    <cfRule type="cellIs" dxfId="756" priority="54" stopIfTrue="1" operator="greaterThan">
      <formula>0.01</formula>
    </cfRule>
  </conditionalFormatting>
  <conditionalFormatting sqref="P73">
    <cfRule type="cellIs" dxfId="755" priority="51" operator="greaterThan">
      <formula>0.03</formula>
    </cfRule>
    <cfRule type="cellIs" dxfId="754" priority="52" stopIfTrue="1" operator="lessThan">
      <formula>-0.03</formula>
    </cfRule>
  </conditionalFormatting>
  <conditionalFormatting sqref="P77">
    <cfRule type="cellIs" dxfId="753" priority="49" operator="lessThan">
      <formula>-0.03</formula>
    </cfRule>
    <cfRule type="cellIs" dxfId="752" priority="50" stopIfTrue="1" operator="greaterThan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I84"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1">
      <dataBar>
        <cfvo type="min"/>
        <cfvo type="max"/>
        <color rgb="FF008AEF"/>
      </dataBar>
    </cfRule>
  </conditionalFormatting>
  <conditionalFormatting sqref="J84:J88">
    <cfRule type="cellIs" dxfId="751" priority="39" operator="greaterThan">
      <formula>0.03</formula>
    </cfRule>
    <cfRule type="cellIs" dxfId="750" priority="40" stopIfTrue="1" operator="lessThan">
      <formula>-0.03</formula>
    </cfRule>
  </conditionalFormatting>
  <conditionalFormatting sqref="N89">
    <cfRule type="cellIs" dxfId="749" priority="37" stopIfTrue="1" operator="lessThan">
      <formula>-0.01</formula>
    </cfRule>
    <cfRule type="cellIs" dxfId="748" priority="38" stopIfTrue="1" operator="greaterThan">
      <formula>0.01</formula>
    </cfRule>
  </conditionalFormatting>
  <conditionalFormatting sqref="N84">
    <cfRule type="cellIs" dxfId="747" priority="35" stopIfTrue="1" operator="lessThan">
      <formula>-0.01</formula>
    </cfRule>
    <cfRule type="cellIs" dxfId="746" priority="36" stopIfTrue="1" operator="greaterThan">
      <formula>0.01</formula>
    </cfRule>
  </conditionalFormatting>
  <conditionalFormatting sqref="N85">
    <cfRule type="cellIs" dxfId="745" priority="33" stopIfTrue="1" operator="lessThan">
      <formula>-0.01</formula>
    </cfRule>
    <cfRule type="cellIs" dxfId="744" priority="34" stopIfTrue="1" operator="greaterThan">
      <formula>0.01</formula>
    </cfRule>
  </conditionalFormatting>
  <conditionalFormatting sqref="N86:N87">
    <cfRule type="cellIs" dxfId="743" priority="31" stopIfTrue="1" operator="lessThan">
      <formula>-0.01</formula>
    </cfRule>
    <cfRule type="cellIs" dxfId="742" priority="32" stopIfTrue="1" operator="greaterThan">
      <formula>0.01</formula>
    </cfRule>
  </conditionalFormatting>
  <conditionalFormatting sqref="N88">
    <cfRule type="cellIs" dxfId="741" priority="29" stopIfTrue="1" operator="lessThan">
      <formula>-0.01</formula>
    </cfRule>
    <cfRule type="cellIs" dxfId="740" priority="30" stopIfTrue="1" operator="greaterThan">
      <formula>0.01</formula>
    </cfRule>
  </conditionalFormatting>
  <conditionalFormatting sqref="P84">
    <cfRule type="cellIs" dxfId="739" priority="27" operator="greaterThan">
      <formula>0.03</formula>
    </cfRule>
    <cfRule type="cellIs" dxfId="738" priority="28" stopIfTrue="1" operator="lessThan">
      <formula>-0.03</formula>
    </cfRule>
  </conditionalFormatting>
  <conditionalFormatting sqref="P88">
    <cfRule type="cellIs" dxfId="737" priority="25" operator="lessThan">
      <formula>-0.03</formula>
    </cfRule>
    <cfRule type="cellIs" dxfId="736" priority="26" stopIfTrue="1" operator="greaterThan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I95">
    <cfRule type="dataBar" priority="18">
      <dataBar>
        <cfvo type="min"/>
        <cfvo type="max"/>
        <color rgb="FF008AEF"/>
      </dataBar>
    </cfRule>
  </conditionalFormatting>
  <conditionalFormatting sqref="I96">
    <cfRule type="dataBar" priority="17">
      <dataBar>
        <cfvo type="min"/>
        <cfvo type="max"/>
        <color rgb="FF008AEF"/>
      </dataBar>
    </cfRule>
  </conditionalFormatting>
  <conditionalFormatting sqref="J95:J99">
    <cfRule type="cellIs" dxfId="735" priority="15" operator="greaterThan">
      <formula>0.03</formula>
    </cfRule>
    <cfRule type="cellIs" dxfId="734" priority="16" stopIfTrue="1" operator="lessThan">
      <formula>-0.03</formula>
    </cfRule>
  </conditionalFormatting>
  <conditionalFormatting sqref="N100">
    <cfRule type="cellIs" dxfId="733" priority="13" stopIfTrue="1" operator="lessThan">
      <formula>-0.01</formula>
    </cfRule>
    <cfRule type="cellIs" dxfId="732" priority="14" stopIfTrue="1" operator="greaterThan">
      <formula>0.01</formula>
    </cfRule>
  </conditionalFormatting>
  <conditionalFormatting sqref="N95">
    <cfRule type="cellIs" dxfId="731" priority="11" stopIfTrue="1" operator="lessThan">
      <formula>-0.01</formula>
    </cfRule>
    <cfRule type="cellIs" dxfId="730" priority="12" stopIfTrue="1" operator="greaterThan">
      <formula>0.01</formula>
    </cfRule>
  </conditionalFormatting>
  <conditionalFormatting sqref="N96">
    <cfRule type="cellIs" dxfId="729" priority="9" stopIfTrue="1" operator="lessThan">
      <formula>-0.01</formula>
    </cfRule>
    <cfRule type="cellIs" dxfId="728" priority="10" stopIfTrue="1" operator="greaterThan">
      <formula>0.01</formula>
    </cfRule>
  </conditionalFormatting>
  <conditionalFormatting sqref="N97:N98">
    <cfRule type="cellIs" dxfId="727" priority="7" stopIfTrue="1" operator="lessThan">
      <formula>-0.01</formula>
    </cfRule>
    <cfRule type="cellIs" dxfId="726" priority="8" stopIfTrue="1" operator="greaterThan">
      <formula>0.01</formula>
    </cfRule>
  </conditionalFormatting>
  <conditionalFormatting sqref="N99">
    <cfRule type="cellIs" dxfId="725" priority="5" stopIfTrue="1" operator="lessThan">
      <formula>-0.01</formula>
    </cfRule>
    <cfRule type="cellIs" dxfId="724" priority="6" stopIfTrue="1" operator="greaterThan">
      <formula>0.01</formula>
    </cfRule>
  </conditionalFormatting>
  <conditionalFormatting sqref="P95">
    <cfRule type="cellIs" dxfId="723" priority="3" operator="greaterThan">
      <formula>0.03</formula>
    </cfRule>
    <cfRule type="cellIs" dxfId="722" priority="4" stopIfTrue="1" operator="lessThan">
      <formula>-0.03</formula>
    </cfRule>
  </conditionalFormatting>
  <conditionalFormatting sqref="P99">
    <cfRule type="cellIs" dxfId="721" priority="1" operator="lessThan">
      <formula>-0.03</formula>
    </cfRule>
    <cfRule type="cellIs" dxfId="72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21"/>
  <sheetViews>
    <sheetView zoomScaleNormal="100" workbookViewId="0">
      <selection activeCell="B2" sqref="B2:D2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1992187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19921875" bestFit="1" customWidth="1"/>
    <col min="26" max="26" width="5.19921875" bestFit="1" customWidth="1"/>
    <col min="27" max="27" width="1.69921875" bestFit="1" customWidth="1"/>
    <col min="28" max="28" width="8.19921875" style="155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5" t="s">
        <v>33</v>
      </c>
      <c r="AF1" s="15" t="s">
        <v>33</v>
      </c>
    </row>
    <row r="2" spans="1:32" x14ac:dyDescent="0.25">
      <c r="B2" s="325" t="str">
        <f>'Summary (auto)'!B3</f>
        <v>Anchor</v>
      </c>
      <c r="C2" s="325"/>
      <c r="D2" s="325"/>
      <c r="E2" s="158"/>
      <c r="F2" s="325" t="str">
        <f>'Summary (auto)'!B4</f>
        <v>Proposal</v>
      </c>
      <c r="G2" s="325"/>
      <c r="H2" s="325"/>
      <c r="I2" s="155"/>
      <c r="J2" s="156" t="s">
        <v>34</v>
      </c>
      <c r="K2" s="155"/>
      <c r="L2" s="314" t="s">
        <v>35</v>
      </c>
      <c r="M2" s="313"/>
      <c r="N2" s="313"/>
      <c r="O2" s="155"/>
      <c r="P2" s="156" t="s">
        <v>36</v>
      </c>
      <c r="U2" s="156"/>
      <c r="V2" s="156"/>
    </row>
    <row r="3" spans="1:32" ht="16.5" customHeight="1" thickBot="1" x14ac:dyDescent="0.3">
      <c r="A3" s="291" t="s">
        <v>0</v>
      </c>
      <c r="B3" s="158"/>
      <c r="C3" s="158"/>
      <c r="D3" s="158"/>
      <c r="E3" s="158"/>
      <c r="F3" s="158"/>
      <c r="G3" s="158"/>
      <c r="H3" s="158"/>
      <c r="I3" s="155"/>
      <c r="J3" s="155"/>
      <c r="K3" s="292" t="s">
        <v>0</v>
      </c>
      <c r="L3" s="137" t="s">
        <v>55</v>
      </c>
      <c r="M3" s="137" t="s">
        <v>56</v>
      </c>
      <c r="N3" s="155"/>
      <c r="O3" s="292" t="s">
        <v>0</v>
      </c>
      <c r="P3" s="155"/>
      <c r="U3" s="291" t="s">
        <v>0</v>
      </c>
      <c r="W3" s="291" t="s">
        <v>0</v>
      </c>
    </row>
    <row r="4" spans="1:32" x14ac:dyDescent="0.25">
      <c r="B4" s="315" t="s">
        <v>14</v>
      </c>
      <c r="C4" s="316"/>
      <c r="D4" s="317"/>
      <c r="E4" s="166"/>
      <c r="F4" s="315" t="str">
        <f>B4</f>
        <v>M_CG1</v>
      </c>
      <c r="G4" s="316"/>
      <c r="H4" s="317"/>
      <c r="I4" s="155"/>
      <c r="J4" s="159"/>
      <c r="K4" s="155"/>
      <c r="L4" s="318" t="str">
        <f>F4</f>
        <v>M_CG1</v>
      </c>
      <c r="M4" s="319"/>
      <c r="N4" s="320"/>
      <c r="O4" s="155"/>
      <c r="P4" s="159"/>
      <c r="U4" s="155"/>
      <c r="V4" s="155"/>
    </row>
    <row r="5" spans="1:32" x14ac:dyDescent="0.25">
      <c r="B5" s="321" t="s">
        <v>39</v>
      </c>
      <c r="C5" s="322"/>
      <c r="D5" s="116" t="s">
        <v>40</v>
      </c>
      <c r="E5" s="157"/>
      <c r="F5" s="321" t="s">
        <v>39</v>
      </c>
      <c r="G5" s="322"/>
      <c r="H5" s="116" t="s">
        <v>40</v>
      </c>
      <c r="I5" s="155"/>
      <c r="J5" s="160" t="s">
        <v>41</v>
      </c>
      <c r="K5" s="155"/>
      <c r="L5" s="323" t="s">
        <v>57</v>
      </c>
      <c r="M5" s="313"/>
      <c r="N5" s="324"/>
      <c r="O5" s="155"/>
      <c r="P5" s="7"/>
      <c r="R5" s="112"/>
      <c r="U5" s="156"/>
      <c r="V5" s="156"/>
    </row>
    <row r="6" spans="1:32" x14ac:dyDescent="0.25">
      <c r="B6" s="293" t="s">
        <v>2</v>
      </c>
      <c r="C6" s="177" t="s">
        <v>43</v>
      </c>
      <c r="D6" s="115" t="s">
        <v>44</v>
      </c>
      <c r="E6" s="117"/>
      <c r="F6" s="293" t="s">
        <v>2</v>
      </c>
      <c r="G6" s="177" t="s">
        <v>43</v>
      </c>
      <c r="H6" s="115" t="s">
        <v>44</v>
      </c>
      <c r="I6" s="113"/>
      <c r="J6" s="125"/>
      <c r="K6" s="155"/>
      <c r="L6" s="294" t="str">
        <f>CONCATENATE(B$2," ",L4)</f>
        <v>Anchor M_CG1</v>
      </c>
      <c r="M6" s="295" t="str">
        <f>CONCATENATE(F$2," ",L4)</f>
        <v>Proposal M_CG1</v>
      </c>
      <c r="N6" s="296" t="s">
        <v>45</v>
      </c>
      <c r="O6" s="155"/>
      <c r="P6" s="7" t="s">
        <v>36</v>
      </c>
      <c r="Q6" s="6"/>
      <c r="R6" s="6"/>
      <c r="S6" s="6"/>
      <c r="T6" s="6"/>
      <c r="U6" s="6"/>
      <c r="V6" s="6"/>
    </row>
    <row r="7" spans="1:32" x14ac:dyDescent="0.25">
      <c r="B7" s="166" t="str">
        <f>B4</f>
        <v>M_CG1</v>
      </c>
      <c r="C7" s="177" t="s">
        <v>46</v>
      </c>
      <c r="D7" s="118" t="e">
        <f ca="1">0.001*INDIRECT($B7&amp;"!E5")</f>
        <v>#REF!</v>
      </c>
      <c r="E7" s="32"/>
      <c r="F7" s="166" t="str">
        <f>F4</f>
        <v>M_CG1</v>
      </c>
      <c r="G7" s="177" t="s">
        <v>46</v>
      </c>
      <c r="H7" s="118" t="e">
        <f ca="1">0.001*INDIRECT($B7&amp;"!W5")</f>
        <v>#REF!</v>
      </c>
      <c r="I7" s="14"/>
      <c r="J7" s="33" t="e">
        <f ca="1">H7/D7-1</f>
        <v>#REF!</v>
      </c>
      <c r="L7" s="126" t="e">
        <f ca="1">INDIRECT($B7&amp;"!"&amp;L$3&amp;"5")</f>
        <v>#REF!</v>
      </c>
      <c r="M7" s="127" t="e">
        <f ca="1">INDIRECT($B7&amp;"!"&amp;M$3&amp;"5")</f>
        <v>#REF!</v>
      </c>
      <c r="N7" s="128" t="e">
        <f ca="1">M7-L7</f>
        <v>#REF!</v>
      </c>
      <c r="O7" s="32"/>
      <c r="P7" s="33" t="e">
        <f ca="1">bdrate(D7:D11,L7:L11,H7:H11,M7:M11)</f>
        <v>#VALUE!</v>
      </c>
      <c r="Q7" s="32"/>
      <c r="R7" s="14"/>
      <c r="S7" s="14"/>
      <c r="T7" s="14"/>
      <c r="U7" s="14"/>
      <c r="V7" s="107"/>
    </row>
    <row r="8" spans="1:32" x14ac:dyDescent="0.25">
      <c r="B8" s="166" t="str">
        <f>B7</f>
        <v>M_CG1</v>
      </c>
      <c r="C8" s="177" t="s">
        <v>47</v>
      </c>
      <c r="D8" s="118" t="e">
        <f ca="1">0.001*INDIRECT($B8&amp;"!E6")</f>
        <v>#REF!</v>
      </c>
      <c r="E8" s="32"/>
      <c r="F8" s="166" t="str">
        <f>F7</f>
        <v>M_CG1</v>
      </c>
      <c r="G8" s="177" t="s">
        <v>47</v>
      </c>
      <c r="H8" s="118" t="e">
        <f ca="1">0.001*INDIRECT($B8&amp;"!W6")</f>
        <v>#REF!</v>
      </c>
      <c r="I8" s="14"/>
      <c r="J8" s="33" t="e">
        <f ca="1">H8/D8-1</f>
        <v>#REF!</v>
      </c>
      <c r="L8" s="126" t="e">
        <f ca="1">INDIRECT($B8&amp;"!"&amp;L$3&amp;"6")</f>
        <v>#REF!</v>
      </c>
      <c r="M8" s="127" t="e">
        <f ca="1">INDIRECT($B8&amp;"!"&amp;M$3&amp;"6")</f>
        <v>#REF!</v>
      </c>
      <c r="N8" s="128" t="e">
        <f ca="1">M8-L8</f>
        <v>#REF!</v>
      </c>
      <c r="O8" s="32"/>
      <c r="P8" s="7"/>
      <c r="Q8" s="32"/>
      <c r="R8" s="14"/>
      <c r="S8" s="14"/>
      <c r="T8" s="14"/>
      <c r="U8" s="14"/>
      <c r="V8" s="107"/>
    </row>
    <row r="9" spans="1:32" x14ac:dyDescent="0.25">
      <c r="B9" s="166" t="str">
        <f>B8</f>
        <v>M_CG1</v>
      </c>
      <c r="C9" s="177" t="s">
        <v>48</v>
      </c>
      <c r="D9" s="118" t="e">
        <f ca="1">0.001*INDIRECT($B9&amp;"!E7")</f>
        <v>#REF!</v>
      </c>
      <c r="E9" s="32"/>
      <c r="F9" s="166" t="str">
        <f>F8</f>
        <v>M_CG1</v>
      </c>
      <c r="G9" s="177" t="s">
        <v>48</v>
      </c>
      <c r="H9" s="118" t="e">
        <f ca="1">0.001*INDIRECT($B9&amp;"!W7")</f>
        <v>#REF!</v>
      </c>
      <c r="I9" s="14"/>
      <c r="J9" s="33" t="e">
        <f ca="1">H9/D9-1</f>
        <v>#REF!</v>
      </c>
      <c r="L9" s="126" t="e">
        <f ca="1">INDIRECT($B9&amp;"!"&amp;L$3&amp;"7")</f>
        <v>#REF!</v>
      </c>
      <c r="M9" s="127" t="e">
        <f ca="1">INDIRECT($B9&amp;"!"&amp;M$3&amp;"7")</f>
        <v>#REF!</v>
      </c>
      <c r="N9" s="128" t="e">
        <f ca="1">M9-L9</f>
        <v>#REF!</v>
      </c>
      <c r="O9" s="32"/>
      <c r="P9" s="7" t="s">
        <v>49</v>
      </c>
      <c r="Q9" s="32"/>
      <c r="R9" s="14"/>
      <c r="S9" s="14"/>
      <c r="T9" s="14"/>
      <c r="U9" s="14"/>
      <c r="V9" s="107"/>
    </row>
    <row r="10" spans="1:32" x14ac:dyDescent="0.25">
      <c r="B10" s="166" t="str">
        <f>B9</f>
        <v>M_CG1</v>
      </c>
      <c r="C10" s="177" t="s">
        <v>50</v>
      </c>
      <c r="D10" s="118" t="e">
        <f ca="1">0.001*INDIRECT($B10&amp;"!E8")</f>
        <v>#REF!</v>
      </c>
      <c r="E10" s="32"/>
      <c r="F10" s="166" t="str">
        <f>F9</f>
        <v>M_CG1</v>
      </c>
      <c r="G10" s="177" t="s">
        <v>50</v>
      </c>
      <c r="H10" s="118" t="e">
        <f ca="1">0.001*INDIRECT($B10&amp;"!W8")</f>
        <v>#REF!</v>
      </c>
      <c r="I10" s="14"/>
      <c r="J10" s="33" t="e">
        <f ca="1">H10/D10-1</f>
        <v>#REF!</v>
      </c>
      <c r="L10" s="126" t="e">
        <f ca="1">INDIRECT($B10&amp;"!"&amp;L$3&amp;"8")</f>
        <v>#REF!</v>
      </c>
      <c r="M10" s="127" t="e">
        <f ca="1">INDIRECT($B10&amp;"!"&amp;M$3&amp;"8")</f>
        <v>#REF!</v>
      </c>
      <c r="N10" s="128" t="e">
        <f ca="1">M10-L10</f>
        <v>#REF!</v>
      </c>
      <c r="O10" s="32"/>
      <c r="P10" s="268" t="e">
        <f ca="1">bdrate(L7:L11,D7:D11,M7:M11,H7:H11)</f>
        <v>#VALUE!</v>
      </c>
      <c r="Q10" s="32"/>
      <c r="R10" s="14"/>
      <c r="S10" s="14"/>
      <c r="T10" s="14"/>
      <c r="U10" s="14"/>
      <c r="V10" s="107"/>
    </row>
    <row r="11" spans="1:32" ht="16.5" customHeight="1" thickBot="1" x14ac:dyDescent="0.3">
      <c r="B11" s="120" t="str">
        <f>B10</f>
        <v>M_CG1</v>
      </c>
      <c r="C11" s="178" t="s">
        <v>51</v>
      </c>
      <c r="D11" s="121" t="e">
        <f ca="1">0.001*INDIRECT($B11&amp;"!E9")</f>
        <v>#REF!</v>
      </c>
      <c r="E11" s="32"/>
      <c r="F11" s="120" t="str">
        <f>F10</f>
        <v>M_CG1</v>
      </c>
      <c r="G11" s="178" t="s">
        <v>51</v>
      </c>
      <c r="H11" s="118" t="e">
        <f ca="1">0.001*INDIRECT($B11&amp;"!W9")</f>
        <v>#REF!</v>
      </c>
      <c r="I11" s="14"/>
      <c r="J11" s="33" t="e">
        <f ca="1">H11/D11-1</f>
        <v>#REF!</v>
      </c>
      <c r="L11" s="126" t="e">
        <f ca="1">INDIRECT($B11&amp;"!"&amp;L$3&amp;"9")</f>
        <v>#REF!</v>
      </c>
      <c r="M11" s="127" t="e">
        <f ca="1">INDIRECT($B11&amp;"!"&amp;M$3&amp;"9")</f>
        <v>#REF!</v>
      </c>
      <c r="N11" s="129" t="e">
        <f ca="1">M11-L11</f>
        <v>#REF!</v>
      </c>
      <c r="O11" s="32"/>
      <c r="P11" s="37"/>
      <c r="Q11" s="32"/>
      <c r="R11" s="14"/>
      <c r="S11" s="14"/>
      <c r="T11" s="14"/>
      <c r="U11" s="14"/>
      <c r="V11" s="107"/>
    </row>
    <row r="12" spans="1:32" ht="16.5" customHeight="1" x14ac:dyDescent="0.25">
      <c r="B12" s="122"/>
      <c r="C12" s="153"/>
      <c r="D12" s="123"/>
      <c r="F12" s="122"/>
      <c r="G12" s="153"/>
      <c r="H12" s="123"/>
      <c r="J12" s="130" t="e">
        <f ca="1">MIN(D7:D11,H7:H11)</f>
        <v>#REF!</v>
      </c>
      <c r="L12" s="131"/>
      <c r="M12" s="132"/>
      <c r="N12" s="133"/>
      <c r="O12" s="32"/>
      <c r="P12" s="159"/>
      <c r="Q12" s="32"/>
      <c r="R12" s="14"/>
      <c r="S12" s="14"/>
      <c r="T12" s="14"/>
      <c r="U12" s="14"/>
      <c r="V12" s="110"/>
    </row>
    <row r="13" spans="1:32" ht="16.5" customHeight="1" thickBot="1" x14ac:dyDescent="0.3">
      <c r="B13" s="120"/>
      <c r="C13" s="124"/>
      <c r="D13" s="121"/>
      <c r="E13" s="119"/>
      <c r="F13" s="120"/>
      <c r="G13" s="124"/>
      <c r="H13" s="121"/>
      <c r="I13" s="114"/>
      <c r="J13" s="134" t="e">
        <f ca="1">MAX(D7:D11,H7:H11)</f>
        <v>#REF!</v>
      </c>
      <c r="K13" s="155"/>
      <c r="L13" s="135">
        <f>L12</f>
        <v>0</v>
      </c>
      <c r="M13" s="136">
        <f>M12</f>
        <v>0</v>
      </c>
      <c r="N13" s="129"/>
      <c r="O13" s="155"/>
      <c r="P13" s="10"/>
      <c r="Q13" s="32"/>
      <c r="R13" s="14"/>
      <c r="S13" s="14"/>
      <c r="T13" s="14"/>
      <c r="U13" s="14"/>
      <c r="V13" s="110"/>
    </row>
    <row r="14" spans="1:32" ht="16.5" customHeight="1" thickBot="1" x14ac:dyDescent="0.3"/>
    <row r="15" spans="1:32" x14ac:dyDescent="0.25">
      <c r="B15" s="315" t="s">
        <v>16</v>
      </c>
      <c r="C15" s="316"/>
      <c r="D15" s="317"/>
      <c r="E15" s="6"/>
      <c r="F15" s="315" t="str">
        <f>B15</f>
        <v>M_CG2</v>
      </c>
      <c r="G15" s="316"/>
      <c r="H15" s="317"/>
      <c r="I15" s="6"/>
      <c r="J15" s="159"/>
      <c r="L15" s="318" t="str">
        <f>F15</f>
        <v>M_CG2</v>
      </c>
      <c r="M15" s="319"/>
      <c r="N15" s="320"/>
      <c r="O15" s="297"/>
      <c r="P15" s="159"/>
      <c r="Q15" s="297"/>
      <c r="R15" s="297"/>
      <c r="S15" s="297"/>
      <c r="T15" s="297"/>
      <c r="U15" s="155"/>
      <c r="V15" s="155"/>
      <c r="X15" s="313"/>
      <c r="Y15" s="301"/>
      <c r="Z15" s="301"/>
    </row>
    <row r="16" spans="1:32" x14ac:dyDescent="0.25">
      <c r="B16" s="321" t="s">
        <v>39</v>
      </c>
      <c r="C16" s="322"/>
      <c r="D16" s="116" t="s">
        <v>40</v>
      </c>
      <c r="E16" s="32"/>
      <c r="F16" s="321" t="s">
        <v>39</v>
      </c>
      <c r="G16" s="322"/>
      <c r="H16" s="116" t="s">
        <v>40</v>
      </c>
      <c r="I16" s="14"/>
      <c r="J16" s="160" t="s">
        <v>41</v>
      </c>
      <c r="L16" s="323" t="s">
        <v>57</v>
      </c>
      <c r="M16" s="313"/>
      <c r="N16" s="324"/>
      <c r="O16" s="112"/>
      <c r="P16" s="7"/>
      <c r="Q16" s="112"/>
      <c r="R16" s="314"/>
      <c r="S16" s="314"/>
      <c r="T16" s="314"/>
      <c r="U16" s="156"/>
      <c r="V16" s="156"/>
      <c r="X16" s="314"/>
      <c r="Y16" s="301"/>
      <c r="Z16" s="301"/>
    </row>
    <row r="17" spans="2:28" x14ac:dyDescent="0.25">
      <c r="B17" s="293" t="s">
        <v>2</v>
      </c>
      <c r="C17" s="177" t="s">
        <v>43</v>
      </c>
      <c r="D17" s="115" t="s">
        <v>44</v>
      </c>
      <c r="E17" s="32"/>
      <c r="F17" s="293" t="s">
        <v>2</v>
      </c>
      <c r="G17" s="177" t="s">
        <v>43</v>
      </c>
      <c r="H17" s="115" t="s">
        <v>44</v>
      </c>
      <c r="I17" s="14"/>
      <c r="J17" s="125"/>
      <c r="L17" s="294" t="str">
        <f>CONCATENATE(B$2," ",L15)</f>
        <v>Anchor M_CG2</v>
      </c>
      <c r="M17" s="295" t="str">
        <f>CONCATENATE(F$2," ",L15)</f>
        <v>Proposal M_CG2</v>
      </c>
      <c r="N17" s="296" t="s">
        <v>45</v>
      </c>
      <c r="O17" s="6"/>
      <c r="P17" s="7" t="s">
        <v>36</v>
      </c>
      <c r="Q17" s="6"/>
      <c r="R17" s="6"/>
      <c r="S17" s="6"/>
      <c r="T17" s="6"/>
      <c r="U17" s="6"/>
      <c r="V17" s="6"/>
      <c r="X17" s="297"/>
      <c r="Y17" s="297"/>
      <c r="Z17" s="297"/>
    </row>
    <row r="18" spans="2:28" x14ac:dyDescent="0.25">
      <c r="B18" s="166" t="str">
        <f>B15</f>
        <v>M_CG2</v>
      </c>
      <c r="C18" s="177" t="s">
        <v>46</v>
      </c>
      <c r="D18" s="118" t="e">
        <f ca="1">0.001*INDIRECT($B18&amp;"!E5")</f>
        <v>#REF!</v>
      </c>
      <c r="E18" s="32"/>
      <c r="F18" s="166" t="str">
        <f>F15</f>
        <v>M_CG2</v>
      </c>
      <c r="G18" s="177" t="s">
        <v>46</v>
      </c>
      <c r="H18" s="118" t="e">
        <f ca="1">0.001*INDIRECT($B18&amp;"!W5")</f>
        <v>#REF!</v>
      </c>
      <c r="I18" s="14"/>
      <c r="J18" s="33" t="e">
        <f ca="1">H18/D18-1</f>
        <v>#REF!</v>
      </c>
      <c r="L18" s="126" t="e">
        <f ca="1">INDIRECT($B18&amp;"!"&amp;L$3&amp;"5")</f>
        <v>#REF!</v>
      </c>
      <c r="M18" s="127" t="e">
        <f ca="1">INDIRECT($B18&amp;"!"&amp;M$3&amp;"5")</f>
        <v>#REF!</v>
      </c>
      <c r="N18" s="128" t="e">
        <f ca="1">M18-L18</f>
        <v>#REF!</v>
      </c>
      <c r="O18" s="32"/>
      <c r="P18" s="33" t="e">
        <f ca="1">bdrate(D18:D22,L18:L22,H18:H22,M18:M22)</f>
        <v>#VALUE!</v>
      </c>
      <c r="Q18" s="32"/>
      <c r="R18" s="14"/>
      <c r="S18" s="14"/>
      <c r="T18" s="14"/>
      <c r="U18" s="14"/>
      <c r="V18" s="107"/>
      <c r="X18" s="11"/>
      <c r="Y18" s="11"/>
      <c r="Z18" s="108"/>
      <c r="AB18" s="109"/>
    </row>
    <row r="19" spans="2:28" x14ac:dyDescent="0.25">
      <c r="B19" s="166" t="str">
        <f>B18</f>
        <v>M_CG2</v>
      </c>
      <c r="C19" s="177" t="s">
        <v>47</v>
      </c>
      <c r="D19" s="118" t="e">
        <f ca="1">0.001*INDIRECT($B19&amp;"!E6")</f>
        <v>#REF!</v>
      </c>
      <c r="E19" s="32"/>
      <c r="F19" s="166" t="str">
        <f>F18</f>
        <v>M_CG2</v>
      </c>
      <c r="G19" s="177" t="s">
        <v>47</v>
      </c>
      <c r="H19" s="118" t="e">
        <f ca="1">0.001*INDIRECT($B19&amp;"!W6")</f>
        <v>#REF!</v>
      </c>
      <c r="I19" s="14"/>
      <c r="J19" s="33" t="e">
        <f ca="1">H19/D19-1</f>
        <v>#REF!</v>
      </c>
      <c r="L19" s="126" t="e">
        <f ca="1">INDIRECT($B19&amp;"!"&amp;L$3&amp;"6")</f>
        <v>#REF!</v>
      </c>
      <c r="M19" s="127" t="e">
        <f ca="1">INDIRECT($B19&amp;"!"&amp;M$3&amp;"6")</f>
        <v>#REF!</v>
      </c>
      <c r="N19" s="128" t="e">
        <f ca="1">M19-L19</f>
        <v>#REF!</v>
      </c>
      <c r="O19" s="32"/>
      <c r="P19" s="7"/>
      <c r="Q19" s="32"/>
      <c r="R19" s="14"/>
      <c r="S19" s="14"/>
      <c r="T19" s="14"/>
      <c r="U19" s="14"/>
      <c r="V19" s="107"/>
      <c r="X19" s="11"/>
      <c r="Y19" s="11"/>
      <c r="Z19" s="108"/>
    </row>
    <row r="20" spans="2:28" x14ac:dyDescent="0.25">
      <c r="B20" s="166" t="str">
        <f>B19</f>
        <v>M_CG2</v>
      </c>
      <c r="C20" s="177" t="s">
        <v>48</v>
      </c>
      <c r="D20" s="118" t="e">
        <f ca="1">0.001*INDIRECT($B20&amp;"!E7")</f>
        <v>#REF!</v>
      </c>
      <c r="E20" s="32"/>
      <c r="F20" s="166" t="str">
        <f>F19</f>
        <v>M_CG2</v>
      </c>
      <c r="G20" s="177" t="s">
        <v>48</v>
      </c>
      <c r="H20" s="118" t="e">
        <f ca="1">0.001*INDIRECT($B20&amp;"!W7")</f>
        <v>#REF!</v>
      </c>
      <c r="I20" s="14"/>
      <c r="J20" s="33" t="e">
        <f ca="1">H20/D20-1</f>
        <v>#REF!</v>
      </c>
      <c r="L20" s="126" t="e">
        <f ca="1">INDIRECT($B20&amp;"!"&amp;L$3&amp;"7")</f>
        <v>#REF!</v>
      </c>
      <c r="M20" s="127" t="e">
        <f ca="1">INDIRECT($B20&amp;"!"&amp;M$3&amp;"7")</f>
        <v>#REF!</v>
      </c>
      <c r="N20" s="128" t="e">
        <f ca="1">M20-L20</f>
        <v>#REF!</v>
      </c>
      <c r="O20" s="32"/>
      <c r="P20" s="7" t="s">
        <v>49</v>
      </c>
      <c r="Q20" s="32"/>
      <c r="R20" s="14"/>
      <c r="S20" s="14"/>
      <c r="T20" s="14"/>
      <c r="U20" s="14"/>
      <c r="V20" s="107"/>
      <c r="X20" s="11"/>
      <c r="Y20" s="11"/>
      <c r="Z20" s="108"/>
    </row>
    <row r="21" spans="2:28" x14ac:dyDescent="0.25">
      <c r="B21" s="166" t="str">
        <f>B20</f>
        <v>M_CG2</v>
      </c>
      <c r="C21" s="177" t="s">
        <v>50</v>
      </c>
      <c r="D21" s="118" t="e">
        <f ca="1">0.001*INDIRECT($B21&amp;"!E8")</f>
        <v>#REF!</v>
      </c>
      <c r="E21" s="32"/>
      <c r="F21" s="166" t="str">
        <f>F20</f>
        <v>M_CG2</v>
      </c>
      <c r="G21" s="177" t="s">
        <v>50</v>
      </c>
      <c r="H21" s="118" t="e">
        <f ca="1">0.001*INDIRECT($B21&amp;"!W8")</f>
        <v>#REF!</v>
      </c>
      <c r="I21" s="14"/>
      <c r="J21" s="33" t="e">
        <f ca="1">H21/D21-1</f>
        <v>#REF!</v>
      </c>
      <c r="L21" s="126" t="e">
        <f ca="1">INDIRECT($B21&amp;"!"&amp;L$3&amp;"8")</f>
        <v>#REF!</v>
      </c>
      <c r="M21" s="127" t="e">
        <f ca="1">INDIRECT($B21&amp;"!"&amp;M$3&amp;"8")</f>
        <v>#REF!</v>
      </c>
      <c r="N21" s="128" t="e">
        <f ca="1">M21-L21</f>
        <v>#REF!</v>
      </c>
      <c r="O21" s="32"/>
      <c r="P21" s="268" t="e">
        <f ca="1">bdrate(L18:L22,D18:D22,M18:M22,H18:H22)</f>
        <v>#VALUE!</v>
      </c>
      <c r="Q21" s="32"/>
      <c r="R21" s="14"/>
      <c r="S21" s="14"/>
      <c r="T21" s="14"/>
      <c r="U21" s="14"/>
      <c r="V21" s="107"/>
      <c r="X21" s="11"/>
      <c r="Y21" s="11"/>
      <c r="Z21" s="108"/>
    </row>
    <row r="22" spans="2:28" ht="16.5" customHeight="1" thickBot="1" x14ac:dyDescent="0.3">
      <c r="B22" s="120" t="str">
        <f>B21</f>
        <v>M_CG2</v>
      </c>
      <c r="C22" s="178" t="s">
        <v>51</v>
      </c>
      <c r="D22" s="121" t="e">
        <f ca="1">0.001*INDIRECT($B22&amp;"!E9")</f>
        <v>#REF!</v>
      </c>
      <c r="E22" s="32"/>
      <c r="F22" s="120" t="str">
        <f>F21</f>
        <v>M_CG2</v>
      </c>
      <c r="G22" s="178" t="s">
        <v>51</v>
      </c>
      <c r="H22" s="118" t="e">
        <f ca="1">0.001*INDIRECT($B22&amp;"!W9")</f>
        <v>#REF!</v>
      </c>
      <c r="I22" s="14"/>
      <c r="J22" s="33" t="e">
        <f ca="1">H22/D22-1</f>
        <v>#REF!</v>
      </c>
      <c r="L22" s="126" t="e">
        <f ca="1">INDIRECT($B22&amp;"!"&amp;L$3&amp;"9")</f>
        <v>#REF!</v>
      </c>
      <c r="M22" s="127" t="e">
        <f ca="1">INDIRECT($B22&amp;"!"&amp;M$3&amp;"9")</f>
        <v>#REF!</v>
      </c>
      <c r="N22" s="129" t="e">
        <f ca="1">M22-L22</f>
        <v>#REF!</v>
      </c>
      <c r="O22" s="32"/>
      <c r="P22" s="37"/>
      <c r="Q22" s="32"/>
      <c r="R22" s="14"/>
      <c r="S22" s="14"/>
      <c r="T22" s="14"/>
      <c r="U22" s="14"/>
      <c r="V22" s="107"/>
      <c r="X22" s="11"/>
      <c r="Y22" s="11"/>
      <c r="Z22" s="108"/>
      <c r="AB22" s="109"/>
    </row>
    <row r="23" spans="2:28" ht="16.5" customHeight="1" x14ac:dyDescent="0.25">
      <c r="B23" s="122"/>
      <c r="C23" s="153"/>
      <c r="D23" s="123"/>
      <c r="F23" s="122"/>
      <c r="G23" s="153"/>
      <c r="H23" s="123"/>
      <c r="J23" s="130" t="e">
        <f ca="1">MIN(D18:D22,H18:H22)</f>
        <v>#REF!</v>
      </c>
      <c r="L23" s="131"/>
      <c r="M23" s="132"/>
      <c r="N23" s="133"/>
      <c r="O23" s="32"/>
      <c r="P23" s="159"/>
      <c r="Q23" s="32"/>
      <c r="R23" s="14"/>
      <c r="S23" s="14"/>
      <c r="T23" s="14"/>
      <c r="U23" s="14"/>
      <c r="V23" s="110"/>
      <c r="X23" s="11"/>
      <c r="Y23" s="11"/>
      <c r="Z23" s="108"/>
    </row>
    <row r="24" spans="2:28" ht="16.5" customHeight="1" thickBot="1" x14ac:dyDescent="0.3">
      <c r="B24" s="120"/>
      <c r="C24" s="124"/>
      <c r="D24" s="121"/>
      <c r="E24" s="32"/>
      <c r="F24" s="120"/>
      <c r="G24" s="124"/>
      <c r="H24" s="121"/>
      <c r="I24" s="14"/>
      <c r="J24" s="134" t="e">
        <f ca="1">MAX(D18:D22,H18:H22)</f>
        <v>#REF!</v>
      </c>
      <c r="L24" s="135">
        <f>L23</f>
        <v>0</v>
      </c>
      <c r="M24" s="136">
        <f>M23</f>
        <v>0</v>
      </c>
      <c r="N24" s="129"/>
      <c r="O24" s="32"/>
      <c r="P24" s="10"/>
      <c r="Q24" s="32"/>
      <c r="R24" s="14"/>
      <c r="S24" s="14"/>
      <c r="T24" s="14"/>
      <c r="U24" s="14"/>
      <c r="V24" s="110"/>
      <c r="X24" s="111"/>
      <c r="Y24" s="111"/>
      <c r="Z24" s="108"/>
    </row>
    <row r="25" spans="2:28" ht="16.5" customHeight="1" thickBot="1" x14ac:dyDescent="0.3"/>
    <row r="26" spans="2:28" x14ac:dyDescent="0.25">
      <c r="B26" s="315" t="s">
        <v>18</v>
      </c>
      <c r="C26" s="316"/>
      <c r="D26" s="317"/>
      <c r="E26" s="6"/>
      <c r="F26" s="315" t="str">
        <f>B26</f>
        <v>M_NC1</v>
      </c>
      <c r="G26" s="316"/>
      <c r="H26" s="317"/>
      <c r="I26" s="6"/>
      <c r="J26" s="159"/>
      <c r="L26" s="318" t="str">
        <f>F26</f>
        <v>M_NC1</v>
      </c>
      <c r="M26" s="319"/>
      <c r="N26" s="320"/>
      <c r="O26" s="297"/>
      <c r="P26" s="159"/>
      <c r="U26" s="155"/>
      <c r="V26" s="155"/>
      <c r="X26" s="313"/>
      <c r="Y26" s="301"/>
      <c r="Z26" s="301"/>
    </row>
    <row r="27" spans="2:28" x14ac:dyDescent="0.25">
      <c r="B27" s="321" t="s">
        <v>39</v>
      </c>
      <c r="C27" s="322"/>
      <c r="D27" s="116" t="s">
        <v>40</v>
      </c>
      <c r="E27" s="32"/>
      <c r="F27" s="321" t="s">
        <v>39</v>
      </c>
      <c r="G27" s="322"/>
      <c r="H27" s="116" t="s">
        <v>40</v>
      </c>
      <c r="I27" s="14"/>
      <c r="J27" s="160" t="s">
        <v>41</v>
      </c>
      <c r="L27" s="323" t="s">
        <v>57</v>
      </c>
      <c r="M27" s="313"/>
      <c r="N27" s="324"/>
      <c r="O27" s="112"/>
      <c r="P27" s="7"/>
      <c r="R27" s="314"/>
      <c r="S27" s="301"/>
      <c r="T27" s="301"/>
      <c r="U27" s="156"/>
      <c r="V27" s="156"/>
      <c r="X27" s="314"/>
      <c r="Y27" s="301"/>
      <c r="Z27" s="301"/>
    </row>
    <row r="28" spans="2:28" x14ac:dyDescent="0.25">
      <c r="B28" s="293" t="s">
        <v>2</v>
      </c>
      <c r="C28" s="177" t="s">
        <v>43</v>
      </c>
      <c r="D28" s="115" t="s">
        <v>44</v>
      </c>
      <c r="E28" s="32"/>
      <c r="F28" s="293" t="s">
        <v>2</v>
      </c>
      <c r="G28" s="177" t="s">
        <v>43</v>
      </c>
      <c r="H28" s="115" t="s">
        <v>44</v>
      </c>
      <c r="I28" s="14"/>
      <c r="J28" s="125"/>
      <c r="L28" s="294" t="str">
        <f>CONCATENATE(B$2," ",L26)</f>
        <v>Anchor M_NC1</v>
      </c>
      <c r="M28" s="295" t="str">
        <f>CONCATENATE(F$2," ",L26)</f>
        <v>Proposal M_NC1</v>
      </c>
      <c r="N28" s="296" t="s">
        <v>45</v>
      </c>
      <c r="O28" s="6"/>
      <c r="P28" s="7" t="s">
        <v>36</v>
      </c>
      <c r="Q28" s="6"/>
      <c r="R28" s="6"/>
      <c r="S28" s="6"/>
      <c r="T28" s="6"/>
      <c r="U28" s="6"/>
      <c r="V28" s="6"/>
      <c r="X28" s="297"/>
      <c r="Y28" s="297"/>
      <c r="Z28" s="297"/>
    </row>
    <row r="29" spans="2:28" x14ac:dyDescent="0.25">
      <c r="B29" s="166" t="str">
        <f>B26</f>
        <v>M_NC1</v>
      </c>
      <c r="C29" s="177" t="s">
        <v>46</v>
      </c>
      <c r="D29" s="118" t="e">
        <f ca="1">0.001*INDIRECT($B29&amp;"!E5")</f>
        <v>#REF!</v>
      </c>
      <c r="E29" s="32"/>
      <c r="F29" s="166" t="str">
        <f>F26</f>
        <v>M_NC1</v>
      </c>
      <c r="G29" s="177" t="s">
        <v>46</v>
      </c>
      <c r="H29" s="118" t="e">
        <f ca="1">0.001*INDIRECT($B29&amp;"!W5")</f>
        <v>#REF!</v>
      </c>
      <c r="I29" s="14"/>
      <c r="J29" s="33" t="e">
        <f ca="1">H29/D29-1</f>
        <v>#REF!</v>
      </c>
      <c r="L29" s="126" t="e">
        <f ca="1">INDIRECT($B29&amp;"!"&amp;L$3&amp;"5")</f>
        <v>#REF!</v>
      </c>
      <c r="M29" s="127" t="e">
        <f ca="1">INDIRECT($B29&amp;"!"&amp;M$3&amp;"5")</f>
        <v>#REF!</v>
      </c>
      <c r="N29" s="128" t="e">
        <f ca="1">M29-L29</f>
        <v>#REF!</v>
      </c>
      <c r="O29" s="32"/>
      <c r="P29" s="33" t="e">
        <f ca="1">bdrate(D29:D33,L29:L33,H29:H33,M29:M33)</f>
        <v>#VALUE!</v>
      </c>
      <c r="Q29" s="32"/>
      <c r="R29" s="14"/>
      <c r="S29" s="14"/>
      <c r="T29" s="14"/>
      <c r="U29" s="14"/>
      <c r="V29" s="107"/>
      <c r="X29" s="11"/>
      <c r="Y29" s="11"/>
      <c r="Z29" s="108"/>
      <c r="AB29" s="109"/>
    </row>
    <row r="30" spans="2:28" x14ac:dyDescent="0.25">
      <c r="B30" s="166" t="str">
        <f>B29</f>
        <v>M_NC1</v>
      </c>
      <c r="C30" s="177" t="s">
        <v>47</v>
      </c>
      <c r="D30" s="118" t="e">
        <f ca="1">0.001*INDIRECT($B30&amp;"!E6")</f>
        <v>#REF!</v>
      </c>
      <c r="E30" s="32"/>
      <c r="F30" s="166" t="str">
        <f>F29</f>
        <v>M_NC1</v>
      </c>
      <c r="G30" s="177" t="s">
        <v>47</v>
      </c>
      <c r="H30" s="118" t="e">
        <f ca="1">0.001*INDIRECT($B30&amp;"!W6")</f>
        <v>#REF!</v>
      </c>
      <c r="I30" s="14"/>
      <c r="J30" s="33" t="e">
        <f ca="1">H30/D30-1</f>
        <v>#REF!</v>
      </c>
      <c r="L30" s="126" t="e">
        <f ca="1">INDIRECT($B30&amp;"!"&amp;L$3&amp;"6")</f>
        <v>#REF!</v>
      </c>
      <c r="M30" s="127" t="e">
        <f ca="1">INDIRECT($B30&amp;"!"&amp;M$3&amp;"6")</f>
        <v>#REF!</v>
      </c>
      <c r="N30" s="128" t="e">
        <f ca="1">M30-L30</f>
        <v>#REF!</v>
      </c>
      <c r="O30" s="32"/>
      <c r="P30" s="7"/>
      <c r="Q30" s="32"/>
      <c r="R30" s="14"/>
      <c r="S30" s="14"/>
      <c r="T30" s="14"/>
      <c r="U30" s="14"/>
      <c r="V30" s="107"/>
      <c r="X30" s="11"/>
      <c r="Y30" s="11"/>
      <c r="Z30" s="108"/>
    </row>
    <row r="31" spans="2:28" x14ac:dyDescent="0.25">
      <c r="B31" s="166" t="str">
        <f>B30</f>
        <v>M_NC1</v>
      </c>
      <c r="C31" s="177" t="s">
        <v>48</v>
      </c>
      <c r="D31" s="118" t="e">
        <f ca="1">0.001*INDIRECT($B31&amp;"!E7")</f>
        <v>#REF!</v>
      </c>
      <c r="E31" s="32"/>
      <c r="F31" s="166" t="str">
        <f>F30</f>
        <v>M_NC1</v>
      </c>
      <c r="G31" s="177" t="s">
        <v>48</v>
      </c>
      <c r="H31" s="118" t="e">
        <f ca="1">0.001*INDIRECT($B31&amp;"!W7")</f>
        <v>#REF!</v>
      </c>
      <c r="I31" s="14"/>
      <c r="J31" s="33" t="e">
        <f ca="1">H31/D31-1</f>
        <v>#REF!</v>
      </c>
      <c r="L31" s="126" t="e">
        <f ca="1">INDIRECT($B31&amp;"!"&amp;L$3&amp;"7")</f>
        <v>#REF!</v>
      </c>
      <c r="M31" s="127" t="e">
        <f ca="1">INDIRECT($B31&amp;"!"&amp;M$3&amp;"7")</f>
        <v>#REF!</v>
      </c>
      <c r="N31" s="128" t="e">
        <f ca="1">M31-L31</f>
        <v>#REF!</v>
      </c>
      <c r="O31" s="32"/>
      <c r="P31" s="7" t="s">
        <v>49</v>
      </c>
      <c r="Q31" s="32"/>
      <c r="R31" s="14"/>
      <c r="S31" s="14"/>
      <c r="T31" s="14"/>
      <c r="U31" s="14"/>
      <c r="V31" s="107"/>
      <c r="X31" s="11"/>
      <c r="Y31" s="11"/>
      <c r="Z31" s="108"/>
    </row>
    <row r="32" spans="2:28" x14ac:dyDescent="0.25">
      <c r="B32" s="166" t="str">
        <f>B31</f>
        <v>M_NC1</v>
      </c>
      <c r="C32" s="177" t="s">
        <v>50</v>
      </c>
      <c r="D32" s="118" t="e">
        <f ca="1">0.001*INDIRECT($B32&amp;"!E8")</f>
        <v>#REF!</v>
      </c>
      <c r="E32" s="32"/>
      <c r="F32" s="166" t="str">
        <f>F31</f>
        <v>M_NC1</v>
      </c>
      <c r="G32" s="177" t="s">
        <v>50</v>
      </c>
      <c r="H32" s="118" t="e">
        <f ca="1">0.001*INDIRECT($B32&amp;"!W8")</f>
        <v>#REF!</v>
      </c>
      <c r="I32" s="14"/>
      <c r="J32" s="33" t="e">
        <f ca="1">H32/D32-1</f>
        <v>#REF!</v>
      </c>
      <c r="L32" s="126" t="e">
        <f ca="1">INDIRECT($B32&amp;"!"&amp;L$3&amp;"8")</f>
        <v>#REF!</v>
      </c>
      <c r="M32" s="127" t="e">
        <f ca="1">INDIRECT($B32&amp;"!"&amp;M$3&amp;"8")</f>
        <v>#REF!</v>
      </c>
      <c r="N32" s="128" t="e">
        <f ca="1">M32-L32</f>
        <v>#REF!</v>
      </c>
      <c r="O32" s="32"/>
      <c r="P32" s="268" t="e">
        <f ca="1">bdrate(L29:L33,D29:D33,M29:M33,H29:H33)</f>
        <v>#VALUE!</v>
      </c>
      <c r="Q32" s="32"/>
      <c r="R32" s="14"/>
      <c r="S32" s="14"/>
      <c r="T32" s="14"/>
      <c r="U32" s="14"/>
      <c r="V32" s="107"/>
      <c r="X32" s="11"/>
      <c r="Y32" s="11"/>
      <c r="Z32" s="108"/>
    </row>
    <row r="33" spans="2:28" ht="16.5" customHeight="1" thickBot="1" x14ac:dyDescent="0.3">
      <c r="B33" s="120" t="str">
        <f>B32</f>
        <v>M_NC1</v>
      </c>
      <c r="C33" s="178" t="s">
        <v>51</v>
      </c>
      <c r="D33" s="121" t="e">
        <f ca="1">0.001*INDIRECT($B33&amp;"!E9")</f>
        <v>#REF!</v>
      </c>
      <c r="E33" s="32"/>
      <c r="F33" s="120" t="str">
        <f>F32</f>
        <v>M_NC1</v>
      </c>
      <c r="G33" s="178" t="s">
        <v>51</v>
      </c>
      <c r="H33" s="118" t="e">
        <f ca="1">0.001*INDIRECT($B33&amp;"!W9")</f>
        <v>#REF!</v>
      </c>
      <c r="I33" s="14"/>
      <c r="J33" s="33" t="e">
        <f ca="1">H33/D33-1</f>
        <v>#REF!</v>
      </c>
      <c r="L33" s="126" t="e">
        <f ca="1">INDIRECT($B33&amp;"!"&amp;L$3&amp;"9")</f>
        <v>#REF!</v>
      </c>
      <c r="M33" s="127" t="e">
        <f ca="1">INDIRECT($B33&amp;"!"&amp;M$3&amp;"9")</f>
        <v>#REF!</v>
      </c>
      <c r="N33" s="129" t="e">
        <f ca="1">M33-L33</f>
        <v>#REF!</v>
      </c>
      <c r="O33" s="32"/>
      <c r="P33" s="37"/>
      <c r="Q33" s="32"/>
      <c r="R33" s="14"/>
      <c r="S33" s="14"/>
      <c r="T33" s="14"/>
      <c r="U33" s="14"/>
      <c r="V33" s="107"/>
      <c r="X33" s="11"/>
      <c r="Y33" s="11"/>
      <c r="Z33" s="108"/>
      <c r="AB33" s="109"/>
    </row>
    <row r="34" spans="2:28" ht="16.5" customHeight="1" x14ac:dyDescent="0.25">
      <c r="B34" s="122"/>
      <c r="C34" s="153"/>
      <c r="D34" s="123"/>
      <c r="F34" s="122"/>
      <c r="G34" s="153"/>
      <c r="H34" s="123"/>
      <c r="J34" s="130" t="e">
        <f ca="1">MIN(D29:D33,H29:H33)</f>
        <v>#REF!</v>
      </c>
      <c r="L34" s="131"/>
      <c r="M34" s="132"/>
      <c r="N34" s="133"/>
      <c r="O34" s="32"/>
      <c r="P34" s="159"/>
      <c r="Q34" s="32"/>
      <c r="R34" s="14"/>
      <c r="S34" s="14"/>
      <c r="T34" s="14"/>
      <c r="U34" s="14"/>
      <c r="V34" s="110"/>
      <c r="X34" s="11"/>
      <c r="Y34" s="11"/>
      <c r="Z34" s="108"/>
    </row>
    <row r="35" spans="2:28" ht="16.5" customHeight="1" thickBot="1" x14ac:dyDescent="0.3">
      <c r="B35" s="120"/>
      <c r="C35" s="124"/>
      <c r="D35" s="121"/>
      <c r="E35" s="32"/>
      <c r="F35" s="120"/>
      <c r="G35" s="124"/>
      <c r="H35" s="121"/>
      <c r="I35" s="14"/>
      <c r="J35" s="134" t="e">
        <f ca="1">MAX(D29:D33,H29:H33)</f>
        <v>#REF!</v>
      </c>
      <c r="L35" s="135">
        <f>L34</f>
        <v>0</v>
      </c>
      <c r="M35" s="136">
        <f>M34</f>
        <v>0</v>
      </c>
      <c r="N35" s="129"/>
      <c r="O35" s="32"/>
      <c r="P35" s="10"/>
      <c r="Q35" s="32"/>
      <c r="R35" s="14"/>
      <c r="S35" s="14"/>
      <c r="T35" s="14"/>
      <c r="U35" s="14"/>
      <c r="V35" s="110"/>
      <c r="X35" s="111"/>
      <c r="Y35" s="111"/>
      <c r="Z35" s="108"/>
    </row>
    <row r="36" spans="2:28" ht="16.5" customHeight="1" thickBot="1" x14ac:dyDescent="0.3"/>
    <row r="37" spans="2:28" x14ac:dyDescent="0.25">
      <c r="B37" s="315" t="s">
        <v>20</v>
      </c>
      <c r="C37" s="316"/>
      <c r="D37" s="317"/>
      <c r="E37" s="6"/>
      <c r="F37" s="315" t="str">
        <f>B37</f>
        <v>M_NC2</v>
      </c>
      <c r="G37" s="316"/>
      <c r="H37" s="317"/>
      <c r="I37" s="6"/>
      <c r="J37" s="159"/>
      <c r="L37" s="318" t="str">
        <f>F37</f>
        <v>M_NC2</v>
      </c>
      <c r="M37" s="319"/>
      <c r="N37" s="320"/>
      <c r="O37" s="297"/>
      <c r="P37" s="159"/>
      <c r="U37" s="155"/>
      <c r="V37" s="155"/>
      <c r="X37" s="313"/>
      <c r="Y37" s="301"/>
      <c r="Z37" s="301"/>
    </row>
    <row r="38" spans="2:28" x14ac:dyDescent="0.25">
      <c r="B38" s="321" t="s">
        <v>39</v>
      </c>
      <c r="C38" s="322"/>
      <c r="D38" s="116" t="s">
        <v>40</v>
      </c>
      <c r="E38" s="32"/>
      <c r="F38" s="321" t="s">
        <v>39</v>
      </c>
      <c r="G38" s="322"/>
      <c r="H38" s="116" t="s">
        <v>40</v>
      </c>
      <c r="I38" s="14"/>
      <c r="J38" s="160" t="s">
        <v>41</v>
      </c>
      <c r="L38" s="323" t="s">
        <v>57</v>
      </c>
      <c r="M38" s="313"/>
      <c r="N38" s="324"/>
      <c r="O38" s="112"/>
      <c r="P38" s="7"/>
      <c r="R38" s="314"/>
      <c r="S38" s="301"/>
      <c r="T38" s="301"/>
      <c r="U38" s="156"/>
      <c r="V38" s="156"/>
      <c r="X38" s="314"/>
      <c r="Y38" s="301"/>
      <c r="Z38" s="301"/>
    </row>
    <row r="39" spans="2:28" x14ac:dyDescent="0.25">
      <c r="B39" s="293" t="s">
        <v>2</v>
      </c>
      <c r="C39" s="177" t="s">
        <v>43</v>
      </c>
      <c r="D39" s="115" t="s">
        <v>44</v>
      </c>
      <c r="E39" s="32"/>
      <c r="F39" s="293" t="s">
        <v>2</v>
      </c>
      <c r="G39" s="177" t="s">
        <v>43</v>
      </c>
      <c r="H39" s="115" t="s">
        <v>44</v>
      </c>
      <c r="I39" s="14"/>
      <c r="J39" s="125"/>
      <c r="L39" s="294" t="str">
        <f>CONCATENATE(B$2," ",L37)</f>
        <v>Anchor M_NC2</v>
      </c>
      <c r="M39" s="295" t="str">
        <f>CONCATENATE(F$2," ",L37)</f>
        <v>Proposal M_NC2</v>
      </c>
      <c r="N39" s="296" t="s">
        <v>45</v>
      </c>
      <c r="O39" s="6"/>
      <c r="P39" s="7" t="s">
        <v>36</v>
      </c>
      <c r="Q39" s="6"/>
      <c r="R39" s="6"/>
      <c r="S39" s="6"/>
      <c r="T39" s="6"/>
      <c r="U39" s="6"/>
      <c r="V39" s="6"/>
      <c r="X39" s="297"/>
      <c r="Y39" s="297"/>
      <c r="Z39" s="297"/>
    </row>
    <row r="40" spans="2:28" x14ac:dyDescent="0.25">
      <c r="B40" s="166" t="str">
        <f>B37</f>
        <v>M_NC2</v>
      </c>
      <c r="C40" s="177" t="s">
        <v>46</v>
      </c>
      <c r="D40" s="118">
        <f ca="1">0.001*INDIRECT($B40&amp;"!E5")</f>
        <v>0</v>
      </c>
      <c r="E40" s="32"/>
      <c r="F40" s="166" t="str">
        <f>F37</f>
        <v>M_NC2</v>
      </c>
      <c r="G40" s="177" t="s">
        <v>46</v>
      </c>
      <c r="H40" s="118">
        <f ca="1">0.001*INDIRECT($B40&amp;"!W5")</f>
        <v>0</v>
      </c>
      <c r="I40" s="14"/>
      <c r="J40" s="33" t="e">
        <f ca="1">H40/D40-1</f>
        <v>#DIV/0!</v>
      </c>
      <c r="L40" s="126" t="e">
        <f ca="1">INDIRECT($B40&amp;"!"&amp;L$3&amp;"5")</f>
        <v>#DIV/0!</v>
      </c>
      <c r="M40" s="127" t="e">
        <f ca="1">INDIRECT($B40&amp;"!"&amp;M$3&amp;"5")</f>
        <v>#DIV/0!</v>
      </c>
      <c r="N40" s="128" t="e">
        <f ca="1">M40-L40</f>
        <v>#DIV/0!</v>
      </c>
      <c r="O40" s="32"/>
      <c r="P40" s="33" t="e">
        <f ca="1">bdrate(D40:D44,L40:L44,H40:H44,M40:M44)</f>
        <v>#VALUE!</v>
      </c>
      <c r="Q40" s="32"/>
      <c r="R40" s="14"/>
      <c r="S40" s="14"/>
      <c r="T40" s="14"/>
      <c r="U40" s="14"/>
      <c r="V40" s="107"/>
      <c r="X40" s="11"/>
      <c r="Y40" s="11"/>
      <c r="Z40" s="108"/>
      <c r="AB40" s="109"/>
    </row>
    <row r="41" spans="2:28" x14ac:dyDescent="0.25">
      <c r="B41" s="166" t="str">
        <f>B40</f>
        <v>M_NC2</v>
      </c>
      <c r="C41" s="177" t="s">
        <v>47</v>
      </c>
      <c r="D41" s="118">
        <f ca="1">0.001*INDIRECT($B41&amp;"!E6")</f>
        <v>0</v>
      </c>
      <c r="E41" s="32"/>
      <c r="F41" s="166" t="str">
        <f>F40</f>
        <v>M_NC2</v>
      </c>
      <c r="G41" s="177" t="s">
        <v>47</v>
      </c>
      <c r="H41" s="118">
        <f ca="1">0.001*INDIRECT($B41&amp;"!W6")</f>
        <v>0</v>
      </c>
      <c r="I41" s="14"/>
      <c r="J41" s="33" t="e">
        <f ca="1">H41/D41-1</f>
        <v>#DIV/0!</v>
      </c>
      <c r="L41" s="126" t="e">
        <f ca="1">INDIRECT($B41&amp;"!"&amp;L$3&amp;"6")</f>
        <v>#DIV/0!</v>
      </c>
      <c r="M41" s="127" t="e">
        <f ca="1">INDIRECT($B41&amp;"!"&amp;M$3&amp;"6")</f>
        <v>#DIV/0!</v>
      </c>
      <c r="N41" s="128" t="e">
        <f ca="1">M41-L41</f>
        <v>#DIV/0!</v>
      </c>
      <c r="O41" s="32"/>
      <c r="P41" s="7"/>
      <c r="Q41" s="32"/>
      <c r="R41" s="14"/>
      <c r="S41" s="14"/>
      <c r="T41" s="14"/>
      <c r="U41" s="14"/>
      <c r="V41" s="107"/>
      <c r="X41" s="11"/>
      <c r="Y41" s="11"/>
      <c r="Z41" s="108"/>
    </row>
    <row r="42" spans="2:28" x14ac:dyDescent="0.25">
      <c r="B42" s="166" t="str">
        <f>B41</f>
        <v>M_NC2</v>
      </c>
      <c r="C42" s="177" t="s">
        <v>48</v>
      </c>
      <c r="D42" s="118">
        <f ca="1">0.001*INDIRECT($B42&amp;"!E7")</f>
        <v>0</v>
      </c>
      <c r="E42" s="32"/>
      <c r="F42" s="166" t="str">
        <f>F41</f>
        <v>M_NC2</v>
      </c>
      <c r="G42" s="177" t="s">
        <v>48</v>
      </c>
      <c r="H42" s="118">
        <f ca="1">0.001*INDIRECT($B42&amp;"!W7")</f>
        <v>0</v>
      </c>
      <c r="I42" s="14"/>
      <c r="J42" s="33" t="e">
        <f ca="1">H42/D42-1</f>
        <v>#DIV/0!</v>
      </c>
      <c r="L42" s="126" t="e">
        <f ca="1">INDIRECT($B42&amp;"!"&amp;L$3&amp;"7")</f>
        <v>#DIV/0!</v>
      </c>
      <c r="M42" s="127" t="e">
        <f ca="1">INDIRECT($B42&amp;"!"&amp;M$3&amp;"7")</f>
        <v>#DIV/0!</v>
      </c>
      <c r="N42" s="128" t="e">
        <f ca="1">M42-L42</f>
        <v>#DIV/0!</v>
      </c>
      <c r="O42" s="32"/>
      <c r="P42" s="7" t="s">
        <v>49</v>
      </c>
      <c r="Q42" s="32"/>
      <c r="R42" s="14"/>
      <c r="S42" s="14"/>
      <c r="T42" s="14"/>
      <c r="U42" s="14"/>
      <c r="V42" s="107"/>
      <c r="X42" s="11"/>
      <c r="Y42" s="11"/>
      <c r="Z42" s="108"/>
    </row>
    <row r="43" spans="2:28" x14ac:dyDescent="0.25">
      <c r="B43" s="166" t="str">
        <f>B42</f>
        <v>M_NC2</v>
      </c>
      <c r="C43" s="177" t="s">
        <v>50</v>
      </c>
      <c r="D43" s="118">
        <f ca="1">0.001*INDIRECT($B43&amp;"!E8")</f>
        <v>0</v>
      </c>
      <c r="E43" s="32"/>
      <c r="F43" s="166" t="str">
        <f>F42</f>
        <v>M_NC2</v>
      </c>
      <c r="G43" s="177" t="s">
        <v>50</v>
      </c>
      <c r="H43" s="118">
        <f ca="1">0.001*INDIRECT($B43&amp;"!W8")</f>
        <v>0</v>
      </c>
      <c r="I43" s="14"/>
      <c r="J43" s="33" t="e">
        <f ca="1">H43/D43-1</f>
        <v>#DIV/0!</v>
      </c>
      <c r="L43" s="126" t="e">
        <f ca="1">INDIRECT($B43&amp;"!"&amp;L$3&amp;"8")</f>
        <v>#DIV/0!</v>
      </c>
      <c r="M43" s="127" t="e">
        <f ca="1">INDIRECT($B43&amp;"!"&amp;M$3&amp;"8")</f>
        <v>#DIV/0!</v>
      </c>
      <c r="N43" s="128" t="e">
        <f ca="1">M43-L43</f>
        <v>#DIV/0!</v>
      </c>
      <c r="O43" s="32"/>
      <c r="P43" s="268" t="e">
        <f ca="1">bdrate(L40:L44,D40:D44,M40:M44,H40:H44)</f>
        <v>#VALUE!</v>
      </c>
      <c r="Q43" s="32"/>
      <c r="R43" s="14"/>
      <c r="S43" s="14"/>
      <c r="T43" s="14"/>
      <c r="U43" s="14"/>
      <c r="V43" s="107"/>
      <c r="X43" s="11"/>
      <c r="Y43" s="11"/>
      <c r="Z43" s="108"/>
    </row>
    <row r="44" spans="2:28" ht="16.5" customHeight="1" thickBot="1" x14ac:dyDescent="0.3">
      <c r="B44" s="120" t="str">
        <f>B43</f>
        <v>M_NC2</v>
      </c>
      <c r="C44" s="178" t="s">
        <v>51</v>
      </c>
      <c r="D44" s="121">
        <f ca="1">0.001*INDIRECT($B44&amp;"!E9")</f>
        <v>0</v>
      </c>
      <c r="E44" s="32"/>
      <c r="F44" s="120" t="str">
        <f>F43</f>
        <v>M_NC2</v>
      </c>
      <c r="G44" s="178" t="s">
        <v>51</v>
      </c>
      <c r="H44" s="118">
        <f ca="1">0.001*INDIRECT($B44&amp;"!W9")</f>
        <v>0</v>
      </c>
      <c r="I44" s="14"/>
      <c r="J44" s="33" t="e">
        <f ca="1">H44/D44-1</f>
        <v>#DIV/0!</v>
      </c>
      <c r="L44" s="126" t="e">
        <f ca="1">INDIRECT($B44&amp;"!"&amp;L$3&amp;"9")</f>
        <v>#DIV/0!</v>
      </c>
      <c r="M44" s="127" t="e">
        <f ca="1">INDIRECT($B44&amp;"!"&amp;M$3&amp;"9")</f>
        <v>#DIV/0!</v>
      </c>
      <c r="N44" s="129" t="e">
        <f ca="1">M44-L44</f>
        <v>#DIV/0!</v>
      </c>
      <c r="O44" s="32"/>
      <c r="P44" s="37"/>
      <c r="Q44" s="32"/>
      <c r="R44" s="14"/>
      <c r="S44" s="14"/>
      <c r="T44" s="14"/>
      <c r="U44" s="14"/>
      <c r="V44" s="107"/>
      <c r="X44" s="11"/>
      <c r="Y44" s="11"/>
      <c r="Z44" s="108"/>
      <c r="AB44" s="109"/>
    </row>
    <row r="45" spans="2:28" ht="16.5" customHeight="1" x14ac:dyDescent="0.25">
      <c r="B45" s="122"/>
      <c r="C45" s="153"/>
      <c r="D45" s="123"/>
      <c r="F45" s="122"/>
      <c r="G45" s="153"/>
      <c r="H45" s="123"/>
      <c r="J45" s="130">
        <f ca="1">MIN(D40:D44,H40:H44)</f>
        <v>0</v>
      </c>
      <c r="L45" s="131"/>
      <c r="M45" s="132"/>
      <c r="N45" s="133"/>
      <c r="O45" s="32"/>
      <c r="P45" s="159"/>
      <c r="Q45" s="32"/>
      <c r="R45" s="14"/>
      <c r="S45" s="14"/>
      <c r="T45" s="14"/>
      <c r="U45" s="14"/>
      <c r="V45" s="110"/>
      <c r="X45" s="11"/>
      <c r="Y45" s="11"/>
      <c r="Z45" s="108"/>
    </row>
    <row r="46" spans="2:28" ht="16.5" customHeight="1" thickBot="1" x14ac:dyDescent="0.3">
      <c r="B46" s="120"/>
      <c r="C46" s="124"/>
      <c r="D46" s="121"/>
      <c r="E46" s="32"/>
      <c r="F46" s="120"/>
      <c r="G46" s="124"/>
      <c r="H46" s="121"/>
      <c r="I46" s="14"/>
      <c r="J46" s="134">
        <f ca="1">MAX(D40:D44,H40:H44)</f>
        <v>0</v>
      </c>
      <c r="L46" s="135">
        <f>L45</f>
        <v>0</v>
      </c>
      <c r="M46" s="136">
        <f>M45</f>
        <v>0</v>
      </c>
      <c r="N46" s="129"/>
      <c r="O46" s="32"/>
      <c r="P46" s="10"/>
      <c r="Q46" s="32"/>
      <c r="R46" s="14"/>
      <c r="S46" s="14"/>
      <c r="T46" s="14"/>
      <c r="U46" s="14"/>
      <c r="V46" s="110"/>
      <c r="X46" s="111"/>
      <c r="Y46" s="111"/>
      <c r="Z46" s="108"/>
    </row>
    <row r="47" spans="2:28" ht="16.5" customHeight="1" thickBot="1" x14ac:dyDescent="0.3"/>
    <row r="48" spans="2:28" x14ac:dyDescent="0.25">
      <c r="B48" s="315" t="s">
        <v>22</v>
      </c>
      <c r="C48" s="316"/>
      <c r="D48" s="317"/>
      <c r="E48" s="6"/>
      <c r="F48" s="315" t="str">
        <f>B48</f>
        <v>M_NC3</v>
      </c>
      <c r="G48" s="316"/>
      <c r="H48" s="317"/>
      <c r="I48" s="6"/>
      <c r="J48" s="159"/>
      <c r="L48" s="318" t="str">
        <f>F48</f>
        <v>M_NC3</v>
      </c>
      <c r="M48" s="319"/>
      <c r="N48" s="320"/>
      <c r="O48" s="297"/>
      <c r="P48" s="159"/>
      <c r="U48" s="155"/>
      <c r="V48" s="155"/>
      <c r="X48" s="313"/>
      <c r="Y48" s="301"/>
      <c r="Z48" s="301"/>
    </row>
    <row r="49" spans="2:28" x14ac:dyDescent="0.25">
      <c r="B49" s="321" t="s">
        <v>39</v>
      </c>
      <c r="C49" s="322"/>
      <c r="D49" s="116" t="s">
        <v>40</v>
      </c>
      <c r="E49" s="32"/>
      <c r="F49" s="321" t="s">
        <v>39</v>
      </c>
      <c r="G49" s="322"/>
      <c r="H49" s="116" t="s">
        <v>40</v>
      </c>
      <c r="I49" s="14"/>
      <c r="J49" s="160" t="s">
        <v>41</v>
      </c>
      <c r="L49" s="323" t="s">
        <v>57</v>
      </c>
      <c r="M49" s="313"/>
      <c r="N49" s="324"/>
      <c r="O49" s="112"/>
      <c r="P49" s="7"/>
      <c r="R49" s="314"/>
      <c r="S49" s="301"/>
      <c r="T49" s="301"/>
      <c r="U49" s="156"/>
      <c r="V49" s="156"/>
      <c r="X49" s="314"/>
      <c r="Y49" s="301"/>
      <c r="Z49" s="301"/>
    </row>
    <row r="50" spans="2:28" x14ac:dyDescent="0.25">
      <c r="B50" s="293" t="s">
        <v>2</v>
      </c>
      <c r="C50" s="177" t="s">
        <v>43</v>
      </c>
      <c r="D50" s="115" t="s">
        <v>44</v>
      </c>
      <c r="E50" s="32"/>
      <c r="F50" s="293" t="s">
        <v>2</v>
      </c>
      <c r="G50" s="177" t="s">
        <v>43</v>
      </c>
      <c r="H50" s="115" t="s">
        <v>44</v>
      </c>
      <c r="I50" s="14"/>
      <c r="J50" s="125"/>
      <c r="L50" s="294" t="str">
        <f>CONCATENATE(B$2," ",L48)</f>
        <v>Anchor M_NC3</v>
      </c>
      <c r="M50" s="295" t="str">
        <f>CONCATENATE(F$2," ",L48)</f>
        <v>Proposal M_NC3</v>
      </c>
      <c r="N50" s="296" t="s">
        <v>45</v>
      </c>
      <c r="O50" s="6"/>
      <c r="P50" s="7" t="s">
        <v>36</v>
      </c>
      <c r="Q50" s="6"/>
      <c r="R50" s="6"/>
      <c r="S50" s="6"/>
      <c r="T50" s="6"/>
      <c r="U50" s="6"/>
      <c r="V50" s="6"/>
      <c r="X50" s="297"/>
      <c r="Y50" s="297"/>
      <c r="Z50" s="297"/>
    </row>
    <row r="51" spans="2:28" x14ac:dyDescent="0.25">
      <c r="B51" s="166" t="str">
        <f>B48</f>
        <v>M_NC3</v>
      </c>
      <c r="C51" s="177" t="s">
        <v>46</v>
      </c>
      <c r="D51" s="118" t="e">
        <f ca="1">0.001*INDIRECT($B51&amp;"!E5")</f>
        <v>#REF!</v>
      </c>
      <c r="E51" s="32"/>
      <c r="F51" s="166" t="str">
        <f>F48</f>
        <v>M_NC3</v>
      </c>
      <c r="G51" s="177" t="s">
        <v>46</v>
      </c>
      <c r="H51" s="118" t="e">
        <f ca="1">0.001*INDIRECT($B51&amp;"!W5")</f>
        <v>#REF!</v>
      </c>
      <c r="I51" s="14"/>
      <c r="J51" s="33" t="e">
        <f ca="1">H51/D51-1</f>
        <v>#REF!</v>
      </c>
      <c r="L51" s="126" t="e">
        <f ca="1">INDIRECT($B51&amp;"!"&amp;L$3&amp;"5")</f>
        <v>#REF!</v>
      </c>
      <c r="M51" s="127" t="e">
        <f ca="1">INDIRECT($B51&amp;"!"&amp;M$3&amp;"5")</f>
        <v>#REF!</v>
      </c>
      <c r="N51" s="128" t="e">
        <f ca="1">M51-L51</f>
        <v>#REF!</v>
      </c>
      <c r="O51" s="32"/>
      <c r="P51" s="33" t="e">
        <f ca="1">bdrate(D51:D55,L51:L55,H51:H55,M51:M55)</f>
        <v>#VALUE!</v>
      </c>
      <c r="Q51" s="32"/>
      <c r="R51" s="14"/>
      <c r="S51" s="14"/>
      <c r="T51" s="14"/>
      <c r="U51" s="14"/>
      <c r="V51" s="107"/>
      <c r="X51" s="11"/>
      <c r="Y51" s="11"/>
      <c r="Z51" s="108"/>
      <c r="AB51" s="109"/>
    </row>
    <row r="52" spans="2:28" x14ac:dyDescent="0.25">
      <c r="B52" s="166" t="str">
        <f>B51</f>
        <v>M_NC3</v>
      </c>
      <c r="C52" s="177" t="s">
        <v>47</v>
      </c>
      <c r="D52" s="118" t="e">
        <f ca="1">0.001*INDIRECT($B52&amp;"!E6")</f>
        <v>#REF!</v>
      </c>
      <c r="E52" s="32"/>
      <c r="F52" s="166" t="str">
        <f>F51</f>
        <v>M_NC3</v>
      </c>
      <c r="G52" s="177" t="s">
        <v>47</v>
      </c>
      <c r="H52" s="118" t="e">
        <f ca="1">0.001*INDIRECT($B52&amp;"!W6")</f>
        <v>#REF!</v>
      </c>
      <c r="I52" s="14"/>
      <c r="J52" s="33" t="e">
        <f ca="1">H52/D52-1</f>
        <v>#REF!</v>
      </c>
      <c r="L52" s="126" t="e">
        <f ca="1">INDIRECT($B52&amp;"!"&amp;L$3&amp;"6")</f>
        <v>#REF!</v>
      </c>
      <c r="M52" s="127" t="e">
        <f ca="1">INDIRECT($B52&amp;"!"&amp;M$3&amp;"6")</f>
        <v>#REF!</v>
      </c>
      <c r="N52" s="128" t="e">
        <f ca="1">M52-L52</f>
        <v>#REF!</v>
      </c>
      <c r="O52" s="32"/>
      <c r="P52" s="7"/>
      <c r="Q52" s="32"/>
      <c r="R52" s="14"/>
      <c r="S52" s="14"/>
      <c r="T52" s="14"/>
      <c r="U52" s="14"/>
      <c r="V52" s="107"/>
      <c r="X52" s="11"/>
      <c r="Y52" s="11"/>
      <c r="Z52" s="108"/>
    </row>
    <row r="53" spans="2:28" x14ac:dyDescent="0.25">
      <c r="B53" s="166" t="str">
        <f>B52</f>
        <v>M_NC3</v>
      </c>
      <c r="C53" s="177" t="s">
        <v>48</v>
      </c>
      <c r="D53" s="118" t="e">
        <f ca="1">0.001*INDIRECT($B53&amp;"!E7")</f>
        <v>#REF!</v>
      </c>
      <c r="E53" s="32"/>
      <c r="F53" s="166" t="str">
        <f>F52</f>
        <v>M_NC3</v>
      </c>
      <c r="G53" s="177" t="s">
        <v>48</v>
      </c>
      <c r="H53" s="118" t="e">
        <f ca="1">0.001*INDIRECT($B53&amp;"!W7")</f>
        <v>#REF!</v>
      </c>
      <c r="I53" s="14"/>
      <c r="J53" s="33" t="e">
        <f ca="1">H53/D53-1</f>
        <v>#REF!</v>
      </c>
      <c r="L53" s="126" t="e">
        <f ca="1">INDIRECT($B53&amp;"!"&amp;L$3&amp;"7")</f>
        <v>#REF!</v>
      </c>
      <c r="M53" s="127" t="e">
        <f ca="1">INDIRECT($B53&amp;"!"&amp;M$3&amp;"7")</f>
        <v>#REF!</v>
      </c>
      <c r="N53" s="128" t="e">
        <f ca="1">M53-L53</f>
        <v>#REF!</v>
      </c>
      <c r="O53" s="32"/>
      <c r="P53" s="7" t="s">
        <v>49</v>
      </c>
      <c r="Q53" s="32"/>
      <c r="R53" s="14"/>
      <c r="S53" s="14"/>
      <c r="T53" s="14"/>
      <c r="U53" s="14"/>
      <c r="V53" s="107"/>
      <c r="X53" s="11"/>
      <c r="Y53" s="11"/>
      <c r="Z53" s="108"/>
    </row>
    <row r="54" spans="2:28" x14ac:dyDescent="0.25">
      <c r="B54" s="166" t="str">
        <f>B53</f>
        <v>M_NC3</v>
      </c>
      <c r="C54" s="177" t="s">
        <v>50</v>
      </c>
      <c r="D54" s="118" t="e">
        <f ca="1">0.001*INDIRECT($B54&amp;"!E8")</f>
        <v>#REF!</v>
      </c>
      <c r="E54" s="32"/>
      <c r="F54" s="166" t="str">
        <f>F53</f>
        <v>M_NC3</v>
      </c>
      <c r="G54" s="177" t="s">
        <v>50</v>
      </c>
      <c r="H54" s="118" t="e">
        <f ca="1">0.001*INDIRECT($B54&amp;"!W8")</f>
        <v>#REF!</v>
      </c>
      <c r="I54" s="14"/>
      <c r="J54" s="33" t="e">
        <f ca="1">H54/D54-1</f>
        <v>#REF!</v>
      </c>
      <c r="L54" s="126" t="e">
        <f ca="1">INDIRECT($B54&amp;"!"&amp;L$3&amp;"8")</f>
        <v>#REF!</v>
      </c>
      <c r="M54" s="127" t="e">
        <f ca="1">INDIRECT($B54&amp;"!"&amp;M$3&amp;"8")</f>
        <v>#REF!</v>
      </c>
      <c r="N54" s="128" t="e">
        <f ca="1">M54-L54</f>
        <v>#REF!</v>
      </c>
      <c r="O54" s="32"/>
      <c r="P54" s="268" t="e">
        <f ca="1">bdrate(L51:L55,D51:D55,M51:M55,H51:H55)</f>
        <v>#VALUE!</v>
      </c>
      <c r="Q54" s="32"/>
      <c r="R54" s="14"/>
      <c r="S54" s="14"/>
      <c r="T54" s="14"/>
      <c r="U54" s="14"/>
      <c r="V54" s="107"/>
      <c r="X54" s="11"/>
      <c r="Y54" s="11"/>
      <c r="Z54" s="108"/>
    </row>
    <row r="55" spans="2:28" ht="16.5" customHeight="1" thickBot="1" x14ac:dyDescent="0.3">
      <c r="B55" s="120" t="str">
        <f>B54</f>
        <v>M_NC3</v>
      </c>
      <c r="C55" s="178" t="s">
        <v>51</v>
      </c>
      <c r="D55" s="121" t="e">
        <f ca="1">0.001*INDIRECT($B55&amp;"!E9")</f>
        <v>#REF!</v>
      </c>
      <c r="E55" s="32"/>
      <c r="F55" s="120" t="str">
        <f>F54</f>
        <v>M_NC3</v>
      </c>
      <c r="G55" s="178" t="s">
        <v>51</v>
      </c>
      <c r="H55" s="118" t="e">
        <f ca="1">0.001*INDIRECT($B55&amp;"!W9")</f>
        <v>#REF!</v>
      </c>
      <c r="I55" s="14"/>
      <c r="J55" s="33" t="e">
        <f ca="1">H55/D55-1</f>
        <v>#REF!</v>
      </c>
      <c r="L55" s="126" t="e">
        <f ca="1">INDIRECT($B55&amp;"!"&amp;L$3&amp;"9")</f>
        <v>#REF!</v>
      </c>
      <c r="M55" s="127" t="e">
        <f ca="1">INDIRECT($B55&amp;"!"&amp;M$3&amp;"9")</f>
        <v>#REF!</v>
      </c>
      <c r="N55" s="129" t="e">
        <f ca="1">M55-L55</f>
        <v>#REF!</v>
      </c>
      <c r="O55" s="32"/>
      <c r="P55" s="37"/>
      <c r="Q55" s="32"/>
      <c r="R55" s="14"/>
      <c r="S55" s="14"/>
      <c r="T55" s="14"/>
      <c r="U55" s="14"/>
      <c r="V55" s="107"/>
      <c r="X55" s="11"/>
      <c r="Y55" s="11"/>
      <c r="Z55" s="108"/>
      <c r="AB55" s="109"/>
    </row>
    <row r="56" spans="2:28" ht="16.5" customHeight="1" x14ac:dyDescent="0.25">
      <c r="B56" s="152"/>
      <c r="C56" s="153"/>
      <c r="D56" s="123"/>
      <c r="F56" s="152"/>
      <c r="G56" s="153"/>
      <c r="H56" s="123"/>
      <c r="J56" s="130" t="e">
        <f ca="1">MIN(D51:D55,H51:H55)</f>
        <v>#REF!</v>
      </c>
      <c r="L56" s="131"/>
      <c r="M56" s="132"/>
      <c r="N56" s="133"/>
      <c r="O56" s="32"/>
      <c r="P56" s="159"/>
      <c r="Q56" s="32"/>
      <c r="R56" s="14"/>
      <c r="S56" s="14"/>
      <c r="T56" s="14"/>
      <c r="U56" s="14"/>
      <c r="V56" s="110"/>
      <c r="X56" s="11"/>
      <c r="Y56" s="11"/>
      <c r="Z56" s="108"/>
    </row>
    <row r="57" spans="2:28" ht="16.5" customHeight="1" thickBot="1" x14ac:dyDescent="0.3">
      <c r="B57" s="120"/>
      <c r="C57" s="124"/>
      <c r="D57" s="121"/>
      <c r="E57" s="32"/>
      <c r="F57" s="120"/>
      <c r="G57" s="124"/>
      <c r="H57" s="121"/>
      <c r="I57" s="14"/>
      <c r="J57" s="134" t="e">
        <f ca="1">MAX(D51:D55,H51:H55)</f>
        <v>#REF!</v>
      </c>
      <c r="L57" s="135">
        <f>L56</f>
        <v>0</v>
      </c>
      <c r="M57" s="136">
        <f>M56</f>
        <v>0</v>
      </c>
      <c r="N57" s="129"/>
      <c r="O57" s="32"/>
      <c r="P57" s="10"/>
      <c r="Q57" s="32"/>
      <c r="R57" s="14"/>
      <c r="S57" s="14"/>
      <c r="T57" s="14"/>
      <c r="U57" s="14"/>
      <c r="V57" s="110"/>
      <c r="X57" s="111"/>
      <c r="Y57" s="111"/>
      <c r="Z57" s="108"/>
    </row>
    <row r="58" spans="2:28" ht="16.5" customHeight="1" thickBot="1" x14ac:dyDescent="0.3"/>
    <row r="59" spans="2:28" x14ac:dyDescent="0.25">
      <c r="B59" s="315" t="s">
        <v>24</v>
      </c>
      <c r="C59" s="316"/>
      <c r="D59" s="317"/>
      <c r="E59" s="6"/>
      <c r="F59" s="315" t="str">
        <f>B59</f>
        <v>M_NC4</v>
      </c>
      <c r="G59" s="316"/>
      <c r="H59" s="317"/>
      <c r="I59" s="6"/>
      <c r="J59" s="159"/>
      <c r="L59" s="318" t="str">
        <f>F59</f>
        <v>M_NC4</v>
      </c>
      <c r="M59" s="319"/>
      <c r="N59" s="320"/>
      <c r="O59" s="297"/>
      <c r="P59" s="159"/>
      <c r="U59" s="155"/>
      <c r="V59" s="155"/>
      <c r="X59" s="313"/>
      <c r="Y59" s="301"/>
      <c r="Z59" s="301"/>
    </row>
    <row r="60" spans="2:28" x14ac:dyDescent="0.25">
      <c r="B60" s="321" t="s">
        <v>39</v>
      </c>
      <c r="C60" s="322"/>
      <c r="D60" s="116" t="s">
        <v>40</v>
      </c>
      <c r="E60" s="32"/>
      <c r="F60" s="321" t="s">
        <v>39</v>
      </c>
      <c r="G60" s="322"/>
      <c r="H60" s="116" t="s">
        <v>40</v>
      </c>
      <c r="I60" s="14"/>
      <c r="J60" s="160" t="s">
        <v>41</v>
      </c>
      <c r="L60" s="323" t="s">
        <v>57</v>
      </c>
      <c r="M60" s="313"/>
      <c r="N60" s="324"/>
      <c r="O60" s="112"/>
      <c r="P60" s="7"/>
      <c r="R60" s="314"/>
      <c r="S60" s="301"/>
      <c r="T60" s="301"/>
      <c r="U60" s="156"/>
      <c r="V60" s="156"/>
      <c r="X60" s="314"/>
      <c r="Y60" s="301"/>
      <c r="Z60" s="301"/>
    </row>
    <row r="61" spans="2:28" x14ac:dyDescent="0.25">
      <c r="B61" s="293" t="s">
        <v>2</v>
      </c>
      <c r="C61" s="177" t="s">
        <v>43</v>
      </c>
      <c r="D61" s="115" t="s">
        <v>44</v>
      </c>
      <c r="E61" s="32"/>
      <c r="F61" s="293" t="s">
        <v>2</v>
      </c>
      <c r="G61" s="177" t="s">
        <v>43</v>
      </c>
      <c r="H61" s="115" t="s">
        <v>44</v>
      </c>
      <c r="I61" s="14"/>
      <c r="J61" s="125"/>
      <c r="L61" s="294" t="str">
        <f>CONCATENATE(B$2," ",L59)</f>
        <v>Anchor M_NC4</v>
      </c>
      <c r="M61" s="295" t="str">
        <f>CONCATENATE(F$2," ",L59)</f>
        <v>Proposal M_NC4</v>
      </c>
      <c r="N61" s="296" t="s">
        <v>45</v>
      </c>
      <c r="O61" s="6"/>
      <c r="P61" s="7" t="s">
        <v>36</v>
      </c>
      <c r="Q61" s="6"/>
      <c r="R61" s="6"/>
      <c r="S61" s="6"/>
      <c r="T61" s="6"/>
      <c r="U61" s="6"/>
      <c r="V61" s="6"/>
      <c r="X61" s="297"/>
      <c r="Y61" s="297"/>
      <c r="Z61" s="297"/>
    </row>
    <row r="62" spans="2:28" x14ac:dyDescent="0.25">
      <c r="B62" s="166" t="str">
        <f>B59</f>
        <v>M_NC4</v>
      </c>
      <c r="C62" s="177" t="s">
        <v>46</v>
      </c>
      <c r="D62" s="118" t="e">
        <f ca="1">0.001*INDIRECT($B62&amp;"!E5")</f>
        <v>#REF!</v>
      </c>
      <c r="E62" s="32"/>
      <c r="F62" s="166" t="str">
        <f>F59</f>
        <v>M_NC4</v>
      </c>
      <c r="G62" s="177" t="s">
        <v>46</v>
      </c>
      <c r="H62" s="118" t="e">
        <f ca="1">0.001*INDIRECT($B62&amp;"!W5")</f>
        <v>#REF!</v>
      </c>
      <c r="I62" s="14"/>
      <c r="J62" s="33" t="e">
        <f ca="1">H62/D62-1</f>
        <v>#REF!</v>
      </c>
      <c r="L62" s="126" t="e">
        <f ca="1">INDIRECT($B62&amp;"!"&amp;L$3&amp;"5")</f>
        <v>#REF!</v>
      </c>
      <c r="M62" s="127" t="e">
        <f ca="1">INDIRECT($B62&amp;"!"&amp;M$3&amp;"5")</f>
        <v>#REF!</v>
      </c>
      <c r="N62" s="128" t="e">
        <f ca="1">M62-L62</f>
        <v>#REF!</v>
      </c>
      <c r="O62" s="32"/>
      <c r="P62" s="33" t="e">
        <f ca="1">bdrate(D62:D66,L62:L66,H62:H66,M62:M66)</f>
        <v>#VALUE!</v>
      </c>
      <c r="Q62" s="32"/>
      <c r="R62" s="14"/>
      <c r="S62" s="14"/>
      <c r="T62" s="14"/>
      <c r="U62" s="14"/>
      <c r="V62" s="107"/>
      <c r="X62" s="11"/>
      <c r="Y62" s="11"/>
      <c r="Z62" s="108"/>
      <c r="AB62" s="109"/>
    </row>
    <row r="63" spans="2:28" x14ac:dyDescent="0.25">
      <c r="B63" s="166" t="str">
        <f>B62</f>
        <v>M_NC4</v>
      </c>
      <c r="C63" s="177" t="s">
        <v>47</v>
      </c>
      <c r="D63" s="118" t="e">
        <f ca="1">0.001*INDIRECT($B63&amp;"!E6")</f>
        <v>#REF!</v>
      </c>
      <c r="E63" s="32"/>
      <c r="F63" s="166" t="str">
        <f>F62</f>
        <v>M_NC4</v>
      </c>
      <c r="G63" s="177" t="s">
        <v>47</v>
      </c>
      <c r="H63" s="118" t="e">
        <f ca="1">0.001*INDIRECT($B63&amp;"!W6")</f>
        <v>#REF!</v>
      </c>
      <c r="I63" s="14"/>
      <c r="J63" s="33" t="e">
        <f ca="1">H63/D63-1</f>
        <v>#REF!</v>
      </c>
      <c r="L63" s="126" t="e">
        <f ca="1">INDIRECT($B63&amp;"!"&amp;L$3&amp;"6")</f>
        <v>#REF!</v>
      </c>
      <c r="M63" s="127" t="e">
        <f ca="1">INDIRECT($B63&amp;"!"&amp;M$3&amp;"6")</f>
        <v>#REF!</v>
      </c>
      <c r="N63" s="128" t="e">
        <f ca="1">M63-L63</f>
        <v>#REF!</v>
      </c>
      <c r="O63" s="32"/>
      <c r="P63" s="7"/>
      <c r="Q63" s="32"/>
      <c r="R63" s="14"/>
      <c r="S63" s="14"/>
      <c r="T63" s="14"/>
      <c r="U63" s="14"/>
      <c r="V63" s="107"/>
      <c r="X63" s="11"/>
      <c r="Y63" s="11"/>
      <c r="Z63" s="108"/>
    </row>
    <row r="64" spans="2:28" x14ac:dyDescent="0.25">
      <c r="B64" s="166" t="str">
        <f>B63</f>
        <v>M_NC4</v>
      </c>
      <c r="C64" s="177" t="s">
        <v>48</v>
      </c>
      <c r="D64" s="118" t="e">
        <f ca="1">0.001*INDIRECT($B64&amp;"!E7")</f>
        <v>#REF!</v>
      </c>
      <c r="E64" s="32"/>
      <c r="F64" s="166" t="str">
        <f>F63</f>
        <v>M_NC4</v>
      </c>
      <c r="G64" s="177" t="s">
        <v>48</v>
      </c>
      <c r="H64" s="118" t="e">
        <f ca="1">0.001*INDIRECT($B64&amp;"!W7")</f>
        <v>#REF!</v>
      </c>
      <c r="I64" s="14"/>
      <c r="J64" s="33" t="e">
        <f ca="1">H64/D64-1</f>
        <v>#REF!</v>
      </c>
      <c r="L64" s="126" t="e">
        <f ca="1">INDIRECT($B64&amp;"!"&amp;L$3&amp;"7")</f>
        <v>#REF!</v>
      </c>
      <c r="M64" s="127" t="e">
        <f ca="1">INDIRECT($B64&amp;"!"&amp;M$3&amp;"7")</f>
        <v>#REF!</v>
      </c>
      <c r="N64" s="128" t="e">
        <f ca="1">M64-L64</f>
        <v>#REF!</v>
      </c>
      <c r="O64" s="32"/>
      <c r="P64" s="7" t="s">
        <v>49</v>
      </c>
      <c r="Q64" s="32"/>
      <c r="R64" s="14"/>
      <c r="S64" s="14"/>
      <c r="T64" s="14"/>
      <c r="U64" s="14"/>
      <c r="V64" s="107"/>
      <c r="X64" s="11"/>
      <c r="Y64" s="11"/>
      <c r="Z64" s="108"/>
    </row>
    <row r="65" spans="2:28" x14ac:dyDescent="0.25">
      <c r="B65" s="166" t="str">
        <f>B64</f>
        <v>M_NC4</v>
      </c>
      <c r="C65" s="177" t="s">
        <v>50</v>
      </c>
      <c r="D65" s="118" t="e">
        <f ca="1">0.001*INDIRECT($B65&amp;"!E8")</f>
        <v>#REF!</v>
      </c>
      <c r="E65" s="32"/>
      <c r="F65" s="166" t="str">
        <f>F64</f>
        <v>M_NC4</v>
      </c>
      <c r="G65" s="177" t="s">
        <v>50</v>
      </c>
      <c r="H65" s="118" t="e">
        <f ca="1">0.001*INDIRECT($B65&amp;"!W8")</f>
        <v>#REF!</v>
      </c>
      <c r="I65" s="14"/>
      <c r="J65" s="33" t="e">
        <f ca="1">H65/D65-1</f>
        <v>#REF!</v>
      </c>
      <c r="L65" s="126" t="e">
        <f ca="1">INDIRECT($B65&amp;"!"&amp;L$3&amp;"8")</f>
        <v>#REF!</v>
      </c>
      <c r="M65" s="127" t="e">
        <f ca="1">INDIRECT($B65&amp;"!"&amp;M$3&amp;"8")</f>
        <v>#REF!</v>
      </c>
      <c r="N65" s="128" t="e">
        <f ca="1">M65-L65</f>
        <v>#REF!</v>
      </c>
      <c r="O65" s="32"/>
      <c r="P65" s="268" t="e">
        <f ca="1">bdrate(L62:L66,D62:D66,M62:M66,H62:H66)</f>
        <v>#VALUE!</v>
      </c>
      <c r="Q65" s="32"/>
      <c r="R65" s="14"/>
      <c r="S65" s="14"/>
      <c r="T65" s="14"/>
      <c r="U65" s="14"/>
      <c r="V65" s="107"/>
      <c r="X65" s="11"/>
      <c r="Y65" s="11"/>
      <c r="Z65" s="108"/>
    </row>
    <row r="66" spans="2:28" ht="16.5" customHeight="1" thickBot="1" x14ac:dyDescent="0.3">
      <c r="B66" s="120" t="str">
        <f>B65</f>
        <v>M_NC4</v>
      </c>
      <c r="C66" s="178" t="s">
        <v>51</v>
      </c>
      <c r="D66" s="121" t="e">
        <f ca="1">0.001*INDIRECT($B66&amp;"!E9")</f>
        <v>#REF!</v>
      </c>
      <c r="E66" s="32"/>
      <c r="F66" s="120" t="str">
        <f>F65</f>
        <v>M_NC4</v>
      </c>
      <c r="G66" s="178" t="s">
        <v>51</v>
      </c>
      <c r="H66" s="118" t="e">
        <f ca="1">0.001*INDIRECT($B66&amp;"!W9")</f>
        <v>#REF!</v>
      </c>
      <c r="I66" s="14"/>
      <c r="J66" s="33" t="e">
        <f ca="1">H66/D66-1</f>
        <v>#REF!</v>
      </c>
      <c r="L66" s="126" t="e">
        <f ca="1">INDIRECT($B66&amp;"!"&amp;L$3&amp;"9")</f>
        <v>#REF!</v>
      </c>
      <c r="M66" s="127" t="e">
        <f ca="1">INDIRECT($B66&amp;"!"&amp;M$3&amp;"9")</f>
        <v>#REF!</v>
      </c>
      <c r="N66" s="129" t="e">
        <f ca="1">M66-L66</f>
        <v>#REF!</v>
      </c>
      <c r="O66" s="32"/>
      <c r="P66" s="37"/>
      <c r="Q66" s="32"/>
      <c r="R66" s="14"/>
      <c r="S66" s="14"/>
      <c r="T66" s="14"/>
      <c r="U66" s="14"/>
      <c r="V66" s="107"/>
      <c r="X66" s="11"/>
      <c r="Y66" s="11"/>
      <c r="Z66" s="108"/>
      <c r="AB66" s="109"/>
    </row>
    <row r="67" spans="2:28" ht="16.5" customHeight="1" x14ac:dyDescent="0.25">
      <c r="B67" s="152"/>
      <c r="C67" s="153"/>
      <c r="D67" s="123"/>
      <c r="F67" s="152"/>
      <c r="G67" s="153"/>
      <c r="H67" s="123"/>
      <c r="J67" s="130" t="e">
        <f ca="1">MIN(D62:D66,H62:H66)</f>
        <v>#REF!</v>
      </c>
      <c r="L67" s="131"/>
      <c r="M67" s="132"/>
      <c r="N67" s="133"/>
      <c r="O67" s="32"/>
      <c r="P67" s="159"/>
      <c r="Q67" s="32"/>
      <c r="R67" s="14"/>
      <c r="S67" s="14"/>
      <c r="T67" s="14"/>
      <c r="U67" s="14"/>
      <c r="V67" s="110"/>
      <c r="X67" s="11"/>
      <c r="Y67" s="11"/>
      <c r="Z67" s="108"/>
    </row>
    <row r="68" spans="2:28" ht="16.5" customHeight="1" thickBot="1" x14ac:dyDescent="0.3">
      <c r="B68" s="120"/>
      <c r="C68" s="124"/>
      <c r="D68" s="121"/>
      <c r="E68" s="32"/>
      <c r="F68" s="120"/>
      <c r="G68" s="124"/>
      <c r="H68" s="121"/>
      <c r="I68" s="14"/>
      <c r="J68" s="134" t="e">
        <f ca="1">MAX(D62:D66,H62:H66)</f>
        <v>#REF!</v>
      </c>
      <c r="L68" s="135">
        <f>L67</f>
        <v>0</v>
      </c>
      <c r="M68" s="136">
        <f>M67</f>
        <v>0</v>
      </c>
      <c r="N68" s="129"/>
      <c r="O68" s="32"/>
      <c r="P68" s="10"/>
      <c r="Q68" s="32"/>
      <c r="R68" s="14"/>
      <c r="S68" s="14"/>
      <c r="T68" s="14"/>
      <c r="U68" s="14"/>
      <c r="V68" s="110"/>
      <c r="X68" s="111"/>
      <c r="Y68" s="111"/>
      <c r="Z68" s="108"/>
    </row>
    <row r="69" spans="2:28" ht="16.5" customHeight="1" thickBot="1" x14ac:dyDescent="0.3"/>
    <row r="70" spans="2:28" x14ac:dyDescent="0.25">
      <c r="B70" s="315" t="s">
        <v>25</v>
      </c>
      <c r="C70" s="316"/>
      <c r="D70" s="317"/>
      <c r="E70" s="6"/>
      <c r="F70" s="315" t="str">
        <f>B70</f>
        <v>M_NC5</v>
      </c>
      <c r="G70" s="316"/>
      <c r="H70" s="317"/>
      <c r="I70" s="6"/>
      <c r="J70" s="159"/>
      <c r="L70" s="318" t="str">
        <f>F70</f>
        <v>M_NC5</v>
      </c>
      <c r="M70" s="319"/>
      <c r="N70" s="320"/>
      <c r="O70" s="297"/>
      <c r="P70" s="159"/>
      <c r="U70" s="155"/>
      <c r="V70" s="155"/>
      <c r="X70" s="313"/>
      <c r="Y70" s="301"/>
      <c r="Z70" s="301"/>
    </row>
    <row r="71" spans="2:28" x14ac:dyDescent="0.25">
      <c r="B71" s="321" t="s">
        <v>39</v>
      </c>
      <c r="C71" s="322"/>
      <c r="D71" s="116" t="s">
        <v>40</v>
      </c>
      <c r="E71" s="32"/>
      <c r="F71" s="321" t="s">
        <v>39</v>
      </c>
      <c r="G71" s="322"/>
      <c r="H71" s="116" t="s">
        <v>40</v>
      </c>
      <c r="I71" s="14"/>
      <c r="J71" s="160" t="s">
        <v>41</v>
      </c>
      <c r="L71" s="323" t="s">
        <v>57</v>
      </c>
      <c r="M71" s="313"/>
      <c r="N71" s="324"/>
      <c r="O71" s="112"/>
      <c r="P71" s="7"/>
      <c r="R71" s="314"/>
      <c r="S71" s="301"/>
      <c r="T71" s="301"/>
      <c r="U71" s="156"/>
      <c r="V71" s="156"/>
      <c r="X71" s="314"/>
      <c r="Y71" s="301"/>
      <c r="Z71" s="301"/>
    </row>
    <row r="72" spans="2:28" x14ac:dyDescent="0.25">
      <c r="B72" s="293" t="s">
        <v>2</v>
      </c>
      <c r="C72" s="177" t="s">
        <v>43</v>
      </c>
      <c r="D72" s="115" t="s">
        <v>44</v>
      </c>
      <c r="E72" s="32"/>
      <c r="F72" s="293" t="s">
        <v>2</v>
      </c>
      <c r="G72" s="177" t="s">
        <v>43</v>
      </c>
      <c r="H72" s="115" t="s">
        <v>44</v>
      </c>
      <c r="I72" s="14"/>
      <c r="J72" s="125"/>
      <c r="L72" s="294" t="str">
        <f>CONCATENATE(B$2," ",L70)</f>
        <v>Anchor M_NC5</v>
      </c>
      <c r="M72" s="295" t="str">
        <f>CONCATENATE(F$2," ",L70)</f>
        <v>Proposal M_NC5</v>
      </c>
      <c r="N72" s="296" t="s">
        <v>45</v>
      </c>
      <c r="O72" s="6"/>
      <c r="P72" s="7" t="s">
        <v>36</v>
      </c>
      <c r="Q72" s="6"/>
      <c r="R72" s="6"/>
      <c r="S72" s="6"/>
      <c r="T72" s="6"/>
      <c r="U72" s="6"/>
      <c r="V72" s="6"/>
      <c r="X72" s="297"/>
      <c r="Y72" s="297"/>
      <c r="Z72" s="297"/>
    </row>
    <row r="73" spans="2:28" x14ac:dyDescent="0.25">
      <c r="B73" s="166" t="str">
        <f>B70</f>
        <v>M_NC5</v>
      </c>
      <c r="C73" s="177" t="s">
        <v>46</v>
      </c>
      <c r="D73" s="118" t="e">
        <f ca="1">0.001*INDIRECT($B73&amp;"!E5")</f>
        <v>#REF!</v>
      </c>
      <c r="E73" s="32"/>
      <c r="F73" s="166" t="str">
        <f>F70</f>
        <v>M_NC5</v>
      </c>
      <c r="G73" s="177" t="s">
        <v>46</v>
      </c>
      <c r="H73" s="118" t="e">
        <f ca="1">0.001*INDIRECT($B73&amp;"!W5")</f>
        <v>#REF!</v>
      </c>
      <c r="I73" s="14"/>
      <c r="J73" s="33" t="e">
        <f ca="1">H73/D73-1</f>
        <v>#REF!</v>
      </c>
      <c r="L73" s="126" t="e">
        <f ca="1">INDIRECT($B73&amp;"!"&amp;L$3&amp;"5")</f>
        <v>#REF!</v>
      </c>
      <c r="M73" s="127" t="e">
        <f ca="1">INDIRECT($B73&amp;"!"&amp;M$3&amp;"5")</f>
        <v>#REF!</v>
      </c>
      <c r="N73" s="128" t="e">
        <f ca="1">M73-L73</f>
        <v>#REF!</v>
      </c>
      <c r="O73" s="32"/>
      <c r="P73" s="33" t="e">
        <f ca="1">bdrate(D73:D77,L73:L77,H73:H77,M73:M77)</f>
        <v>#VALUE!</v>
      </c>
      <c r="Q73" s="32"/>
      <c r="R73" s="14"/>
      <c r="S73" s="14"/>
      <c r="T73" s="14"/>
      <c r="U73" s="14"/>
      <c r="V73" s="107"/>
      <c r="X73" s="11"/>
      <c r="Y73" s="11"/>
      <c r="Z73" s="108"/>
      <c r="AB73" s="109"/>
    </row>
    <row r="74" spans="2:28" x14ac:dyDescent="0.25">
      <c r="B74" s="166" t="str">
        <f>B73</f>
        <v>M_NC5</v>
      </c>
      <c r="C74" s="177" t="s">
        <v>47</v>
      </c>
      <c r="D74" s="118" t="e">
        <f ca="1">0.001*INDIRECT($B74&amp;"!E6")</f>
        <v>#REF!</v>
      </c>
      <c r="E74" s="32"/>
      <c r="F74" s="166" t="str">
        <f>F73</f>
        <v>M_NC5</v>
      </c>
      <c r="G74" s="177" t="s">
        <v>47</v>
      </c>
      <c r="H74" s="118" t="e">
        <f ca="1">0.001*INDIRECT($B74&amp;"!W6")</f>
        <v>#REF!</v>
      </c>
      <c r="I74" s="14"/>
      <c r="J74" s="33" t="e">
        <f ca="1">H74/D74-1</f>
        <v>#REF!</v>
      </c>
      <c r="L74" s="126" t="e">
        <f ca="1">INDIRECT($B74&amp;"!"&amp;L$3&amp;"6")</f>
        <v>#REF!</v>
      </c>
      <c r="M74" s="127" t="e">
        <f ca="1">INDIRECT($B74&amp;"!"&amp;M$3&amp;"6")</f>
        <v>#REF!</v>
      </c>
      <c r="N74" s="128" t="e">
        <f ca="1">M74-L74</f>
        <v>#REF!</v>
      </c>
      <c r="O74" s="32"/>
      <c r="P74" s="7"/>
      <c r="Q74" s="32"/>
      <c r="R74" s="14"/>
      <c r="S74" s="14"/>
      <c r="T74" s="14"/>
      <c r="U74" s="14"/>
      <c r="V74" s="107"/>
      <c r="X74" s="11"/>
      <c r="Y74" s="11"/>
      <c r="Z74" s="108"/>
    </row>
    <row r="75" spans="2:28" x14ac:dyDescent="0.25">
      <c r="B75" s="166" t="str">
        <f>B74</f>
        <v>M_NC5</v>
      </c>
      <c r="C75" s="177" t="s">
        <v>48</v>
      </c>
      <c r="D75" s="118" t="e">
        <f ca="1">0.001*INDIRECT($B75&amp;"!E7")</f>
        <v>#REF!</v>
      </c>
      <c r="E75" s="32"/>
      <c r="F75" s="166" t="str">
        <f>F74</f>
        <v>M_NC5</v>
      </c>
      <c r="G75" s="177" t="s">
        <v>48</v>
      </c>
      <c r="H75" s="118" t="e">
        <f ca="1">0.001*INDIRECT($B75&amp;"!W7")</f>
        <v>#REF!</v>
      </c>
      <c r="I75" s="14"/>
      <c r="J75" s="33" t="e">
        <f ca="1">H75/D75-1</f>
        <v>#REF!</v>
      </c>
      <c r="L75" s="126" t="e">
        <f ca="1">INDIRECT($B75&amp;"!"&amp;L$3&amp;"7")</f>
        <v>#REF!</v>
      </c>
      <c r="M75" s="127" t="e">
        <f ca="1">INDIRECT($B75&amp;"!"&amp;M$3&amp;"7")</f>
        <v>#REF!</v>
      </c>
      <c r="N75" s="128" t="e">
        <f ca="1">M75-L75</f>
        <v>#REF!</v>
      </c>
      <c r="O75" s="32"/>
      <c r="P75" s="7" t="s">
        <v>49</v>
      </c>
      <c r="Q75" s="32"/>
      <c r="R75" s="14"/>
      <c r="S75" s="14"/>
      <c r="T75" s="14"/>
      <c r="U75" s="14"/>
      <c r="V75" s="107"/>
      <c r="X75" s="11"/>
      <c r="Y75" s="11"/>
      <c r="Z75" s="108"/>
    </row>
    <row r="76" spans="2:28" x14ac:dyDescent="0.25">
      <c r="B76" s="166" t="str">
        <f>B75</f>
        <v>M_NC5</v>
      </c>
      <c r="C76" s="177" t="s">
        <v>50</v>
      </c>
      <c r="D76" s="118" t="e">
        <f ca="1">0.001*INDIRECT($B76&amp;"!E8")</f>
        <v>#REF!</v>
      </c>
      <c r="E76" s="32"/>
      <c r="F76" s="166" t="str">
        <f>F75</f>
        <v>M_NC5</v>
      </c>
      <c r="G76" s="177" t="s">
        <v>50</v>
      </c>
      <c r="H76" s="118" t="e">
        <f ca="1">0.001*INDIRECT($B76&amp;"!W8")</f>
        <v>#REF!</v>
      </c>
      <c r="I76" s="14"/>
      <c r="J76" s="33" t="e">
        <f ca="1">H76/D76-1</f>
        <v>#REF!</v>
      </c>
      <c r="L76" s="126" t="e">
        <f ca="1">INDIRECT($B76&amp;"!"&amp;L$3&amp;"8")</f>
        <v>#REF!</v>
      </c>
      <c r="M76" s="127" t="e">
        <f ca="1">INDIRECT($B76&amp;"!"&amp;M$3&amp;"8")</f>
        <v>#REF!</v>
      </c>
      <c r="N76" s="128" t="e">
        <f ca="1">M76-L76</f>
        <v>#REF!</v>
      </c>
      <c r="O76" s="32"/>
      <c r="P76" s="268" t="e">
        <f ca="1">bdrate(L73:L77,D73:D77,M73:M77,H73:H77)</f>
        <v>#VALUE!</v>
      </c>
      <c r="Q76" s="32"/>
      <c r="R76" s="14"/>
      <c r="S76" s="14"/>
      <c r="T76" s="14"/>
      <c r="U76" s="14"/>
      <c r="V76" s="107"/>
      <c r="X76" s="11"/>
      <c r="Y76" s="11"/>
      <c r="Z76" s="108"/>
    </row>
    <row r="77" spans="2:28" ht="16.5" customHeight="1" thickBot="1" x14ac:dyDescent="0.3">
      <c r="B77" s="120" t="str">
        <f>B76</f>
        <v>M_NC5</v>
      </c>
      <c r="C77" s="178" t="s">
        <v>51</v>
      </c>
      <c r="D77" s="121" t="e">
        <f ca="1">0.001*INDIRECT($B77&amp;"!E9")</f>
        <v>#REF!</v>
      </c>
      <c r="E77" s="32"/>
      <c r="F77" s="120" t="str">
        <f>F76</f>
        <v>M_NC5</v>
      </c>
      <c r="G77" s="178" t="s">
        <v>51</v>
      </c>
      <c r="H77" s="118" t="e">
        <f ca="1">0.001*INDIRECT($B77&amp;"!W9")</f>
        <v>#REF!</v>
      </c>
      <c r="I77" s="14"/>
      <c r="J77" s="33" t="e">
        <f ca="1">H77/D77-1</f>
        <v>#REF!</v>
      </c>
      <c r="L77" s="126" t="e">
        <f ca="1">INDIRECT($B77&amp;"!"&amp;L$3&amp;"9")</f>
        <v>#REF!</v>
      </c>
      <c r="M77" s="127" t="e">
        <f ca="1">INDIRECT($B77&amp;"!"&amp;M$3&amp;"9")</f>
        <v>#REF!</v>
      </c>
      <c r="N77" s="129" t="e">
        <f ca="1">M77-L77</f>
        <v>#REF!</v>
      </c>
      <c r="O77" s="32"/>
      <c r="P77" s="37"/>
      <c r="Q77" s="32"/>
      <c r="R77" s="14"/>
      <c r="S77" s="14"/>
      <c r="T77" s="14"/>
      <c r="U77" s="14"/>
      <c r="V77" s="107"/>
      <c r="X77" s="11"/>
      <c r="Y77" s="11"/>
      <c r="Z77" s="108"/>
      <c r="AB77" s="109"/>
    </row>
    <row r="78" spans="2:28" ht="16.5" customHeight="1" x14ac:dyDescent="0.25">
      <c r="B78" s="152"/>
      <c r="C78" s="153"/>
      <c r="D78" s="123"/>
      <c r="F78" s="152"/>
      <c r="G78" s="153"/>
      <c r="H78" s="123"/>
      <c r="J78" s="130" t="e">
        <f ca="1">MIN(D73:D77,H73:H77)</f>
        <v>#REF!</v>
      </c>
      <c r="L78" s="131"/>
      <c r="M78" s="132"/>
      <c r="N78" s="133"/>
      <c r="O78" s="32"/>
      <c r="P78" s="159"/>
      <c r="Q78" s="32"/>
      <c r="R78" s="14"/>
      <c r="S78" s="14"/>
      <c r="T78" s="14"/>
      <c r="U78" s="14"/>
      <c r="V78" s="110"/>
      <c r="X78" s="11"/>
      <c r="Y78" s="11"/>
      <c r="Z78" s="108"/>
    </row>
    <row r="79" spans="2:28" ht="16.5" customHeight="1" thickBot="1" x14ac:dyDescent="0.3">
      <c r="B79" s="120"/>
      <c r="C79" s="124"/>
      <c r="D79" s="121"/>
      <c r="E79" s="32"/>
      <c r="F79" s="120"/>
      <c r="G79" s="124"/>
      <c r="H79" s="121"/>
      <c r="I79" s="14"/>
      <c r="J79" s="134" t="e">
        <f ca="1">MAX(D73:D77,H73:H77)</f>
        <v>#REF!</v>
      </c>
      <c r="L79" s="135">
        <f>L78</f>
        <v>0</v>
      </c>
      <c r="M79" s="136">
        <f>M78</f>
        <v>0</v>
      </c>
      <c r="N79" s="129"/>
      <c r="O79" s="32"/>
      <c r="P79" s="10"/>
      <c r="Q79" s="32"/>
      <c r="R79" s="14"/>
      <c r="S79" s="14"/>
      <c r="T79" s="14"/>
      <c r="U79" s="14"/>
      <c r="V79" s="110"/>
      <c r="X79" s="111"/>
      <c r="Y79" s="111"/>
      <c r="Z79" s="108"/>
    </row>
    <row r="80" spans="2:28" ht="16.5" customHeight="1" thickBot="1" x14ac:dyDescent="0.3"/>
    <row r="81" spans="2:28" x14ac:dyDescent="0.25">
      <c r="B81" s="315" t="s">
        <v>30</v>
      </c>
      <c r="C81" s="316"/>
      <c r="D81" s="317"/>
      <c r="E81" s="6"/>
      <c r="F81" s="315" t="str">
        <f>B81</f>
        <v>S_NC1</v>
      </c>
      <c r="G81" s="316"/>
      <c r="H81" s="317"/>
      <c r="I81" s="6"/>
      <c r="J81" s="159"/>
      <c r="L81" s="318" t="str">
        <f>F81</f>
        <v>S_NC1</v>
      </c>
      <c r="M81" s="319"/>
      <c r="N81" s="320"/>
      <c r="O81" s="297"/>
      <c r="P81" s="159"/>
      <c r="U81" s="155"/>
      <c r="V81" s="155"/>
      <c r="X81" s="313"/>
      <c r="Y81" s="301"/>
      <c r="Z81" s="301"/>
    </row>
    <row r="82" spans="2:28" x14ac:dyDescent="0.25">
      <c r="B82" s="321" t="s">
        <v>39</v>
      </c>
      <c r="C82" s="322"/>
      <c r="D82" s="116" t="s">
        <v>40</v>
      </c>
      <c r="E82" s="32"/>
      <c r="F82" s="321" t="s">
        <v>39</v>
      </c>
      <c r="G82" s="322"/>
      <c r="H82" s="116" t="s">
        <v>40</v>
      </c>
      <c r="I82" s="14"/>
      <c r="J82" s="160" t="s">
        <v>41</v>
      </c>
      <c r="L82" s="323" t="s">
        <v>57</v>
      </c>
      <c r="M82" s="313"/>
      <c r="N82" s="324"/>
      <c r="O82" s="112"/>
      <c r="P82" s="7"/>
      <c r="R82" s="314"/>
      <c r="S82" s="301"/>
      <c r="T82" s="301"/>
      <c r="U82" s="156"/>
      <c r="V82" s="156"/>
      <c r="X82" s="314"/>
      <c r="Y82" s="301"/>
      <c r="Z82" s="301"/>
    </row>
    <row r="83" spans="2:28" x14ac:dyDescent="0.25">
      <c r="B83" s="293" t="s">
        <v>2</v>
      </c>
      <c r="C83" s="177" t="s">
        <v>43</v>
      </c>
      <c r="D83" s="115" t="s">
        <v>44</v>
      </c>
      <c r="E83" s="32"/>
      <c r="F83" s="293" t="s">
        <v>2</v>
      </c>
      <c r="G83" s="177" t="s">
        <v>43</v>
      </c>
      <c r="H83" s="115" t="s">
        <v>44</v>
      </c>
      <c r="I83" s="14"/>
      <c r="J83" s="125"/>
      <c r="L83" s="294" t="str">
        <f>CONCATENATE(B$2," ",L81)</f>
        <v>Anchor S_NC1</v>
      </c>
      <c r="M83" s="295" t="str">
        <f>CONCATENATE(F$2," ",L81)</f>
        <v>Proposal S_NC1</v>
      </c>
      <c r="N83" s="296" t="s">
        <v>45</v>
      </c>
      <c r="O83" s="6"/>
      <c r="P83" s="7" t="s">
        <v>36</v>
      </c>
      <c r="Q83" s="6"/>
      <c r="R83" s="6"/>
      <c r="S83" s="6"/>
      <c r="T83" s="6"/>
      <c r="U83" s="6"/>
      <c r="V83" s="6"/>
      <c r="X83" s="297"/>
      <c r="Y83" s="297"/>
      <c r="Z83" s="297"/>
    </row>
    <row r="84" spans="2:28" x14ac:dyDescent="0.25">
      <c r="B84" s="166" t="str">
        <f>B81</f>
        <v>S_NC1</v>
      </c>
      <c r="C84" s="177" t="s">
        <v>46</v>
      </c>
      <c r="D84" s="118" t="e">
        <f ca="1">0.001*INDIRECT($B84&amp;"!E5")</f>
        <v>#REF!</v>
      </c>
      <c r="E84" s="32"/>
      <c r="F84" s="166" t="str">
        <f>F81</f>
        <v>S_NC1</v>
      </c>
      <c r="G84" s="177" t="s">
        <v>46</v>
      </c>
      <c r="H84" s="118" t="e">
        <f ca="1">0.001*INDIRECT($B84&amp;"!W5")</f>
        <v>#REF!</v>
      </c>
      <c r="I84" s="14"/>
      <c r="J84" s="33" t="e">
        <f ca="1">H84/D84-1</f>
        <v>#REF!</v>
      </c>
      <c r="L84" s="126" t="e">
        <f ca="1">INDIRECT($B84&amp;"!"&amp;L$3&amp;"5")</f>
        <v>#REF!</v>
      </c>
      <c r="M84" s="127" t="e">
        <f ca="1">INDIRECT($B84&amp;"!"&amp;M$3&amp;"5")</f>
        <v>#REF!</v>
      </c>
      <c r="N84" s="128" t="e">
        <f ca="1">M84-L84</f>
        <v>#REF!</v>
      </c>
      <c r="O84" s="32"/>
      <c r="P84" s="33" t="e">
        <f ca="1">bdrate(D84:D88,L84:L88,H84:H88,M84:M88)</f>
        <v>#VALUE!</v>
      </c>
      <c r="Q84" s="32"/>
      <c r="R84" s="14"/>
      <c r="S84" s="14"/>
      <c r="T84" s="14"/>
      <c r="U84" s="14"/>
      <c r="V84" s="107"/>
      <c r="X84" s="11"/>
      <c r="Y84" s="11"/>
      <c r="Z84" s="108"/>
      <c r="AB84" s="109"/>
    </row>
    <row r="85" spans="2:28" x14ac:dyDescent="0.25">
      <c r="B85" s="166" t="str">
        <f>B84</f>
        <v>S_NC1</v>
      </c>
      <c r="C85" s="177" t="s">
        <v>47</v>
      </c>
      <c r="D85" s="118" t="e">
        <f ca="1">0.001*INDIRECT($B85&amp;"!E6")</f>
        <v>#REF!</v>
      </c>
      <c r="E85" s="32"/>
      <c r="F85" s="166" t="str">
        <f>F84</f>
        <v>S_NC1</v>
      </c>
      <c r="G85" s="177" t="s">
        <v>47</v>
      </c>
      <c r="H85" s="118" t="e">
        <f ca="1">0.001*INDIRECT($B85&amp;"!W6")</f>
        <v>#REF!</v>
      </c>
      <c r="I85" s="14"/>
      <c r="J85" s="33" t="e">
        <f ca="1">H85/D85-1</f>
        <v>#REF!</v>
      </c>
      <c r="L85" s="126" t="e">
        <f ca="1">INDIRECT($B85&amp;"!"&amp;L$3&amp;"6")</f>
        <v>#REF!</v>
      </c>
      <c r="M85" s="127" t="e">
        <f ca="1">INDIRECT($B85&amp;"!"&amp;M$3&amp;"6")</f>
        <v>#REF!</v>
      </c>
      <c r="N85" s="128" t="e">
        <f ca="1">M85-L85</f>
        <v>#REF!</v>
      </c>
      <c r="O85" s="32"/>
      <c r="P85" s="7"/>
      <c r="Q85" s="32"/>
      <c r="R85" s="14"/>
      <c r="S85" s="14"/>
      <c r="T85" s="14"/>
      <c r="U85" s="14"/>
      <c r="V85" s="107"/>
      <c r="X85" s="11"/>
      <c r="Y85" s="11"/>
      <c r="Z85" s="108"/>
    </row>
    <row r="86" spans="2:28" x14ac:dyDescent="0.25">
      <c r="B86" s="166" t="str">
        <f>B85</f>
        <v>S_NC1</v>
      </c>
      <c r="C86" s="177" t="s">
        <v>48</v>
      </c>
      <c r="D86" s="118" t="e">
        <f ca="1">0.001*INDIRECT($B86&amp;"!E7")</f>
        <v>#REF!</v>
      </c>
      <c r="E86" s="32"/>
      <c r="F86" s="166" t="str">
        <f>F85</f>
        <v>S_NC1</v>
      </c>
      <c r="G86" s="177" t="s">
        <v>48</v>
      </c>
      <c r="H86" s="118" t="e">
        <f ca="1">0.001*INDIRECT($B86&amp;"!W7")</f>
        <v>#REF!</v>
      </c>
      <c r="I86" s="14"/>
      <c r="J86" s="33" t="e">
        <f ca="1">H86/D86-1</f>
        <v>#REF!</v>
      </c>
      <c r="L86" s="126" t="e">
        <f ca="1">INDIRECT($B86&amp;"!"&amp;L$3&amp;"7")</f>
        <v>#REF!</v>
      </c>
      <c r="M86" s="127" t="e">
        <f ca="1">INDIRECT($B86&amp;"!"&amp;M$3&amp;"7")</f>
        <v>#REF!</v>
      </c>
      <c r="N86" s="128" t="e">
        <f ca="1">M86-L86</f>
        <v>#REF!</v>
      </c>
      <c r="O86" s="32"/>
      <c r="P86" s="7" t="s">
        <v>49</v>
      </c>
      <c r="Q86" s="32"/>
      <c r="R86" s="14"/>
      <c r="S86" s="14"/>
      <c r="T86" s="14"/>
      <c r="U86" s="14"/>
      <c r="V86" s="107"/>
      <c r="X86" s="11"/>
      <c r="Y86" s="11"/>
      <c r="Z86" s="108"/>
    </row>
    <row r="87" spans="2:28" x14ac:dyDescent="0.25">
      <c r="B87" s="166" t="str">
        <f>B86</f>
        <v>S_NC1</v>
      </c>
      <c r="C87" s="177" t="s">
        <v>50</v>
      </c>
      <c r="D87" s="118" t="e">
        <f ca="1">0.001*INDIRECT($B87&amp;"!E8")</f>
        <v>#REF!</v>
      </c>
      <c r="E87" s="32"/>
      <c r="F87" s="166" t="str">
        <f>F86</f>
        <v>S_NC1</v>
      </c>
      <c r="G87" s="177" t="s">
        <v>50</v>
      </c>
      <c r="H87" s="118" t="e">
        <f ca="1">0.001*INDIRECT($B87&amp;"!W8")</f>
        <v>#REF!</v>
      </c>
      <c r="I87" s="14"/>
      <c r="J87" s="33" t="e">
        <f ca="1">H87/D87-1</f>
        <v>#REF!</v>
      </c>
      <c r="L87" s="126" t="e">
        <f ca="1">INDIRECT($B87&amp;"!"&amp;L$3&amp;"8")</f>
        <v>#REF!</v>
      </c>
      <c r="M87" s="127" t="e">
        <f ca="1">INDIRECT($B87&amp;"!"&amp;M$3&amp;"8")</f>
        <v>#REF!</v>
      </c>
      <c r="N87" s="128" t="e">
        <f ca="1">M87-L87</f>
        <v>#REF!</v>
      </c>
      <c r="O87" s="32"/>
      <c r="P87" s="268" t="e">
        <f ca="1">bdrate(L84:L88,D84:D88,M84:M88,H84:H88)</f>
        <v>#VALUE!</v>
      </c>
      <c r="Q87" s="32"/>
      <c r="R87" s="14"/>
      <c r="S87" s="14"/>
      <c r="T87" s="14"/>
      <c r="U87" s="14"/>
      <c r="V87" s="107"/>
      <c r="X87" s="11"/>
      <c r="Y87" s="11"/>
      <c r="Z87" s="108"/>
    </row>
    <row r="88" spans="2:28" ht="16.5" customHeight="1" thickBot="1" x14ac:dyDescent="0.3">
      <c r="B88" s="120" t="str">
        <f>B87</f>
        <v>S_NC1</v>
      </c>
      <c r="C88" s="178" t="s">
        <v>51</v>
      </c>
      <c r="D88" s="121" t="e">
        <f ca="1">0.001*INDIRECT($B88&amp;"!E9")</f>
        <v>#REF!</v>
      </c>
      <c r="E88" s="32"/>
      <c r="F88" s="120" t="str">
        <f>F87</f>
        <v>S_NC1</v>
      </c>
      <c r="G88" s="178" t="s">
        <v>51</v>
      </c>
      <c r="H88" s="118" t="e">
        <f ca="1">0.001*INDIRECT($B88&amp;"!W9")</f>
        <v>#REF!</v>
      </c>
      <c r="I88" s="14"/>
      <c r="J88" s="33" t="e">
        <f ca="1">H88/D88-1</f>
        <v>#REF!</v>
      </c>
      <c r="L88" s="126" t="e">
        <f ca="1">INDIRECT($B88&amp;"!"&amp;L$3&amp;"9")</f>
        <v>#REF!</v>
      </c>
      <c r="M88" s="127" t="e">
        <f ca="1">INDIRECT($B88&amp;"!"&amp;M$3&amp;"9")</f>
        <v>#REF!</v>
      </c>
      <c r="N88" s="129" t="e">
        <f ca="1">M88-L88</f>
        <v>#REF!</v>
      </c>
      <c r="O88" s="32"/>
      <c r="P88" s="37"/>
      <c r="Q88" s="32"/>
      <c r="R88" s="14"/>
      <c r="S88" s="14"/>
      <c r="T88" s="14"/>
      <c r="U88" s="14"/>
      <c r="V88" s="107"/>
      <c r="X88" s="11"/>
      <c r="Y88" s="11"/>
      <c r="Z88" s="108"/>
      <c r="AB88" s="109"/>
    </row>
    <row r="89" spans="2:28" ht="16.5" customHeight="1" x14ac:dyDescent="0.25">
      <c r="B89" s="152"/>
      <c r="C89" s="153"/>
      <c r="D89" s="123"/>
      <c r="F89" s="152"/>
      <c r="G89" s="153"/>
      <c r="H89" s="123"/>
      <c r="J89" s="130" t="e">
        <f ca="1">MIN(D84:D88,H84:H88)</f>
        <v>#REF!</v>
      </c>
      <c r="L89" s="131"/>
      <c r="M89" s="132"/>
      <c r="N89" s="133"/>
      <c r="O89" s="32"/>
      <c r="P89" s="159"/>
      <c r="Q89" s="32"/>
      <c r="R89" s="14"/>
      <c r="S89" s="14"/>
      <c r="T89" s="14"/>
      <c r="U89" s="14"/>
      <c r="V89" s="110"/>
      <c r="X89" s="11"/>
      <c r="Y89" s="11"/>
      <c r="Z89" s="108"/>
    </row>
    <row r="90" spans="2:28" ht="16.5" customHeight="1" thickBot="1" x14ac:dyDescent="0.3">
      <c r="B90" s="120"/>
      <c r="C90" s="124"/>
      <c r="D90" s="121"/>
      <c r="E90" s="32"/>
      <c r="F90" s="120"/>
      <c r="G90" s="124"/>
      <c r="H90" s="121"/>
      <c r="I90" s="14"/>
      <c r="J90" s="134" t="e">
        <f ca="1">MAX(D84:D88,H84:H88)</f>
        <v>#REF!</v>
      </c>
      <c r="L90" s="135">
        <f>L89</f>
        <v>0</v>
      </c>
      <c r="M90" s="136">
        <f>M89</f>
        <v>0</v>
      </c>
      <c r="N90" s="129"/>
      <c r="O90" s="32"/>
      <c r="P90" s="10"/>
      <c r="Q90" s="32"/>
      <c r="R90" s="14"/>
      <c r="S90" s="14"/>
      <c r="T90" s="14"/>
      <c r="U90" s="14"/>
      <c r="V90" s="110"/>
      <c r="X90" s="111"/>
      <c r="Y90" s="111"/>
      <c r="Z90" s="108"/>
    </row>
    <row r="91" spans="2:28" ht="16.5" customHeight="1" thickBot="1" x14ac:dyDescent="0.3"/>
    <row r="92" spans="2:28" x14ac:dyDescent="0.25">
      <c r="B92" s="315" t="s">
        <v>31</v>
      </c>
      <c r="C92" s="316"/>
      <c r="D92" s="317"/>
      <c r="E92" s="6"/>
      <c r="F92" s="315" t="str">
        <f>B92</f>
        <v>S_NC2</v>
      </c>
      <c r="G92" s="316"/>
      <c r="H92" s="317"/>
      <c r="I92" s="6"/>
      <c r="J92" s="159"/>
      <c r="L92" s="318" t="str">
        <f>F92</f>
        <v>S_NC2</v>
      </c>
      <c r="M92" s="319"/>
      <c r="N92" s="320"/>
      <c r="O92" s="297"/>
      <c r="P92" s="159"/>
      <c r="U92" s="155"/>
      <c r="V92" s="155"/>
      <c r="X92" s="313"/>
      <c r="Y92" s="301"/>
      <c r="Z92" s="301"/>
    </row>
    <row r="93" spans="2:28" x14ac:dyDescent="0.25">
      <c r="B93" s="321" t="s">
        <v>39</v>
      </c>
      <c r="C93" s="322"/>
      <c r="D93" s="116" t="s">
        <v>40</v>
      </c>
      <c r="E93" s="32"/>
      <c r="F93" s="321" t="s">
        <v>39</v>
      </c>
      <c r="G93" s="322"/>
      <c r="H93" s="116" t="s">
        <v>40</v>
      </c>
      <c r="I93" s="14"/>
      <c r="J93" s="160" t="s">
        <v>41</v>
      </c>
      <c r="L93" s="323" t="s">
        <v>57</v>
      </c>
      <c r="M93" s="313"/>
      <c r="N93" s="324"/>
      <c r="O93" s="112"/>
      <c r="P93" s="7"/>
      <c r="R93" s="314"/>
      <c r="S93" s="301"/>
      <c r="T93" s="301"/>
      <c r="U93" s="156"/>
      <c r="V93" s="156"/>
      <c r="X93" s="314"/>
      <c r="Y93" s="301"/>
      <c r="Z93" s="301"/>
    </row>
    <row r="94" spans="2:28" x14ac:dyDescent="0.25">
      <c r="B94" s="293" t="s">
        <v>2</v>
      </c>
      <c r="C94" s="177" t="s">
        <v>43</v>
      </c>
      <c r="D94" s="115" t="s">
        <v>44</v>
      </c>
      <c r="E94" s="32"/>
      <c r="F94" s="293" t="s">
        <v>2</v>
      </c>
      <c r="G94" s="177" t="s">
        <v>43</v>
      </c>
      <c r="H94" s="115" t="s">
        <v>44</v>
      </c>
      <c r="I94" s="14"/>
      <c r="J94" s="125"/>
      <c r="L94" s="294" t="str">
        <f>CONCATENATE(B$2," ",L92)</f>
        <v>Anchor S_NC2</v>
      </c>
      <c r="M94" s="295" t="str">
        <f>CONCATENATE(F$2," ",L92)</f>
        <v>Proposal S_NC2</v>
      </c>
      <c r="N94" s="296" t="s">
        <v>45</v>
      </c>
      <c r="O94" s="6"/>
      <c r="P94" s="7" t="s">
        <v>36</v>
      </c>
      <c r="Q94" s="6"/>
      <c r="R94" s="6"/>
      <c r="S94" s="6"/>
      <c r="T94" s="6"/>
      <c r="U94" s="6"/>
      <c r="V94" s="6"/>
      <c r="X94" s="297"/>
      <c r="Y94" s="297"/>
      <c r="Z94" s="297"/>
    </row>
    <row r="95" spans="2:28" x14ac:dyDescent="0.25">
      <c r="B95" s="166" t="str">
        <f>B92</f>
        <v>S_NC2</v>
      </c>
      <c r="C95" s="177" t="s">
        <v>46</v>
      </c>
      <c r="D95" s="118" t="e">
        <f ca="1">0.001*INDIRECT($B95&amp;"!E5")</f>
        <v>#REF!</v>
      </c>
      <c r="E95" s="32"/>
      <c r="F95" s="166" t="str">
        <f>F92</f>
        <v>S_NC2</v>
      </c>
      <c r="G95" s="177" t="s">
        <v>46</v>
      </c>
      <c r="H95" s="118" t="e">
        <f ca="1">0.001*INDIRECT($B95&amp;"!W5")</f>
        <v>#REF!</v>
      </c>
      <c r="I95" s="14"/>
      <c r="J95" s="33" t="e">
        <f ca="1">H95/D95-1</f>
        <v>#REF!</v>
      </c>
      <c r="L95" s="126" t="e">
        <f ca="1">INDIRECT($B95&amp;"!"&amp;L$3&amp;"5")</f>
        <v>#REF!</v>
      </c>
      <c r="M95" s="127" t="e">
        <f ca="1">INDIRECT($B95&amp;"!"&amp;M$3&amp;"5")</f>
        <v>#REF!</v>
      </c>
      <c r="N95" s="128" t="e">
        <f ca="1">M95-L95</f>
        <v>#REF!</v>
      </c>
      <c r="O95" s="32"/>
      <c r="P95" s="33" t="e">
        <f ca="1">bdrate(D95:D99,L95:L99,H95:H99,M95:M99)</f>
        <v>#VALUE!</v>
      </c>
      <c r="Q95" s="32"/>
      <c r="R95" s="14"/>
      <c r="S95" s="14"/>
      <c r="T95" s="14"/>
      <c r="U95" s="14"/>
      <c r="V95" s="107"/>
      <c r="X95" s="11"/>
      <c r="Y95" s="11"/>
      <c r="Z95" s="108"/>
      <c r="AB95" s="109"/>
    </row>
    <row r="96" spans="2:28" x14ac:dyDescent="0.25">
      <c r="B96" s="166" t="str">
        <f>B95</f>
        <v>S_NC2</v>
      </c>
      <c r="C96" s="177" t="s">
        <v>47</v>
      </c>
      <c r="D96" s="118" t="e">
        <f ca="1">0.001*INDIRECT($B96&amp;"!E6")</f>
        <v>#REF!</v>
      </c>
      <c r="E96" s="32"/>
      <c r="F96" s="166" t="str">
        <f>F95</f>
        <v>S_NC2</v>
      </c>
      <c r="G96" s="177" t="s">
        <v>47</v>
      </c>
      <c r="H96" s="118" t="e">
        <f ca="1">0.001*INDIRECT($B96&amp;"!W6")</f>
        <v>#REF!</v>
      </c>
      <c r="I96" s="14"/>
      <c r="J96" s="33" t="e">
        <f ca="1">H96/D96-1</f>
        <v>#REF!</v>
      </c>
      <c r="L96" s="126" t="e">
        <f ca="1">INDIRECT($B96&amp;"!"&amp;L$3&amp;"6")</f>
        <v>#REF!</v>
      </c>
      <c r="M96" s="127" t="e">
        <f ca="1">INDIRECT($B96&amp;"!"&amp;M$3&amp;"6")</f>
        <v>#REF!</v>
      </c>
      <c r="N96" s="128" t="e">
        <f ca="1">M96-L96</f>
        <v>#REF!</v>
      </c>
      <c r="O96" s="32"/>
      <c r="P96" s="7"/>
      <c r="Q96" s="32"/>
      <c r="R96" s="14"/>
      <c r="S96" s="14"/>
      <c r="T96" s="14"/>
      <c r="U96" s="14"/>
      <c r="V96" s="107"/>
      <c r="X96" s="11"/>
      <c r="Y96" s="11"/>
      <c r="Z96" s="108"/>
    </row>
    <row r="97" spans="2:28" x14ac:dyDescent="0.25">
      <c r="B97" s="166" t="str">
        <f>B96</f>
        <v>S_NC2</v>
      </c>
      <c r="C97" s="177" t="s">
        <v>48</v>
      </c>
      <c r="D97" s="118" t="e">
        <f ca="1">0.001*INDIRECT($B97&amp;"!E7")</f>
        <v>#REF!</v>
      </c>
      <c r="E97" s="32"/>
      <c r="F97" s="166" t="str">
        <f>F96</f>
        <v>S_NC2</v>
      </c>
      <c r="G97" s="177" t="s">
        <v>48</v>
      </c>
      <c r="H97" s="118" t="e">
        <f ca="1">0.001*INDIRECT($B97&amp;"!W7")</f>
        <v>#REF!</v>
      </c>
      <c r="I97" s="14"/>
      <c r="J97" s="33" t="e">
        <f ca="1">H97/D97-1</f>
        <v>#REF!</v>
      </c>
      <c r="L97" s="126" t="e">
        <f ca="1">INDIRECT($B97&amp;"!"&amp;L$3&amp;"7")</f>
        <v>#REF!</v>
      </c>
      <c r="M97" s="127" t="e">
        <f ca="1">INDIRECT($B97&amp;"!"&amp;M$3&amp;"7")</f>
        <v>#REF!</v>
      </c>
      <c r="N97" s="128" t="e">
        <f ca="1">M97-L97</f>
        <v>#REF!</v>
      </c>
      <c r="O97" s="32"/>
      <c r="P97" s="7" t="s">
        <v>49</v>
      </c>
      <c r="Q97" s="32"/>
      <c r="R97" s="14"/>
      <c r="S97" s="14"/>
      <c r="T97" s="14"/>
      <c r="U97" s="14"/>
      <c r="V97" s="107"/>
      <c r="X97" s="11"/>
      <c r="Y97" s="11"/>
      <c r="Z97" s="108"/>
    </row>
    <row r="98" spans="2:28" x14ac:dyDescent="0.25">
      <c r="B98" s="166" t="str">
        <f>B97</f>
        <v>S_NC2</v>
      </c>
      <c r="C98" s="177" t="s">
        <v>50</v>
      </c>
      <c r="D98" s="118" t="e">
        <f ca="1">0.001*INDIRECT($B98&amp;"!E8")</f>
        <v>#REF!</v>
      </c>
      <c r="E98" s="32"/>
      <c r="F98" s="166" t="str">
        <f>F97</f>
        <v>S_NC2</v>
      </c>
      <c r="G98" s="177" t="s">
        <v>50</v>
      </c>
      <c r="H98" s="118" t="e">
        <f ca="1">0.001*INDIRECT($B98&amp;"!W8")</f>
        <v>#REF!</v>
      </c>
      <c r="I98" s="14"/>
      <c r="J98" s="33" t="e">
        <f ca="1">H98/D98-1</f>
        <v>#REF!</v>
      </c>
      <c r="L98" s="126" t="e">
        <f ca="1">INDIRECT($B98&amp;"!"&amp;L$3&amp;"8")</f>
        <v>#REF!</v>
      </c>
      <c r="M98" s="127" t="e">
        <f ca="1">INDIRECT($B98&amp;"!"&amp;M$3&amp;"8")</f>
        <v>#REF!</v>
      </c>
      <c r="N98" s="128" t="e">
        <f ca="1">M98-L98</f>
        <v>#REF!</v>
      </c>
      <c r="O98" s="32"/>
      <c r="P98" s="268" t="e">
        <f ca="1">bdrate(L95:L99,D95:D99,M95:M99,H95:H99)</f>
        <v>#VALUE!</v>
      </c>
      <c r="Q98" s="32"/>
      <c r="R98" s="14"/>
      <c r="S98" s="14"/>
      <c r="T98" s="14"/>
      <c r="U98" s="14"/>
      <c r="V98" s="107"/>
      <c r="X98" s="11"/>
      <c r="Y98" s="11"/>
      <c r="Z98" s="108"/>
    </row>
    <row r="99" spans="2:28" ht="16.5" customHeight="1" thickBot="1" x14ac:dyDescent="0.3">
      <c r="B99" s="120" t="str">
        <f>B98</f>
        <v>S_NC2</v>
      </c>
      <c r="C99" s="178" t="s">
        <v>51</v>
      </c>
      <c r="D99" s="121" t="e">
        <f ca="1">0.001*INDIRECT($B99&amp;"!E9")</f>
        <v>#REF!</v>
      </c>
      <c r="E99" s="32"/>
      <c r="F99" s="120" t="str">
        <f>F98</f>
        <v>S_NC2</v>
      </c>
      <c r="G99" s="178" t="s">
        <v>51</v>
      </c>
      <c r="H99" s="118" t="e">
        <f ca="1">0.001*INDIRECT($B99&amp;"!W9")</f>
        <v>#REF!</v>
      </c>
      <c r="I99" s="14"/>
      <c r="J99" s="33" t="e">
        <f ca="1">H99/D99-1</f>
        <v>#REF!</v>
      </c>
      <c r="L99" s="126" t="e">
        <f ca="1">INDIRECT($B99&amp;"!"&amp;L$3&amp;"9")</f>
        <v>#REF!</v>
      </c>
      <c r="M99" s="127" t="e">
        <f ca="1">INDIRECT($B99&amp;"!"&amp;M$3&amp;"9")</f>
        <v>#REF!</v>
      </c>
      <c r="N99" s="129" t="e">
        <f ca="1">M99-L99</f>
        <v>#REF!</v>
      </c>
      <c r="O99" s="32"/>
      <c r="P99" s="37"/>
      <c r="Q99" s="32"/>
      <c r="R99" s="14"/>
      <c r="S99" s="14"/>
      <c r="T99" s="14"/>
      <c r="U99" s="14"/>
      <c r="V99" s="107"/>
      <c r="X99" s="11"/>
      <c r="Y99" s="11"/>
      <c r="Z99" s="108"/>
      <c r="AB99" s="109"/>
    </row>
    <row r="100" spans="2:28" ht="16.5" customHeight="1" x14ac:dyDescent="0.25">
      <c r="B100" s="152" t="s">
        <v>22</v>
      </c>
      <c r="C100" s="153" t="s">
        <v>58</v>
      </c>
      <c r="D100" s="123"/>
      <c r="F100" s="152" t="s">
        <v>22</v>
      </c>
      <c r="G100" s="153" t="s">
        <v>58</v>
      </c>
      <c r="H100" s="123"/>
      <c r="J100" s="130" t="e">
        <f ca="1">MIN(D95:D99,H95:H99)</f>
        <v>#REF!</v>
      </c>
      <c r="L100" s="131"/>
      <c r="M100" s="132"/>
      <c r="N100" s="133"/>
      <c r="O100" s="32"/>
      <c r="P100" s="159"/>
      <c r="Q100" s="32"/>
      <c r="R100" s="14"/>
      <c r="S100" s="14"/>
      <c r="T100" s="14"/>
      <c r="U100" s="14"/>
      <c r="V100" s="110"/>
      <c r="X100" s="11"/>
      <c r="Y100" s="11"/>
      <c r="Z100" s="108"/>
    </row>
    <row r="101" spans="2:28" ht="16.5" customHeight="1" thickBot="1" x14ac:dyDescent="0.3">
      <c r="B101" s="120"/>
      <c r="C101" s="124"/>
      <c r="D101" s="121"/>
      <c r="E101" s="32"/>
      <c r="F101" s="120"/>
      <c r="G101" s="124"/>
      <c r="H101" s="121"/>
      <c r="I101" s="14"/>
      <c r="J101" s="134" t="e">
        <f ca="1">MAX(D95:D99,H95:H99)</f>
        <v>#REF!</v>
      </c>
      <c r="L101" s="135">
        <f>L100</f>
        <v>0</v>
      </c>
      <c r="M101" s="136">
        <f>M100</f>
        <v>0</v>
      </c>
      <c r="N101" s="129"/>
      <c r="O101" s="32"/>
      <c r="P101" s="10"/>
      <c r="Q101" s="32"/>
      <c r="R101" s="14"/>
      <c r="S101" s="14"/>
      <c r="T101" s="14"/>
      <c r="U101" s="14"/>
      <c r="V101" s="110"/>
      <c r="X101" s="111"/>
      <c r="Y101" s="111"/>
      <c r="Z101" s="108"/>
    </row>
    <row r="102" spans="2:28" ht="16.5" customHeight="1" x14ac:dyDescent="0.25"/>
    <row r="103" spans="2:28" x14ac:dyDescent="0.25">
      <c r="B103" s="297"/>
      <c r="C103" s="297"/>
      <c r="D103" s="6"/>
      <c r="E103" s="6"/>
      <c r="F103" s="6"/>
      <c r="G103" s="6"/>
      <c r="H103" s="6"/>
      <c r="I103" s="6"/>
      <c r="J103" s="6"/>
      <c r="L103" s="312"/>
      <c r="M103" s="301"/>
      <c r="N103" s="301"/>
      <c r="O103" s="301"/>
      <c r="P103" s="301"/>
      <c r="Q103" s="301"/>
      <c r="R103" s="301"/>
      <c r="S103" s="301"/>
      <c r="T103" s="301"/>
      <c r="U103" s="155"/>
      <c r="V103" s="155"/>
      <c r="X103" s="313"/>
      <c r="Y103" s="301"/>
      <c r="Z103" s="301"/>
    </row>
    <row r="104" spans="2:28" x14ac:dyDescent="0.25">
      <c r="B104" s="70"/>
      <c r="C104" s="297"/>
      <c r="D104" s="32"/>
      <c r="E104" s="32"/>
      <c r="F104" s="32"/>
      <c r="G104" s="32"/>
      <c r="H104" s="14"/>
      <c r="I104" s="14"/>
      <c r="J104" s="14"/>
      <c r="L104" s="314"/>
      <c r="M104" s="301"/>
      <c r="N104" s="314"/>
      <c r="O104" s="301"/>
      <c r="P104" s="301"/>
      <c r="Q104" s="301"/>
      <c r="R104" s="314"/>
      <c r="S104" s="301"/>
      <c r="T104" s="301"/>
      <c r="U104" s="156"/>
      <c r="V104" s="156"/>
      <c r="X104" s="314"/>
      <c r="Y104" s="301"/>
      <c r="Z104" s="301"/>
    </row>
    <row r="105" spans="2:28" x14ac:dyDescent="0.25">
      <c r="B105" s="70"/>
      <c r="C105" s="297"/>
      <c r="D105" s="32"/>
      <c r="E105" s="32"/>
      <c r="F105" s="32"/>
      <c r="G105" s="32"/>
      <c r="H105" s="14"/>
      <c r="I105" s="14"/>
      <c r="J105" s="14"/>
      <c r="L105" s="297"/>
      <c r="M105" s="297"/>
      <c r="N105" s="6"/>
      <c r="O105" s="6"/>
      <c r="P105" s="6"/>
      <c r="Q105" s="6"/>
      <c r="R105" s="6"/>
      <c r="S105" s="6"/>
      <c r="T105" s="6"/>
      <c r="U105" s="6"/>
      <c r="V105" s="6"/>
      <c r="X105" s="297"/>
      <c r="Y105" s="297"/>
      <c r="Z105" s="297"/>
    </row>
    <row r="106" spans="2:28" x14ac:dyDescent="0.25">
      <c r="B106" s="70"/>
      <c r="C106" s="297"/>
      <c r="D106" s="32"/>
      <c r="E106" s="32"/>
      <c r="F106" s="32"/>
      <c r="G106" s="32"/>
      <c r="H106" s="14"/>
      <c r="I106" s="14"/>
      <c r="J106" s="14"/>
      <c r="L106" s="70"/>
      <c r="M106" s="297"/>
      <c r="N106" s="32"/>
      <c r="O106" s="32"/>
      <c r="P106" s="32"/>
      <c r="Q106" s="32"/>
      <c r="R106" s="14"/>
      <c r="S106" s="14"/>
      <c r="T106" s="14"/>
      <c r="U106" s="14"/>
      <c r="V106" s="107"/>
      <c r="X106" s="11"/>
      <c r="Y106" s="11"/>
      <c r="Z106" s="108"/>
      <c r="AB106" s="109"/>
    </row>
    <row r="107" spans="2:28" x14ac:dyDescent="0.25">
      <c r="B107" s="70"/>
      <c r="C107" s="297"/>
      <c r="D107" s="32"/>
      <c r="E107" s="32"/>
      <c r="F107" s="32"/>
      <c r="G107" s="32"/>
      <c r="H107" s="14"/>
      <c r="I107" s="14"/>
      <c r="J107" s="14"/>
      <c r="L107" s="70"/>
      <c r="M107" s="297"/>
      <c r="N107" s="32"/>
      <c r="O107" s="32"/>
      <c r="P107" s="32"/>
      <c r="Q107" s="32"/>
      <c r="R107" s="14"/>
      <c r="S107" s="14"/>
      <c r="T107" s="14"/>
      <c r="U107" s="14"/>
      <c r="V107" s="107"/>
      <c r="X107" s="11"/>
      <c r="Y107" s="11"/>
      <c r="Z107" s="108"/>
    </row>
    <row r="108" spans="2:28" x14ac:dyDescent="0.25">
      <c r="B108" s="70"/>
      <c r="C108" s="297"/>
      <c r="D108" s="32"/>
      <c r="E108" s="32"/>
      <c r="F108" s="32"/>
      <c r="G108" s="32"/>
      <c r="H108" s="14"/>
      <c r="I108" s="14"/>
      <c r="J108" s="14"/>
      <c r="L108" s="70"/>
      <c r="M108" s="297"/>
      <c r="N108" s="32"/>
      <c r="O108" s="32"/>
      <c r="P108" s="32"/>
      <c r="Q108" s="32"/>
      <c r="R108" s="14"/>
      <c r="S108" s="14"/>
      <c r="T108" s="14"/>
      <c r="U108" s="14"/>
      <c r="V108" s="107"/>
      <c r="X108" s="11"/>
      <c r="Y108" s="11"/>
      <c r="Z108" s="108"/>
    </row>
    <row r="109" spans="2:28" ht="16.5" customHeight="1" x14ac:dyDescent="0.25">
      <c r="B109" s="70"/>
      <c r="D109" s="32"/>
      <c r="E109" s="32"/>
      <c r="F109" s="32"/>
      <c r="G109" s="32"/>
      <c r="H109" s="14"/>
      <c r="I109" s="14"/>
      <c r="J109" s="14"/>
      <c r="L109" s="70"/>
      <c r="M109" s="297"/>
      <c r="N109" s="32"/>
      <c r="O109" s="32"/>
      <c r="P109" s="32"/>
      <c r="Q109" s="32"/>
      <c r="R109" s="14"/>
      <c r="S109" s="14"/>
      <c r="T109" s="14"/>
      <c r="U109" s="14"/>
      <c r="V109" s="107"/>
      <c r="X109" s="11"/>
      <c r="Y109" s="11"/>
      <c r="Z109" s="108"/>
      <c r="AB109" s="109"/>
    </row>
    <row r="110" spans="2:28" ht="16.5" customHeight="1" x14ac:dyDescent="0.25">
      <c r="L110" s="70"/>
      <c r="M110" s="297"/>
      <c r="N110" s="32"/>
      <c r="O110" s="32"/>
      <c r="P110" s="32"/>
      <c r="Q110" s="32"/>
      <c r="R110" s="14"/>
      <c r="S110" s="14"/>
      <c r="T110" s="14"/>
      <c r="U110" s="14"/>
      <c r="V110" s="110"/>
      <c r="X110" s="11"/>
      <c r="Y110" s="11"/>
      <c r="Z110" s="108"/>
    </row>
    <row r="111" spans="2:28" ht="16.5" customHeight="1" x14ac:dyDescent="0.25">
      <c r="B111" s="70"/>
      <c r="D111" s="32"/>
      <c r="E111" s="32"/>
      <c r="F111" s="32"/>
      <c r="G111" s="32"/>
      <c r="H111" s="14"/>
      <c r="I111" s="14"/>
      <c r="J111" s="14"/>
      <c r="L111" s="70"/>
      <c r="M111" s="297"/>
      <c r="N111" s="32"/>
      <c r="O111" s="32"/>
      <c r="P111" s="32"/>
      <c r="Q111" s="32"/>
      <c r="R111" s="14"/>
      <c r="S111" s="14"/>
      <c r="T111" s="14"/>
      <c r="U111" s="14"/>
      <c r="V111" s="110"/>
      <c r="X111" s="111"/>
      <c r="Y111" s="111"/>
      <c r="Z111" s="108"/>
    </row>
    <row r="112" spans="2:28" ht="16.5" customHeight="1" x14ac:dyDescent="0.25"/>
    <row r="116" spans="28:28" x14ac:dyDescent="0.25">
      <c r="AB116" s="109"/>
    </row>
    <row r="119" spans="28:28" ht="16.5" customHeight="1" x14ac:dyDescent="0.25">
      <c r="AB119" s="109"/>
    </row>
    <row r="121" spans="28:28" ht="16.5" customHeight="1" x14ac:dyDescent="0.25"/>
    <row r="122" spans="28:28" ht="16.5" customHeight="1" x14ac:dyDescent="0.25"/>
    <row r="126" spans="28:28" x14ac:dyDescent="0.25">
      <c r="AB126" s="109"/>
    </row>
    <row r="129" spans="28:28" ht="16.5" customHeight="1" x14ac:dyDescent="0.25">
      <c r="AB129" s="109"/>
    </row>
    <row r="131" spans="28:28" ht="16.5" customHeight="1" x14ac:dyDescent="0.25"/>
    <row r="132" spans="28:28" ht="16.5" customHeight="1" x14ac:dyDescent="0.25"/>
    <row r="136" spans="28:28" x14ac:dyDescent="0.25">
      <c r="AB136" s="109"/>
    </row>
    <row r="139" spans="28:28" ht="16.5" customHeight="1" x14ac:dyDescent="0.25">
      <c r="AB139" s="109"/>
    </row>
    <row r="141" spans="28:28" ht="16.5" customHeight="1" x14ac:dyDescent="0.25"/>
    <row r="142" spans="28:28" ht="16.5" customHeight="1" x14ac:dyDescent="0.25"/>
    <row r="146" spans="28:28" x14ac:dyDescent="0.25">
      <c r="AB146" s="109"/>
    </row>
    <row r="149" spans="28:28" ht="16.5" customHeight="1" x14ac:dyDescent="0.25">
      <c r="AB149" s="109"/>
    </row>
    <row r="151" spans="28:28" ht="16.5" customHeight="1" x14ac:dyDescent="0.25"/>
    <row r="152" spans="28:28" ht="16.5" customHeight="1" x14ac:dyDescent="0.25"/>
    <row r="156" spans="28:28" x14ac:dyDescent="0.25">
      <c r="AB156" s="109"/>
    </row>
    <row r="159" spans="28:28" ht="16.5" customHeight="1" x14ac:dyDescent="0.25">
      <c r="AB159" s="109"/>
    </row>
    <row r="161" spans="28:28" ht="16.5" customHeight="1" x14ac:dyDescent="0.25"/>
    <row r="162" spans="28:28" ht="16.5" customHeight="1" x14ac:dyDescent="0.25"/>
    <row r="166" spans="28:28" x14ac:dyDescent="0.25">
      <c r="AB166" s="109"/>
    </row>
    <row r="169" spans="28:28" ht="16.5" customHeight="1" x14ac:dyDescent="0.25">
      <c r="AB169" s="109"/>
    </row>
    <row r="171" spans="28:28" ht="16.5" customHeight="1" x14ac:dyDescent="0.25"/>
    <row r="172" spans="28:28" ht="16.5" customHeight="1" x14ac:dyDescent="0.25"/>
    <row r="176" spans="28:28" x14ac:dyDescent="0.25">
      <c r="AB176" s="109"/>
    </row>
    <row r="179" spans="28:28" ht="16.5" customHeight="1" x14ac:dyDescent="0.25">
      <c r="AB179" s="109"/>
    </row>
    <row r="181" spans="28:28" ht="16.5" customHeight="1" x14ac:dyDescent="0.25"/>
    <row r="182" spans="28:28" ht="16.5" customHeight="1" x14ac:dyDescent="0.25"/>
    <row r="186" spans="28:28" x14ac:dyDescent="0.25">
      <c r="AB186" s="109"/>
    </row>
    <row r="189" spans="28:28" ht="16.5" customHeight="1" x14ac:dyDescent="0.25">
      <c r="AB189" s="109"/>
    </row>
    <row r="191" spans="28:28" ht="16.5" customHeight="1" x14ac:dyDescent="0.25"/>
    <row r="192" spans="28:28" ht="16.5" customHeight="1" x14ac:dyDescent="0.25"/>
    <row r="196" spans="28:28" x14ac:dyDescent="0.25">
      <c r="AB196" s="109"/>
    </row>
    <row r="199" spans="28:28" ht="16.5" customHeight="1" x14ac:dyDescent="0.25">
      <c r="AB199" s="109"/>
    </row>
    <row r="201" spans="28:28" ht="16.5" customHeight="1" x14ac:dyDescent="0.25"/>
    <row r="202" spans="28:28" ht="16.5" customHeight="1" x14ac:dyDescent="0.25"/>
    <row r="206" spans="28:28" x14ac:dyDescent="0.25">
      <c r="AB206" s="109"/>
    </row>
    <row r="209" spans="2:28" ht="16.5" customHeight="1" x14ac:dyDescent="0.25">
      <c r="AB209" s="109"/>
    </row>
    <row r="211" spans="2:28" ht="16.5" customHeight="1" x14ac:dyDescent="0.25"/>
    <row r="212" spans="2:28" ht="16.5" customHeight="1" x14ac:dyDescent="0.25"/>
    <row r="215" spans="2:28" x14ac:dyDescent="0.25">
      <c r="B215" s="297"/>
      <c r="C215" s="297"/>
      <c r="D215" s="6"/>
      <c r="E215" s="6"/>
      <c r="F215" s="6"/>
      <c r="G215" s="6"/>
      <c r="H215" s="6"/>
      <c r="I215" s="6"/>
      <c r="J215" s="6"/>
      <c r="L215" s="297"/>
      <c r="M215" s="297"/>
      <c r="N215" s="6"/>
      <c r="O215" s="6"/>
      <c r="P215" s="6"/>
      <c r="Q215" s="6"/>
      <c r="R215" s="6"/>
      <c r="S215" s="6"/>
      <c r="T215" s="6"/>
      <c r="U215" s="6"/>
      <c r="V215" s="6"/>
      <c r="X215" s="297"/>
      <c r="Y215" s="297"/>
      <c r="Z215" s="297"/>
    </row>
    <row r="216" spans="2:28" x14ac:dyDescent="0.25">
      <c r="B216" s="70"/>
      <c r="C216" s="297"/>
      <c r="D216" s="32"/>
      <c r="E216" s="32"/>
      <c r="F216" s="32"/>
      <c r="G216" s="32"/>
      <c r="H216" s="14"/>
      <c r="I216" s="14"/>
      <c r="J216" s="14"/>
      <c r="L216" s="70"/>
      <c r="M216" s="297"/>
      <c r="N216" s="32"/>
      <c r="O216" s="32"/>
      <c r="P216" s="32"/>
      <c r="Q216" s="32"/>
      <c r="R216" s="14"/>
      <c r="S216" s="14"/>
      <c r="T216" s="14"/>
      <c r="U216" s="14"/>
      <c r="V216" s="107"/>
      <c r="X216" s="11"/>
      <c r="Y216" s="11"/>
      <c r="Z216" s="108"/>
      <c r="AB216" s="109"/>
    </row>
    <row r="217" spans="2:28" x14ac:dyDescent="0.25">
      <c r="B217" s="70"/>
      <c r="C217" s="297"/>
      <c r="D217" s="32"/>
      <c r="E217" s="32"/>
      <c r="F217" s="32"/>
      <c r="G217" s="32"/>
      <c r="H217" s="14"/>
      <c r="I217" s="14"/>
      <c r="J217" s="14"/>
      <c r="L217" s="70"/>
      <c r="M217" s="297"/>
      <c r="N217" s="32"/>
      <c r="O217" s="32"/>
      <c r="P217" s="32"/>
      <c r="Q217" s="32"/>
      <c r="R217" s="14"/>
      <c r="S217" s="14"/>
      <c r="T217" s="14"/>
      <c r="U217" s="14"/>
      <c r="V217" s="107"/>
      <c r="X217" s="11"/>
      <c r="Y217" s="11"/>
      <c r="Z217" s="108"/>
    </row>
    <row r="218" spans="2:28" x14ac:dyDescent="0.25">
      <c r="B218" s="70"/>
      <c r="C218" s="297"/>
      <c r="D218" s="32"/>
      <c r="E218" s="32"/>
      <c r="F218" s="32"/>
      <c r="G218" s="32"/>
      <c r="H218" s="14"/>
      <c r="I218" s="14"/>
      <c r="J218" s="14"/>
      <c r="L218" s="70"/>
      <c r="M218" s="297"/>
      <c r="N218" s="32"/>
      <c r="O218" s="32"/>
      <c r="P218" s="32"/>
      <c r="Q218" s="32"/>
      <c r="R218" s="14"/>
      <c r="S218" s="14"/>
      <c r="T218" s="14"/>
      <c r="U218" s="14"/>
      <c r="V218" s="107"/>
      <c r="X218" s="11"/>
      <c r="Y218" s="11"/>
      <c r="Z218" s="108"/>
    </row>
    <row r="219" spans="2:28" ht="16.5" customHeight="1" x14ac:dyDescent="0.25">
      <c r="B219" s="70"/>
      <c r="C219" s="297"/>
      <c r="D219" s="32"/>
      <c r="E219" s="32"/>
      <c r="F219" s="32"/>
      <c r="G219" s="32"/>
      <c r="H219" s="14"/>
      <c r="I219" s="14"/>
      <c r="J219" s="14"/>
      <c r="L219" s="70"/>
      <c r="M219" s="297"/>
      <c r="N219" s="32"/>
      <c r="O219" s="32"/>
      <c r="P219" s="32"/>
      <c r="Q219" s="32"/>
      <c r="R219" s="14"/>
      <c r="S219" s="14"/>
      <c r="T219" s="14"/>
      <c r="U219" s="14"/>
      <c r="V219" s="107"/>
      <c r="X219" s="11"/>
      <c r="Y219" s="11"/>
      <c r="Z219" s="108"/>
      <c r="AB219" s="109"/>
    </row>
    <row r="220" spans="2:28" x14ac:dyDescent="0.25">
      <c r="B220" s="70"/>
      <c r="C220" s="297"/>
      <c r="D220" s="32"/>
      <c r="E220" s="32"/>
      <c r="F220" s="32"/>
      <c r="G220" s="32"/>
      <c r="H220" s="14"/>
      <c r="I220" s="14"/>
      <c r="J220" s="14"/>
      <c r="L220" s="70"/>
      <c r="M220" s="297"/>
      <c r="N220" s="32"/>
      <c r="O220" s="32"/>
      <c r="P220" s="32"/>
      <c r="Q220" s="32"/>
      <c r="R220" s="14"/>
      <c r="S220" s="14"/>
      <c r="T220" s="14"/>
      <c r="U220" s="14"/>
      <c r="V220" s="110"/>
      <c r="X220" s="11"/>
      <c r="Y220" s="11"/>
      <c r="Z220" s="108"/>
    </row>
    <row r="221" spans="2:28" ht="16.5" customHeight="1" x14ac:dyDescent="0.25">
      <c r="B221" s="70"/>
      <c r="D221" s="32"/>
      <c r="E221" s="32"/>
      <c r="F221" s="32"/>
      <c r="G221" s="32"/>
      <c r="H221" s="14"/>
      <c r="I221" s="14"/>
      <c r="J221" s="14"/>
      <c r="L221" s="70"/>
      <c r="M221" s="297"/>
      <c r="N221" s="32"/>
      <c r="O221" s="32"/>
      <c r="P221" s="32"/>
      <c r="Q221" s="32"/>
      <c r="R221" s="14"/>
      <c r="S221" s="14"/>
      <c r="T221" s="14"/>
      <c r="U221" s="14"/>
      <c r="V221" s="110"/>
      <c r="X221" s="111"/>
      <c r="Y221" s="111"/>
      <c r="Z221" s="108"/>
    </row>
  </sheetData>
  <mergeCells count="87">
    <mergeCell ref="B2:D2"/>
    <mergeCell ref="F2:H2"/>
    <mergeCell ref="L2:N2"/>
    <mergeCell ref="B4:D4"/>
    <mergeCell ref="F4:H4"/>
    <mergeCell ref="L4:N4"/>
    <mergeCell ref="B5:C5"/>
    <mergeCell ref="F5:G5"/>
    <mergeCell ref="L5:N5"/>
    <mergeCell ref="B15:D15"/>
    <mergeCell ref="F15:H15"/>
    <mergeCell ref="L15:N15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L103:T103"/>
    <mergeCell ref="X103:Z103"/>
    <mergeCell ref="L104:M104"/>
    <mergeCell ref="N104:Q104"/>
    <mergeCell ref="R104:T104"/>
    <mergeCell ref="X104:Z104"/>
  </mergeCells>
  <phoneticPr fontId="32" type="noConversion"/>
  <conditionalFormatting sqref="N13">
    <cfRule type="cellIs" dxfId="719" priority="536" stopIfTrue="1" operator="lessThan">
      <formula>-0.01</formula>
    </cfRule>
    <cfRule type="cellIs" dxfId="718" priority="537" stopIfTrue="1" operator="greaterThan">
      <formula>0.01</formula>
    </cfRule>
  </conditionalFormatting>
  <conditionalFormatting sqref="I13">
    <cfRule type="dataBar" priority="535">
      <dataBar>
        <cfvo type="min"/>
        <cfvo type="max"/>
        <color rgb="FF008AEF"/>
      </dataBar>
    </cfRule>
  </conditionalFormatting>
  <conditionalFormatting sqref="R12:T13">
    <cfRule type="dataBar" priority="534">
      <dataBar>
        <cfvo type="min"/>
        <cfvo type="max"/>
        <color rgb="FF008AEF"/>
      </dataBar>
    </cfRule>
  </conditionalFormatting>
  <conditionalFormatting sqref="U12:U13">
    <cfRule type="dataBar" priority="538">
      <dataBar>
        <cfvo type="min"/>
        <cfvo type="max"/>
        <color rgb="FF008AEF"/>
      </dataBar>
    </cfRule>
  </conditionalFormatting>
  <conditionalFormatting sqref="V7:V11">
    <cfRule type="cellIs" dxfId="717" priority="531" operator="greaterThan">
      <formula>0.03</formula>
    </cfRule>
    <cfRule type="cellIs" dxfId="716" priority="532" stopIfTrue="1" operator="lessThan">
      <formula>-0.03</formula>
    </cfRule>
  </conditionalFormatting>
  <conditionalFormatting sqref="R8:T8">
    <cfRule type="dataBar" priority="530">
      <dataBar>
        <cfvo type="min"/>
        <cfvo type="max"/>
        <color rgb="FF008AEF"/>
      </dataBar>
    </cfRule>
  </conditionalFormatting>
  <conditionalFormatting sqref="R9:T10">
    <cfRule type="dataBar" priority="529">
      <dataBar>
        <cfvo type="min"/>
        <cfvo type="max"/>
        <color rgb="FF008AEF"/>
      </dataBar>
    </cfRule>
  </conditionalFormatting>
  <conditionalFormatting sqref="R11:T11">
    <cfRule type="dataBar" priority="528">
      <dataBar>
        <cfvo type="min"/>
        <cfvo type="max"/>
        <color rgb="FF008AEF"/>
      </dataBar>
    </cfRule>
  </conditionalFormatting>
  <conditionalFormatting sqref="R7:U7 U8:U11">
    <cfRule type="dataBar" priority="533">
      <dataBar>
        <cfvo type="min"/>
        <cfvo type="max"/>
        <color rgb="FF008AEF"/>
      </dataBar>
    </cfRule>
  </conditionalFormatting>
  <conditionalFormatting sqref="Z23:Z24">
    <cfRule type="cellIs" dxfId="715" priority="525" stopIfTrue="1" operator="lessThan">
      <formula>-0.01</formula>
    </cfRule>
    <cfRule type="cellIs" dxfId="714" priority="526" stopIfTrue="1" operator="greaterThan">
      <formula>0.01</formula>
    </cfRule>
  </conditionalFormatting>
  <conditionalFormatting sqref="I24">
    <cfRule type="dataBar" priority="524">
      <dataBar>
        <cfvo type="min"/>
        <cfvo type="max"/>
        <color rgb="FF008AEF"/>
      </dataBar>
    </cfRule>
  </conditionalFormatting>
  <conditionalFormatting sqref="R23:T24">
    <cfRule type="dataBar" priority="523">
      <dataBar>
        <cfvo type="min"/>
        <cfvo type="max"/>
        <color rgb="FF008AEF"/>
      </dataBar>
    </cfRule>
  </conditionalFormatting>
  <conditionalFormatting sqref="U23:U24">
    <cfRule type="dataBar" priority="527">
      <dataBar>
        <cfvo type="min"/>
        <cfvo type="max"/>
        <color rgb="FF008AEF"/>
      </dataBar>
    </cfRule>
  </conditionalFormatting>
  <conditionalFormatting sqref="AB18">
    <cfRule type="cellIs" dxfId="713" priority="520" operator="greaterThan">
      <formula>0.03</formula>
    </cfRule>
    <cfRule type="cellIs" dxfId="712" priority="521" stopIfTrue="1" operator="lessThan">
      <formula>-0.03</formula>
    </cfRule>
  </conditionalFormatting>
  <conditionalFormatting sqref="AB22">
    <cfRule type="cellIs" dxfId="711" priority="518" operator="lessThan">
      <formula>-0.03</formula>
    </cfRule>
    <cfRule type="cellIs" dxfId="710" priority="519" stopIfTrue="1" operator="greaterThan">
      <formula>0.03</formula>
    </cfRule>
  </conditionalFormatting>
  <conditionalFormatting sqref="Z18">
    <cfRule type="cellIs" dxfId="709" priority="516" stopIfTrue="1" operator="lessThan">
      <formula>-0.01</formula>
    </cfRule>
    <cfRule type="cellIs" dxfId="708" priority="517" stopIfTrue="1" operator="greaterThan">
      <formula>0.01</formula>
    </cfRule>
  </conditionalFormatting>
  <conditionalFormatting sqref="Z19">
    <cfRule type="cellIs" dxfId="707" priority="514" stopIfTrue="1" operator="lessThan">
      <formula>-0.01</formula>
    </cfRule>
    <cfRule type="cellIs" dxfId="706" priority="515" stopIfTrue="1" operator="greaterThan">
      <formula>0.01</formula>
    </cfRule>
  </conditionalFormatting>
  <conditionalFormatting sqref="Z20:Z21">
    <cfRule type="cellIs" dxfId="705" priority="512" stopIfTrue="1" operator="lessThan">
      <formula>-0.01</formula>
    </cfRule>
    <cfRule type="cellIs" dxfId="704" priority="513" stopIfTrue="1" operator="greaterThan">
      <formula>0.01</formula>
    </cfRule>
  </conditionalFormatting>
  <conditionalFormatting sqref="Z22">
    <cfRule type="cellIs" dxfId="703" priority="510" stopIfTrue="1" operator="lessThan">
      <formula>-0.01</formula>
    </cfRule>
    <cfRule type="cellIs" dxfId="702" priority="511" stopIfTrue="1" operator="greaterThan">
      <formula>0.01</formula>
    </cfRule>
  </conditionalFormatting>
  <conditionalFormatting sqref="V18:V22">
    <cfRule type="cellIs" dxfId="701" priority="508" operator="greaterThan">
      <formula>0.03</formula>
    </cfRule>
    <cfRule type="cellIs" dxfId="700" priority="509" stopIfTrue="1" operator="lessThan">
      <formula>-0.03</formula>
    </cfRule>
  </conditionalFormatting>
  <conditionalFormatting sqref="R19:T19">
    <cfRule type="dataBar" priority="507">
      <dataBar>
        <cfvo type="min"/>
        <cfvo type="max"/>
        <color rgb="FF008AEF"/>
      </dataBar>
    </cfRule>
  </conditionalFormatting>
  <conditionalFormatting sqref="R20:T21">
    <cfRule type="dataBar" priority="506">
      <dataBar>
        <cfvo type="min"/>
        <cfvo type="max"/>
        <color rgb="FF008AEF"/>
      </dataBar>
    </cfRule>
  </conditionalFormatting>
  <conditionalFormatting sqref="R22:T22">
    <cfRule type="dataBar" priority="505">
      <dataBar>
        <cfvo type="min"/>
        <cfvo type="max"/>
        <color rgb="FF008AEF"/>
      </dataBar>
    </cfRule>
  </conditionalFormatting>
  <conditionalFormatting sqref="R18:U18 U19:U22">
    <cfRule type="dataBar" priority="522">
      <dataBar>
        <cfvo type="min"/>
        <cfvo type="max"/>
        <color rgb="FF008AEF"/>
      </dataBar>
    </cfRule>
  </conditionalFormatting>
  <conditionalFormatting sqref="Z34:Z35">
    <cfRule type="cellIs" dxfId="699" priority="502" stopIfTrue="1" operator="lessThan">
      <formula>-0.01</formula>
    </cfRule>
    <cfRule type="cellIs" dxfId="698" priority="503" stopIfTrue="1" operator="greaterThan">
      <formula>0.01</formula>
    </cfRule>
  </conditionalFormatting>
  <conditionalFormatting sqref="R34:T35">
    <cfRule type="dataBar" priority="501">
      <dataBar>
        <cfvo type="min"/>
        <cfvo type="max"/>
        <color rgb="FF008AEF"/>
      </dataBar>
    </cfRule>
  </conditionalFormatting>
  <conditionalFormatting sqref="U34:U35">
    <cfRule type="dataBar" priority="504">
      <dataBar>
        <cfvo type="min"/>
        <cfvo type="max"/>
        <color rgb="FF008AEF"/>
      </dataBar>
    </cfRule>
  </conditionalFormatting>
  <conditionalFormatting sqref="AB29">
    <cfRule type="cellIs" dxfId="697" priority="498" operator="greaterThan">
      <formula>0.03</formula>
    </cfRule>
    <cfRule type="cellIs" dxfId="696" priority="499" stopIfTrue="1" operator="lessThan">
      <formula>-0.03</formula>
    </cfRule>
  </conditionalFormatting>
  <conditionalFormatting sqref="AB33">
    <cfRule type="cellIs" dxfId="695" priority="496" operator="lessThan">
      <formula>-0.03</formula>
    </cfRule>
    <cfRule type="cellIs" dxfId="694" priority="497" stopIfTrue="1" operator="greaterThan">
      <formula>0.03</formula>
    </cfRule>
  </conditionalFormatting>
  <conditionalFormatting sqref="Z29">
    <cfRule type="cellIs" dxfId="693" priority="494" stopIfTrue="1" operator="lessThan">
      <formula>-0.01</formula>
    </cfRule>
    <cfRule type="cellIs" dxfId="692" priority="495" stopIfTrue="1" operator="greaterThan">
      <formula>0.01</formula>
    </cfRule>
  </conditionalFormatting>
  <conditionalFormatting sqref="Z30">
    <cfRule type="cellIs" dxfId="691" priority="492" stopIfTrue="1" operator="lessThan">
      <formula>-0.01</formula>
    </cfRule>
    <cfRule type="cellIs" dxfId="690" priority="493" stopIfTrue="1" operator="greaterThan">
      <formula>0.01</formula>
    </cfRule>
  </conditionalFormatting>
  <conditionalFormatting sqref="Z31:Z32">
    <cfRule type="cellIs" dxfId="689" priority="490" stopIfTrue="1" operator="lessThan">
      <formula>-0.01</formula>
    </cfRule>
    <cfRule type="cellIs" dxfId="688" priority="491" stopIfTrue="1" operator="greaterThan">
      <formula>0.01</formula>
    </cfRule>
  </conditionalFormatting>
  <conditionalFormatting sqref="Z33">
    <cfRule type="cellIs" dxfId="687" priority="488" stopIfTrue="1" operator="lessThan">
      <formula>-0.01</formula>
    </cfRule>
    <cfRule type="cellIs" dxfId="686" priority="489" stopIfTrue="1" operator="greaterThan">
      <formula>0.01</formula>
    </cfRule>
  </conditionalFormatting>
  <conditionalFormatting sqref="V29:V33">
    <cfRule type="cellIs" dxfId="685" priority="486" operator="greaterThan">
      <formula>0.03</formula>
    </cfRule>
    <cfRule type="cellIs" dxfId="684" priority="487" stopIfTrue="1" operator="lessThan">
      <formula>-0.03</formula>
    </cfRule>
  </conditionalFormatting>
  <conditionalFormatting sqref="R30:T30">
    <cfRule type="dataBar" priority="485">
      <dataBar>
        <cfvo type="min"/>
        <cfvo type="max"/>
        <color rgb="FF008AEF"/>
      </dataBar>
    </cfRule>
  </conditionalFormatting>
  <conditionalFormatting sqref="R31:T32">
    <cfRule type="dataBar" priority="484">
      <dataBar>
        <cfvo type="min"/>
        <cfvo type="max"/>
        <color rgb="FF008AEF"/>
      </dataBar>
    </cfRule>
  </conditionalFormatting>
  <conditionalFormatting sqref="R33:T33">
    <cfRule type="dataBar" priority="483">
      <dataBar>
        <cfvo type="min"/>
        <cfvo type="max"/>
        <color rgb="FF008AEF"/>
      </dataBar>
    </cfRule>
  </conditionalFormatting>
  <conditionalFormatting sqref="R29:U29 U30:U33">
    <cfRule type="dataBar" priority="500">
      <dataBar>
        <cfvo type="min"/>
        <cfvo type="max"/>
        <color rgb="FF008AEF"/>
      </dataBar>
    </cfRule>
  </conditionalFormatting>
  <conditionalFormatting sqref="Z45:Z46">
    <cfRule type="cellIs" dxfId="683" priority="480" stopIfTrue="1" operator="lessThan">
      <formula>-0.01</formula>
    </cfRule>
    <cfRule type="cellIs" dxfId="682" priority="481" stopIfTrue="1" operator="greaterThan">
      <formula>0.01</formula>
    </cfRule>
  </conditionalFormatting>
  <conditionalFormatting sqref="R45:T46">
    <cfRule type="dataBar" priority="479">
      <dataBar>
        <cfvo type="min"/>
        <cfvo type="max"/>
        <color rgb="FF008AEF"/>
      </dataBar>
    </cfRule>
  </conditionalFormatting>
  <conditionalFormatting sqref="U45:U46">
    <cfRule type="dataBar" priority="482">
      <dataBar>
        <cfvo type="min"/>
        <cfvo type="max"/>
        <color rgb="FF008AEF"/>
      </dataBar>
    </cfRule>
  </conditionalFormatting>
  <conditionalFormatting sqref="AB40">
    <cfRule type="cellIs" dxfId="681" priority="476" operator="greaterThan">
      <formula>0.03</formula>
    </cfRule>
    <cfRule type="cellIs" dxfId="680" priority="477" stopIfTrue="1" operator="lessThan">
      <formula>-0.03</formula>
    </cfRule>
  </conditionalFormatting>
  <conditionalFormatting sqref="AB44">
    <cfRule type="cellIs" dxfId="679" priority="474" operator="lessThan">
      <formula>-0.03</formula>
    </cfRule>
    <cfRule type="cellIs" dxfId="678" priority="475" stopIfTrue="1" operator="greaterThan">
      <formula>0.03</formula>
    </cfRule>
  </conditionalFormatting>
  <conditionalFormatting sqref="Z40">
    <cfRule type="cellIs" dxfId="677" priority="472" stopIfTrue="1" operator="lessThan">
      <formula>-0.01</formula>
    </cfRule>
    <cfRule type="cellIs" dxfId="676" priority="473" stopIfTrue="1" operator="greaterThan">
      <formula>0.01</formula>
    </cfRule>
  </conditionalFormatting>
  <conditionalFormatting sqref="Z41">
    <cfRule type="cellIs" dxfId="675" priority="470" stopIfTrue="1" operator="lessThan">
      <formula>-0.01</formula>
    </cfRule>
    <cfRule type="cellIs" dxfId="674" priority="471" stopIfTrue="1" operator="greaterThan">
      <formula>0.01</formula>
    </cfRule>
  </conditionalFormatting>
  <conditionalFormatting sqref="Z42:Z43">
    <cfRule type="cellIs" dxfId="673" priority="468" stopIfTrue="1" operator="lessThan">
      <formula>-0.01</formula>
    </cfRule>
    <cfRule type="cellIs" dxfId="672" priority="469" stopIfTrue="1" operator="greaterThan">
      <formula>0.01</formula>
    </cfRule>
  </conditionalFormatting>
  <conditionalFormatting sqref="Z44">
    <cfRule type="cellIs" dxfId="671" priority="466" stopIfTrue="1" operator="lessThan">
      <formula>-0.01</formula>
    </cfRule>
    <cfRule type="cellIs" dxfId="670" priority="467" stopIfTrue="1" operator="greaterThan">
      <formula>0.01</formula>
    </cfRule>
  </conditionalFormatting>
  <conditionalFormatting sqref="V40:V44">
    <cfRule type="cellIs" dxfId="669" priority="464" operator="greaterThan">
      <formula>0.03</formula>
    </cfRule>
    <cfRule type="cellIs" dxfId="668" priority="465" stopIfTrue="1" operator="lessThan">
      <formula>-0.03</formula>
    </cfRule>
  </conditionalFormatting>
  <conditionalFormatting sqref="R41:T41">
    <cfRule type="dataBar" priority="463">
      <dataBar>
        <cfvo type="min"/>
        <cfvo type="max"/>
        <color rgb="FF008AEF"/>
      </dataBar>
    </cfRule>
  </conditionalFormatting>
  <conditionalFormatting sqref="R42:T43">
    <cfRule type="dataBar" priority="462">
      <dataBar>
        <cfvo type="min"/>
        <cfvo type="max"/>
        <color rgb="FF008AEF"/>
      </dataBar>
    </cfRule>
  </conditionalFormatting>
  <conditionalFormatting sqref="R44:T44">
    <cfRule type="dataBar" priority="461">
      <dataBar>
        <cfvo type="min"/>
        <cfvo type="max"/>
        <color rgb="FF008AEF"/>
      </dataBar>
    </cfRule>
  </conditionalFormatting>
  <conditionalFormatting sqref="R40:U40 U41:U44">
    <cfRule type="dataBar" priority="478">
      <dataBar>
        <cfvo type="min"/>
        <cfvo type="max"/>
        <color rgb="FF008AEF"/>
      </dataBar>
    </cfRule>
  </conditionalFormatting>
  <conditionalFormatting sqref="Z56:Z57">
    <cfRule type="cellIs" dxfId="667" priority="458" stopIfTrue="1" operator="lessThan">
      <formula>-0.01</formula>
    </cfRule>
    <cfRule type="cellIs" dxfId="666" priority="459" stopIfTrue="1" operator="greaterThan">
      <formula>0.01</formula>
    </cfRule>
  </conditionalFormatting>
  <conditionalFormatting sqref="R56:T57">
    <cfRule type="dataBar" priority="457">
      <dataBar>
        <cfvo type="min"/>
        <cfvo type="max"/>
        <color rgb="FF008AEF"/>
      </dataBar>
    </cfRule>
  </conditionalFormatting>
  <conditionalFormatting sqref="U56:U57">
    <cfRule type="dataBar" priority="460">
      <dataBar>
        <cfvo type="min"/>
        <cfvo type="max"/>
        <color rgb="FF008AEF"/>
      </dataBar>
    </cfRule>
  </conditionalFormatting>
  <conditionalFormatting sqref="AB51">
    <cfRule type="cellIs" dxfId="665" priority="454" operator="greaterThan">
      <formula>0.03</formula>
    </cfRule>
    <cfRule type="cellIs" dxfId="664" priority="455" stopIfTrue="1" operator="lessThan">
      <formula>-0.03</formula>
    </cfRule>
  </conditionalFormatting>
  <conditionalFormatting sqref="AB55">
    <cfRule type="cellIs" dxfId="663" priority="452" operator="lessThan">
      <formula>-0.03</formula>
    </cfRule>
    <cfRule type="cellIs" dxfId="662" priority="453" stopIfTrue="1" operator="greaterThan">
      <formula>0.03</formula>
    </cfRule>
  </conditionalFormatting>
  <conditionalFormatting sqref="Z51">
    <cfRule type="cellIs" dxfId="661" priority="450" stopIfTrue="1" operator="lessThan">
      <formula>-0.01</formula>
    </cfRule>
    <cfRule type="cellIs" dxfId="660" priority="451" stopIfTrue="1" operator="greaterThan">
      <formula>0.01</formula>
    </cfRule>
  </conditionalFormatting>
  <conditionalFormatting sqref="Z52">
    <cfRule type="cellIs" dxfId="659" priority="448" stopIfTrue="1" operator="lessThan">
      <formula>-0.01</formula>
    </cfRule>
    <cfRule type="cellIs" dxfId="658" priority="449" stopIfTrue="1" operator="greaterThan">
      <formula>0.01</formula>
    </cfRule>
  </conditionalFormatting>
  <conditionalFormatting sqref="Z53:Z54">
    <cfRule type="cellIs" dxfId="657" priority="446" stopIfTrue="1" operator="lessThan">
      <formula>-0.01</formula>
    </cfRule>
    <cfRule type="cellIs" dxfId="656" priority="447" stopIfTrue="1" operator="greaterThan">
      <formula>0.01</formula>
    </cfRule>
  </conditionalFormatting>
  <conditionalFormatting sqref="Z55">
    <cfRule type="cellIs" dxfId="655" priority="444" stopIfTrue="1" operator="lessThan">
      <formula>-0.01</formula>
    </cfRule>
    <cfRule type="cellIs" dxfId="654" priority="445" stopIfTrue="1" operator="greaterThan">
      <formula>0.01</formula>
    </cfRule>
  </conditionalFormatting>
  <conditionalFormatting sqref="V51:V55">
    <cfRule type="cellIs" dxfId="653" priority="442" operator="greaterThan">
      <formula>0.03</formula>
    </cfRule>
    <cfRule type="cellIs" dxfId="652" priority="443" stopIfTrue="1" operator="lessThan">
      <formula>-0.03</formula>
    </cfRule>
  </conditionalFormatting>
  <conditionalFormatting sqref="R52:T52">
    <cfRule type="dataBar" priority="441">
      <dataBar>
        <cfvo type="min"/>
        <cfvo type="max"/>
        <color rgb="FF008AEF"/>
      </dataBar>
    </cfRule>
  </conditionalFormatting>
  <conditionalFormatting sqref="R53:T54">
    <cfRule type="dataBar" priority="440">
      <dataBar>
        <cfvo type="min"/>
        <cfvo type="max"/>
        <color rgb="FF008AEF"/>
      </dataBar>
    </cfRule>
  </conditionalFormatting>
  <conditionalFormatting sqref="R55:T55">
    <cfRule type="dataBar" priority="439">
      <dataBar>
        <cfvo type="min"/>
        <cfvo type="max"/>
        <color rgb="FF008AEF"/>
      </dataBar>
    </cfRule>
  </conditionalFormatting>
  <conditionalFormatting sqref="R51:U51 U52:U55">
    <cfRule type="dataBar" priority="456">
      <dataBar>
        <cfvo type="min"/>
        <cfvo type="max"/>
        <color rgb="FF008AEF"/>
      </dataBar>
    </cfRule>
  </conditionalFormatting>
  <conditionalFormatting sqref="Z67:Z68">
    <cfRule type="cellIs" dxfId="651" priority="436" stopIfTrue="1" operator="lessThan">
      <formula>-0.01</formula>
    </cfRule>
    <cfRule type="cellIs" dxfId="650" priority="437" stopIfTrue="1" operator="greaterThan">
      <formula>0.01</formula>
    </cfRule>
  </conditionalFormatting>
  <conditionalFormatting sqref="R67:T68">
    <cfRule type="dataBar" priority="435">
      <dataBar>
        <cfvo type="min"/>
        <cfvo type="max"/>
        <color rgb="FF008AEF"/>
      </dataBar>
    </cfRule>
  </conditionalFormatting>
  <conditionalFormatting sqref="U67:U68">
    <cfRule type="dataBar" priority="438">
      <dataBar>
        <cfvo type="min"/>
        <cfvo type="max"/>
        <color rgb="FF008AEF"/>
      </dataBar>
    </cfRule>
  </conditionalFormatting>
  <conditionalFormatting sqref="AB62">
    <cfRule type="cellIs" dxfId="649" priority="432" operator="greaterThan">
      <formula>0.03</formula>
    </cfRule>
    <cfRule type="cellIs" dxfId="648" priority="433" stopIfTrue="1" operator="lessThan">
      <formula>-0.03</formula>
    </cfRule>
  </conditionalFormatting>
  <conditionalFormatting sqref="AB66">
    <cfRule type="cellIs" dxfId="647" priority="430" operator="lessThan">
      <formula>-0.03</formula>
    </cfRule>
    <cfRule type="cellIs" dxfId="646" priority="431" stopIfTrue="1" operator="greaterThan">
      <formula>0.03</formula>
    </cfRule>
  </conditionalFormatting>
  <conditionalFormatting sqref="Z62">
    <cfRule type="cellIs" dxfId="645" priority="428" stopIfTrue="1" operator="lessThan">
      <formula>-0.01</formula>
    </cfRule>
    <cfRule type="cellIs" dxfId="644" priority="429" stopIfTrue="1" operator="greaterThan">
      <formula>0.01</formula>
    </cfRule>
  </conditionalFormatting>
  <conditionalFormatting sqref="Z63">
    <cfRule type="cellIs" dxfId="643" priority="426" stopIfTrue="1" operator="lessThan">
      <formula>-0.01</formula>
    </cfRule>
    <cfRule type="cellIs" dxfId="642" priority="427" stopIfTrue="1" operator="greaterThan">
      <formula>0.01</formula>
    </cfRule>
  </conditionalFormatting>
  <conditionalFormatting sqref="Z64:Z65">
    <cfRule type="cellIs" dxfId="641" priority="424" stopIfTrue="1" operator="lessThan">
      <formula>-0.01</formula>
    </cfRule>
    <cfRule type="cellIs" dxfId="640" priority="425" stopIfTrue="1" operator="greaterThan">
      <formula>0.01</formula>
    </cfRule>
  </conditionalFormatting>
  <conditionalFormatting sqref="Z66">
    <cfRule type="cellIs" dxfId="639" priority="422" stopIfTrue="1" operator="lessThan">
      <formula>-0.01</formula>
    </cfRule>
    <cfRule type="cellIs" dxfId="638" priority="423" stopIfTrue="1" operator="greaterThan">
      <formula>0.01</formula>
    </cfRule>
  </conditionalFormatting>
  <conditionalFormatting sqref="V62:V66">
    <cfRule type="cellIs" dxfId="637" priority="420" operator="greaterThan">
      <formula>0.03</formula>
    </cfRule>
    <cfRule type="cellIs" dxfId="636" priority="421" stopIfTrue="1" operator="lessThan">
      <formula>-0.03</formula>
    </cfRule>
  </conditionalFormatting>
  <conditionalFormatting sqref="R63:T63">
    <cfRule type="dataBar" priority="419">
      <dataBar>
        <cfvo type="min"/>
        <cfvo type="max"/>
        <color rgb="FF008AEF"/>
      </dataBar>
    </cfRule>
  </conditionalFormatting>
  <conditionalFormatting sqref="R64:T65">
    <cfRule type="dataBar" priority="418">
      <dataBar>
        <cfvo type="min"/>
        <cfvo type="max"/>
        <color rgb="FF008AEF"/>
      </dataBar>
    </cfRule>
  </conditionalFormatting>
  <conditionalFormatting sqref="R66:T66">
    <cfRule type="dataBar" priority="417">
      <dataBar>
        <cfvo type="min"/>
        <cfvo type="max"/>
        <color rgb="FF008AEF"/>
      </dataBar>
    </cfRule>
  </conditionalFormatting>
  <conditionalFormatting sqref="R62:U62 U63:U66">
    <cfRule type="dataBar" priority="434">
      <dataBar>
        <cfvo type="min"/>
        <cfvo type="max"/>
        <color rgb="FF008AEF"/>
      </dataBar>
    </cfRule>
  </conditionalFormatting>
  <conditionalFormatting sqref="Z78:Z79">
    <cfRule type="cellIs" dxfId="635" priority="414" stopIfTrue="1" operator="lessThan">
      <formula>-0.01</formula>
    </cfRule>
    <cfRule type="cellIs" dxfId="634" priority="415" stopIfTrue="1" operator="greaterThan">
      <formula>0.01</formula>
    </cfRule>
  </conditionalFormatting>
  <conditionalFormatting sqref="R78:T79">
    <cfRule type="dataBar" priority="413">
      <dataBar>
        <cfvo type="min"/>
        <cfvo type="max"/>
        <color rgb="FF008AEF"/>
      </dataBar>
    </cfRule>
  </conditionalFormatting>
  <conditionalFormatting sqref="U78:U79">
    <cfRule type="dataBar" priority="416">
      <dataBar>
        <cfvo type="min"/>
        <cfvo type="max"/>
        <color rgb="FF008AEF"/>
      </dataBar>
    </cfRule>
  </conditionalFormatting>
  <conditionalFormatting sqref="AB73">
    <cfRule type="cellIs" dxfId="633" priority="410" operator="greaterThan">
      <formula>0.03</formula>
    </cfRule>
    <cfRule type="cellIs" dxfId="632" priority="411" stopIfTrue="1" operator="lessThan">
      <formula>-0.03</formula>
    </cfRule>
  </conditionalFormatting>
  <conditionalFormatting sqref="AB77">
    <cfRule type="cellIs" dxfId="631" priority="408" operator="lessThan">
      <formula>-0.03</formula>
    </cfRule>
    <cfRule type="cellIs" dxfId="630" priority="409" stopIfTrue="1" operator="greaterThan">
      <formula>0.03</formula>
    </cfRule>
  </conditionalFormatting>
  <conditionalFormatting sqref="Z73">
    <cfRule type="cellIs" dxfId="629" priority="406" stopIfTrue="1" operator="lessThan">
      <formula>-0.01</formula>
    </cfRule>
    <cfRule type="cellIs" dxfId="628" priority="407" stopIfTrue="1" operator="greaterThan">
      <formula>0.01</formula>
    </cfRule>
  </conditionalFormatting>
  <conditionalFormatting sqref="Z74">
    <cfRule type="cellIs" dxfId="627" priority="404" stopIfTrue="1" operator="lessThan">
      <formula>-0.01</formula>
    </cfRule>
    <cfRule type="cellIs" dxfId="626" priority="405" stopIfTrue="1" operator="greaterThan">
      <formula>0.01</formula>
    </cfRule>
  </conditionalFormatting>
  <conditionalFormatting sqref="Z75:Z76">
    <cfRule type="cellIs" dxfId="625" priority="402" stopIfTrue="1" operator="lessThan">
      <formula>-0.01</formula>
    </cfRule>
    <cfRule type="cellIs" dxfId="624" priority="403" stopIfTrue="1" operator="greaterThan">
      <formula>0.01</formula>
    </cfRule>
  </conditionalFormatting>
  <conditionalFormatting sqref="Z77">
    <cfRule type="cellIs" dxfId="623" priority="400" stopIfTrue="1" operator="lessThan">
      <formula>-0.01</formula>
    </cfRule>
    <cfRule type="cellIs" dxfId="622" priority="401" stopIfTrue="1" operator="greaterThan">
      <formula>0.01</formula>
    </cfRule>
  </conditionalFormatting>
  <conditionalFormatting sqref="V73:V77">
    <cfRule type="cellIs" dxfId="621" priority="398" operator="greaterThan">
      <formula>0.03</formula>
    </cfRule>
    <cfRule type="cellIs" dxfId="620" priority="399" stopIfTrue="1" operator="lessThan">
      <formula>-0.03</formula>
    </cfRule>
  </conditionalFormatting>
  <conditionalFormatting sqref="R74:T74">
    <cfRule type="dataBar" priority="397">
      <dataBar>
        <cfvo type="min"/>
        <cfvo type="max"/>
        <color rgb="FF008AEF"/>
      </dataBar>
    </cfRule>
  </conditionalFormatting>
  <conditionalFormatting sqref="R75:T76">
    <cfRule type="dataBar" priority="396">
      <dataBar>
        <cfvo type="min"/>
        <cfvo type="max"/>
        <color rgb="FF008AEF"/>
      </dataBar>
    </cfRule>
  </conditionalFormatting>
  <conditionalFormatting sqref="R77:T77">
    <cfRule type="dataBar" priority="395">
      <dataBar>
        <cfvo type="min"/>
        <cfvo type="max"/>
        <color rgb="FF008AEF"/>
      </dataBar>
    </cfRule>
  </conditionalFormatting>
  <conditionalFormatting sqref="R73:U73 U74:U77">
    <cfRule type="dataBar" priority="412">
      <dataBar>
        <cfvo type="min"/>
        <cfvo type="max"/>
        <color rgb="FF008AEF"/>
      </dataBar>
    </cfRule>
  </conditionalFormatting>
  <conditionalFormatting sqref="Z89:Z90">
    <cfRule type="cellIs" dxfId="619" priority="392" stopIfTrue="1" operator="lessThan">
      <formula>-0.01</formula>
    </cfRule>
    <cfRule type="cellIs" dxfId="618" priority="393" stopIfTrue="1" operator="greaterThan">
      <formula>0.01</formula>
    </cfRule>
  </conditionalFormatting>
  <conditionalFormatting sqref="U89:U90">
    <cfRule type="dataBar" priority="394">
      <dataBar>
        <cfvo type="min"/>
        <cfvo type="max"/>
        <color rgb="FF008AEF"/>
      </dataBar>
    </cfRule>
  </conditionalFormatting>
  <conditionalFormatting sqref="AB84">
    <cfRule type="cellIs" dxfId="617" priority="389" operator="greaterThan">
      <formula>0.03</formula>
    </cfRule>
    <cfRule type="cellIs" dxfId="616" priority="390" stopIfTrue="1" operator="lessThan">
      <formula>-0.03</formula>
    </cfRule>
  </conditionalFormatting>
  <conditionalFormatting sqref="AB88">
    <cfRule type="cellIs" dxfId="615" priority="387" operator="lessThan">
      <formula>-0.03</formula>
    </cfRule>
    <cfRule type="cellIs" dxfId="614" priority="388" stopIfTrue="1" operator="greaterThan">
      <formula>0.03</formula>
    </cfRule>
  </conditionalFormatting>
  <conditionalFormatting sqref="Z84">
    <cfRule type="cellIs" dxfId="613" priority="385" stopIfTrue="1" operator="lessThan">
      <formula>-0.01</formula>
    </cfRule>
    <cfRule type="cellIs" dxfId="612" priority="386" stopIfTrue="1" operator="greaterThan">
      <formula>0.01</formula>
    </cfRule>
  </conditionalFormatting>
  <conditionalFormatting sqref="Z85">
    <cfRule type="cellIs" dxfId="611" priority="383" stopIfTrue="1" operator="lessThan">
      <formula>-0.01</formula>
    </cfRule>
    <cfRule type="cellIs" dxfId="610" priority="384" stopIfTrue="1" operator="greaterThan">
      <formula>0.01</formula>
    </cfRule>
  </conditionalFormatting>
  <conditionalFormatting sqref="Z86:Z87">
    <cfRule type="cellIs" dxfId="609" priority="381" stopIfTrue="1" operator="lessThan">
      <formula>-0.01</formula>
    </cfRule>
    <cfRule type="cellIs" dxfId="608" priority="382" stopIfTrue="1" operator="greaterThan">
      <formula>0.01</formula>
    </cfRule>
  </conditionalFormatting>
  <conditionalFormatting sqref="Z88">
    <cfRule type="cellIs" dxfId="607" priority="379" stopIfTrue="1" operator="lessThan">
      <formula>-0.01</formula>
    </cfRule>
    <cfRule type="cellIs" dxfId="606" priority="380" stopIfTrue="1" operator="greaterThan">
      <formula>0.01</formula>
    </cfRule>
  </conditionalFormatting>
  <conditionalFormatting sqref="V84:V88">
    <cfRule type="cellIs" dxfId="605" priority="377" operator="greaterThan">
      <formula>0.03</formula>
    </cfRule>
    <cfRule type="cellIs" dxfId="604" priority="378" stopIfTrue="1" operator="lessThan">
      <formula>-0.03</formula>
    </cfRule>
  </conditionalFormatting>
  <conditionalFormatting sqref="U84:U88">
    <cfRule type="dataBar" priority="391">
      <dataBar>
        <cfvo type="min"/>
        <cfvo type="max"/>
        <color rgb="FF008AEF"/>
      </dataBar>
    </cfRule>
  </conditionalFormatting>
  <conditionalFormatting sqref="Z100:Z101">
    <cfRule type="cellIs" dxfId="603" priority="374" stopIfTrue="1" operator="lessThan">
      <formula>-0.01</formula>
    </cfRule>
    <cfRule type="cellIs" dxfId="602" priority="375" stopIfTrue="1" operator="greaterThan">
      <formula>0.01</formula>
    </cfRule>
  </conditionalFormatting>
  <conditionalFormatting sqref="U100:U101">
    <cfRule type="dataBar" priority="376">
      <dataBar>
        <cfvo type="min"/>
        <cfvo type="max"/>
        <color rgb="FF008AEF"/>
      </dataBar>
    </cfRule>
  </conditionalFormatting>
  <conditionalFormatting sqref="AB95">
    <cfRule type="cellIs" dxfId="601" priority="371" operator="greaterThan">
      <formula>0.03</formula>
    </cfRule>
    <cfRule type="cellIs" dxfId="600" priority="372" stopIfTrue="1" operator="lessThan">
      <formula>-0.03</formula>
    </cfRule>
  </conditionalFormatting>
  <conditionalFormatting sqref="AB99">
    <cfRule type="cellIs" dxfId="599" priority="369" operator="lessThan">
      <formula>-0.03</formula>
    </cfRule>
    <cfRule type="cellIs" dxfId="598" priority="370" stopIfTrue="1" operator="greaterThan">
      <formula>0.03</formula>
    </cfRule>
  </conditionalFormatting>
  <conditionalFormatting sqref="Z95">
    <cfRule type="cellIs" dxfId="597" priority="367" stopIfTrue="1" operator="lessThan">
      <formula>-0.01</formula>
    </cfRule>
    <cfRule type="cellIs" dxfId="596" priority="368" stopIfTrue="1" operator="greaterThan">
      <formula>0.01</formula>
    </cfRule>
  </conditionalFormatting>
  <conditionalFormatting sqref="Z96">
    <cfRule type="cellIs" dxfId="595" priority="365" stopIfTrue="1" operator="lessThan">
      <formula>-0.01</formula>
    </cfRule>
    <cfRule type="cellIs" dxfId="594" priority="366" stopIfTrue="1" operator="greaterThan">
      <formula>0.01</formula>
    </cfRule>
  </conditionalFormatting>
  <conditionalFormatting sqref="Z97:Z98">
    <cfRule type="cellIs" dxfId="593" priority="363" stopIfTrue="1" operator="lessThan">
      <formula>-0.01</formula>
    </cfRule>
    <cfRule type="cellIs" dxfId="592" priority="364" stopIfTrue="1" operator="greaterThan">
      <formula>0.01</formula>
    </cfRule>
  </conditionalFormatting>
  <conditionalFormatting sqref="Z99">
    <cfRule type="cellIs" dxfId="591" priority="361" stopIfTrue="1" operator="lessThan">
      <formula>-0.01</formula>
    </cfRule>
    <cfRule type="cellIs" dxfId="590" priority="362" stopIfTrue="1" operator="greaterThan">
      <formula>0.01</formula>
    </cfRule>
  </conditionalFormatting>
  <conditionalFormatting sqref="V95:V99">
    <cfRule type="cellIs" dxfId="589" priority="359" operator="greaterThan">
      <formula>0.03</formula>
    </cfRule>
    <cfRule type="cellIs" dxfId="588" priority="360" stopIfTrue="1" operator="lessThan">
      <formula>-0.03</formula>
    </cfRule>
  </conditionalFormatting>
  <conditionalFormatting sqref="U95:U99">
    <cfRule type="dataBar" priority="373">
      <dataBar>
        <cfvo type="min"/>
        <cfvo type="max"/>
        <color rgb="FF008AEF"/>
      </dataBar>
    </cfRule>
  </conditionalFormatting>
  <conditionalFormatting sqref="Z110:Z111">
    <cfRule type="cellIs" dxfId="587" priority="356" stopIfTrue="1" operator="lessThan">
      <formula>-0.01</formula>
    </cfRule>
    <cfRule type="cellIs" dxfId="586" priority="357" stopIfTrue="1" operator="greaterThan">
      <formula>0.01</formula>
    </cfRule>
  </conditionalFormatting>
  <conditionalFormatting sqref="R110:T111">
    <cfRule type="dataBar" priority="355">
      <dataBar>
        <cfvo type="min"/>
        <cfvo type="max"/>
        <color rgb="FF008AEF"/>
      </dataBar>
    </cfRule>
  </conditionalFormatting>
  <conditionalFormatting sqref="U110:U111">
    <cfRule type="dataBar" priority="358">
      <dataBar>
        <cfvo type="min"/>
        <cfvo type="max"/>
        <color rgb="FF008AEF"/>
      </dataBar>
    </cfRule>
  </conditionalFormatting>
  <conditionalFormatting sqref="AB106">
    <cfRule type="cellIs" dxfId="585" priority="352" operator="greaterThan">
      <formula>0.03</formula>
    </cfRule>
    <cfRule type="cellIs" dxfId="584" priority="353" stopIfTrue="1" operator="lessThan">
      <formula>-0.03</formula>
    </cfRule>
  </conditionalFormatting>
  <conditionalFormatting sqref="AB109">
    <cfRule type="cellIs" dxfId="583" priority="350" operator="lessThan">
      <formula>-0.03</formula>
    </cfRule>
    <cfRule type="cellIs" dxfId="582" priority="351" stopIfTrue="1" operator="greaterThan">
      <formula>0.03</formula>
    </cfRule>
  </conditionalFormatting>
  <conditionalFormatting sqref="Z106">
    <cfRule type="cellIs" dxfId="581" priority="348" stopIfTrue="1" operator="lessThan">
      <formula>-0.01</formula>
    </cfRule>
    <cfRule type="cellIs" dxfId="580" priority="349" stopIfTrue="1" operator="greaterThan">
      <formula>0.01</formula>
    </cfRule>
  </conditionalFormatting>
  <conditionalFormatting sqref="Z107">
    <cfRule type="cellIs" dxfId="579" priority="346" stopIfTrue="1" operator="lessThan">
      <formula>-0.01</formula>
    </cfRule>
    <cfRule type="cellIs" dxfId="578" priority="347" stopIfTrue="1" operator="greaterThan">
      <formula>0.01</formula>
    </cfRule>
  </conditionalFormatting>
  <conditionalFormatting sqref="Z108">
    <cfRule type="cellIs" dxfId="577" priority="344" stopIfTrue="1" operator="lessThan">
      <formula>-0.01</formula>
    </cfRule>
    <cfRule type="cellIs" dxfId="576" priority="345" stopIfTrue="1" operator="greaterThan">
      <formula>0.01</formula>
    </cfRule>
  </conditionalFormatting>
  <conditionalFormatting sqref="Z109">
    <cfRule type="cellIs" dxfId="575" priority="342" stopIfTrue="1" operator="lessThan">
      <formula>-0.01</formula>
    </cfRule>
    <cfRule type="cellIs" dxfId="574" priority="343" stopIfTrue="1" operator="greaterThan">
      <formula>0.01</formula>
    </cfRule>
  </conditionalFormatting>
  <conditionalFormatting sqref="V106:V109">
    <cfRule type="cellIs" dxfId="573" priority="340" operator="greaterThan">
      <formula>0.03</formula>
    </cfRule>
    <cfRule type="cellIs" dxfId="572" priority="341" stopIfTrue="1" operator="lessThan">
      <formula>-0.03</formula>
    </cfRule>
  </conditionalFormatting>
  <conditionalFormatting sqref="R107:T107">
    <cfRule type="dataBar" priority="339">
      <dataBar>
        <cfvo type="min"/>
        <cfvo type="max"/>
        <color rgb="FF008AEF"/>
      </dataBar>
    </cfRule>
  </conditionalFormatting>
  <conditionalFormatting sqref="R108:T108">
    <cfRule type="dataBar" priority="338">
      <dataBar>
        <cfvo type="min"/>
        <cfvo type="max"/>
        <color rgb="FF008AEF"/>
      </dataBar>
    </cfRule>
  </conditionalFormatting>
  <conditionalFormatting sqref="R109:T109">
    <cfRule type="dataBar" priority="337">
      <dataBar>
        <cfvo type="min"/>
        <cfvo type="max"/>
        <color rgb="FF008AEF"/>
      </dataBar>
    </cfRule>
  </conditionalFormatting>
  <conditionalFormatting sqref="R106:U106 U107:U109">
    <cfRule type="dataBar" priority="354">
      <dataBar>
        <cfvo type="min"/>
        <cfvo type="max"/>
        <color rgb="FF008AEF"/>
      </dataBar>
    </cfRule>
  </conditionalFormatting>
  <conditionalFormatting sqref="AB116">
    <cfRule type="cellIs" dxfId="571" priority="335" operator="greaterThan">
      <formula>0.03</formula>
    </cfRule>
    <cfRule type="cellIs" dxfId="570" priority="336" stopIfTrue="1" operator="lessThan">
      <formula>-0.03</formula>
    </cfRule>
  </conditionalFormatting>
  <conditionalFormatting sqref="AB119">
    <cfRule type="cellIs" dxfId="569" priority="333" operator="lessThan">
      <formula>-0.03</formula>
    </cfRule>
    <cfRule type="cellIs" dxfId="568" priority="334" stopIfTrue="1" operator="greaterThan">
      <formula>0.03</formula>
    </cfRule>
  </conditionalFormatting>
  <conditionalFormatting sqref="AB126">
    <cfRule type="cellIs" dxfId="567" priority="331" operator="greaterThan">
      <formula>0.03</formula>
    </cfRule>
    <cfRule type="cellIs" dxfId="566" priority="332" stopIfTrue="1" operator="lessThan">
      <formula>-0.03</formula>
    </cfRule>
  </conditionalFormatting>
  <conditionalFormatting sqref="AB129">
    <cfRule type="cellIs" dxfId="565" priority="329" operator="lessThan">
      <formula>-0.03</formula>
    </cfRule>
    <cfRule type="cellIs" dxfId="564" priority="330" stopIfTrue="1" operator="greaterThan">
      <formula>0.03</formula>
    </cfRule>
  </conditionalFormatting>
  <conditionalFormatting sqref="AB136">
    <cfRule type="cellIs" dxfId="563" priority="327" operator="greaterThan">
      <formula>0.03</formula>
    </cfRule>
    <cfRule type="cellIs" dxfId="562" priority="328" stopIfTrue="1" operator="lessThan">
      <formula>-0.03</formula>
    </cfRule>
  </conditionalFormatting>
  <conditionalFormatting sqref="AB139">
    <cfRule type="cellIs" dxfId="561" priority="325" operator="lessThan">
      <formula>-0.03</formula>
    </cfRule>
    <cfRule type="cellIs" dxfId="560" priority="326" stopIfTrue="1" operator="greaterThan">
      <formula>0.03</formula>
    </cfRule>
  </conditionalFormatting>
  <conditionalFormatting sqref="AB146">
    <cfRule type="cellIs" dxfId="559" priority="323" operator="greaterThan">
      <formula>0.03</formula>
    </cfRule>
    <cfRule type="cellIs" dxfId="558" priority="324" stopIfTrue="1" operator="lessThan">
      <formula>-0.03</formula>
    </cfRule>
  </conditionalFormatting>
  <conditionalFormatting sqref="AB149">
    <cfRule type="cellIs" dxfId="557" priority="321" operator="lessThan">
      <formula>-0.03</formula>
    </cfRule>
    <cfRule type="cellIs" dxfId="556" priority="322" stopIfTrue="1" operator="greaterThan">
      <formula>0.03</formula>
    </cfRule>
  </conditionalFormatting>
  <conditionalFormatting sqref="AB156">
    <cfRule type="cellIs" dxfId="555" priority="319" operator="greaterThan">
      <formula>0.03</formula>
    </cfRule>
    <cfRule type="cellIs" dxfId="554" priority="320" stopIfTrue="1" operator="lessThan">
      <formula>-0.03</formula>
    </cfRule>
  </conditionalFormatting>
  <conditionalFormatting sqref="AB159">
    <cfRule type="cellIs" dxfId="553" priority="317" operator="lessThan">
      <formula>-0.03</formula>
    </cfRule>
    <cfRule type="cellIs" dxfId="552" priority="318" stopIfTrue="1" operator="greaterThan">
      <formula>0.03</formula>
    </cfRule>
  </conditionalFormatting>
  <conditionalFormatting sqref="AB166">
    <cfRule type="cellIs" dxfId="551" priority="315" operator="greaterThan">
      <formula>0.03</formula>
    </cfRule>
    <cfRule type="cellIs" dxfId="550" priority="316" stopIfTrue="1" operator="lessThan">
      <formula>-0.03</formula>
    </cfRule>
  </conditionalFormatting>
  <conditionalFormatting sqref="AB169">
    <cfRule type="cellIs" dxfId="549" priority="313" operator="lessThan">
      <formula>-0.03</formula>
    </cfRule>
    <cfRule type="cellIs" dxfId="548" priority="314" stopIfTrue="1" operator="greaterThan">
      <formula>0.03</formula>
    </cfRule>
  </conditionalFormatting>
  <conditionalFormatting sqref="AB176">
    <cfRule type="cellIs" dxfId="547" priority="311" operator="greaterThan">
      <formula>0.03</formula>
    </cfRule>
    <cfRule type="cellIs" dxfId="546" priority="312" stopIfTrue="1" operator="lessThan">
      <formula>-0.03</formula>
    </cfRule>
  </conditionalFormatting>
  <conditionalFormatting sqref="AB179">
    <cfRule type="cellIs" dxfId="545" priority="309" operator="lessThan">
      <formula>-0.03</formula>
    </cfRule>
    <cfRule type="cellIs" dxfId="544" priority="310" stopIfTrue="1" operator="greaterThan">
      <formula>0.03</formula>
    </cfRule>
  </conditionalFormatting>
  <conditionalFormatting sqref="AB186">
    <cfRule type="cellIs" dxfId="543" priority="307" operator="greaterThan">
      <formula>0.03</formula>
    </cfRule>
    <cfRule type="cellIs" dxfId="542" priority="308" stopIfTrue="1" operator="lessThan">
      <formula>-0.03</formula>
    </cfRule>
  </conditionalFormatting>
  <conditionalFormatting sqref="AB189">
    <cfRule type="cellIs" dxfId="541" priority="305" operator="lessThan">
      <formula>-0.03</formula>
    </cfRule>
    <cfRule type="cellIs" dxfId="540" priority="306" stopIfTrue="1" operator="greaterThan">
      <formula>0.03</formula>
    </cfRule>
  </conditionalFormatting>
  <conditionalFormatting sqref="AB196">
    <cfRule type="cellIs" dxfId="539" priority="303" operator="greaterThan">
      <formula>0.03</formula>
    </cfRule>
    <cfRule type="cellIs" dxfId="538" priority="304" stopIfTrue="1" operator="lessThan">
      <formula>-0.03</formula>
    </cfRule>
  </conditionalFormatting>
  <conditionalFormatting sqref="AB199">
    <cfRule type="cellIs" dxfId="537" priority="301" operator="lessThan">
      <formula>-0.03</formula>
    </cfRule>
    <cfRule type="cellIs" dxfId="536" priority="302" stopIfTrue="1" operator="greaterThan">
      <formula>0.03</formula>
    </cfRule>
  </conditionalFormatting>
  <conditionalFormatting sqref="AB206">
    <cfRule type="cellIs" dxfId="535" priority="299" operator="greaterThan">
      <formula>0.03</formula>
    </cfRule>
    <cfRule type="cellIs" dxfId="534" priority="300" stopIfTrue="1" operator="lessThan">
      <formula>-0.03</formula>
    </cfRule>
  </conditionalFormatting>
  <conditionalFormatting sqref="AB209">
    <cfRule type="cellIs" dxfId="533" priority="297" operator="lessThan">
      <formula>-0.03</formula>
    </cfRule>
    <cfRule type="cellIs" dxfId="532" priority="298" stopIfTrue="1" operator="greaterThan">
      <formula>0.03</formula>
    </cfRule>
  </conditionalFormatting>
  <conditionalFormatting sqref="Z220:Z221">
    <cfRule type="cellIs" dxfId="531" priority="294" stopIfTrue="1" operator="lessThan">
      <formula>-0.01</formula>
    </cfRule>
    <cfRule type="cellIs" dxfId="530" priority="295" stopIfTrue="1" operator="greaterThan">
      <formula>0.01</formula>
    </cfRule>
  </conditionalFormatting>
  <conditionalFormatting sqref="H220:J221">
    <cfRule type="dataBar" priority="293">
      <dataBar>
        <cfvo type="min"/>
        <cfvo type="max"/>
        <color rgb="FF008AEF"/>
      </dataBar>
    </cfRule>
  </conditionalFormatting>
  <conditionalFormatting sqref="R220:T221">
    <cfRule type="dataBar" priority="292">
      <dataBar>
        <cfvo type="min"/>
        <cfvo type="max"/>
        <color rgb="FF008AEF"/>
      </dataBar>
    </cfRule>
  </conditionalFormatting>
  <conditionalFormatting sqref="U220:U221">
    <cfRule type="dataBar" priority="296">
      <dataBar>
        <cfvo type="min"/>
        <cfvo type="max"/>
        <color rgb="FF008AEF"/>
      </dataBar>
    </cfRule>
  </conditionalFormatting>
  <conditionalFormatting sqref="AB216">
    <cfRule type="cellIs" dxfId="529" priority="289" operator="greaterThan">
      <formula>0.03</formula>
    </cfRule>
    <cfRule type="cellIs" dxfId="528" priority="290" stopIfTrue="1" operator="lessThan">
      <formula>-0.03</formula>
    </cfRule>
  </conditionalFormatting>
  <conditionalFormatting sqref="AB219">
    <cfRule type="cellIs" dxfId="527" priority="287" operator="lessThan">
      <formula>-0.03</formula>
    </cfRule>
    <cfRule type="cellIs" dxfId="526" priority="288" stopIfTrue="1" operator="greaterThan">
      <formula>0.03</formula>
    </cfRule>
  </conditionalFormatting>
  <conditionalFormatting sqref="H216:J216">
    <cfRule type="dataBar" priority="286">
      <dataBar>
        <cfvo type="min"/>
        <cfvo type="max"/>
        <color rgb="FF008AEF"/>
      </dataBar>
    </cfRule>
  </conditionalFormatting>
  <conditionalFormatting sqref="Z216">
    <cfRule type="cellIs" dxfId="525" priority="284" stopIfTrue="1" operator="lessThan">
      <formula>-0.01</formula>
    </cfRule>
    <cfRule type="cellIs" dxfId="524" priority="285" stopIfTrue="1" operator="greaterThan">
      <formula>0.01</formula>
    </cfRule>
  </conditionalFormatting>
  <conditionalFormatting sqref="Z217">
    <cfRule type="cellIs" dxfId="523" priority="282" stopIfTrue="1" operator="lessThan">
      <formula>-0.01</formula>
    </cfRule>
    <cfRule type="cellIs" dxfId="522" priority="283" stopIfTrue="1" operator="greaterThan">
      <formula>0.01</formula>
    </cfRule>
  </conditionalFormatting>
  <conditionalFormatting sqref="Z218">
    <cfRule type="cellIs" dxfId="521" priority="280" stopIfTrue="1" operator="lessThan">
      <formula>-0.01</formula>
    </cfRule>
    <cfRule type="cellIs" dxfId="520" priority="281" stopIfTrue="1" operator="greaterThan">
      <formula>0.01</formula>
    </cfRule>
  </conditionalFormatting>
  <conditionalFormatting sqref="Z219">
    <cfRule type="cellIs" dxfId="519" priority="278" stopIfTrue="1" operator="lessThan">
      <formula>-0.01</formula>
    </cfRule>
    <cfRule type="cellIs" dxfId="518" priority="279" stopIfTrue="1" operator="greaterThan">
      <formula>0.01</formula>
    </cfRule>
  </conditionalFormatting>
  <conditionalFormatting sqref="V216:V219">
    <cfRule type="cellIs" dxfId="517" priority="276" operator="greaterThan">
      <formula>0.03</formula>
    </cfRule>
    <cfRule type="cellIs" dxfId="516" priority="277" stopIfTrue="1" operator="lessThan">
      <formula>-0.03</formula>
    </cfRule>
  </conditionalFormatting>
  <conditionalFormatting sqref="H217:J217">
    <cfRule type="dataBar" priority="275">
      <dataBar>
        <cfvo type="min"/>
        <cfvo type="max"/>
        <color rgb="FF008AEF"/>
      </dataBar>
    </cfRule>
  </conditionalFormatting>
  <conditionalFormatting sqref="H218:J218">
    <cfRule type="dataBar" priority="274">
      <dataBar>
        <cfvo type="min"/>
        <cfvo type="max"/>
        <color rgb="FF008AEF"/>
      </dataBar>
    </cfRule>
  </conditionalFormatting>
  <conditionalFormatting sqref="H219:J219">
    <cfRule type="dataBar" priority="273">
      <dataBar>
        <cfvo type="min"/>
        <cfvo type="max"/>
        <color rgb="FF008AEF"/>
      </dataBar>
    </cfRule>
  </conditionalFormatting>
  <conditionalFormatting sqref="R217:T217">
    <cfRule type="dataBar" priority="272">
      <dataBar>
        <cfvo type="min"/>
        <cfvo type="max"/>
        <color rgb="FF008AEF"/>
      </dataBar>
    </cfRule>
  </conditionalFormatting>
  <conditionalFormatting sqref="R218:T218">
    <cfRule type="dataBar" priority="271">
      <dataBar>
        <cfvo type="min"/>
        <cfvo type="max"/>
        <color rgb="FF008AEF"/>
      </dataBar>
    </cfRule>
  </conditionalFormatting>
  <conditionalFormatting sqref="R219:T219">
    <cfRule type="dataBar" priority="270">
      <dataBar>
        <cfvo type="min"/>
        <cfvo type="max"/>
        <color rgb="FF008AEF"/>
      </dataBar>
    </cfRule>
  </conditionalFormatting>
  <conditionalFormatting sqref="R216:U216 U217:U219">
    <cfRule type="dataBar" priority="291">
      <dataBar>
        <cfvo type="min"/>
        <cfvo type="max"/>
        <color rgb="FF008AEF"/>
      </dataBar>
    </cfRule>
  </conditionalFormatting>
  <conditionalFormatting sqref="I16">
    <cfRule type="dataBar" priority="269">
      <dataBar>
        <cfvo type="min"/>
        <cfvo type="max"/>
        <color rgb="FF008AEF"/>
      </dataBar>
    </cfRule>
  </conditionalFormatting>
  <conditionalFormatting sqref="I17">
    <cfRule type="dataBar" priority="268">
      <dataBar>
        <cfvo type="min"/>
        <cfvo type="max"/>
        <color rgb="FF008AEF"/>
      </dataBar>
    </cfRule>
  </conditionalFormatting>
  <conditionalFormatting sqref="H110:J111">
    <cfRule type="dataBar" priority="267">
      <dataBar>
        <cfvo type="min"/>
        <cfvo type="max"/>
        <color rgb="FF008AEF"/>
      </dataBar>
    </cfRule>
  </conditionalFormatting>
  <conditionalFormatting sqref="H106:J106">
    <cfRule type="dataBar" priority="266">
      <dataBar>
        <cfvo type="min"/>
        <cfvo type="max"/>
        <color rgb="FF008AEF"/>
      </dataBar>
    </cfRule>
  </conditionalFormatting>
  <conditionalFormatting sqref="H107:J107">
    <cfRule type="dataBar" priority="265">
      <dataBar>
        <cfvo type="min"/>
        <cfvo type="max"/>
        <color rgb="FF008AEF"/>
      </dataBar>
    </cfRule>
  </conditionalFormatting>
  <conditionalFormatting sqref="H108:J108">
    <cfRule type="dataBar" priority="264">
      <dataBar>
        <cfvo type="min"/>
        <cfvo type="max"/>
        <color rgb="FF008AEF"/>
      </dataBar>
    </cfRule>
  </conditionalFormatting>
  <conditionalFormatting sqref="H109:J109">
    <cfRule type="dataBar" priority="263">
      <dataBar>
        <cfvo type="min"/>
        <cfvo type="max"/>
        <color rgb="FF008AEF"/>
      </dataBar>
    </cfRule>
  </conditionalFormatting>
  <conditionalFormatting sqref="H108:J109">
    <cfRule type="dataBar" priority="262">
      <dataBar>
        <cfvo type="min"/>
        <cfvo type="max"/>
        <color rgb="FF008AEF"/>
      </dataBar>
    </cfRule>
  </conditionalFormatting>
  <conditionalFormatting sqref="H104:J104">
    <cfRule type="dataBar" priority="261">
      <dataBar>
        <cfvo type="min"/>
        <cfvo type="max"/>
        <color rgb="FF008AEF"/>
      </dataBar>
    </cfRule>
  </conditionalFormatting>
  <conditionalFormatting sqref="H105:J105">
    <cfRule type="dataBar" priority="260">
      <dataBar>
        <cfvo type="min"/>
        <cfvo type="max"/>
        <color rgb="FF008AEF"/>
      </dataBar>
    </cfRule>
  </conditionalFormatting>
  <conditionalFormatting sqref="H106:J106">
    <cfRule type="dataBar" priority="259">
      <dataBar>
        <cfvo type="min"/>
        <cfvo type="max"/>
        <color rgb="FF008AEF"/>
      </dataBar>
    </cfRule>
  </conditionalFormatting>
  <conditionalFormatting sqref="H107:J107">
    <cfRule type="dataBar" priority="258">
      <dataBar>
        <cfvo type="min"/>
        <cfvo type="max"/>
        <color rgb="FF008AEF"/>
      </dataBar>
    </cfRule>
  </conditionalFormatting>
  <conditionalFormatting sqref="N24">
    <cfRule type="cellIs" dxfId="515" priority="256" stopIfTrue="1" operator="lessThan">
      <formula>-0.01</formula>
    </cfRule>
    <cfRule type="cellIs" dxfId="514" priority="257" stopIfTrue="1" operator="greaterThan">
      <formula>0.01</formula>
    </cfRule>
  </conditionalFormatting>
  <conditionalFormatting sqref="I35">
    <cfRule type="dataBar" priority="255">
      <dataBar>
        <cfvo type="min"/>
        <cfvo type="max"/>
        <color rgb="FF008AEF"/>
      </dataBar>
    </cfRule>
  </conditionalFormatting>
  <conditionalFormatting sqref="I27">
    <cfRule type="dataBar" priority="254">
      <dataBar>
        <cfvo type="min"/>
        <cfvo type="max"/>
        <color rgb="FF008AEF"/>
      </dataBar>
    </cfRule>
  </conditionalFormatting>
  <conditionalFormatting sqref="I28">
    <cfRule type="dataBar" priority="253">
      <dataBar>
        <cfvo type="min"/>
        <cfvo type="max"/>
        <color rgb="FF008AEF"/>
      </dataBar>
    </cfRule>
  </conditionalFormatting>
  <conditionalFormatting sqref="N35">
    <cfRule type="cellIs" dxfId="513" priority="251" stopIfTrue="1" operator="lessThan">
      <formula>-0.01</formula>
    </cfRule>
    <cfRule type="cellIs" dxfId="512" priority="252" stopIfTrue="1" operator="greaterThan">
      <formula>0.01</formula>
    </cfRule>
  </conditionalFormatting>
  <conditionalFormatting sqref="I45:I46">
    <cfRule type="dataBar" priority="250">
      <dataBar>
        <cfvo type="min"/>
        <cfvo type="max"/>
        <color rgb="FF008AEF"/>
      </dataBar>
    </cfRule>
  </conditionalFormatting>
  <conditionalFormatting sqref="I40">
    <cfRule type="dataBar" priority="249">
      <dataBar>
        <cfvo type="min"/>
        <cfvo type="max"/>
        <color rgb="FF008AEF"/>
      </dataBar>
    </cfRule>
  </conditionalFormatting>
  <conditionalFormatting sqref="I41">
    <cfRule type="dataBar" priority="248">
      <dataBar>
        <cfvo type="min"/>
        <cfvo type="max"/>
        <color rgb="FF008AEF"/>
      </dataBar>
    </cfRule>
  </conditionalFormatting>
  <conditionalFormatting sqref="I42:I43">
    <cfRule type="dataBar" priority="247">
      <dataBar>
        <cfvo type="min"/>
        <cfvo type="max"/>
        <color rgb="FF008AEF"/>
      </dataBar>
    </cfRule>
  </conditionalFormatting>
  <conditionalFormatting sqref="I44">
    <cfRule type="dataBar" priority="246">
      <dataBar>
        <cfvo type="min"/>
        <cfvo type="max"/>
        <color rgb="FF008AEF"/>
      </dataBar>
    </cfRule>
  </conditionalFormatting>
  <conditionalFormatting sqref="I42:I44">
    <cfRule type="dataBar" priority="245">
      <dataBar>
        <cfvo type="min"/>
        <cfvo type="max"/>
        <color rgb="FF008AEF"/>
      </dataBar>
    </cfRule>
  </conditionalFormatting>
  <conditionalFormatting sqref="I38">
    <cfRule type="dataBar" priority="244">
      <dataBar>
        <cfvo type="min"/>
        <cfvo type="max"/>
        <color rgb="FF008AEF"/>
      </dataBar>
    </cfRule>
  </conditionalFormatting>
  <conditionalFormatting sqref="I39">
    <cfRule type="dataBar" priority="243">
      <dataBar>
        <cfvo type="min"/>
        <cfvo type="max"/>
        <color rgb="FF008AEF"/>
      </dataBar>
    </cfRule>
  </conditionalFormatting>
  <conditionalFormatting sqref="I40">
    <cfRule type="dataBar" priority="242">
      <dataBar>
        <cfvo type="min"/>
        <cfvo type="max"/>
        <color rgb="FF008AEF"/>
      </dataBar>
    </cfRule>
  </conditionalFormatting>
  <conditionalFormatting sqref="I41">
    <cfRule type="dataBar" priority="241">
      <dataBar>
        <cfvo type="min"/>
        <cfvo type="max"/>
        <color rgb="FF008AEF"/>
      </dataBar>
    </cfRule>
  </conditionalFormatting>
  <conditionalFormatting sqref="N45:N46">
    <cfRule type="cellIs" dxfId="511" priority="239" stopIfTrue="1" operator="lessThan">
      <formula>-0.01</formula>
    </cfRule>
    <cfRule type="cellIs" dxfId="510" priority="240" stopIfTrue="1" operator="greaterThan">
      <formula>0.01</formula>
    </cfRule>
  </conditionalFormatting>
  <conditionalFormatting sqref="I56:I57">
    <cfRule type="dataBar" priority="238">
      <dataBar>
        <cfvo type="min"/>
        <cfvo type="max"/>
        <color rgb="FF008AEF"/>
      </dataBar>
    </cfRule>
  </conditionalFormatting>
  <conditionalFormatting sqref="I51">
    <cfRule type="dataBar" priority="237">
      <dataBar>
        <cfvo type="min"/>
        <cfvo type="max"/>
        <color rgb="FF008AEF"/>
      </dataBar>
    </cfRule>
  </conditionalFormatting>
  <conditionalFormatting sqref="I52">
    <cfRule type="dataBar" priority="236">
      <dataBar>
        <cfvo type="min"/>
        <cfvo type="max"/>
        <color rgb="FF008AEF"/>
      </dataBar>
    </cfRule>
  </conditionalFormatting>
  <conditionalFormatting sqref="I53:I54">
    <cfRule type="dataBar" priority="235">
      <dataBar>
        <cfvo type="min"/>
        <cfvo type="max"/>
        <color rgb="FF008AEF"/>
      </dataBar>
    </cfRule>
  </conditionalFormatting>
  <conditionalFormatting sqref="I55">
    <cfRule type="dataBar" priority="234">
      <dataBar>
        <cfvo type="min"/>
        <cfvo type="max"/>
        <color rgb="FF008AEF"/>
      </dataBar>
    </cfRule>
  </conditionalFormatting>
  <conditionalFormatting sqref="I53:I55">
    <cfRule type="dataBar" priority="233">
      <dataBar>
        <cfvo type="min"/>
        <cfvo type="max"/>
        <color rgb="FF008AEF"/>
      </dataBar>
    </cfRule>
  </conditionalFormatting>
  <conditionalFormatting sqref="I49">
    <cfRule type="dataBar" priority="232">
      <dataBar>
        <cfvo type="min"/>
        <cfvo type="max"/>
        <color rgb="FF008AEF"/>
      </dataBar>
    </cfRule>
  </conditionalFormatting>
  <conditionalFormatting sqref="I50">
    <cfRule type="dataBar" priority="231">
      <dataBar>
        <cfvo type="min"/>
        <cfvo type="max"/>
        <color rgb="FF008AEF"/>
      </dataBar>
    </cfRule>
  </conditionalFormatting>
  <conditionalFormatting sqref="I51">
    <cfRule type="dataBar" priority="230">
      <dataBar>
        <cfvo type="min"/>
        <cfvo type="max"/>
        <color rgb="FF008AEF"/>
      </dataBar>
    </cfRule>
  </conditionalFormatting>
  <conditionalFormatting sqref="I52">
    <cfRule type="dataBar" priority="229">
      <dataBar>
        <cfvo type="min"/>
        <cfvo type="max"/>
        <color rgb="FF008AEF"/>
      </dataBar>
    </cfRule>
  </conditionalFormatting>
  <conditionalFormatting sqref="J51:J55">
    <cfRule type="cellIs" dxfId="509" priority="227" operator="greaterThan">
      <formula>0.03</formula>
    </cfRule>
    <cfRule type="cellIs" dxfId="508" priority="228" stopIfTrue="1" operator="lessThan">
      <formula>-0.03</formula>
    </cfRule>
  </conditionalFormatting>
  <conditionalFormatting sqref="N56:N57">
    <cfRule type="cellIs" dxfId="507" priority="225" stopIfTrue="1" operator="lessThan">
      <formula>-0.01</formula>
    </cfRule>
    <cfRule type="cellIs" dxfId="506" priority="226" stopIfTrue="1" operator="greaterThan">
      <formula>0.01</formula>
    </cfRule>
  </conditionalFormatting>
  <conditionalFormatting sqref="N51">
    <cfRule type="cellIs" dxfId="505" priority="223" stopIfTrue="1" operator="lessThan">
      <formula>-0.01</formula>
    </cfRule>
    <cfRule type="cellIs" dxfId="504" priority="224" stopIfTrue="1" operator="greaterThan">
      <formula>0.01</formula>
    </cfRule>
  </conditionalFormatting>
  <conditionalFormatting sqref="N52">
    <cfRule type="cellIs" dxfId="503" priority="221" stopIfTrue="1" operator="lessThan">
      <formula>-0.01</formula>
    </cfRule>
    <cfRule type="cellIs" dxfId="502" priority="222" stopIfTrue="1" operator="greaterThan">
      <formula>0.01</formula>
    </cfRule>
  </conditionalFormatting>
  <conditionalFormatting sqref="N53:N54">
    <cfRule type="cellIs" dxfId="501" priority="219" stopIfTrue="1" operator="lessThan">
      <formula>-0.01</formula>
    </cfRule>
    <cfRule type="cellIs" dxfId="500" priority="220" stopIfTrue="1" operator="greaterThan">
      <formula>0.01</formula>
    </cfRule>
  </conditionalFormatting>
  <conditionalFormatting sqref="N55">
    <cfRule type="cellIs" dxfId="499" priority="217" stopIfTrue="1" operator="lessThan">
      <formula>-0.01</formula>
    </cfRule>
    <cfRule type="cellIs" dxfId="498" priority="218" stopIfTrue="1" operator="greaterThan">
      <formula>0.01</formula>
    </cfRule>
  </conditionalFormatting>
  <conditionalFormatting sqref="P51">
    <cfRule type="cellIs" dxfId="497" priority="215" operator="greaterThan">
      <formula>0.03</formula>
    </cfRule>
    <cfRule type="cellIs" dxfId="496" priority="216" stopIfTrue="1" operator="lessThan">
      <formula>-0.03</formula>
    </cfRule>
  </conditionalFormatting>
  <conditionalFormatting sqref="P55">
    <cfRule type="cellIs" dxfId="495" priority="213" operator="lessThan">
      <formula>-0.03</formula>
    </cfRule>
    <cfRule type="cellIs" dxfId="494" priority="214" stopIfTrue="1" operator="greaterThan">
      <formula>0.03</formula>
    </cfRule>
  </conditionalFormatting>
  <conditionalFormatting sqref="I68">
    <cfRule type="dataBar" priority="212">
      <dataBar>
        <cfvo type="min"/>
        <cfvo type="max"/>
        <color rgb="FF008AEF"/>
      </dataBar>
    </cfRule>
  </conditionalFormatting>
  <conditionalFormatting sqref="I60">
    <cfRule type="dataBar" priority="211">
      <dataBar>
        <cfvo type="min"/>
        <cfvo type="max"/>
        <color rgb="FF008AEF"/>
      </dataBar>
    </cfRule>
  </conditionalFormatting>
  <conditionalFormatting sqref="I61">
    <cfRule type="dataBar" priority="210">
      <dataBar>
        <cfvo type="min"/>
        <cfvo type="max"/>
        <color rgb="FF008AEF"/>
      </dataBar>
    </cfRule>
  </conditionalFormatting>
  <conditionalFormatting sqref="N68">
    <cfRule type="cellIs" dxfId="493" priority="208" stopIfTrue="1" operator="lessThan">
      <formula>-0.01</formula>
    </cfRule>
    <cfRule type="cellIs" dxfId="492" priority="209" stopIfTrue="1" operator="greaterThan">
      <formula>0.01</formula>
    </cfRule>
  </conditionalFormatting>
  <conditionalFormatting sqref="I79">
    <cfRule type="dataBar" priority="207">
      <dataBar>
        <cfvo type="min"/>
        <cfvo type="max"/>
        <color rgb="FF008AEF"/>
      </dataBar>
    </cfRule>
  </conditionalFormatting>
  <conditionalFormatting sqref="I71">
    <cfRule type="dataBar" priority="206">
      <dataBar>
        <cfvo type="min"/>
        <cfvo type="max"/>
        <color rgb="FF008AEF"/>
      </dataBar>
    </cfRule>
  </conditionalFormatting>
  <conditionalFormatting sqref="I72">
    <cfRule type="dataBar" priority="205">
      <dataBar>
        <cfvo type="min"/>
        <cfvo type="max"/>
        <color rgb="FF008AEF"/>
      </dataBar>
    </cfRule>
  </conditionalFormatting>
  <conditionalFormatting sqref="N79">
    <cfRule type="cellIs" dxfId="491" priority="203" stopIfTrue="1" operator="lessThan">
      <formula>-0.01</formula>
    </cfRule>
    <cfRule type="cellIs" dxfId="490" priority="204" stopIfTrue="1" operator="greaterThan">
      <formula>0.01</formula>
    </cfRule>
  </conditionalFormatting>
  <conditionalFormatting sqref="R89:T90">
    <cfRule type="dataBar" priority="202">
      <dataBar>
        <cfvo type="min"/>
        <cfvo type="max"/>
        <color rgb="FF008AEF"/>
      </dataBar>
    </cfRule>
  </conditionalFormatting>
  <conditionalFormatting sqref="R85:T85">
    <cfRule type="dataBar" priority="200">
      <dataBar>
        <cfvo type="min"/>
        <cfvo type="max"/>
        <color rgb="FF008AEF"/>
      </dataBar>
    </cfRule>
  </conditionalFormatting>
  <conditionalFormatting sqref="R86:T87">
    <cfRule type="dataBar" priority="199">
      <dataBar>
        <cfvo type="min"/>
        <cfvo type="max"/>
        <color rgb="FF008AEF"/>
      </dataBar>
    </cfRule>
  </conditionalFormatting>
  <conditionalFormatting sqref="R88:T88">
    <cfRule type="dataBar" priority="198">
      <dataBar>
        <cfvo type="min"/>
        <cfvo type="max"/>
        <color rgb="FF008AEF"/>
      </dataBar>
    </cfRule>
  </conditionalFormatting>
  <conditionalFormatting sqref="R84:T84">
    <cfRule type="dataBar" priority="201">
      <dataBar>
        <cfvo type="min"/>
        <cfvo type="max"/>
        <color rgb="FF008AEF"/>
      </dataBar>
    </cfRule>
  </conditionalFormatting>
  <conditionalFormatting sqref="I90">
    <cfRule type="dataBar" priority="197">
      <dataBar>
        <cfvo type="min"/>
        <cfvo type="max"/>
        <color rgb="FF008AEF"/>
      </dataBar>
    </cfRule>
  </conditionalFormatting>
  <conditionalFormatting sqref="I82">
    <cfRule type="dataBar" priority="196">
      <dataBar>
        <cfvo type="min"/>
        <cfvo type="max"/>
        <color rgb="FF008AEF"/>
      </dataBar>
    </cfRule>
  </conditionalFormatting>
  <conditionalFormatting sqref="I83">
    <cfRule type="dataBar" priority="195">
      <dataBar>
        <cfvo type="min"/>
        <cfvo type="max"/>
        <color rgb="FF008AEF"/>
      </dataBar>
    </cfRule>
  </conditionalFormatting>
  <conditionalFormatting sqref="N90">
    <cfRule type="cellIs" dxfId="489" priority="193" stopIfTrue="1" operator="lessThan">
      <formula>-0.01</formula>
    </cfRule>
    <cfRule type="cellIs" dxfId="488" priority="194" stopIfTrue="1" operator="greaterThan">
      <formula>0.01</formula>
    </cfRule>
  </conditionalFormatting>
  <conditionalFormatting sqref="R100:T101">
    <cfRule type="dataBar" priority="192">
      <dataBar>
        <cfvo type="min"/>
        <cfvo type="max"/>
        <color rgb="FF008AEF"/>
      </dataBar>
    </cfRule>
  </conditionalFormatting>
  <conditionalFormatting sqref="R96:T96">
    <cfRule type="dataBar" priority="190">
      <dataBar>
        <cfvo type="min"/>
        <cfvo type="max"/>
        <color rgb="FF008AEF"/>
      </dataBar>
    </cfRule>
  </conditionalFormatting>
  <conditionalFormatting sqref="R97:T98">
    <cfRule type="dataBar" priority="189">
      <dataBar>
        <cfvo type="min"/>
        <cfvo type="max"/>
        <color rgb="FF008AEF"/>
      </dataBar>
    </cfRule>
  </conditionalFormatting>
  <conditionalFormatting sqref="R99:T99">
    <cfRule type="dataBar" priority="188">
      <dataBar>
        <cfvo type="min"/>
        <cfvo type="max"/>
        <color rgb="FF008AEF"/>
      </dataBar>
    </cfRule>
  </conditionalFormatting>
  <conditionalFormatting sqref="R95:T95">
    <cfRule type="dataBar" priority="191">
      <dataBar>
        <cfvo type="min"/>
        <cfvo type="max"/>
        <color rgb="FF008AEF"/>
      </dataBar>
    </cfRule>
  </conditionalFormatting>
  <conditionalFormatting sqref="I101">
    <cfRule type="dataBar" priority="187">
      <dataBar>
        <cfvo type="min"/>
        <cfvo type="max"/>
        <color rgb="FF008AEF"/>
      </dataBar>
    </cfRule>
  </conditionalFormatting>
  <conditionalFormatting sqref="I93">
    <cfRule type="dataBar" priority="186">
      <dataBar>
        <cfvo type="min"/>
        <cfvo type="max"/>
        <color rgb="FF008AEF"/>
      </dataBar>
    </cfRule>
  </conditionalFormatting>
  <conditionalFormatting sqref="I94">
    <cfRule type="dataBar" priority="185">
      <dataBar>
        <cfvo type="min"/>
        <cfvo type="max"/>
        <color rgb="FF008AEF"/>
      </dataBar>
    </cfRule>
  </conditionalFormatting>
  <conditionalFormatting sqref="N101">
    <cfRule type="cellIs" dxfId="487" priority="183" stopIfTrue="1" operator="lessThan">
      <formula>-0.01</formula>
    </cfRule>
    <cfRule type="cellIs" dxfId="486" priority="184" stopIfTrue="1" operator="greaterThan">
      <formula>0.01</formula>
    </cfRule>
  </conditionalFormatting>
  <conditionalFormatting sqref="J40:J44">
    <cfRule type="cellIs" dxfId="485" priority="181" operator="greaterThan">
      <formula>0.03</formula>
    </cfRule>
    <cfRule type="cellIs" dxfId="484" priority="182" stopIfTrue="1" operator="lessThan">
      <formula>-0.03</formula>
    </cfRule>
  </conditionalFormatting>
  <conditionalFormatting sqref="N40">
    <cfRule type="cellIs" dxfId="483" priority="179" stopIfTrue="1" operator="lessThan">
      <formula>-0.01</formula>
    </cfRule>
    <cfRule type="cellIs" dxfId="482" priority="180" stopIfTrue="1" operator="greaterThan">
      <formula>0.01</formula>
    </cfRule>
  </conditionalFormatting>
  <conditionalFormatting sqref="N41">
    <cfRule type="cellIs" dxfId="481" priority="177" stopIfTrue="1" operator="lessThan">
      <formula>-0.01</formula>
    </cfRule>
    <cfRule type="cellIs" dxfId="480" priority="178" stopIfTrue="1" operator="greaterThan">
      <formula>0.01</formula>
    </cfRule>
  </conditionalFormatting>
  <conditionalFormatting sqref="N42:N43">
    <cfRule type="cellIs" dxfId="479" priority="175" stopIfTrue="1" operator="lessThan">
      <formula>-0.01</formula>
    </cfRule>
    <cfRule type="cellIs" dxfId="478" priority="176" stopIfTrue="1" operator="greaterThan">
      <formula>0.01</formula>
    </cfRule>
  </conditionalFormatting>
  <conditionalFormatting sqref="N44">
    <cfRule type="cellIs" dxfId="477" priority="173" stopIfTrue="1" operator="lessThan">
      <formula>-0.01</formula>
    </cfRule>
    <cfRule type="cellIs" dxfId="476" priority="174" stopIfTrue="1" operator="greaterThan">
      <formula>0.01</formula>
    </cfRule>
  </conditionalFormatting>
  <conditionalFormatting sqref="P40">
    <cfRule type="cellIs" dxfId="475" priority="171" operator="greaterThan">
      <formula>0.03</formula>
    </cfRule>
    <cfRule type="cellIs" dxfId="474" priority="172" stopIfTrue="1" operator="lessThan">
      <formula>-0.03</formula>
    </cfRule>
  </conditionalFormatting>
  <conditionalFormatting sqref="P44">
    <cfRule type="cellIs" dxfId="473" priority="169" operator="lessThan">
      <formula>-0.03</formula>
    </cfRule>
    <cfRule type="cellIs" dxfId="472" priority="170" stopIfTrue="1" operator="greaterThan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I29"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1">
      <dataBar>
        <cfvo type="min"/>
        <cfvo type="max"/>
        <color rgb="FF008AEF"/>
      </dataBar>
    </cfRule>
  </conditionalFormatting>
  <conditionalFormatting sqref="N34">
    <cfRule type="cellIs" dxfId="471" priority="159" stopIfTrue="1" operator="lessThan">
      <formula>-0.01</formula>
    </cfRule>
    <cfRule type="cellIs" dxfId="470" priority="160" stopIfTrue="1" operator="greaterThan">
      <formula>0.01</formula>
    </cfRule>
  </conditionalFormatting>
  <conditionalFormatting sqref="J29:J33">
    <cfRule type="cellIs" dxfId="469" priority="157" operator="greaterThan">
      <formula>0.03</formula>
    </cfRule>
    <cfRule type="cellIs" dxfId="468" priority="158" stopIfTrue="1" operator="lessThan">
      <formula>-0.03</formula>
    </cfRule>
  </conditionalFormatting>
  <conditionalFormatting sqref="N29">
    <cfRule type="cellIs" dxfId="467" priority="155" stopIfTrue="1" operator="lessThan">
      <formula>-0.01</formula>
    </cfRule>
    <cfRule type="cellIs" dxfId="466" priority="156" stopIfTrue="1" operator="greaterThan">
      <formula>0.01</formula>
    </cfRule>
  </conditionalFormatting>
  <conditionalFormatting sqref="N30">
    <cfRule type="cellIs" dxfId="465" priority="153" stopIfTrue="1" operator="lessThan">
      <formula>-0.01</formula>
    </cfRule>
    <cfRule type="cellIs" dxfId="464" priority="154" stopIfTrue="1" operator="greaterThan">
      <formula>0.01</formula>
    </cfRule>
  </conditionalFormatting>
  <conditionalFormatting sqref="N31:N32">
    <cfRule type="cellIs" dxfId="463" priority="151" stopIfTrue="1" operator="lessThan">
      <formula>-0.01</formula>
    </cfRule>
    <cfRule type="cellIs" dxfId="462" priority="152" stopIfTrue="1" operator="greaterThan">
      <formula>0.01</formula>
    </cfRule>
  </conditionalFormatting>
  <conditionalFormatting sqref="N33">
    <cfRule type="cellIs" dxfId="461" priority="149" stopIfTrue="1" operator="lessThan">
      <formula>-0.01</formula>
    </cfRule>
    <cfRule type="cellIs" dxfId="460" priority="150" stopIfTrue="1" operator="greaterThan">
      <formula>0.01</formula>
    </cfRule>
  </conditionalFormatting>
  <conditionalFormatting sqref="P29">
    <cfRule type="cellIs" dxfId="459" priority="147" operator="greaterThan">
      <formula>0.03</formula>
    </cfRule>
    <cfRule type="cellIs" dxfId="458" priority="148" stopIfTrue="1" operator="lessThan">
      <formula>-0.03</formula>
    </cfRule>
  </conditionalFormatting>
  <conditionalFormatting sqref="P33">
    <cfRule type="cellIs" dxfId="457" priority="145" operator="lessThan">
      <formula>-0.03</formula>
    </cfRule>
    <cfRule type="cellIs" dxfId="456" priority="146" stopIfTrue="1" operator="greaterThan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I18"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37">
      <dataBar>
        <cfvo type="min"/>
        <cfvo type="max"/>
        <color rgb="FF008AEF"/>
      </dataBar>
    </cfRule>
  </conditionalFormatting>
  <conditionalFormatting sqref="N23">
    <cfRule type="cellIs" dxfId="455" priority="135" stopIfTrue="1" operator="lessThan">
      <formula>-0.01</formula>
    </cfRule>
    <cfRule type="cellIs" dxfId="454" priority="136" stopIfTrue="1" operator="greaterThan">
      <formula>0.01</formula>
    </cfRule>
  </conditionalFormatting>
  <conditionalFormatting sqref="J18:J22">
    <cfRule type="cellIs" dxfId="453" priority="133" operator="greaterThan">
      <formula>0.03</formula>
    </cfRule>
    <cfRule type="cellIs" dxfId="452" priority="134" stopIfTrue="1" operator="lessThan">
      <formula>-0.03</formula>
    </cfRule>
  </conditionalFormatting>
  <conditionalFormatting sqref="N18">
    <cfRule type="cellIs" dxfId="451" priority="131" stopIfTrue="1" operator="lessThan">
      <formula>-0.01</formula>
    </cfRule>
    <cfRule type="cellIs" dxfId="450" priority="132" stopIfTrue="1" operator="greaterThan">
      <formula>0.01</formula>
    </cfRule>
  </conditionalFormatting>
  <conditionalFormatting sqref="N19">
    <cfRule type="cellIs" dxfId="449" priority="129" stopIfTrue="1" operator="lessThan">
      <formula>-0.01</formula>
    </cfRule>
    <cfRule type="cellIs" dxfId="448" priority="130" stopIfTrue="1" operator="greaterThan">
      <formula>0.01</formula>
    </cfRule>
  </conditionalFormatting>
  <conditionalFormatting sqref="N20:N21">
    <cfRule type="cellIs" dxfId="447" priority="127" stopIfTrue="1" operator="lessThan">
      <formula>-0.01</formula>
    </cfRule>
    <cfRule type="cellIs" dxfId="446" priority="128" stopIfTrue="1" operator="greaterThan">
      <formula>0.01</formula>
    </cfRule>
  </conditionalFormatting>
  <conditionalFormatting sqref="N22">
    <cfRule type="cellIs" dxfId="445" priority="125" stopIfTrue="1" operator="lessThan">
      <formula>-0.01</formula>
    </cfRule>
    <cfRule type="cellIs" dxfId="444" priority="126" stopIfTrue="1" operator="greaterThan">
      <formula>0.01</formula>
    </cfRule>
  </conditionalFormatting>
  <conditionalFormatting sqref="P18">
    <cfRule type="cellIs" dxfId="443" priority="123" operator="greaterThan">
      <formula>0.03</formula>
    </cfRule>
    <cfRule type="cellIs" dxfId="442" priority="124" stopIfTrue="1" operator="lessThan">
      <formula>-0.03</formula>
    </cfRule>
  </conditionalFormatting>
  <conditionalFormatting sqref="P22">
    <cfRule type="cellIs" dxfId="441" priority="121" operator="lessThan">
      <formula>-0.03</formula>
    </cfRule>
    <cfRule type="cellIs" dxfId="440" priority="122" stopIfTrue="1" operator="greaterThan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I7"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3">
      <dataBar>
        <cfvo type="min"/>
        <cfvo type="max"/>
        <color rgb="FF008AEF"/>
      </dataBar>
    </cfRule>
  </conditionalFormatting>
  <conditionalFormatting sqref="N12">
    <cfRule type="cellIs" dxfId="439" priority="111" stopIfTrue="1" operator="lessThan">
      <formula>-0.01</formula>
    </cfRule>
    <cfRule type="cellIs" dxfId="438" priority="112" stopIfTrue="1" operator="greaterThan">
      <formula>0.01</formula>
    </cfRule>
  </conditionalFormatting>
  <conditionalFormatting sqref="J7:J11">
    <cfRule type="cellIs" dxfId="437" priority="109" operator="greaterThan">
      <formula>0.03</formula>
    </cfRule>
    <cfRule type="cellIs" dxfId="436" priority="110" stopIfTrue="1" operator="lessThan">
      <formula>-0.03</formula>
    </cfRule>
  </conditionalFormatting>
  <conditionalFormatting sqref="N7">
    <cfRule type="cellIs" dxfId="435" priority="107" stopIfTrue="1" operator="lessThan">
      <formula>-0.01</formula>
    </cfRule>
    <cfRule type="cellIs" dxfId="434" priority="108" stopIfTrue="1" operator="greaterThan">
      <formula>0.01</formula>
    </cfRule>
  </conditionalFormatting>
  <conditionalFormatting sqref="N8">
    <cfRule type="cellIs" dxfId="433" priority="105" stopIfTrue="1" operator="lessThan">
      <formula>-0.01</formula>
    </cfRule>
    <cfRule type="cellIs" dxfId="432" priority="106" stopIfTrue="1" operator="greaterThan">
      <formula>0.01</formula>
    </cfRule>
  </conditionalFormatting>
  <conditionalFormatting sqref="N9:N10">
    <cfRule type="cellIs" dxfId="431" priority="103" stopIfTrue="1" operator="lessThan">
      <formula>-0.01</formula>
    </cfRule>
    <cfRule type="cellIs" dxfId="430" priority="104" stopIfTrue="1" operator="greaterThan">
      <formula>0.01</formula>
    </cfRule>
  </conditionalFormatting>
  <conditionalFormatting sqref="N11">
    <cfRule type="cellIs" dxfId="429" priority="101" stopIfTrue="1" operator="lessThan">
      <formula>-0.01</formula>
    </cfRule>
    <cfRule type="cellIs" dxfId="428" priority="102" stopIfTrue="1" operator="greaterThan">
      <formula>0.01</formula>
    </cfRule>
  </conditionalFormatting>
  <conditionalFormatting sqref="P7">
    <cfRule type="cellIs" dxfId="427" priority="99" operator="greaterThan">
      <formula>0.03</formula>
    </cfRule>
    <cfRule type="cellIs" dxfId="426" priority="100" stopIfTrue="1" operator="lessThan">
      <formula>-0.03</formula>
    </cfRule>
  </conditionalFormatting>
  <conditionalFormatting sqref="P11">
    <cfRule type="cellIs" dxfId="425" priority="97" operator="lessThan">
      <formula>-0.03</formula>
    </cfRule>
    <cfRule type="cellIs" dxfId="424" priority="98" stopIfTrue="1" operator="greaterThan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I62">
    <cfRule type="dataBar" priority="90">
      <dataBar>
        <cfvo type="min"/>
        <cfvo type="max"/>
        <color rgb="FF008AEF"/>
      </dataBar>
    </cfRule>
  </conditionalFormatting>
  <conditionalFormatting sqref="I63">
    <cfRule type="dataBar" priority="89">
      <dataBar>
        <cfvo type="min"/>
        <cfvo type="max"/>
        <color rgb="FF008AEF"/>
      </dataBar>
    </cfRule>
  </conditionalFormatting>
  <conditionalFormatting sqref="J62:J66">
    <cfRule type="cellIs" dxfId="423" priority="87" operator="greaterThan">
      <formula>0.03</formula>
    </cfRule>
    <cfRule type="cellIs" dxfId="422" priority="88" stopIfTrue="1" operator="lessThan">
      <formula>-0.03</formula>
    </cfRule>
  </conditionalFormatting>
  <conditionalFormatting sqref="N67">
    <cfRule type="cellIs" dxfId="421" priority="85" stopIfTrue="1" operator="lessThan">
      <formula>-0.01</formula>
    </cfRule>
    <cfRule type="cellIs" dxfId="420" priority="86" stopIfTrue="1" operator="greaterThan">
      <formula>0.01</formula>
    </cfRule>
  </conditionalFormatting>
  <conditionalFormatting sqref="N62">
    <cfRule type="cellIs" dxfId="419" priority="83" stopIfTrue="1" operator="lessThan">
      <formula>-0.01</formula>
    </cfRule>
    <cfRule type="cellIs" dxfId="418" priority="84" stopIfTrue="1" operator="greaterThan">
      <formula>0.01</formula>
    </cfRule>
  </conditionalFormatting>
  <conditionalFormatting sqref="N63">
    <cfRule type="cellIs" dxfId="417" priority="81" stopIfTrue="1" operator="lessThan">
      <formula>-0.01</formula>
    </cfRule>
    <cfRule type="cellIs" dxfId="416" priority="82" stopIfTrue="1" operator="greaterThan">
      <formula>0.01</formula>
    </cfRule>
  </conditionalFormatting>
  <conditionalFormatting sqref="N64:N65">
    <cfRule type="cellIs" dxfId="415" priority="79" stopIfTrue="1" operator="lessThan">
      <formula>-0.01</formula>
    </cfRule>
    <cfRule type="cellIs" dxfId="414" priority="80" stopIfTrue="1" operator="greaterThan">
      <formula>0.01</formula>
    </cfRule>
  </conditionalFormatting>
  <conditionalFormatting sqref="N66">
    <cfRule type="cellIs" dxfId="413" priority="77" stopIfTrue="1" operator="lessThan">
      <formula>-0.01</formula>
    </cfRule>
    <cfRule type="cellIs" dxfId="412" priority="78" stopIfTrue="1" operator="greaterThan">
      <formula>0.01</formula>
    </cfRule>
  </conditionalFormatting>
  <conditionalFormatting sqref="P62">
    <cfRule type="cellIs" dxfId="411" priority="75" operator="greaterThan">
      <formula>0.03</formula>
    </cfRule>
    <cfRule type="cellIs" dxfId="410" priority="76" stopIfTrue="1" operator="lessThan">
      <formula>-0.03</formula>
    </cfRule>
  </conditionalFormatting>
  <conditionalFormatting sqref="P66">
    <cfRule type="cellIs" dxfId="409" priority="73" operator="lessThan">
      <formula>-0.03</formula>
    </cfRule>
    <cfRule type="cellIs" dxfId="408" priority="74" stopIfTrue="1" operator="greaterThan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I73">
    <cfRule type="dataBar" priority="66">
      <dataBar>
        <cfvo type="min"/>
        <cfvo type="max"/>
        <color rgb="FF008AEF"/>
      </dataBar>
    </cfRule>
  </conditionalFormatting>
  <conditionalFormatting sqref="I74">
    <cfRule type="dataBar" priority="65">
      <dataBar>
        <cfvo type="min"/>
        <cfvo type="max"/>
        <color rgb="FF008AEF"/>
      </dataBar>
    </cfRule>
  </conditionalFormatting>
  <conditionalFormatting sqref="J73:J77">
    <cfRule type="cellIs" dxfId="407" priority="63" operator="greaterThan">
      <formula>0.03</formula>
    </cfRule>
    <cfRule type="cellIs" dxfId="406" priority="64" stopIfTrue="1" operator="lessThan">
      <formula>-0.03</formula>
    </cfRule>
  </conditionalFormatting>
  <conditionalFormatting sqref="N78">
    <cfRule type="cellIs" dxfId="405" priority="61" stopIfTrue="1" operator="lessThan">
      <formula>-0.01</formula>
    </cfRule>
    <cfRule type="cellIs" dxfId="404" priority="62" stopIfTrue="1" operator="greaterThan">
      <formula>0.01</formula>
    </cfRule>
  </conditionalFormatting>
  <conditionalFormatting sqref="N73">
    <cfRule type="cellIs" dxfId="403" priority="59" stopIfTrue="1" operator="lessThan">
      <formula>-0.01</formula>
    </cfRule>
    <cfRule type="cellIs" dxfId="402" priority="60" stopIfTrue="1" operator="greaterThan">
      <formula>0.01</formula>
    </cfRule>
  </conditionalFormatting>
  <conditionalFormatting sqref="N74">
    <cfRule type="cellIs" dxfId="401" priority="57" stopIfTrue="1" operator="lessThan">
      <formula>-0.01</formula>
    </cfRule>
    <cfRule type="cellIs" dxfId="400" priority="58" stopIfTrue="1" operator="greaterThan">
      <formula>0.01</formula>
    </cfRule>
  </conditionalFormatting>
  <conditionalFormatting sqref="N75:N76">
    <cfRule type="cellIs" dxfId="399" priority="55" stopIfTrue="1" operator="lessThan">
      <formula>-0.01</formula>
    </cfRule>
    <cfRule type="cellIs" dxfId="398" priority="56" stopIfTrue="1" operator="greaterThan">
      <formula>0.01</formula>
    </cfRule>
  </conditionalFormatting>
  <conditionalFormatting sqref="N77">
    <cfRule type="cellIs" dxfId="397" priority="53" stopIfTrue="1" operator="lessThan">
      <formula>-0.01</formula>
    </cfRule>
    <cfRule type="cellIs" dxfId="396" priority="54" stopIfTrue="1" operator="greaterThan">
      <formula>0.01</formula>
    </cfRule>
  </conditionalFormatting>
  <conditionalFormatting sqref="P73">
    <cfRule type="cellIs" dxfId="395" priority="51" operator="greaterThan">
      <formula>0.03</formula>
    </cfRule>
    <cfRule type="cellIs" dxfId="394" priority="52" stopIfTrue="1" operator="lessThan">
      <formula>-0.03</formula>
    </cfRule>
  </conditionalFormatting>
  <conditionalFormatting sqref="P77">
    <cfRule type="cellIs" dxfId="393" priority="49" operator="lessThan">
      <formula>-0.03</formula>
    </cfRule>
    <cfRule type="cellIs" dxfId="392" priority="50" stopIfTrue="1" operator="greaterThan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I84"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1">
      <dataBar>
        <cfvo type="min"/>
        <cfvo type="max"/>
        <color rgb="FF008AEF"/>
      </dataBar>
    </cfRule>
  </conditionalFormatting>
  <conditionalFormatting sqref="J84:J88">
    <cfRule type="cellIs" dxfId="391" priority="39" operator="greaterThan">
      <formula>0.03</formula>
    </cfRule>
    <cfRule type="cellIs" dxfId="390" priority="40" stopIfTrue="1" operator="lessThan">
      <formula>-0.03</formula>
    </cfRule>
  </conditionalFormatting>
  <conditionalFormatting sqref="N89">
    <cfRule type="cellIs" dxfId="389" priority="37" stopIfTrue="1" operator="lessThan">
      <formula>-0.01</formula>
    </cfRule>
    <cfRule type="cellIs" dxfId="388" priority="38" stopIfTrue="1" operator="greaterThan">
      <formula>0.01</formula>
    </cfRule>
  </conditionalFormatting>
  <conditionalFormatting sqref="N84">
    <cfRule type="cellIs" dxfId="387" priority="35" stopIfTrue="1" operator="lessThan">
      <formula>-0.01</formula>
    </cfRule>
    <cfRule type="cellIs" dxfId="386" priority="36" stopIfTrue="1" operator="greaterThan">
      <formula>0.01</formula>
    </cfRule>
  </conditionalFormatting>
  <conditionalFormatting sqref="N85">
    <cfRule type="cellIs" dxfId="385" priority="33" stopIfTrue="1" operator="lessThan">
      <formula>-0.01</formula>
    </cfRule>
    <cfRule type="cellIs" dxfId="384" priority="34" stopIfTrue="1" operator="greaterThan">
      <formula>0.01</formula>
    </cfRule>
  </conditionalFormatting>
  <conditionalFormatting sqref="N86:N87">
    <cfRule type="cellIs" dxfId="383" priority="31" stopIfTrue="1" operator="lessThan">
      <formula>-0.01</formula>
    </cfRule>
    <cfRule type="cellIs" dxfId="382" priority="32" stopIfTrue="1" operator="greaterThan">
      <formula>0.01</formula>
    </cfRule>
  </conditionalFormatting>
  <conditionalFormatting sqref="N88">
    <cfRule type="cellIs" dxfId="381" priority="29" stopIfTrue="1" operator="lessThan">
      <formula>-0.01</formula>
    </cfRule>
    <cfRule type="cellIs" dxfId="380" priority="30" stopIfTrue="1" operator="greaterThan">
      <formula>0.01</formula>
    </cfRule>
  </conditionalFormatting>
  <conditionalFormatting sqref="P84">
    <cfRule type="cellIs" dxfId="379" priority="27" operator="greaterThan">
      <formula>0.03</formula>
    </cfRule>
    <cfRule type="cellIs" dxfId="378" priority="28" stopIfTrue="1" operator="lessThan">
      <formula>-0.03</formula>
    </cfRule>
  </conditionalFormatting>
  <conditionalFormatting sqref="P88">
    <cfRule type="cellIs" dxfId="377" priority="25" operator="lessThan">
      <formula>-0.03</formula>
    </cfRule>
    <cfRule type="cellIs" dxfId="376" priority="26" stopIfTrue="1" operator="greaterThan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I95">
    <cfRule type="dataBar" priority="18">
      <dataBar>
        <cfvo type="min"/>
        <cfvo type="max"/>
        <color rgb="FF008AEF"/>
      </dataBar>
    </cfRule>
  </conditionalFormatting>
  <conditionalFormatting sqref="I96">
    <cfRule type="dataBar" priority="17">
      <dataBar>
        <cfvo type="min"/>
        <cfvo type="max"/>
        <color rgb="FF008AEF"/>
      </dataBar>
    </cfRule>
  </conditionalFormatting>
  <conditionalFormatting sqref="J95:J99">
    <cfRule type="cellIs" dxfId="375" priority="15" operator="greaterThan">
      <formula>0.03</formula>
    </cfRule>
    <cfRule type="cellIs" dxfId="374" priority="16" stopIfTrue="1" operator="lessThan">
      <formula>-0.03</formula>
    </cfRule>
  </conditionalFormatting>
  <conditionalFormatting sqref="N100">
    <cfRule type="cellIs" dxfId="373" priority="13" stopIfTrue="1" operator="lessThan">
      <formula>-0.01</formula>
    </cfRule>
    <cfRule type="cellIs" dxfId="372" priority="14" stopIfTrue="1" operator="greaterThan">
      <formula>0.01</formula>
    </cfRule>
  </conditionalFormatting>
  <conditionalFormatting sqref="N95">
    <cfRule type="cellIs" dxfId="371" priority="11" stopIfTrue="1" operator="lessThan">
      <formula>-0.01</formula>
    </cfRule>
    <cfRule type="cellIs" dxfId="370" priority="12" stopIfTrue="1" operator="greaterThan">
      <formula>0.01</formula>
    </cfRule>
  </conditionalFormatting>
  <conditionalFormatting sqref="N96">
    <cfRule type="cellIs" dxfId="369" priority="9" stopIfTrue="1" operator="lessThan">
      <formula>-0.01</formula>
    </cfRule>
    <cfRule type="cellIs" dxfId="368" priority="10" stopIfTrue="1" operator="greaterThan">
      <formula>0.01</formula>
    </cfRule>
  </conditionalFormatting>
  <conditionalFormatting sqref="N97:N98">
    <cfRule type="cellIs" dxfId="367" priority="7" stopIfTrue="1" operator="lessThan">
      <formula>-0.01</formula>
    </cfRule>
    <cfRule type="cellIs" dxfId="366" priority="8" stopIfTrue="1" operator="greaterThan">
      <formula>0.01</formula>
    </cfRule>
  </conditionalFormatting>
  <conditionalFormatting sqref="N99">
    <cfRule type="cellIs" dxfId="365" priority="5" stopIfTrue="1" operator="lessThan">
      <formula>-0.01</formula>
    </cfRule>
    <cfRule type="cellIs" dxfId="364" priority="6" stopIfTrue="1" operator="greaterThan">
      <formula>0.01</formula>
    </cfRule>
  </conditionalFormatting>
  <conditionalFormatting sqref="P95">
    <cfRule type="cellIs" dxfId="363" priority="3" operator="greaterThan">
      <formula>0.03</formula>
    </cfRule>
    <cfRule type="cellIs" dxfId="362" priority="4" stopIfTrue="1" operator="lessThan">
      <formula>-0.03</formula>
    </cfRule>
  </conditionalFormatting>
  <conditionalFormatting sqref="P99">
    <cfRule type="cellIs" dxfId="361" priority="1" operator="lessThan">
      <formula>-0.03</formula>
    </cfRule>
    <cfRule type="cellIs" dxfId="36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CD32E-02B7-48B3-A6E4-BCDA807C4ED2}">
  <sheetPr codeName="Sheet26"/>
  <dimension ref="A1:AF221"/>
  <sheetViews>
    <sheetView zoomScaleNormal="100" workbookViewId="0">
      <selection activeCell="B2" sqref="B2:D2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1992187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19921875" bestFit="1" customWidth="1"/>
    <col min="26" max="26" width="5.19921875" bestFit="1" customWidth="1"/>
    <col min="27" max="27" width="1.69921875" bestFit="1" customWidth="1"/>
    <col min="28" max="28" width="8.19921875" style="155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5" t="s">
        <v>33</v>
      </c>
      <c r="AF1" s="15" t="s">
        <v>33</v>
      </c>
    </row>
    <row r="2" spans="1:32" x14ac:dyDescent="0.25">
      <c r="B2" s="325" t="str">
        <f>'Summary (auto)'!B3</f>
        <v>Anchor</v>
      </c>
      <c r="C2" s="325"/>
      <c r="D2" s="325"/>
      <c r="E2" s="158"/>
      <c r="F2" s="325" t="str">
        <f>'Summary (auto)'!B4</f>
        <v>Proposal</v>
      </c>
      <c r="G2" s="325"/>
      <c r="H2" s="325"/>
      <c r="I2" s="155"/>
      <c r="J2" s="156" t="s">
        <v>34</v>
      </c>
      <c r="K2" s="155"/>
      <c r="L2" s="314" t="s">
        <v>35</v>
      </c>
      <c r="M2" s="313"/>
      <c r="N2" s="313"/>
      <c r="O2" s="155"/>
      <c r="P2" s="156" t="s">
        <v>36</v>
      </c>
      <c r="U2" s="156"/>
      <c r="V2" s="156"/>
    </row>
    <row r="3" spans="1:32" ht="16.5" customHeight="1" thickBot="1" x14ac:dyDescent="0.3">
      <c r="A3" s="291" t="s">
        <v>0</v>
      </c>
      <c r="B3" s="158"/>
      <c r="C3" s="158"/>
      <c r="D3" s="158"/>
      <c r="E3" s="158"/>
      <c r="F3" s="158"/>
      <c r="G3" s="158"/>
      <c r="H3" s="158"/>
      <c r="I3" s="155"/>
      <c r="J3" s="155"/>
      <c r="K3" s="292" t="s">
        <v>0</v>
      </c>
      <c r="L3" s="137" t="s">
        <v>59</v>
      </c>
      <c r="M3" s="137" t="s">
        <v>60</v>
      </c>
      <c r="N3" s="155"/>
      <c r="O3" s="292" t="s">
        <v>0</v>
      </c>
      <c r="P3" s="155"/>
      <c r="U3" s="291" t="s">
        <v>0</v>
      </c>
      <c r="W3" s="291" t="s">
        <v>0</v>
      </c>
    </row>
    <row r="4" spans="1:32" x14ac:dyDescent="0.25">
      <c r="B4" s="315" t="s">
        <v>14</v>
      </c>
      <c r="C4" s="316"/>
      <c r="D4" s="317"/>
      <c r="E4" s="166"/>
      <c r="F4" s="315" t="str">
        <f>B4</f>
        <v>M_CG1</v>
      </c>
      <c r="G4" s="316"/>
      <c r="H4" s="317"/>
      <c r="I4" s="155"/>
      <c r="J4" s="159"/>
      <c r="K4" s="155"/>
      <c r="L4" s="318" t="str">
        <f>F4</f>
        <v>M_CG1</v>
      </c>
      <c r="M4" s="319"/>
      <c r="N4" s="320"/>
      <c r="O4" s="155"/>
      <c r="P4" s="159"/>
      <c r="U4" s="155"/>
      <c r="V4" s="155"/>
    </row>
    <row r="5" spans="1:32" x14ac:dyDescent="0.25">
      <c r="B5" s="321" t="s">
        <v>39</v>
      </c>
      <c r="C5" s="322"/>
      <c r="D5" s="116" t="s">
        <v>40</v>
      </c>
      <c r="E5" s="157"/>
      <c r="F5" s="321" t="s">
        <v>39</v>
      </c>
      <c r="G5" s="322"/>
      <c r="H5" s="116" t="s">
        <v>40</v>
      </c>
      <c r="I5" s="155"/>
      <c r="J5" s="160" t="s">
        <v>41</v>
      </c>
      <c r="K5" s="155"/>
      <c r="L5" s="323" t="s">
        <v>61</v>
      </c>
      <c r="M5" s="313"/>
      <c r="N5" s="324"/>
      <c r="O5" s="155"/>
      <c r="P5" s="7"/>
      <c r="R5" s="112"/>
      <c r="U5" s="156"/>
      <c r="V5" s="156"/>
    </row>
    <row r="6" spans="1:32" x14ac:dyDescent="0.25">
      <c r="B6" s="293" t="s">
        <v>2</v>
      </c>
      <c r="C6" s="177" t="s">
        <v>43</v>
      </c>
      <c r="D6" s="115" t="s">
        <v>44</v>
      </c>
      <c r="E6" s="117"/>
      <c r="F6" s="293" t="s">
        <v>2</v>
      </c>
      <c r="G6" s="177" t="s">
        <v>43</v>
      </c>
      <c r="H6" s="115" t="s">
        <v>44</v>
      </c>
      <c r="I6" s="113"/>
      <c r="J6" s="125"/>
      <c r="K6" s="155"/>
      <c r="L6" s="294" t="str">
        <f>CONCATENATE(B$2," ",L4)</f>
        <v>Anchor M_CG1</v>
      </c>
      <c r="M6" s="295" t="str">
        <f>CONCATENATE(F$2," ",L4)</f>
        <v>Proposal M_CG1</v>
      </c>
      <c r="N6" s="296" t="s">
        <v>45</v>
      </c>
      <c r="O6" s="155"/>
      <c r="P6" s="7" t="s">
        <v>36</v>
      </c>
      <c r="Q6" s="6"/>
      <c r="R6" s="6"/>
      <c r="S6" s="6"/>
      <c r="T6" s="6"/>
      <c r="U6" s="6"/>
      <c r="V6" s="6"/>
    </row>
    <row r="7" spans="1:32" x14ac:dyDescent="0.25">
      <c r="B7" s="166" t="str">
        <f>B4</f>
        <v>M_CG1</v>
      </c>
      <c r="C7" s="177" t="s">
        <v>46</v>
      </c>
      <c r="D7" s="118" t="e">
        <f ca="1">0.001*INDIRECT($B7&amp;"!E5")</f>
        <v>#REF!</v>
      </c>
      <c r="E7" s="32"/>
      <c r="F7" s="166" t="str">
        <f>F4</f>
        <v>M_CG1</v>
      </c>
      <c r="G7" s="177" t="s">
        <v>46</v>
      </c>
      <c r="H7" s="118" t="e">
        <f ca="1">0.001*INDIRECT($B7&amp;"!W5")</f>
        <v>#REF!</v>
      </c>
      <c r="I7" s="14"/>
      <c r="J7" s="33" t="e">
        <f ca="1">H7/D7-1</f>
        <v>#REF!</v>
      </c>
      <c r="L7" s="126" t="e">
        <f ca="1">INDIRECT($B7&amp;"!"&amp;L$3&amp;"5")</f>
        <v>#REF!</v>
      </c>
      <c r="M7" s="127" t="e">
        <f ca="1">INDIRECT($B7&amp;"!"&amp;M$3&amp;"5")</f>
        <v>#REF!</v>
      </c>
      <c r="N7" s="128" t="e">
        <f ca="1">M7-L7</f>
        <v>#REF!</v>
      </c>
      <c r="O7" s="32"/>
      <c r="P7" s="33" t="e">
        <f ca="1">bdrate(D7:D11,L7:L11,H7:H11,M7:M11)</f>
        <v>#VALUE!</v>
      </c>
      <c r="Q7" s="32"/>
      <c r="R7" s="14"/>
      <c r="S7" s="14"/>
      <c r="T7" s="14"/>
      <c r="U7" s="14"/>
      <c r="V7" s="107"/>
    </row>
    <row r="8" spans="1:32" x14ac:dyDescent="0.25">
      <c r="B8" s="166" t="str">
        <f>B7</f>
        <v>M_CG1</v>
      </c>
      <c r="C8" s="177" t="s">
        <v>47</v>
      </c>
      <c r="D8" s="118" t="e">
        <f ca="1">0.001*INDIRECT($B8&amp;"!E6")</f>
        <v>#REF!</v>
      </c>
      <c r="E8" s="32"/>
      <c r="F8" s="166" t="str">
        <f>F7</f>
        <v>M_CG1</v>
      </c>
      <c r="G8" s="177" t="s">
        <v>47</v>
      </c>
      <c r="H8" s="118" t="e">
        <f ca="1">0.001*INDIRECT($B8&amp;"!W6")</f>
        <v>#REF!</v>
      </c>
      <c r="I8" s="14"/>
      <c r="J8" s="33" t="e">
        <f ca="1">H8/D8-1</f>
        <v>#REF!</v>
      </c>
      <c r="L8" s="126" t="e">
        <f ca="1">INDIRECT($B8&amp;"!"&amp;L$3&amp;"6")</f>
        <v>#REF!</v>
      </c>
      <c r="M8" s="127" t="e">
        <f ca="1">INDIRECT($B8&amp;"!"&amp;M$3&amp;"6")</f>
        <v>#REF!</v>
      </c>
      <c r="N8" s="128" t="e">
        <f ca="1">M8-L8</f>
        <v>#REF!</v>
      </c>
      <c r="O8" s="32"/>
      <c r="P8" s="7"/>
      <c r="Q8" s="32"/>
      <c r="R8" s="14"/>
      <c r="S8" s="14"/>
      <c r="T8" s="14"/>
      <c r="U8" s="14"/>
      <c r="V8" s="107"/>
    </row>
    <row r="9" spans="1:32" x14ac:dyDescent="0.25">
      <c r="B9" s="166" t="str">
        <f>B8</f>
        <v>M_CG1</v>
      </c>
      <c r="C9" s="177" t="s">
        <v>48</v>
      </c>
      <c r="D9" s="118" t="e">
        <f ca="1">0.001*INDIRECT($B9&amp;"!E7")</f>
        <v>#REF!</v>
      </c>
      <c r="E9" s="32"/>
      <c r="F9" s="166" t="str">
        <f>F8</f>
        <v>M_CG1</v>
      </c>
      <c r="G9" s="177" t="s">
        <v>48</v>
      </c>
      <c r="H9" s="118" t="e">
        <f ca="1">0.001*INDIRECT($B9&amp;"!W7")</f>
        <v>#REF!</v>
      </c>
      <c r="I9" s="14"/>
      <c r="J9" s="33" t="e">
        <f ca="1">H9/D9-1</f>
        <v>#REF!</v>
      </c>
      <c r="L9" s="126" t="e">
        <f ca="1">INDIRECT($B9&amp;"!"&amp;L$3&amp;"7")</f>
        <v>#REF!</v>
      </c>
      <c r="M9" s="127" t="e">
        <f ca="1">INDIRECT($B9&amp;"!"&amp;M$3&amp;"7")</f>
        <v>#REF!</v>
      </c>
      <c r="N9" s="128" t="e">
        <f ca="1">M9-L9</f>
        <v>#REF!</v>
      </c>
      <c r="O9" s="32"/>
      <c r="P9" s="7" t="s">
        <v>49</v>
      </c>
      <c r="Q9" s="32"/>
      <c r="R9" s="14"/>
      <c r="S9" s="14"/>
      <c r="T9" s="14"/>
      <c r="U9" s="14"/>
      <c r="V9" s="107"/>
    </row>
    <row r="10" spans="1:32" x14ac:dyDescent="0.25">
      <c r="B10" s="166" t="str">
        <f>B9</f>
        <v>M_CG1</v>
      </c>
      <c r="C10" s="177" t="s">
        <v>50</v>
      </c>
      <c r="D10" s="118" t="e">
        <f ca="1">0.001*INDIRECT($B10&amp;"!E8")</f>
        <v>#REF!</v>
      </c>
      <c r="E10" s="32"/>
      <c r="F10" s="166" t="str">
        <f>F9</f>
        <v>M_CG1</v>
      </c>
      <c r="G10" s="177" t="s">
        <v>50</v>
      </c>
      <c r="H10" s="118" t="e">
        <f ca="1">0.001*INDIRECT($B10&amp;"!W8")</f>
        <v>#REF!</v>
      </c>
      <c r="I10" s="14"/>
      <c r="J10" s="33" t="e">
        <f ca="1">H10/D10-1</f>
        <v>#REF!</v>
      </c>
      <c r="L10" s="126" t="e">
        <f ca="1">INDIRECT($B10&amp;"!"&amp;L$3&amp;"8")</f>
        <v>#REF!</v>
      </c>
      <c r="M10" s="127" t="e">
        <f ca="1">INDIRECT($B10&amp;"!"&amp;M$3&amp;"8")</f>
        <v>#REF!</v>
      </c>
      <c r="N10" s="128" t="e">
        <f ca="1">M10-L10</f>
        <v>#REF!</v>
      </c>
      <c r="O10" s="32"/>
      <c r="P10" s="268" t="e">
        <f ca="1">bdrate(L7:L11,D7:D11,M7:M11,H7:H11)</f>
        <v>#VALUE!</v>
      </c>
      <c r="Q10" s="32"/>
      <c r="R10" s="14"/>
      <c r="S10" s="14"/>
      <c r="T10" s="14"/>
      <c r="U10" s="14"/>
      <c r="V10" s="107"/>
    </row>
    <row r="11" spans="1:32" ht="16.5" customHeight="1" thickBot="1" x14ac:dyDescent="0.3">
      <c r="B11" s="120" t="str">
        <f>B10</f>
        <v>M_CG1</v>
      </c>
      <c r="C11" s="178" t="s">
        <v>51</v>
      </c>
      <c r="D11" s="121" t="e">
        <f ca="1">0.001*INDIRECT($B11&amp;"!E9")</f>
        <v>#REF!</v>
      </c>
      <c r="E11" s="32"/>
      <c r="F11" s="120" t="str">
        <f>F10</f>
        <v>M_CG1</v>
      </c>
      <c r="G11" s="178" t="s">
        <v>51</v>
      </c>
      <c r="H11" s="118" t="e">
        <f ca="1">0.001*INDIRECT($B11&amp;"!W9")</f>
        <v>#REF!</v>
      </c>
      <c r="I11" s="14"/>
      <c r="J11" s="33" t="e">
        <f ca="1">H11/D11-1</f>
        <v>#REF!</v>
      </c>
      <c r="L11" s="126" t="e">
        <f ca="1">INDIRECT($B11&amp;"!"&amp;L$3&amp;"9")</f>
        <v>#REF!</v>
      </c>
      <c r="M11" s="127" t="e">
        <f ca="1">INDIRECT($B11&amp;"!"&amp;M$3&amp;"9")</f>
        <v>#REF!</v>
      </c>
      <c r="N11" s="129" t="e">
        <f ca="1">M11-L11</f>
        <v>#REF!</v>
      </c>
      <c r="O11" s="32"/>
      <c r="P11" s="37"/>
      <c r="Q11" s="32"/>
      <c r="R11" s="14"/>
      <c r="S11" s="14"/>
      <c r="T11" s="14"/>
      <c r="U11" s="14"/>
      <c r="V11" s="107"/>
    </row>
    <row r="12" spans="1:32" ht="16.5" customHeight="1" x14ac:dyDescent="0.25">
      <c r="B12" s="122"/>
      <c r="C12" s="153"/>
      <c r="D12" s="123"/>
      <c r="F12" s="122"/>
      <c r="G12" s="153"/>
      <c r="H12" s="123"/>
      <c r="J12" s="130" t="e">
        <f ca="1">MIN(D7:D11,H7:H11)</f>
        <v>#REF!</v>
      </c>
      <c r="L12" s="131"/>
      <c r="M12" s="132"/>
      <c r="N12" s="133"/>
      <c r="O12" s="32"/>
      <c r="P12" s="159"/>
      <c r="Q12" s="32"/>
      <c r="R12" s="14"/>
      <c r="S12" s="14"/>
      <c r="T12" s="14"/>
      <c r="U12" s="14"/>
      <c r="V12" s="110"/>
    </row>
    <row r="13" spans="1:32" ht="16.5" customHeight="1" thickBot="1" x14ac:dyDescent="0.3">
      <c r="B13" s="120"/>
      <c r="C13" s="124"/>
      <c r="D13" s="121"/>
      <c r="E13" s="119"/>
      <c r="F13" s="120"/>
      <c r="G13" s="124"/>
      <c r="H13" s="121"/>
      <c r="I13" s="114"/>
      <c r="J13" s="134" t="e">
        <f ca="1">MAX(D7:D11,H7:H11)</f>
        <v>#REF!</v>
      </c>
      <c r="K13" s="155"/>
      <c r="L13" s="135">
        <f>L12</f>
        <v>0</v>
      </c>
      <c r="M13" s="136">
        <f>M12</f>
        <v>0</v>
      </c>
      <c r="N13" s="129"/>
      <c r="O13" s="155"/>
      <c r="P13" s="10"/>
      <c r="Q13" s="32"/>
      <c r="R13" s="14"/>
      <c r="S13" s="14"/>
      <c r="T13" s="14"/>
      <c r="U13" s="14"/>
      <c r="V13" s="110"/>
    </row>
    <row r="14" spans="1:32" ht="16.5" customHeight="1" thickBot="1" x14ac:dyDescent="0.3"/>
    <row r="15" spans="1:32" x14ac:dyDescent="0.25">
      <c r="B15" s="315" t="s">
        <v>16</v>
      </c>
      <c r="C15" s="316"/>
      <c r="D15" s="317"/>
      <c r="E15" s="6"/>
      <c r="F15" s="315" t="str">
        <f>B15</f>
        <v>M_CG2</v>
      </c>
      <c r="G15" s="316"/>
      <c r="H15" s="317"/>
      <c r="I15" s="6"/>
      <c r="J15" s="159"/>
      <c r="L15" s="318" t="str">
        <f>F15</f>
        <v>M_CG2</v>
      </c>
      <c r="M15" s="319"/>
      <c r="N15" s="320"/>
      <c r="O15" s="297"/>
      <c r="P15" s="159"/>
      <c r="Q15" s="297"/>
      <c r="R15" s="297"/>
      <c r="S15" s="297"/>
      <c r="T15" s="297"/>
      <c r="U15" s="155"/>
      <c r="V15" s="155"/>
      <c r="X15" s="313"/>
      <c r="Y15" s="301"/>
      <c r="Z15" s="301"/>
    </row>
    <row r="16" spans="1:32" x14ac:dyDescent="0.25">
      <c r="B16" s="321" t="s">
        <v>39</v>
      </c>
      <c r="C16" s="322"/>
      <c r="D16" s="116" t="s">
        <v>40</v>
      </c>
      <c r="E16" s="32"/>
      <c r="F16" s="321" t="s">
        <v>39</v>
      </c>
      <c r="G16" s="322"/>
      <c r="H16" s="116" t="s">
        <v>40</v>
      </c>
      <c r="I16" s="14"/>
      <c r="J16" s="160" t="s">
        <v>41</v>
      </c>
      <c r="L16" s="323" t="s">
        <v>61</v>
      </c>
      <c r="M16" s="313"/>
      <c r="N16" s="324"/>
      <c r="O16" s="112"/>
      <c r="P16" s="7"/>
      <c r="Q16" s="112"/>
      <c r="R16" s="314"/>
      <c r="S16" s="314"/>
      <c r="T16" s="314"/>
      <c r="U16" s="156"/>
      <c r="V16" s="156"/>
      <c r="X16" s="314"/>
      <c r="Y16" s="301"/>
      <c r="Z16" s="301"/>
    </row>
    <row r="17" spans="2:28" x14ac:dyDescent="0.25">
      <c r="B17" s="293" t="s">
        <v>2</v>
      </c>
      <c r="C17" s="177" t="s">
        <v>43</v>
      </c>
      <c r="D17" s="115" t="s">
        <v>44</v>
      </c>
      <c r="E17" s="32"/>
      <c r="F17" s="293" t="s">
        <v>2</v>
      </c>
      <c r="G17" s="177" t="s">
        <v>43</v>
      </c>
      <c r="H17" s="115" t="s">
        <v>44</v>
      </c>
      <c r="I17" s="14"/>
      <c r="J17" s="125"/>
      <c r="L17" s="294" t="str">
        <f>CONCATENATE(B$2," ",L15)</f>
        <v>Anchor M_CG2</v>
      </c>
      <c r="M17" s="295" t="str">
        <f>CONCATENATE(F$2," ",L15)</f>
        <v>Proposal M_CG2</v>
      </c>
      <c r="N17" s="296" t="s">
        <v>45</v>
      </c>
      <c r="O17" s="6"/>
      <c r="P17" s="7" t="s">
        <v>36</v>
      </c>
      <c r="Q17" s="6"/>
      <c r="R17" s="6"/>
      <c r="S17" s="6"/>
      <c r="T17" s="6"/>
      <c r="U17" s="6"/>
      <c r="V17" s="6"/>
      <c r="X17" s="297"/>
      <c r="Y17" s="297"/>
      <c r="Z17" s="297"/>
    </row>
    <row r="18" spans="2:28" x14ac:dyDescent="0.25">
      <c r="B18" s="166" t="str">
        <f>B15</f>
        <v>M_CG2</v>
      </c>
      <c r="C18" s="177" t="s">
        <v>46</v>
      </c>
      <c r="D18" s="118" t="e">
        <f ca="1">0.001*INDIRECT($B18&amp;"!E5")</f>
        <v>#REF!</v>
      </c>
      <c r="E18" s="32"/>
      <c r="F18" s="166" t="str">
        <f>F15</f>
        <v>M_CG2</v>
      </c>
      <c r="G18" s="177" t="s">
        <v>46</v>
      </c>
      <c r="H18" s="118" t="e">
        <f ca="1">0.001*INDIRECT($B18&amp;"!W5")</f>
        <v>#REF!</v>
      </c>
      <c r="I18" s="14"/>
      <c r="J18" s="33" t="e">
        <f ca="1">H18/D18-1</f>
        <v>#REF!</v>
      </c>
      <c r="L18" s="126" t="e">
        <f ca="1">INDIRECT($B18&amp;"!"&amp;L$3&amp;"5")</f>
        <v>#REF!</v>
      </c>
      <c r="M18" s="127" t="e">
        <f ca="1">INDIRECT($B18&amp;"!"&amp;M$3&amp;"5")</f>
        <v>#REF!</v>
      </c>
      <c r="N18" s="128" t="e">
        <f ca="1">M18-L18</f>
        <v>#REF!</v>
      </c>
      <c r="O18" s="32"/>
      <c r="P18" s="33" t="e">
        <f ca="1">bdrate(D18:D22,L18:L22,H18:H22,M18:M22)</f>
        <v>#VALUE!</v>
      </c>
      <c r="Q18" s="32"/>
      <c r="R18" s="14"/>
      <c r="S18" s="14"/>
      <c r="T18" s="14"/>
      <c r="U18" s="14"/>
      <c r="V18" s="107"/>
      <c r="X18" s="11"/>
      <c r="Y18" s="11"/>
      <c r="Z18" s="108"/>
      <c r="AB18" s="109"/>
    </row>
    <row r="19" spans="2:28" x14ac:dyDescent="0.25">
      <c r="B19" s="166" t="str">
        <f>B18</f>
        <v>M_CG2</v>
      </c>
      <c r="C19" s="177" t="s">
        <v>47</v>
      </c>
      <c r="D19" s="118" t="e">
        <f ca="1">0.001*INDIRECT($B19&amp;"!E6")</f>
        <v>#REF!</v>
      </c>
      <c r="E19" s="32"/>
      <c r="F19" s="166" t="str">
        <f>F18</f>
        <v>M_CG2</v>
      </c>
      <c r="G19" s="177" t="s">
        <v>47</v>
      </c>
      <c r="H19" s="118" t="e">
        <f ca="1">0.001*INDIRECT($B19&amp;"!W6")</f>
        <v>#REF!</v>
      </c>
      <c r="I19" s="14"/>
      <c r="J19" s="33" t="e">
        <f ca="1">H19/D19-1</f>
        <v>#REF!</v>
      </c>
      <c r="L19" s="126" t="e">
        <f ca="1">INDIRECT($B19&amp;"!"&amp;L$3&amp;"6")</f>
        <v>#REF!</v>
      </c>
      <c r="M19" s="127" t="e">
        <f ca="1">INDIRECT($B19&amp;"!"&amp;M$3&amp;"6")</f>
        <v>#REF!</v>
      </c>
      <c r="N19" s="128" t="e">
        <f ca="1">M19-L19</f>
        <v>#REF!</v>
      </c>
      <c r="O19" s="32"/>
      <c r="P19" s="7"/>
      <c r="Q19" s="32"/>
      <c r="R19" s="14"/>
      <c r="S19" s="14"/>
      <c r="T19" s="14"/>
      <c r="U19" s="14"/>
      <c r="V19" s="107"/>
      <c r="X19" s="11"/>
      <c r="Y19" s="11"/>
      <c r="Z19" s="108"/>
    </row>
    <row r="20" spans="2:28" x14ac:dyDescent="0.25">
      <c r="B20" s="166" t="str">
        <f>B19</f>
        <v>M_CG2</v>
      </c>
      <c r="C20" s="177" t="s">
        <v>48</v>
      </c>
      <c r="D20" s="118" t="e">
        <f ca="1">0.001*INDIRECT($B20&amp;"!E7")</f>
        <v>#REF!</v>
      </c>
      <c r="E20" s="32"/>
      <c r="F20" s="166" t="str">
        <f>F19</f>
        <v>M_CG2</v>
      </c>
      <c r="G20" s="177" t="s">
        <v>48</v>
      </c>
      <c r="H20" s="118" t="e">
        <f ca="1">0.001*INDIRECT($B20&amp;"!W7")</f>
        <v>#REF!</v>
      </c>
      <c r="I20" s="14"/>
      <c r="J20" s="33" t="e">
        <f ca="1">H20/D20-1</f>
        <v>#REF!</v>
      </c>
      <c r="L20" s="126" t="e">
        <f ca="1">INDIRECT($B20&amp;"!"&amp;L$3&amp;"7")</f>
        <v>#REF!</v>
      </c>
      <c r="M20" s="127" t="e">
        <f ca="1">INDIRECT($B20&amp;"!"&amp;M$3&amp;"7")</f>
        <v>#REF!</v>
      </c>
      <c r="N20" s="128" t="e">
        <f ca="1">M20-L20</f>
        <v>#REF!</v>
      </c>
      <c r="O20" s="32"/>
      <c r="P20" s="7" t="s">
        <v>49</v>
      </c>
      <c r="Q20" s="32"/>
      <c r="R20" s="14"/>
      <c r="S20" s="14"/>
      <c r="T20" s="14"/>
      <c r="U20" s="14"/>
      <c r="V20" s="107"/>
      <c r="X20" s="11"/>
      <c r="Y20" s="11"/>
      <c r="Z20" s="108"/>
    </row>
    <row r="21" spans="2:28" x14ac:dyDescent="0.25">
      <c r="B21" s="166" t="str">
        <f>B20</f>
        <v>M_CG2</v>
      </c>
      <c r="C21" s="177" t="s">
        <v>50</v>
      </c>
      <c r="D21" s="118" t="e">
        <f ca="1">0.001*INDIRECT($B21&amp;"!E8")</f>
        <v>#REF!</v>
      </c>
      <c r="E21" s="32"/>
      <c r="F21" s="166" t="str">
        <f>F20</f>
        <v>M_CG2</v>
      </c>
      <c r="G21" s="177" t="s">
        <v>50</v>
      </c>
      <c r="H21" s="118" t="e">
        <f ca="1">0.001*INDIRECT($B21&amp;"!W8")</f>
        <v>#REF!</v>
      </c>
      <c r="I21" s="14"/>
      <c r="J21" s="33" t="e">
        <f ca="1">H21/D21-1</f>
        <v>#REF!</v>
      </c>
      <c r="L21" s="126" t="e">
        <f ca="1">INDIRECT($B21&amp;"!"&amp;L$3&amp;"8")</f>
        <v>#REF!</v>
      </c>
      <c r="M21" s="127" t="e">
        <f ca="1">INDIRECT($B21&amp;"!"&amp;M$3&amp;"8")</f>
        <v>#REF!</v>
      </c>
      <c r="N21" s="128" t="e">
        <f ca="1">M21-L21</f>
        <v>#REF!</v>
      </c>
      <c r="O21" s="32"/>
      <c r="P21" s="268" t="e">
        <f ca="1">bdrate(L18:L22,D18:D22,M18:M22,H18:H22)</f>
        <v>#VALUE!</v>
      </c>
      <c r="Q21" s="32"/>
      <c r="R21" s="14"/>
      <c r="S21" s="14"/>
      <c r="T21" s="14"/>
      <c r="U21" s="14"/>
      <c r="V21" s="107"/>
      <c r="X21" s="11"/>
      <c r="Y21" s="11"/>
      <c r="Z21" s="108"/>
    </row>
    <row r="22" spans="2:28" ht="16.5" customHeight="1" thickBot="1" x14ac:dyDescent="0.3">
      <c r="B22" s="120" t="str">
        <f>B21</f>
        <v>M_CG2</v>
      </c>
      <c r="C22" s="178" t="s">
        <v>51</v>
      </c>
      <c r="D22" s="121" t="e">
        <f ca="1">0.001*INDIRECT($B22&amp;"!E9")</f>
        <v>#REF!</v>
      </c>
      <c r="E22" s="32"/>
      <c r="F22" s="120" t="str">
        <f>F21</f>
        <v>M_CG2</v>
      </c>
      <c r="G22" s="178" t="s">
        <v>51</v>
      </c>
      <c r="H22" s="118" t="e">
        <f ca="1">0.001*INDIRECT($B22&amp;"!W9")</f>
        <v>#REF!</v>
      </c>
      <c r="I22" s="14"/>
      <c r="J22" s="33" t="e">
        <f ca="1">H22/D22-1</f>
        <v>#REF!</v>
      </c>
      <c r="L22" s="126" t="e">
        <f ca="1">INDIRECT($B22&amp;"!"&amp;L$3&amp;"9")</f>
        <v>#REF!</v>
      </c>
      <c r="M22" s="127" t="e">
        <f ca="1">INDIRECT($B22&amp;"!"&amp;M$3&amp;"9")</f>
        <v>#REF!</v>
      </c>
      <c r="N22" s="129" t="e">
        <f ca="1">M22-L22</f>
        <v>#REF!</v>
      </c>
      <c r="O22" s="32"/>
      <c r="P22" s="37"/>
      <c r="Q22" s="32"/>
      <c r="R22" s="14"/>
      <c r="S22" s="14"/>
      <c r="T22" s="14"/>
      <c r="U22" s="14"/>
      <c r="V22" s="107"/>
      <c r="X22" s="11"/>
      <c r="Y22" s="11"/>
      <c r="Z22" s="108"/>
      <c r="AB22" s="109"/>
    </row>
    <row r="23" spans="2:28" ht="16.5" customHeight="1" x14ac:dyDescent="0.25">
      <c r="B23" s="122"/>
      <c r="C23" s="153"/>
      <c r="D23" s="123"/>
      <c r="F23" s="122"/>
      <c r="G23" s="153"/>
      <c r="H23" s="123"/>
      <c r="J23" s="130" t="e">
        <f ca="1">MIN(D18:D22,H18:H22)</f>
        <v>#REF!</v>
      </c>
      <c r="L23" s="131"/>
      <c r="M23" s="132"/>
      <c r="N23" s="133"/>
      <c r="O23" s="32"/>
      <c r="P23" s="159"/>
      <c r="Q23" s="32"/>
      <c r="R23" s="14"/>
      <c r="S23" s="14"/>
      <c r="T23" s="14"/>
      <c r="U23" s="14"/>
      <c r="V23" s="110"/>
      <c r="X23" s="11"/>
      <c r="Y23" s="11"/>
      <c r="Z23" s="108"/>
    </row>
    <row r="24" spans="2:28" ht="16.5" customHeight="1" thickBot="1" x14ac:dyDescent="0.3">
      <c r="B24" s="120"/>
      <c r="C24" s="124"/>
      <c r="D24" s="121"/>
      <c r="E24" s="32"/>
      <c r="F24" s="120"/>
      <c r="G24" s="124"/>
      <c r="H24" s="121"/>
      <c r="I24" s="14"/>
      <c r="J24" s="134" t="e">
        <f ca="1">MAX(D18:D22,H18:H22)</f>
        <v>#REF!</v>
      </c>
      <c r="L24" s="135">
        <f>L23</f>
        <v>0</v>
      </c>
      <c r="M24" s="136">
        <f>M23</f>
        <v>0</v>
      </c>
      <c r="N24" s="129"/>
      <c r="O24" s="32"/>
      <c r="P24" s="10"/>
      <c r="Q24" s="32"/>
      <c r="R24" s="14"/>
      <c r="S24" s="14"/>
      <c r="T24" s="14"/>
      <c r="U24" s="14"/>
      <c r="V24" s="110"/>
      <c r="X24" s="111"/>
      <c r="Y24" s="111"/>
      <c r="Z24" s="108"/>
    </row>
    <row r="25" spans="2:28" ht="16.5" customHeight="1" thickBot="1" x14ac:dyDescent="0.3"/>
    <row r="26" spans="2:28" x14ac:dyDescent="0.25">
      <c r="B26" s="315" t="s">
        <v>18</v>
      </c>
      <c r="C26" s="316"/>
      <c r="D26" s="317"/>
      <c r="E26" s="6"/>
      <c r="F26" s="315" t="str">
        <f>B26</f>
        <v>M_NC1</v>
      </c>
      <c r="G26" s="316"/>
      <c r="H26" s="317"/>
      <c r="I26" s="6"/>
      <c r="J26" s="159"/>
      <c r="L26" s="318" t="str">
        <f>F26</f>
        <v>M_NC1</v>
      </c>
      <c r="M26" s="319"/>
      <c r="N26" s="320"/>
      <c r="O26" s="297"/>
      <c r="P26" s="159"/>
      <c r="U26" s="155"/>
      <c r="V26" s="155"/>
      <c r="X26" s="313"/>
      <c r="Y26" s="301"/>
      <c r="Z26" s="301"/>
    </row>
    <row r="27" spans="2:28" x14ac:dyDescent="0.25">
      <c r="B27" s="321" t="s">
        <v>39</v>
      </c>
      <c r="C27" s="322"/>
      <c r="D27" s="116" t="s">
        <v>40</v>
      </c>
      <c r="E27" s="32"/>
      <c r="F27" s="321" t="s">
        <v>39</v>
      </c>
      <c r="G27" s="322"/>
      <c r="H27" s="116" t="s">
        <v>40</v>
      </c>
      <c r="I27" s="14"/>
      <c r="J27" s="160" t="s">
        <v>41</v>
      </c>
      <c r="L27" s="323" t="s">
        <v>61</v>
      </c>
      <c r="M27" s="313"/>
      <c r="N27" s="324"/>
      <c r="O27" s="112"/>
      <c r="P27" s="7"/>
      <c r="R27" s="314"/>
      <c r="S27" s="301"/>
      <c r="T27" s="301"/>
      <c r="U27" s="156"/>
      <c r="V27" s="156"/>
      <c r="X27" s="314"/>
      <c r="Y27" s="301"/>
      <c r="Z27" s="301"/>
    </row>
    <row r="28" spans="2:28" x14ac:dyDescent="0.25">
      <c r="B28" s="293" t="s">
        <v>2</v>
      </c>
      <c r="C28" s="177" t="s">
        <v>43</v>
      </c>
      <c r="D28" s="115" t="s">
        <v>44</v>
      </c>
      <c r="E28" s="32"/>
      <c r="F28" s="293" t="s">
        <v>2</v>
      </c>
      <c r="G28" s="177" t="s">
        <v>43</v>
      </c>
      <c r="H28" s="115" t="s">
        <v>44</v>
      </c>
      <c r="I28" s="14"/>
      <c r="J28" s="125"/>
      <c r="L28" s="294" t="str">
        <f>CONCATENATE(B$2," ",L26)</f>
        <v>Anchor M_NC1</v>
      </c>
      <c r="M28" s="295" t="str">
        <f>CONCATENATE(F$2," ",L26)</f>
        <v>Proposal M_NC1</v>
      </c>
      <c r="N28" s="296" t="s">
        <v>45</v>
      </c>
      <c r="O28" s="6"/>
      <c r="P28" s="7" t="s">
        <v>36</v>
      </c>
      <c r="Q28" s="6"/>
      <c r="R28" s="6"/>
      <c r="S28" s="6"/>
      <c r="T28" s="6"/>
      <c r="U28" s="6"/>
      <c r="V28" s="6"/>
      <c r="X28" s="297"/>
      <c r="Y28" s="297"/>
      <c r="Z28" s="297"/>
    </row>
    <row r="29" spans="2:28" x14ac:dyDescent="0.25">
      <c r="B29" s="166" t="str">
        <f>B26</f>
        <v>M_NC1</v>
      </c>
      <c r="C29" s="177" t="s">
        <v>46</v>
      </c>
      <c r="D29" s="118" t="e">
        <f ca="1">0.001*INDIRECT($B29&amp;"!E5")</f>
        <v>#REF!</v>
      </c>
      <c r="E29" s="32"/>
      <c r="F29" s="166" t="str">
        <f>F26</f>
        <v>M_NC1</v>
      </c>
      <c r="G29" s="177" t="s">
        <v>46</v>
      </c>
      <c r="H29" s="118" t="e">
        <f ca="1">0.001*INDIRECT($B29&amp;"!W5")</f>
        <v>#REF!</v>
      </c>
      <c r="I29" s="14"/>
      <c r="J29" s="33" t="e">
        <f ca="1">H29/D29-1</f>
        <v>#REF!</v>
      </c>
      <c r="L29" s="126" t="e">
        <f ca="1">INDIRECT($B29&amp;"!"&amp;L$3&amp;"5")</f>
        <v>#REF!</v>
      </c>
      <c r="M29" s="127" t="e">
        <f ca="1">INDIRECT($B29&amp;"!"&amp;M$3&amp;"5")</f>
        <v>#REF!</v>
      </c>
      <c r="N29" s="128" t="e">
        <f ca="1">M29-L29</f>
        <v>#REF!</v>
      </c>
      <c r="O29" s="32"/>
      <c r="P29" s="33" t="e">
        <f ca="1">bdrate(D29:D33,L29:L33,H29:H33,M29:M33)</f>
        <v>#VALUE!</v>
      </c>
      <c r="Q29" s="32"/>
      <c r="R29" s="14"/>
      <c r="S29" s="14"/>
      <c r="T29" s="14"/>
      <c r="U29" s="14"/>
      <c r="V29" s="107"/>
      <c r="X29" s="11"/>
      <c r="Y29" s="11"/>
      <c r="Z29" s="108"/>
      <c r="AB29" s="109"/>
    </row>
    <row r="30" spans="2:28" x14ac:dyDescent="0.25">
      <c r="B30" s="166" t="str">
        <f>B29</f>
        <v>M_NC1</v>
      </c>
      <c r="C30" s="177" t="s">
        <v>47</v>
      </c>
      <c r="D30" s="118" t="e">
        <f ca="1">0.001*INDIRECT($B30&amp;"!E6")</f>
        <v>#REF!</v>
      </c>
      <c r="E30" s="32"/>
      <c r="F30" s="166" t="str">
        <f>F29</f>
        <v>M_NC1</v>
      </c>
      <c r="G30" s="177" t="s">
        <v>47</v>
      </c>
      <c r="H30" s="118" t="e">
        <f ca="1">0.001*INDIRECT($B30&amp;"!W6")</f>
        <v>#REF!</v>
      </c>
      <c r="I30" s="14"/>
      <c r="J30" s="33" t="e">
        <f ca="1">H30/D30-1</f>
        <v>#REF!</v>
      </c>
      <c r="L30" s="126" t="e">
        <f ca="1">INDIRECT($B30&amp;"!"&amp;L$3&amp;"6")</f>
        <v>#REF!</v>
      </c>
      <c r="M30" s="127" t="e">
        <f ca="1">INDIRECT($B30&amp;"!"&amp;M$3&amp;"6")</f>
        <v>#REF!</v>
      </c>
      <c r="N30" s="128" t="e">
        <f ca="1">M30-L30</f>
        <v>#REF!</v>
      </c>
      <c r="O30" s="32"/>
      <c r="P30" s="7"/>
      <c r="Q30" s="32"/>
      <c r="R30" s="14"/>
      <c r="S30" s="14"/>
      <c r="T30" s="14"/>
      <c r="U30" s="14"/>
      <c r="V30" s="107"/>
      <c r="X30" s="11"/>
      <c r="Y30" s="11"/>
      <c r="Z30" s="108"/>
    </row>
    <row r="31" spans="2:28" x14ac:dyDescent="0.25">
      <c r="B31" s="166" t="str">
        <f>B30</f>
        <v>M_NC1</v>
      </c>
      <c r="C31" s="177" t="s">
        <v>48</v>
      </c>
      <c r="D31" s="118" t="e">
        <f ca="1">0.001*INDIRECT($B31&amp;"!E7")</f>
        <v>#REF!</v>
      </c>
      <c r="E31" s="32"/>
      <c r="F31" s="166" t="str">
        <f>F30</f>
        <v>M_NC1</v>
      </c>
      <c r="G31" s="177" t="s">
        <v>48</v>
      </c>
      <c r="H31" s="118" t="e">
        <f ca="1">0.001*INDIRECT($B31&amp;"!W7")</f>
        <v>#REF!</v>
      </c>
      <c r="I31" s="14"/>
      <c r="J31" s="33" t="e">
        <f ca="1">H31/D31-1</f>
        <v>#REF!</v>
      </c>
      <c r="L31" s="126" t="e">
        <f ca="1">INDIRECT($B31&amp;"!"&amp;L$3&amp;"7")</f>
        <v>#REF!</v>
      </c>
      <c r="M31" s="127" t="e">
        <f ca="1">INDIRECT($B31&amp;"!"&amp;M$3&amp;"7")</f>
        <v>#REF!</v>
      </c>
      <c r="N31" s="128" t="e">
        <f ca="1">M31-L31</f>
        <v>#REF!</v>
      </c>
      <c r="O31" s="32"/>
      <c r="P31" s="7" t="s">
        <v>49</v>
      </c>
      <c r="Q31" s="32"/>
      <c r="R31" s="14"/>
      <c r="S31" s="14"/>
      <c r="T31" s="14"/>
      <c r="U31" s="14"/>
      <c r="V31" s="107"/>
      <c r="X31" s="11"/>
      <c r="Y31" s="11"/>
      <c r="Z31" s="108"/>
    </row>
    <row r="32" spans="2:28" x14ac:dyDescent="0.25">
      <c r="B32" s="166" t="str">
        <f>B31</f>
        <v>M_NC1</v>
      </c>
      <c r="C32" s="177" t="s">
        <v>50</v>
      </c>
      <c r="D32" s="118" t="e">
        <f ca="1">0.001*INDIRECT($B32&amp;"!E8")</f>
        <v>#REF!</v>
      </c>
      <c r="E32" s="32"/>
      <c r="F32" s="166" t="str">
        <f>F31</f>
        <v>M_NC1</v>
      </c>
      <c r="G32" s="177" t="s">
        <v>50</v>
      </c>
      <c r="H32" s="118" t="e">
        <f ca="1">0.001*INDIRECT($B32&amp;"!W8")</f>
        <v>#REF!</v>
      </c>
      <c r="I32" s="14"/>
      <c r="J32" s="33" t="e">
        <f ca="1">H32/D32-1</f>
        <v>#REF!</v>
      </c>
      <c r="L32" s="126" t="e">
        <f ca="1">INDIRECT($B32&amp;"!"&amp;L$3&amp;"8")</f>
        <v>#REF!</v>
      </c>
      <c r="M32" s="127" t="e">
        <f ca="1">INDIRECT($B32&amp;"!"&amp;M$3&amp;"8")</f>
        <v>#REF!</v>
      </c>
      <c r="N32" s="128" t="e">
        <f ca="1">M32-L32</f>
        <v>#REF!</v>
      </c>
      <c r="O32" s="32"/>
      <c r="P32" s="268" t="e">
        <f ca="1">bdrate(L29:L33,D29:D33,M29:M33,H29:H33)</f>
        <v>#VALUE!</v>
      </c>
      <c r="Q32" s="32"/>
      <c r="R32" s="14"/>
      <c r="S32" s="14"/>
      <c r="T32" s="14"/>
      <c r="U32" s="14"/>
      <c r="V32" s="107"/>
      <c r="X32" s="11"/>
      <c r="Y32" s="11"/>
      <c r="Z32" s="108"/>
    </row>
    <row r="33" spans="2:28" ht="16.5" customHeight="1" thickBot="1" x14ac:dyDescent="0.3">
      <c r="B33" s="120" t="str">
        <f>B32</f>
        <v>M_NC1</v>
      </c>
      <c r="C33" s="178" t="s">
        <v>51</v>
      </c>
      <c r="D33" s="121" t="e">
        <f ca="1">0.001*INDIRECT($B33&amp;"!E9")</f>
        <v>#REF!</v>
      </c>
      <c r="E33" s="32"/>
      <c r="F33" s="120" t="str">
        <f>F32</f>
        <v>M_NC1</v>
      </c>
      <c r="G33" s="178" t="s">
        <v>51</v>
      </c>
      <c r="H33" s="118" t="e">
        <f ca="1">0.001*INDIRECT($B33&amp;"!W9")</f>
        <v>#REF!</v>
      </c>
      <c r="I33" s="14"/>
      <c r="J33" s="33" t="e">
        <f ca="1">H33/D33-1</f>
        <v>#REF!</v>
      </c>
      <c r="L33" s="126" t="e">
        <f ca="1">INDIRECT($B33&amp;"!"&amp;L$3&amp;"9")</f>
        <v>#REF!</v>
      </c>
      <c r="M33" s="127" t="e">
        <f ca="1">INDIRECT($B33&amp;"!"&amp;M$3&amp;"9")</f>
        <v>#REF!</v>
      </c>
      <c r="N33" s="129" t="e">
        <f ca="1">M33-L33</f>
        <v>#REF!</v>
      </c>
      <c r="O33" s="32"/>
      <c r="P33" s="37"/>
      <c r="Q33" s="32"/>
      <c r="R33" s="14"/>
      <c r="S33" s="14"/>
      <c r="T33" s="14"/>
      <c r="U33" s="14"/>
      <c r="V33" s="107"/>
      <c r="X33" s="11"/>
      <c r="Y33" s="11"/>
      <c r="Z33" s="108"/>
      <c r="AB33" s="109"/>
    </row>
    <row r="34" spans="2:28" ht="16.5" customHeight="1" x14ac:dyDescent="0.25">
      <c r="B34" s="122"/>
      <c r="C34" s="153"/>
      <c r="D34" s="123"/>
      <c r="F34" s="122"/>
      <c r="G34" s="153"/>
      <c r="H34" s="123"/>
      <c r="J34" s="130" t="e">
        <f ca="1">MIN(D29:D33,H29:H33)</f>
        <v>#REF!</v>
      </c>
      <c r="L34" s="131"/>
      <c r="M34" s="132"/>
      <c r="N34" s="133"/>
      <c r="O34" s="32"/>
      <c r="P34" s="159"/>
      <c r="Q34" s="32"/>
      <c r="R34" s="14"/>
      <c r="S34" s="14"/>
      <c r="T34" s="14"/>
      <c r="U34" s="14"/>
      <c r="V34" s="110"/>
      <c r="X34" s="11"/>
      <c r="Y34" s="11"/>
      <c r="Z34" s="108"/>
    </row>
    <row r="35" spans="2:28" ht="16.5" customHeight="1" thickBot="1" x14ac:dyDescent="0.3">
      <c r="B35" s="120"/>
      <c r="C35" s="124"/>
      <c r="D35" s="121"/>
      <c r="E35" s="32"/>
      <c r="F35" s="120"/>
      <c r="G35" s="124"/>
      <c r="H35" s="121"/>
      <c r="I35" s="14"/>
      <c r="J35" s="134" t="e">
        <f ca="1">MAX(D29:D33,H29:H33)</f>
        <v>#REF!</v>
      </c>
      <c r="L35" s="135">
        <f>L34</f>
        <v>0</v>
      </c>
      <c r="M35" s="136">
        <f>M34</f>
        <v>0</v>
      </c>
      <c r="N35" s="129"/>
      <c r="O35" s="32"/>
      <c r="P35" s="10"/>
      <c r="Q35" s="32"/>
      <c r="R35" s="14"/>
      <c r="S35" s="14"/>
      <c r="T35" s="14"/>
      <c r="U35" s="14"/>
      <c r="V35" s="110"/>
      <c r="X35" s="111"/>
      <c r="Y35" s="111"/>
      <c r="Z35" s="108"/>
    </row>
    <row r="36" spans="2:28" ht="16.5" customHeight="1" thickBot="1" x14ac:dyDescent="0.3"/>
    <row r="37" spans="2:28" x14ac:dyDescent="0.25">
      <c r="B37" s="315" t="s">
        <v>20</v>
      </c>
      <c r="C37" s="316"/>
      <c r="D37" s="317"/>
      <c r="E37" s="6"/>
      <c r="F37" s="315" t="str">
        <f>B37</f>
        <v>M_NC2</v>
      </c>
      <c r="G37" s="316"/>
      <c r="H37" s="317"/>
      <c r="I37" s="6"/>
      <c r="J37" s="159"/>
      <c r="L37" s="318" t="str">
        <f>F37</f>
        <v>M_NC2</v>
      </c>
      <c r="M37" s="319"/>
      <c r="N37" s="320"/>
      <c r="O37" s="297"/>
      <c r="P37" s="159"/>
      <c r="U37" s="155"/>
      <c r="V37" s="155"/>
      <c r="X37" s="313"/>
      <c r="Y37" s="301"/>
      <c r="Z37" s="301"/>
    </row>
    <row r="38" spans="2:28" x14ac:dyDescent="0.25">
      <c r="B38" s="321" t="s">
        <v>39</v>
      </c>
      <c r="C38" s="322"/>
      <c r="D38" s="116" t="s">
        <v>40</v>
      </c>
      <c r="E38" s="32"/>
      <c r="F38" s="321" t="s">
        <v>39</v>
      </c>
      <c r="G38" s="322"/>
      <c r="H38" s="116" t="s">
        <v>40</v>
      </c>
      <c r="I38" s="14"/>
      <c r="J38" s="160" t="s">
        <v>41</v>
      </c>
      <c r="L38" s="323" t="s">
        <v>61</v>
      </c>
      <c r="M38" s="313"/>
      <c r="N38" s="324"/>
      <c r="O38" s="112"/>
      <c r="P38" s="7"/>
      <c r="R38" s="314"/>
      <c r="S38" s="301"/>
      <c r="T38" s="301"/>
      <c r="U38" s="156"/>
      <c r="V38" s="156"/>
      <c r="X38" s="314"/>
      <c r="Y38" s="301"/>
      <c r="Z38" s="301"/>
    </row>
    <row r="39" spans="2:28" x14ac:dyDescent="0.25">
      <c r="B39" s="293" t="s">
        <v>2</v>
      </c>
      <c r="C39" s="177" t="s">
        <v>43</v>
      </c>
      <c r="D39" s="115" t="s">
        <v>44</v>
      </c>
      <c r="E39" s="32"/>
      <c r="F39" s="293" t="s">
        <v>2</v>
      </c>
      <c r="G39" s="177" t="s">
        <v>43</v>
      </c>
      <c r="H39" s="115" t="s">
        <v>44</v>
      </c>
      <c r="I39" s="14"/>
      <c r="J39" s="125"/>
      <c r="L39" s="294" t="str">
        <f>CONCATENATE(B$2," ",L37)</f>
        <v>Anchor M_NC2</v>
      </c>
      <c r="M39" s="295" t="str">
        <f>CONCATENATE(F$2," ",L37)</f>
        <v>Proposal M_NC2</v>
      </c>
      <c r="N39" s="296" t="s">
        <v>45</v>
      </c>
      <c r="O39" s="6"/>
      <c r="P39" s="7" t="s">
        <v>36</v>
      </c>
      <c r="Q39" s="6"/>
      <c r="R39" s="6"/>
      <c r="S39" s="6"/>
      <c r="T39" s="6"/>
      <c r="U39" s="6"/>
      <c r="V39" s="6"/>
      <c r="X39" s="297"/>
      <c r="Y39" s="297"/>
      <c r="Z39" s="297"/>
    </row>
    <row r="40" spans="2:28" x14ac:dyDescent="0.25">
      <c r="B40" s="166" t="str">
        <f>B37</f>
        <v>M_NC2</v>
      </c>
      <c r="C40" s="177" t="s">
        <v>46</v>
      </c>
      <c r="D40" s="118">
        <f ca="1">0.001*INDIRECT($B40&amp;"!E5")</f>
        <v>0</v>
      </c>
      <c r="E40" s="32"/>
      <c r="F40" s="166" t="str">
        <f>F37</f>
        <v>M_NC2</v>
      </c>
      <c r="G40" s="177" t="s">
        <v>46</v>
      </c>
      <c r="H40" s="118">
        <f ca="1">0.001*INDIRECT($B40&amp;"!W5")</f>
        <v>0</v>
      </c>
      <c r="I40" s="14"/>
      <c r="J40" s="33" t="e">
        <f ca="1">H40/D40-1</f>
        <v>#DIV/0!</v>
      </c>
      <c r="L40" s="126" t="e">
        <f ca="1">INDIRECT($B40&amp;"!"&amp;L$3&amp;"5")</f>
        <v>#DIV/0!</v>
      </c>
      <c r="M40" s="127" t="e">
        <f ca="1">INDIRECT($B40&amp;"!"&amp;M$3&amp;"5")</f>
        <v>#DIV/0!</v>
      </c>
      <c r="N40" s="128" t="e">
        <f ca="1">M40-L40</f>
        <v>#DIV/0!</v>
      </c>
      <c r="O40" s="32"/>
      <c r="P40" s="33" t="e">
        <f ca="1">bdrate(D40:D44,L40:L44,H40:H44,M40:M44)</f>
        <v>#VALUE!</v>
      </c>
      <c r="Q40" s="32"/>
      <c r="R40" s="14"/>
      <c r="S40" s="14"/>
      <c r="T40" s="14"/>
      <c r="U40" s="14"/>
      <c r="V40" s="107"/>
      <c r="X40" s="11"/>
      <c r="Y40" s="11"/>
      <c r="Z40" s="108"/>
      <c r="AB40" s="109"/>
    </row>
    <row r="41" spans="2:28" x14ac:dyDescent="0.25">
      <c r="B41" s="166" t="str">
        <f>B40</f>
        <v>M_NC2</v>
      </c>
      <c r="C41" s="177" t="s">
        <v>47</v>
      </c>
      <c r="D41" s="118">
        <f ca="1">0.001*INDIRECT($B41&amp;"!E6")</f>
        <v>0</v>
      </c>
      <c r="E41" s="32"/>
      <c r="F41" s="166" t="str">
        <f>F40</f>
        <v>M_NC2</v>
      </c>
      <c r="G41" s="177" t="s">
        <v>47</v>
      </c>
      <c r="H41" s="118">
        <f ca="1">0.001*INDIRECT($B41&amp;"!W6")</f>
        <v>0</v>
      </c>
      <c r="I41" s="14"/>
      <c r="J41" s="33" t="e">
        <f ca="1">H41/D41-1</f>
        <v>#DIV/0!</v>
      </c>
      <c r="L41" s="126" t="e">
        <f ca="1">INDIRECT($B41&amp;"!"&amp;L$3&amp;"6")</f>
        <v>#DIV/0!</v>
      </c>
      <c r="M41" s="127" t="e">
        <f ca="1">INDIRECT($B41&amp;"!"&amp;M$3&amp;"6")</f>
        <v>#DIV/0!</v>
      </c>
      <c r="N41" s="128" t="e">
        <f ca="1">M41-L41</f>
        <v>#DIV/0!</v>
      </c>
      <c r="O41" s="32"/>
      <c r="P41" s="7"/>
      <c r="Q41" s="32"/>
      <c r="R41" s="14"/>
      <c r="S41" s="14"/>
      <c r="T41" s="14"/>
      <c r="U41" s="14"/>
      <c r="V41" s="107"/>
      <c r="X41" s="11"/>
      <c r="Y41" s="11"/>
      <c r="Z41" s="108"/>
    </row>
    <row r="42" spans="2:28" x14ac:dyDescent="0.25">
      <c r="B42" s="166" t="str">
        <f>B41</f>
        <v>M_NC2</v>
      </c>
      <c r="C42" s="177" t="s">
        <v>48</v>
      </c>
      <c r="D42" s="118">
        <f ca="1">0.001*INDIRECT($B42&amp;"!E7")</f>
        <v>0</v>
      </c>
      <c r="E42" s="32"/>
      <c r="F42" s="166" t="str">
        <f>F41</f>
        <v>M_NC2</v>
      </c>
      <c r="G42" s="177" t="s">
        <v>48</v>
      </c>
      <c r="H42" s="118">
        <f ca="1">0.001*INDIRECT($B42&amp;"!W7")</f>
        <v>0</v>
      </c>
      <c r="I42" s="14"/>
      <c r="J42" s="33" t="e">
        <f ca="1">H42/D42-1</f>
        <v>#DIV/0!</v>
      </c>
      <c r="L42" s="126" t="e">
        <f ca="1">INDIRECT($B42&amp;"!"&amp;L$3&amp;"7")</f>
        <v>#DIV/0!</v>
      </c>
      <c r="M42" s="127" t="e">
        <f ca="1">INDIRECT($B42&amp;"!"&amp;M$3&amp;"7")</f>
        <v>#DIV/0!</v>
      </c>
      <c r="N42" s="128" t="e">
        <f ca="1">M42-L42</f>
        <v>#DIV/0!</v>
      </c>
      <c r="O42" s="32"/>
      <c r="P42" s="7" t="s">
        <v>49</v>
      </c>
      <c r="Q42" s="32"/>
      <c r="R42" s="14"/>
      <c r="S42" s="14"/>
      <c r="T42" s="14"/>
      <c r="U42" s="14"/>
      <c r="V42" s="107"/>
      <c r="X42" s="11"/>
      <c r="Y42" s="11"/>
      <c r="Z42" s="108"/>
    </row>
    <row r="43" spans="2:28" x14ac:dyDescent="0.25">
      <c r="B43" s="166" t="str">
        <f>B42</f>
        <v>M_NC2</v>
      </c>
      <c r="C43" s="177" t="s">
        <v>50</v>
      </c>
      <c r="D43" s="118">
        <f ca="1">0.001*INDIRECT($B43&amp;"!E8")</f>
        <v>0</v>
      </c>
      <c r="E43" s="32"/>
      <c r="F43" s="166" t="str">
        <f>F42</f>
        <v>M_NC2</v>
      </c>
      <c r="G43" s="177" t="s">
        <v>50</v>
      </c>
      <c r="H43" s="118">
        <f ca="1">0.001*INDIRECT($B43&amp;"!W8")</f>
        <v>0</v>
      </c>
      <c r="I43" s="14"/>
      <c r="J43" s="33" t="e">
        <f ca="1">H43/D43-1</f>
        <v>#DIV/0!</v>
      </c>
      <c r="L43" s="126" t="e">
        <f ca="1">INDIRECT($B43&amp;"!"&amp;L$3&amp;"8")</f>
        <v>#DIV/0!</v>
      </c>
      <c r="M43" s="127" t="e">
        <f ca="1">INDIRECT($B43&amp;"!"&amp;M$3&amp;"8")</f>
        <v>#DIV/0!</v>
      </c>
      <c r="N43" s="128" t="e">
        <f ca="1">M43-L43</f>
        <v>#DIV/0!</v>
      </c>
      <c r="O43" s="32"/>
      <c r="P43" s="268" t="e">
        <f ca="1">bdrate(L40:L44,D40:D44,M40:M44,H40:H44)</f>
        <v>#VALUE!</v>
      </c>
      <c r="Q43" s="32"/>
      <c r="R43" s="14"/>
      <c r="S43" s="14"/>
      <c r="T43" s="14"/>
      <c r="U43" s="14"/>
      <c r="V43" s="107"/>
      <c r="X43" s="11"/>
      <c r="Y43" s="11"/>
      <c r="Z43" s="108"/>
    </row>
    <row r="44" spans="2:28" ht="16.5" customHeight="1" thickBot="1" x14ac:dyDescent="0.3">
      <c r="B44" s="120" t="str">
        <f>B43</f>
        <v>M_NC2</v>
      </c>
      <c r="C44" s="178" t="s">
        <v>51</v>
      </c>
      <c r="D44" s="121">
        <f ca="1">0.001*INDIRECT($B44&amp;"!E9")</f>
        <v>0</v>
      </c>
      <c r="E44" s="32"/>
      <c r="F44" s="120" t="str">
        <f>F43</f>
        <v>M_NC2</v>
      </c>
      <c r="G44" s="178" t="s">
        <v>51</v>
      </c>
      <c r="H44" s="118">
        <f ca="1">0.001*INDIRECT($B44&amp;"!W9")</f>
        <v>0</v>
      </c>
      <c r="I44" s="14"/>
      <c r="J44" s="33" t="e">
        <f ca="1">H44/D44-1</f>
        <v>#DIV/0!</v>
      </c>
      <c r="L44" s="126" t="e">
        <f ca="1">INDIRECT($B44&amp;"!"&amp;L$3&amp;"9")</f>
        <v>#DIV/0!</v>
      </c>
      <c r="M44" s="127" t="e">
        <f ca="1">INDIRECT($B44&amp;"!"&amp;M$3&amp;"9")</f>
        <v>#DIV/0!</v>
      </c>
      <c r="N44" s="129" t="e">
        <f ca="1">M44-L44</f>
        <v>#DIV/0!</v>
      </c>
      <c r="O44" s="32"/>
      <c r="P44" s="37"/>
      <c r="Q44" s="32"/>
      <c r="R44" s="14"/>
      <c r="S44" s="14"/>
      <c r="T44" s="14"/>
      <c r="U44" s="14"/>
      <c r="V44" s="107"/>
      <c r="X44" s="11"/>
      <c r="Y44" s="11"/>
      <c r="Z44" s="108"/>
      <c r="AB44" s="109"/>
    </row>
    <row r="45" spans="2:28" ht="16.5" customHeight="1" x14ac:dyDescent="0.25">
      <c r="B45" s="122"/>
      <c r="C45" s="153"/>
      <c r="D45" s="123"/>
      <c r="F45" s="122"/>
      <c r="G45" s="153"/>
      <c r="H45" s="123"/>
      <c r="J45" s="130">
        <f ca="1">MIN(D40:D44,H40:H44)</f>
        <v>0</v>
      </c>
      <c r="L45" s="131"/>
      <c r="M45" s="132"/>
      <c r="N45" s="133"/>
      <c r="O45" s="32"/>
      <c r="P45" s="159"/>
      <c r="Q45" s="32"/>
      <c r="R45" s="14"/>
      <c r="S45" s="14"/>
      <c r="T45" s="14"/>
      <c r="U45" s="14"/>
      <c r="V45" s="110"/>
      <c r="X45" s="11"/>
      <c r="Y45" s="11"/>
      <c r="Z45" s="108"/>
    </row>
    <row r="46" spans="2:28" ht="16.5" customHeight="1" thickBot="1" x14ac:dyDescent="0.3">
      <c r="B46" s="120"/>
      <c r="C46" s="124"/>
      <c r="D46" s="121"/>
      <c r="E46" s="32"/>
      <c r="F46" s="120"/>
      <c r="G46" s="124"/>
      <c r="H46" s="121"/>
      <c r="I46" s="14"/>
      <c r="J46" s="134">
        <f ca="1">MAX(D40:D44,H40:H44)</f>
        <v>0</v>
      </c>
      <c r="L46" s="135">
        <f>L45</f>
        <v>0</v>
      </c>
      <c r="M46" s="136">
        <f>M45</f>
        <v>0</v>
      </c>
      <c r="N46" s="129"/>
      <c r="O46" s="32"/>
      <c r="P46" s="10"/>
      <c r="Q46" s="32"/>
      <c r="R46" s="14"/>
      <c r="S46" s="14"/>
      <c r="T46" s="14"/>
      <c r="U46" s="14"/>
      <c r="V46" s="110"/>
      <c r="X46" s="111"/>
      <c r="Y46" s="111"/>
      <c r="Z46" s="108"/>
    </row>
    <row r="47" spans="2:28" ht="16.5" customHeight="1" thickBot="1" x14ac:dyDescent="0.3"/>
    <row r="48" spans="2:28" x14ac:dyDescent="0.25">
      <c r="B48" s="315" t="s">
        <v>22</v>
      </c>
      <c r="C48" s="316"/>
      <c r="D48" s="317"/>
      <c r="E48" s="6"/>
      <c r="F48" s="315" t="str">
        <f>B48</f>
        <v>M_NC3</v>
      </c>
      <c r="G48" s="316"/>
      <c r="H48" s="317"/>
      <c r="I48" s="6"/>
      <c r="J48" s="159"/>
      <c r="L48" s="318" t="str">
        <f>F48</f>
        <v>M_NC3</v>
      </c>
      <c r="M48" s="319"/>
      <c r="N48" s="320"/>
      <c r="O48" s="297"/>
      <c r="P48" s="159"/>
      <c r="U48" s="155"/>
      <c r="V48" s="155"/>
      <c r="X48" s="313"/>
      <c r="Y48" s="301"/>
      <c r="Z48" s="301"/>
    </row>
    <row r="49" spans="2:28" x14ac:dyDescent="0.25">
      <c r="B49" s="321" t="s">
        <v>39</v>
      </c>
      <c r="C49" s="322"/>
      <c r="D49" s="116" t="s">
        <v>40</v>
      </c>
      <c r="E49" s="32"/>
      <c r="F49" s="321" t="s">
        <v>39</v>
      </c>
      <c r="G49" s="322"/>
      <c r="H49" s="116" t="s">
        <v>40</v>
      </c>
      <c r="I49" s="14"/>
      <c r="J49" s="160" t="s">
        <v>41</v>
      </c>
      <c r="L49" s="323" t="s">
        <v>61</v>
      </c>
      <c r="M49" s="313"/>
      <c r="N49" s="324"/>
      <c r="O49" s="112"/>
      <c r="P49" s="7"/>
      <c r="R49" s="314"/>
      <c r="S49" s="301"/>
      <c r="T49" s="301"/>
      <c r="U49" s="156"/>
      <c r="V49" s="156"/>
      <c r="X49" s="314"/>
      <c r="Y49" s="301"/>
      <c r="Z49" s="301"/>
    </row>
    <row r="50" spans="2:28" x14ac:dyDescent="0.25">
      <c r="B50" s="293" t="s">
        <v>2</v>
      </c>
      <c r="C50" s="177" t="s">
        <v>43</v>
      </c>
      <c r="D50" s="115" t="s">
        <v>44</v>
      </c>
      <c r="E50" s="32"/>
      <c r="F50" s="293" t="s">
        <v>2</v>
      </c>
      <c r="G50" s="177" t="s">
        <v>43</v>
      </c>
      <c r="H50" s="115" t="s">
        <v>44</v>
      </c>
      <c r="I50" s="14"/>
      <c r="J50" s="125"/>
      <c r="L50" s="294" t="str">
        <f>CONCATENATE(B$2," ",L48)</f>
        <v>Anchor M_NC3</v>
      </c>
      <c r="M50" s="295" t="str">
        <f>CONCATENATE(F$2," ",L48)</f>
        <v>Proposal M_NC3</v>
      </c>
      <c r="N50" s="296" t="s">
        <v>45</v>
      </c>
      <c r="O50" s="6"/>
      <c r="P50" s="7" t="s">
        <v>36</v>
      </c>
      <c r="Q50" s="6"/>
      <c r="R50" s="6"/>
      <c r="S50" s="6"/>
      <c r="T50" s="6"/>
      <c r="U50" s="6"/>
      <c r="V50" s="6"/>
      <c r="X50" s="297"/>
      <c r="Y50" s="297"/>
      <c r="Z50" s="297"/>
    </row>
    <row r="51" spans="2:28" x14ac:dyDescent="0.25">
      <c r="B51" s="166" t="str">
        <f>B48</f>
        <v>M_NC3</v>
      </c>
      <c r="C51" s="177" t="s">
        <v>46</v>
      </c>
      <c r="D51" s="118" t="e">
        <f ca="1">0.001*INDIRECT($B51&amp;"!E5")</f>
        <v>#REF!</v>
      </c>
      <c r="E51" s="32"/>
      <c r="F51" s="166" t="str">
        <f>F48</f>
        <v>M_NC3</v>
      </c>
      <c r="G51" s="177" t="s">
        <v>46</v>
      </c>
      <c r="H51" s="118" t="e">
        <f ca="1">0.001*INDIRECT($B51&amp;"!W5")</f>
        <v>#REF!</v>
      </c>
      <c r="I51" s="14"/>
      <c r="J51" s="33" t="e">
        <f ca="1">H51/D51-1</f>
        <v>#REF!</v>
      </c>
      <c r="L51" s="126" t="e">
        <f ca="1">INDIRECT($B51&amp;"!"&amp;L$3&amp;"5")</f>
        <v>#REF!</v>
      </c>
      <c r="M51" s="127" t="e">
        <f ca="1">INDIRECT($B51&amp;"!"&amp;M$3&amp;"5")</f>
        <v>#REF!</v>
      </c>
      <c r="N51" s="128" t="e">
        <f ca="1">M51-L51</f>
        <v>#REF!</v>
      </c>
      <c r="O51" s="32"/>
      <c r="P51" s="33" t="e">
        <f ca="1">bdrate(D51:D55,L51:L55,H51:H55,M51:M55)</f>
        <v>#VALUE!</v>
      </c>
      <c r="Q51" s="32"/>
      <c r="R51" s="14"/>
      <c r="S51" s="14"/>
      <c r="T51" s="14"/>
      <c r="U51" s="14"/>
      <c r="V51" s="107"/>
      <c r="X51" s="11"/>
      <c r="Y51" s="11"/>
      <c r="Z51" s="108"/>
      <c r="AB51" s="109"/>
    </row>
    <row r="52" spans="2:28" x14ac:dyDescent="0.25">
      <c r="B52" s="166" t="str">
        <f>B51</f>
        <v>M_NC3</v>
      </c>
      <c r="C52" s="177" t="s">
        <v>47</v>
      </c>
      <c r="D52" s="118" t="e">
        <f ca="1">0.001*INDIRECT($B52&amp;"!E6")</f>
        <v>#REF!</v>
      </c>
      <c r="E52" s="32"/>
      <c r="F52" s="166" t="str">
        <f>F51</f>
        <v>M_NC3</v>
      </c>
      <c r="G52" s="177" t="s">
        <v>47</v>
      </c>
      <c r="H52" s="118" t="e">
        <f ca="1">0.001*INDIRECT($B52&amp;"!W6")</f>
        <v>#REF!</v>
      </c>
      <c r="I52" s="14"/>
      <c r="J52" s="33" t="e">
        <f ca="1">H52/D52-1</f>
        <v>#REF!</v>
      </c>
      <c r="L52" s="126" t="e">
        <f ca="1">INDIRECT($B52&amp;"!"&amp;L$3&amp;"6")</f>
        <v>#REF!</v>
      </c>
      <c r="M52" s="127" t="e">
        <f ca="1">INDIRECT($B52&amp;"!"&amp;M$3&amp;"6")</f>
        <v>#REF!</v>
      </c>
      <c r="N52" s="128" t="e">
        <f ca="1">M52-L52</f>
        <v>#REF!</v>
      </c>
      <c r="O52" s="32"/>
      <c r="P52" s="7"/>
      <c r="Q52" s="32"/>
      <c r="R52" s="14"/>
      <c r="S52" s="14"/>
      <c r="T52" s="14"/>
      <c r="U52" s="14"/>
      <c r="V52" s="107"/>
      <c r="X52" s="11"/>
      <c r="Y52" s="11"/>
      <c r="Z52" s="108"/>
    </row>
    <row r="53" spans="2:28" x14ac:dyDescent="0.25">
      <c r="B53" s="166" t="str">
        <f>B52</f>
        <v>M_NC3</v>
      </c>
      <c r="C53" s="177" t="s">
        <v>48</v>
      </c>
      <c r="D53" s="118" t="e">
        <f ca="1">0.001*INDIRECT($B53&amp;"!E7")</f>
        <v>#REF!</v>
      </c>
      <c r="E53" s="32"/>
      <c r="F53" s="166" t="str">
        <f>F52</f>
        <v>M_NC3</v>
      </c>
      <c r="G53" s="177" t="s">
        <v>48</v>
      </c>
      <c r="H53" s="118" t="e">
        <f ca="1">0.001*INDIRECT($B53&amp;"!W7")</f>
        <v>#REF!</v>
      </c>
      <c r="I53" s="14"/>
      <c r="J53" s="33" t="e">
        <f ca="1">H53/D53-1</f>
        <v>#REF!</v>
      </c>
      <c r="L53" s="126" t="e">
        <f ca="1">INDIRECT($B53&amp;"!"&amp;L$3&amp;"7")</f>
        <v>#REF!</v>
      </c>
      <c r="M53" s="127" t="e">
        <f ca="1">INDIRECT($B53&amp;"!"&amp;M$3&amp;"7")</f>
        <v>#REF!</v>
      </c>
      <c r="N53" s="128" t="e">
        <f ca="1">M53-L53</f>
        <v>#REF!</v>
      </c>
      <c r="O53" s="32"/>
      <c r="P53" s="7" t="s">
        <v>49</v>
      </c>
      <c r="Q53" s="32"/>
      <c r="R53" s="14"/>
      <c r="S53" s="14"/>
      <c r="T53" s="14"/>
      <c r="U53" s="14"/>
      <c r="V53" s="107"/>
      <c r="X53" s="11"/>
      <c r="Y53" s="11"/>
      <c r="Z53" s="108"/>
    </row>
    <row r="54" spans="2:28" x14ac:dyDescent="0.25">
      <c r="B54" s="166" t="str">
        <f>B53</f>
        <v>M_NC3</v>
      </c>
      <c r="C54" s="177" t="s">
        <v>50</v>
      </c>
      <c r="D54" s="118" t="e">
        <f ca="1">0.001*INDIRECT($B54&amp;"!E8")</f>
        <v>#REF!</v>
      </c>
      <c r="E54" s="32"/>
      <c r="F54" s="166" t="str">
        <f>F53</f>
        <v>M_NC3</v>
      </c>
      <c r="G54" s="177" t="s">
        <v>50</v>
      </c>
      <c r="H54" s="118" t="e">
        <f ca="1">0.001*INDIRECT($B54&amp;"!W8")</f>
        <v>#REF!</v>
      </c>
      <c r="I54" s="14"/>
      <c r="J54" s="33" t="e">
        <f ca="1">H54/D54-1</f>
        <v>#REF!</v>
      </c>
      <c r="L54" s="126" t="e">
        <f ca="1">INDIRECT($B54&amp;"!"&amp;L$3&amp;"8")</f>
        <v>#REF!</v>
      </c>
      <c r="M54" s="127" t="e">
        <f ca="1">INDIRECT($B54&amp;"!"&amp;M$3&amp;"8")</f>
        <v>#REF!</v>
      </c>
      <c r="N54" s="128" t="e">
        <f ca="1">M54-L54</f>
        <v>#REF!</v>
      </c>
      <c r="O54" s="32"/>
      <c r="P54" s="268" t="e">
        <f ca="1">bdrate(L51:L55,D51:D55,M51:M55,H51:H55)</f>
        <v>#VALUE!</v>
      </c>
      <c r="Q54" s="32"/>
      <c r="R54" s="14"/>
      <c r="S54" s="14"/>
      <c r="T54" s="14"/>
      <c r="U54" s="14"/>
      <c r="V54" s="107"/>
      <c r="X54" s="11"/>
      <c r="Y54" s="11"/>
      <c r="Z54" s="108"/>
    </row>
    <row r="55" spans="2:28" ht="16.5" customHeight="1" thickBot="1" x14ac:dyDescent="0.3">
      <c r="B55" s="120" t="str">
        <f>B54</f>
        <v>M_NC3</v>
      </c>
      <c r="C55" s="178" t="s">
        <v>51</v>
      </c>
      <c r="D55" s="121" t="e">
        <f ca="1">0.001*INDIRECT($B55&amp;"!E9")</f>
        <v>#REF!</v>
      </c>
      <c r="E55" s="32"/>
      <c r="F55" s="120" t="str">
        <f>F54</f>
        <v>M_NC3</v>
      </c>
      <c r="G55" s="178" t="s">
        <v>51</v>
      </c>
      <c r="H55" s="118" t="e">
        <f ca="1">0.001*INDIRECT($B55&amp;"!W9")</f>
        <v>#REF!</v>
      </c>
      <c r="I55" s="14"/>
      <c r="J55" s="33" t="e">
        <f ca="1">H55/D55-1</f>
        <v>#REF!</v>
      </c>
      <c r="L55" s="126" t="e">
        <f ca="1">INDIRECT($B55&amp;"!"&amp;L$3&amp;"9")</f>
        <v>#REF!</v>
      </c>
      <c r="M55" s="127" t="e">
        <f ca="1">INDIRECT($B55&amp;"!"&amp;M$3&amp;"9")</f>
        <v>#REF!</v>
      </c>
      <c r="N55" s="129" t="e">
        <f ca="1">M55-L55</f>
        <v>#REF!</v>
      </c>
      <c r="O55" s="32"/>
      <c r="P55" s="37"/>
      <c r="Q55" s="32"/>
      <c r="R55" s="14"/>
      <c r="S55" s="14"/>
      <c r="T55" s="14"/>
      <c r="U55" s="14"/>
      <c r="V55" s="107"/>
      <c r="X55" s="11"/>
      <c r="Y55" s="11"/>
      <c r="Z55" s="108"/>
      <c r="AB55" s="109"/>
    </row>
    <row r="56" spans="2:28" ht="16.5" customHeight="1" x14ac:dyDescent="0.25">
      <c r="B56" s="152" t="s">
        <v>22</v>
      </c>
      <c r="C56" s="153" t="s">
        <v>58</v>
      </c>
      <c r="D56" s="123"/>
      <c r="F56" s="152" t="s">
        <v>22</v>
      </c>
      <c r="G56" s="153" t="s">
        <v>58</v>
      </c>
      <c r="H56" s="123"/>
      <c r="J56" s="130" t="e">
        <f ca="1">MIN(D51:D55,H51:H55)</f>
        <v>#REF!</v>
      </c>
      <c r="L56" s="131"/>
      <c r="M56" s="132"/>
      <c r="N56" s="133"/>
      <c r="O56" s="32"/>
      <c r="P56" s="159"/>
      <c r="Q56" s="32"/>
      <c r="R56" s="14"/>
      <c r="S56" s="14"/>
      <c r="T56" s="14"/>
      <c r="U56" s="14"/>
      <c r="V56" s="110"/>
      <c r="X56" s="11"/>
      <c r="Y56" s="11"/>
      <c r="Z56" s="108"/>
    </row>
    <row r="57" spans="2:28" ht="16.5" customHeight="1" thickBot="1" x14ac:dyDescent="0.3">
      <c r="B57" s="120"/>
      <c r="C57" s="124"/>
      <c r="D57" s="121"/>
      <c r="E57" s="32"/>
      <c r="F57" s="120"/>
      <c r="G57" s="124"/>
      <c r="H57" s="121"/>
      <c r="I57" s="14"/>
      <c r="J57" s="134" t="e">
        <f ca="1">MAX(D51:D55,H51:H55)</f>
        <v>#REF!</v>
      </c>
      <c r="L57" s="135">
        <f>L56</f>
        <v>0</v>
      </c>
      <c r="M57" s="136">
        <f>M56</f>
        <v>0</v>
      </c>
      <c r="N57" s="129"/>
      <c r="O57" s="32"/>
      <c r="P57" s="10"/>
      <c r="Q57" s="32"/>
      <c r="R57" s="14"/>
      <c r="S57" s="14"/>
      <c r="T57" s="14"/>
      <c r="U57" s="14"/>
      <c r="V57" s="110"/>
      <c r="X57" s="111"/>
      <c r="Y57" s="111"/>
      <c r="Z57" s="108"/>
    </row>
    <row r="58" spans="2:28" ht="16.5" customHeight="1" thickBot="1" x14ac:dyDescent="0.3"/>
    <row r="59" spans="2:28" x14ac:dyDescent="0.25">
      <c r="B59" s="315" t="s">
        <v>24</v>
      </c>
      <c r="C59" s="316"/>
      <c r="D59" s="317"/>
      <c r="E59" s="6"/>
      <c r="F59" s="315" t="str">
        <f>B59</f>
        <v>M_NC4</v>
      </c>
      <c r="G59" s="316"/>
      <c r="H59" s="317"/>
      <c r="I59" s="6"/>
      <c r="J59" s="159"/>
      <c r="L59" s="318" t="str">
        <f>F59</f>
        <v>M_NC4</v>
      </c>
      <c r="M59" s="319"/>
      <c r="N59" s="320"/>
      <c r="O59" s="297"/>
      <c r="P59" s="159"/>
      <c r="U59" s="155"/>
      <c r="V59" s="155"/>
      <c r="X59" s="313"/>
      <c r="Y59" s="301"/>
      <c r="Z59" s="301"/>
    </row>
    <row r="60" spans="2:28" x14ac:dyDescent="0.25">
      <c r="B60" s="321" t="s">
        <v>39</v>
      </c>
      <c r="C60" s="322"/>
      <c r="D60" s="116" t="s">
        <v>40</v>
      </c>
      <c r="E60" s="32"/>
      <c r="F60" s="321" t="s">
        <v>39</v>
      </c>
      <c r="G60" s="322"/>
      <c r="H60" s="116" t="s">
        <v>40</v>
      </c>
      <c r="I60" s="14"/>
      <c r="J60" s="160" t="s">
        <v>41</v>
      </c>
      <c r="L60" s="323" t="s">
        <v>61</v>
      </c>
      <c r="M60" s="313"/>
      <c r="N60" s="324"/>
      <c r="O60" s="112"/>
      <c r="P60" s="7"/>
      <c r="R60" s="314"/>
      <c r="S60" s="301"/>
      <c r="T60" s="301"/>
      <c r="U60" s="156"/>
      <c r="V60" s="156"/>
      <c r="X60" s="314"/>
      <c r="Y60" s="301"/>
      <c r="Z60" s="301"/>
    </row>
    <row r="61" spans="2:28" x14ac:dyDescent="0.25">
      <c r="B61" s="293" t="s">
        <v>2</v>
      </c>
      <c r="C61" s="177" t="s">
        <v>43</v>
      </c>
      <c r="D61" s="115" t="s">
        <v>44</v>
      </c>
      <c r="E61" s="32"/>
      <c r="F61" s="293" t="s">
        <v>2</v>
      </c>
      <c r="G61" s="177" t="s">
        <v>43</v>
      </c>
      <c r="H61" s="115" t="s">
        <v>44</v>
      </c>
      <c r="I61" s="14"/>
      <c r="J61" s="125"/>
      <c r="L61" s="294" t="str">
        <f>CONCATENATE(B$2," ",L59)</f>
        <v>Anchor M_NC4</v>
      </c>
      <c r="M61" s="295" t="str">
        <f>CONCATENATE(F$2," ",L59)</f>
        <v>Proposal M_NC4</v>
      </c>
      <c r="N61" s="296" t="s">
        <v>45</v>
      </c>
      <c r="O61" s="6"/>
      <c r="P61" s="7" t="s">
        <v>36</v>
      </c>
      <c r="Q61" s="6"/>
      <c r="R61" s="6"/>
      <c r="S61" s="6"/>
      <c r="T61" s="6"/>
      <c r="U61" s="6"/>
      <c r="V61" s="6"/>
      <c r="X61" s="297"/>
      <c r="Y61" s="297"/>
      <c r="Z61" s="297"/>
    </row>
    <row r="62" spans="2:28" x14ac:dyDescent="0.25">
      <c r="B62" s="166" t="str">
        <f>B59</f>
        <v>M_NC4</v>
      </c>
      <c r="C62" s="177" t="s">
        <v>46</v>
      </c>
      <c r="D62" s="118" t="e">
        <f ca="1">0.001*INDIRECT($B62&amp;"!E5")</f>
        <v>#REF!</v>
      </c>
      <c r="E62" s="32"/>
      <c r="F62" s="166" t="str">
        <f>F59</f>
        <v>M_NC4</v>
      </c>
      <c r="G62" s="177" t="s">
        <v>46</v>
      </c>
      <c r="H62" s="118" t="e">
        <f ca="1">0.001*INDIRECT($B62&amp;"!W5")</f>
        <v>#REF!</v>
      </c>
      <c r="I62" s="14"/>
      <c r="J62" s="33" t="e">
        <f ca="1">H62/D62-1</f>
        <v>#REF!</v>
      </c>
      <c r="L62" s="126" t="e">
        <f ca="1">INDIRECT($B62&amp;"!"&amp;L$3&amp;"5")</f>
        <v>#REF!</v>
      </c>
      <c r="M62" s="127" t="e">
        <f ca="1">INDIRECT($B62&amp;"!"&amp;M$3&amp;"5")</f>
        <v>#REF!</v>
      </c>
      <c r="N62" s="128" t="e">
        <f ca="1">M62-L62</f>
        <v>#REF!</v>
      </c>
      <c r="O62" s="32"/>
      <c r="P62" s="33" t="e">
        <f ca="1">bdrate(D62:D66,L62:L66,H62:H66,M62:M66)</f>
        <v>#VALUE!</v>
      </c>
      <c r="Q62" s="32"/>
      <c r="R62" s="14"/>
      <c r="S62" s="14"/>
      <c r="T62" s="14"/>
      <c r="U62" s="14"/>
      <c r="V62" s="107"/>
      <c r="X62" s="11"/>
      <c r="Y62" s="11"/>
      <c r="Z62" s="108"/>
      <c r="AB62" s="109"/>
    </row>
    <row r="63" spans="2:28" x14ac:dyDescent="0.25">
      <c r="B63" s="166" t="str">
        <f>B62</f>
        <v>M_NC4</v>
      </c>
      <c r="C63" s="177" t="s">
        <v>47</v>
      </c>
      <c r="D63" s="118" t="e">
        <f ca="1">0.001*INDIRECT($B63&amp;"!E6")</f>
        <v>#REF!</v>
      </c>
      <c r="E63" s="32"/>
      <c r="F63" s="166" t="str">
        <f>F62</f>
        <v>M_NC4</v>
      </c>
      <c r="G63" s="177" t="s">
        <v>47</v>
      </c>
      <c r="H63" s="118" t="e">
        <f ca="1">0.001*INDIRECT($B63&amp;"!W6")</f>
        <v>#REF!</v>
      </c>
      <c r="I63" s="14"/>
      <c r="J63" s="33" t="e">
        <f ca="1">H63/D63-1</f>
        <v>#REF!</v>
      </c>
      <c r="L63" s="126" t="e">
        <f ca="1">INDIRECT($B63&amp;"!"&amp;L$3&amp;"6")</f>
        <v>#REF!</v>
      </c>
      <c r="M63" s="127" t="e">
        <f ca="1">INDIRECT($B63&amp;"!"&amp;M$3&amp;"6")</f>
        <v>#REF!</v>
      </c>
      <c r="N63" s="128" t="e">
        <f ca="1">M63-L63</f>
        <v>#REF!</v>
      </c>
      <c r="O63" s="32"/>
      <c r="P63" s="7"/>
      <c r="Q63" s="32"/>
      <c r="R63" s="14"/>
      <c r="S63" s="14"/>
      <c r="T63" s="14"/>
      <c r="U63" s="14"/>
      <c r="V63" s="107"/>
      <c r="X63" s="11"/>
      <c r="Y63" s="11"/>
      <c r="Z63" s="108"/>
    </row>
    <row r="64" spans="2:28" x14ac:dyDescent="0.25">
      <c r="B64" s="166" t="str">
        <f>B63</f>
        <v>M_NC4</v>
      </c>
      <c r="C64" s="177" t="s">
        <v>48</v>
      </c>
      <c r="D64" s="118" t="e">
        <f ca="1">0.001*INDIRECT($B64&amp;"!E7")</f>
        <v>#REF!</v>
      </c>
      <c r="E64" s="32"/>
      <c r="F64" s="166" t="str">
        <f>F63</f>
        <v>M_NC4</v>
      </c>
      <c r="G64" s="177" t="s">
        <v>48</v>
      </c>
      <c r="H64" s="118" t="e">
        <f ca="1">0.001*INDIRECT($B64&amp;"!W7")</f>
        <v>#REF!</v>
      </c>
      <c r="I64" s="14"/>
      <c r="J64" s="33" t="e">
        <f ca="1">H64/D64-1</f>
        <v>#REF!</v>
      </c>
      <c r="L64" s="126" t="e">
        <f ca="1">INDIRECT($B64&amp;"!"&amp;L$3&amp;"7")</f>
        <v>#REF!</v>
      </c>
      <c r="M64" s="127" t="e">
        <f ca="1">INDIRECT($B64&amp;"!"&amp;M$3&amp;"7")</f>
        <v>#REF!</v>
      </c>
      <c r="N64" s="128" t="e">
        <f ca="1">M64-L64</f>
        <v>#REF!</v>
      </c>
      <c r="O64" s="32"/>
      <c r="P64" s="7" t="s">
        <v>49</v>
      </c>
      <c r="Q64" s="32"/>
      <c r="R64" s="14"/>
      <c r="S64" s="14"/>
      <c r="T64" s="14"/>
      <c r="U64" s="14"/>
      <c r="V64" s="107"/>
      <c r="X64" s="11"/>
      <c r="Y64" s="11"/>
      <c r="Z64" s="108"/>
    </row>
    <row r="65" spans="2:28" x14ac:dyDescent="0.25">
      <c r="B65" s="166" t="str">
        <f>B64</f>
        <v>M_NC4</v>
      </c>
      <c r="C65" s="177" t="s">
        <v>50</v>
      </c>
      <c r="D65" s="118" t="e">
        <f ca="1">0.001*INDIRECT($B65&amp;"!E8")</f>
        <v>#REF!</v>
      </c>
      <c r="E65" s="32"/>
      <c r="F65" s="166" t="str">
        <f>F64</f>
        <v>M_NC4</v>
      </c>
      <c r="G65" s="177" t="s">
        <v>50</v>
      </c>
      <c r="H65" s="118" t="e">
        <f ca="1">0.001*INDIRECT($B65&amp;"!W8")</f>
        <v>#REF!</v>
      </c>
      <c r="I65" s="14"/>
      <c r="J65" s="33" t="e">
        <f ca="1">H65/D65-1</f>
        <v>#REF!</v>
      </c>
      <c r="L65" s="126" t="e">
        <f ca="1">INDIRECT($B65&amp;"!"&amp;L$3&amp;"8")</f>
        <v>#REF!</v>
      </c>
      <c r="M65" s="127" t="e">
        <f ca="1">INDIRECT($B65&amp;"!"&amp;M$3&amp;"8")</f>
        <v>#REF!</v>
      </c>
      <c r="N65" s="128" t="e">
        <f ca="1">M65-L65</f>
        <v>#REF!</v>
      </c>
      <c r="O65" s="32"/>
      <c r="P65" s="268" t="e">
        <f ca="1">bdrate(L62:L66,D62:D66,M62:M66,H62:H66)</f>
        <v>#VALUE!</v>
      </c>
      <c r="Q65" s="32"/>
      <c r="R65" s="14"/>
      <c r="S65" s="14"/>
      <c r="T65" s="14"/>
      <c r="U65" s="14"/>
      <c r="V65" s="107"/>
      <c r="X65" s="11"/>
      <c r="Y65" s="11"/>
      <c r="Z65" s="108"/>
    </row>
    <row r="66" spans="2:28" ht="16.5" customHeight="1" thickBot="1" x14ac:dyDescent="0.3">
      <c r="B66" s="120" t="str">
        <f>B65</f>
        <v>M_NC4</v>
      </c>
      <c r="C66" s="178" t="s">
        <v>51</v>
      </c>
      <c r="D66" s="121" t="e">
        <f ca="1">0.001*INDIRECT($B66&amp;"!E9")</f>
        <v>#REF!</v>
      </c>
      <c r="E66" s="32"/>
      <c r="F66" s="120" t="str">
        <f>F65</f>
        <v>M_NC4</v>
      </c>
      <c r="G66" s="178" t="s">
        <v>51</v>
      </c>
      <c r="H66" s="118" t="e">
        <f ca="1">0.001*INDIRECT($B66&amp;"!W9")</f>
        <v>#REF!</v>
      </c>
      <c r="I66" s="14"/>
      <c r="J66" s="33" t="e">
        <f ca="1">H66/D66-1</f>
        <v>#REF!</v>
      </c>
      <c r="L66" s="126" t="e">
        <f ca="1">INDIRECT($B66&amp;"!"&amp;L$3&amp;"9")</f>
        <v>#REF!</v>
      </c>
      <c r="M66" s="127" t="e">
        <f ca="1">INDIRECT($B66&amp;"!"&amp;M$3&amp;"9")</f>
        <v>#REF!</v>
      </c>
      <c r="N66" s="129" t="e">
        <f ca="1">M66-L66</f>
        <v>#REF!</v>
      </c>
      <c r="O66" s="32"/>
      <c r="P66" s="37"/>
      <c r="Q66" s="32"/>
      <c r="R66" s="14"/>
      <c r="S66" s="14"/>
      <c r="T66" s="14"/>
      <c r="U66" s="14"/>
      <c r="V66" s="107"/>
      <c r="X66" s="11"/>
      <c r="Y66" s="11"/>
      <c r="Z66" s="108"/>
      <c r="AB66" s="109"/>
    </row>
    <row r="67" spans="2:28" ht="16.5" customHeight="1" x14ac:dyDescent="0.25">
      <c r="B67" s="152"/>
      <c r="C67" s="153"/>
      <c r="D67" s="123"/>
      <c r="F67" s="152"/>
      <c r="G67" s="153"/>
      <c r="H67" s="123"/>
      <c r="J67" s="130" t="e">
        <f ca="1">MIN(D62:D66,H62:H66)</f>
        <v>#REF!</v>
      </c>
      <c r="L67" s="131"/>
      <c r="M67" s="132"/>
      <c r="N67" s="133"/>
      <c r="O67" s="32"/>
      <c r="P67" s="159"/>
      <c r="Q67" s="32"/>
      <c r="R67" s="14"/>
      <c r="S67" s="14"/>
      <c r="T67" s="14"/>
      <c r="U67" s="14"/>
      <c r="V67" s="110"/>
      <c r="X67" s="11"/>
      <c r="Y67" s="11"/>
      <c r="Z67" s="108"/>
    </row>
    <row r="68" spans="2:28" ht="16.5" customHeight="1" thickBot="1" x14ac:dyDescent="0.3">
      <c r="B68" s="120"/>
      <c r="C68" s="124"/>
      <c r="D68" s="121"/>
      <c r="E68" s="32"/>
      <c r="F68" s="120"/>
      <c r="G68" s="124"/>
      <c r="H68" s="121"/>
      <c r="I68" s="14"/>
      <c r="J68" s="134" t="e">
        <f ca="1">MAX(D62:D66,H62:H66)</f>
        <v>#REF!</v>
      </c>
      <c r="L68" s="135">
        <f>L67</f>
        <v>0</v>
      </c>
      <c r="M68" s="136">
        <f>M67</f>
        <v>0</v>
      </c>
      <c r="N68" s="129"/>
      <c r="O68" s="32"/>
      <c r="P68" s="10"/>
      <c r="Q68" s="32"/>
      <c r="R68" s="14"/>
      <c r="S68" s="14"/>
      <c r="T68" s="14"/>
      <c r="U68" s="14"/>
      <c r="V68" s="110"/>
      <c r="X68" s="111"/>
      <c r="Y68" s="111"/>
      <c r="Z68" s="108"/>
    </row>
    <row r="69" spans="2:28" ht="16.5" customHeight="1" thickBot="1" x14ac:dyDescent="0.3"/>
    <row r="70" spans="2:28" x14ac:dyDescent="0.25">
      <c r="B70" s="315" t="s">
        <v>25</v>
      </c>
      <c r="C70" s="316"/>
      <c r="D70" s="317"/>
      <c r="E70" s="6"/>
      <c r="F70" s="315" t="str">
        <f>B70</f>
        <v>M_NC5</v>
      </c>
      <c r="G70" s="316"/>
      <c r="H70" s="317"/>
      <c r="I70" s="6"/>
      <c r="J70" s="159"/>
      <c r="L70" s="318" t="str">
        <f>F70</f>
        <v>M_NC5</v>
      </c>
      <c r="M70" s="319"/>
      <c r="N70" s="320"/>
      <c r="O70" s="297"/>
      <c r="P70" s="159"/>
      <c r="U70" s="155"/>
      <c r="V70" s="155"/>
      <c r="X70" s="313"/>
      <c r="Y70" s="301"/>
      <c r="Z70" s="301"/>
    </row>
    <row r="71" spans="2:28" x14ac:dyDescent="0.25">
      <c r="B71" s="321" t="s">
        <v>39</v>
      </c>
      <c r="C71" s="322"/>
      <c r="D71" s="116" t="s">
        <v>40</v>
      </c>
      <c r="E71" s="32"/>
      <c r="F71" s="321" t="s">
        <v>39</v>
      </c>
      <c r="G71" s="322"/>
      <c r="H71" s="116" t="s">
        <v>40</v>
      </c>
      <c r="I71" s="14"/>
      <c r="J71" s="160" t="s">
        <v>41</v>
      </c>
      <c r="L71" s="323" t="s">
        <v>61</v>
      </c>
      <c r="M71" s="313"/>
      <c r="N71" s="324"/>
      <c r="O71" s="112"/>
      <c r="P71" s="7"/>
      <c r="R71" s="314"/>
      <c r="S71" s="301"/>
      <c r="T71" s="301"/>
      <c r="U71" s="156"/>
      <c r="V71" s="156"/>
      <c r="X71" s="314"/>
      <c r="Y71" s="301"/>
      <c r="Z71" s="301"/>
    </row>
    <row r="72" spans="2:28" x14ac:dyDescent="0.25">
      <c r="B72" s="293" t="s">
        <v>2</v>
      </c>
      <c r="C72" s="177" t="s">
        <v>43</v>
      </c>
      <c r="D72" s="115" t="s">
        <v>44</v>
      </c>
      <c r="E72" s="32"/>
      <c r="F72" s="293" t="s">
        <v>2</v>
      </c>
      <c r="G72" s="177" t="s">
        <v>43</v>
      </c>
      <c r="H72" s="115" t="s">
        <v>44</v>
      </c>
      <c r="I72" s="14"/>
      <c r="J72" s="125"/>
      <c r="L72" s="294" t="str">
        <f>CONCATENATE(B$2," ",L70)</f>
        <v>Anchor M_NC5</v>
      </c>
      <c r="M72" s="295" t="str">
        <f>CONCATENATE(F$2," ",L70)</f>
        <v>Proposal M_NC5</v>
      </c>
      <c r="N72" s="296" t="s">
        <v>45</v>
      </c>
      <c r="O72" s="6"/>
      <c r="P72" s="7" t="s">
        <v>36</v>
      </c>
      <c r="Q72" s="6"/>
      <c r="R72" s="6"/>
      <c r="S72" s="6"/>
      <c r="T72" s="6"/>
      <c r="U72" s="6"/>
      <c r="V72" s="6"/>
      <c r="X72" s="297"/>
      <c r="Y72" s="297"/>
      <c r="Z72" s="297"/>
    </row>
    <row r="73" spans="2:28" x14ac:dyDescent="0.25">
      <c r="B73" s="166" t="str">
        <f>B70</f>
        <v>M_NC5</v>
      </c>
      <c r="C73" s="177" t="s">
        <v>46</v>
      </c>
      <c r="D73" s="118" t="e">
        <f ca="1">0.001*INDIRECT($B73&amp;"!E5")</f>
        <v>#REF!</v>
      </c>
      <c r="E73" s="32"/>
      <c r="F73" s="166" t="str">
        <f>F70</f>
        <v>M_NC5</v>
      </c>
      <c r="G73" s="177" t="s">
        <v>46</v>
      </c>
      <c r="H73" s="118" t="e">
        <f ca="1">0.001*INDIRECT($B73&amp;"!W5")</f>
        <v>#REF!</v>
      </c>
      <c r="I73" s="14"/>
      <c r="J73" s="33" t="e">
        <f ca="1">H73/D73-1</f>
        <v>#REF!</v>
      </c>
      <c r="L73" s="126" t="e">
        <f ca="1">INDIRECT($B73&amp;"!"&amp;L$3&amp;"5")</f>
        <v>#REF!</v>
      </c>
      <c r="M73" s="127" t="e">
        <f ca="1">INDIRECT($B73&amp;"!"&amp;M$3&amp;"5")</f>
        <v>#REF!</v>
      </c>
      <c r="N73" s="128" t="e">
        <f ca="1">M73-L73</f>
        <v>#REF!</v>
      </c>
      <c r="O73" s="32"/>
      <c r="P73" s="33" t="e">
        <f ca="1">bdrate(D73:D77,L73:L77,H73:H77,M73:M77)</f>
        <v>#VALUE!</v>
      </c>
      <c r="Q73" s="32"/>
      <c r="R73" s="14"/>
      <c r="S73" s="14"/>
      <c r="T73" s="14"/>
      <c r="U73" s="14"/>
      <c r="V73" s="107"/>
      <c r="X73" s="11"/>
      <c r="Y73" s="11"/>
      <c r="Z73" s="108"/>
      <c r="AB73" s="109"/>
    </row>
    <row r="74" spans="2:28" x14ac:dyDescent="0.25">
      <c r="B74" s="166" t="str">
        <f>B73</f>
        <v>M_NC5</v>
      </c>
      <c r="C74" s="177" t="s">
        <v>47</v>
      </c>
      <c r="D74" s="118" t="e">
        <f ca="1">0.001*INDIRECT($B74&amp;"!E6")</f>
        <v>#REF!</v>
      </c>
      <c r="E74" s="32"/>
      <c r="F74" s="166" t="str">
        <f>F73</f>
        <v>M_NC5</v>
      </c>
      <c r="G74" s="177" t="s">
        <v>47</v>
      </c>
      <c r="H74" s="118" t="e">
        <f ca="1">0.001*INDIRECT($B74&amp;"!W6")</f>
        <v>#REF!</v>
      </c>
      <c r="I74" s="14"/>
      <c r="J74" s="33" t="e">
        <f ca="1">H74/D74-1</f>
        <v>#REF!</v>
      </c>
      <c r="L74" s="126" t="e">
        <f ca="1">INDIRECT($B74&amp;"!"&amp;L$3&amp;"6")</f>
        <v>#REF!</v>
      </c>
      <c r="M74" s="127" t="e">
        <f ca="1">INDIRECT($B74&amp;"!"&amp;M$3&amp;"6")</f>
        <v>#REF!</v>
      </c>
      <c r="N74" s="128" t="e">
        <f ca="1">M74-L74</f>
        <v>#REF!</v>
      </c>
      <c r="O74" s="32"/>
      <c r="P74" s="7"/>
      <c r="Q74" s="32"/>
      <c r="R74" s="14"/>
      <c r="S74" s="14"/>
      <c r="T74" s="14"/>
      <c r="U74" s="14"/>
      <c r="V74" s="107"/>
      <c r="X74" s="11"/>
      <c r="Y74" s="11"/>
      <c r="Z74" s="108"/>
    </row>
    <row r="75" spans="2:28" x14ac:dyDescent="0.25">
      <c r="B75" s="166" t="str">
        <f>B74</f>
        <v>M_NC5</v>
      </c>
      <c r="C75" s="177" t="s">
        <v>48</v>
      </c>
      <c r="D75" s="118" t="e">
        <f ca="1">0.001*INDIRECT($B75&amp;"!E7")</f>
        <v>#REF!</v>
      </c>
      <c r="E75" s="32"/>
      <c r="F75" s="166" t="str">
        <f>F74</f>
        <v>M_NC5</v>
      </c>
      <c r="G75" s="177" t="s">
        <v>48</v>
      </c>
      <c r="H75" s="118" t="e">
        <f ca="1">0.001*INDIRECT($B75&amp;"!W7")</f>
        <v>#REF!</v>
      </c>
      <c r="I75" s="14"/>
      <c r="J75" s="33" t="e">
        <f ca="1">H75/D75-1</f>
        <v>#REF!</v>
      </c>
      <c r="L75" s="126" t="e">
        <f ca="1">INDIRECT($B75&amp;"!"&amp;L$3&amp;"7")</f>
        <v>#REF!</v>
      </c>
      <c r="M75" s="127" t="e">
        <f ca="1">INDIRECT($B75&amp;"!"&amp;M$3&amp;"7")</f>
        <v>#REF!</v>
      </c>
      <c r="N75" s="128" t="e">
        <f ca="1">M75-L75</f>
        <v>#REF!</v>
      </c>
      <c r="O75" s="32"/>
      <c r="P75" s="7" t="s">
        <v>49</v>
      </c>
      <c r="Q75" s="32"/>
      <c r="R75" s="14"/>
      <c r="S75" s="14"/>
      <c r="T75" s="14"/>
      <c r="U75" s="14"/>
      <c r="V75" s="107"/>
      <c r="X75" s="11"/>
      <c r="Y75" s="11"/>
      <c r="Z75" s="108"/>
    </row>
    <row r="76" spans="2:28" x14ac:dyDescent="0.25">
      <c r="B76" s="166" t="str">
        <f>B75</f>
        <v>M_NC5</v>
      </c>
      <c r="C76" s="177" t="s">
        <v>50</v>
      </c>
      <c r="D76" s="118" t="e">
        <f ca="1">0.001*INDIRECT($B76&amp;"!E8")</f>
        <v>#REF!</v>
      </c>
      <c r="E76" s="32"/>
      <c r="F76" s="166" t="str">
        <f>F75</f>
        <v>M_NC5</v>
      </c>
      <c r="G76" s="177" t="s">
        <v>50</v>
      </c>
      <c r="H76" s="118" t="e">
        <f ca="1">0.001*INDIRECT($B76&amp;"!W8")</f>
        <v>#REF!</v>
      </c>
      <c r="I76" s="14"/>
      <c r="J76" s="33" t="e">
        <f ca="1">H76/D76-1</f>
        <v>#REF!</v>
      </c>
      <c r="L76" s="126" t="e">
        <f ca="1">INDIRECT($B76&amp;"!"&amp;L$3&amp;"8")</f>
        <v>#REF!</v>
      </c>
      <c r="M76" s="127" t="e">
        <f ca="1">INDIRECT($B76&amp;"!"&amp;M$3&amp;"8")</f>
        <v>#REF!</v>
      </c>
      <c r="N76" s="128" t="e">
        <f ca="1">M76-L76</f>
        <v>#REF!</v>
      </c>
      <c r="O76" s="32"/>
      <c r="P76" s="268" t="e">
        <f ca="1">bdrate(L73:L77,D73:D77,M73:M77,H73:H77)</f>
        <v>#VALUE!</v>
      </c>
      <c r="Q76" s="32"/>
      <c r="R76" s="14"/>
      <c r="S76" s="14"/>
      <c r="T76" s="14"/>
      <c r="U76" s="14"/>
      <c r="V76" s="107"/>
      <c r="X76" s="11"/>
      <c r="Y76" s="11"/>
      <c r="Z76" s="108"/>
    </row>
    <row r="77" spans="2:28" ht="16.5" customHeight="1" thickBot="1" x14ac:dyDescent="0.3">
      <c r="B77" s="120" t="str">
        <f>B76</f>
        <v>M_NC5</v>
      </c>
      <c r="C77" s="178" t="s">
        <v>51</v>
      </c>
      <c r="D77" s="121" t="e">
        <f ca="1">0.001*INDIRECT($B77&amp;"!E9")</f>
        <v>#REF!</v>
      </c>
      <c r="E77" s="32"/>
      <c r="F77" s="120" t="str">
        <f>F76</f>
        <v>M_NC5</v>
      </c>
      <c r="G77" s="178" t="s">
        <v>51</v>
      </c>
      <c r="H77" s="118" t="e">
        <f ca="1">0.001*INDIRECT($B77&amp;"!W9")</f>
        <v>#REF!</v>
      </c>
      <c r="I77" s="14"/>
      <c r="J77" s="33" t="e">
        <f ca="1">H77/D77-1</f>
        <v>#REF!</v>
      </c>
      <c r="L77" s="126" t="e">
        <f ca="1">INDIRECT($B77&amp;"!"&amp;L$3&amp;"9")</f>
        <v>#REF!</v>
      </c>
      <c r="M77" s="127" t="e">
        <f ca="1">INDIRECT($B77&amp;"!"&amp;M$3&amp;"9")</f>
        <v>#REF!</v>
      </c>
      <c r="N77" s="129" t="e">
        <f ca="1">M77-L77</f>
        <v>#REF!</v>
      </c>
      <c r="O77" s="32"/>
      <c r="P77" s="37"/>
      <c r="Q77" s="32"/>
      <c r="R77" s="14"/>
      <c r="S77" s="14"/>
      <c r="T77" s="14"/>
      <c r="U77" s="14"/>
      <c r="V77" s="107"/>
      <c r="X77" s="11"/>
      <c r="Y77" s="11"/>
      <c r="Z77" s="108"/>
      <c r="AB77" s="109"/>
    </row>
    <row r="78" spans="2:28" ht="16.5" customHeight="1" x14ac:dyDescent="0.25">
      <c r="B78" s="152"/>
      <c r="C78" s="153"/>
      <c r="D78" s="123"/>
      <c r="F78" s="152"/>
      <c r="G78" s="153"/>
      <c r="H78" s="123"/>
      <c r="J78" s="130" t="e">
        <f ca="1">MIN(D73:D77,H73:H77)</f>
        <v>#REF!</v>
      </c>
      <c r="L78" s="131"/>
      <c r="M78" s="132"/>
      <c r="N78" s="133"/>
      <c r="O78" s="32"/>
      <c r="P78" s="159"/>
      <c r="Q78" s="32"/>
      <c r="R78" s="14"/>
      <c r="S78" s="14"/>
      <c r="T78" s="14"/>
      <c r="U78" s="14"/>
      <c r="V78" s="110"/>
      <c r="X78" s="11"/>
      <c r="Y78" s="11"/>
      <c r="Z78" s="108"/>
    </row>
    <row r="79" spans="2:28" ht="16.5" customHeight="1" thickBot="1" x14ac:dyDescent="0.3">
      <c r="B79" s="120"/>
      <c r="C79" s="124"/>
      <c r="D79" s="121"/>
      <c r="E79" s="32"/>
      <c r="F79" s="120"/>
      <c r="G79" s="124"/>
      <c r="H79" s="121"/>
      <c r="I79" s="14"/>
      <c r="J79" s="134" t="e">
        <f ca="1">MAX(D73:D77,H73:H77)</f>
        <v>#REF!</v>
      </c>
      <c r="L79" s="135">
        <f>L78</f>
        <v>0</v>
      </c>
      <c r="M79" s="136">
        <f>M78</f>
        <v>0</v>
      </c>
      <c r="N79" s="129"/>
      <c r="O79" s="32"/>
      <c r="P79" s="10"/>
      <c r="Q79" s="32"/>
      <c r="R79" s="14"/>
      <c r="S79" s="14"/>
      <c r="T79" s="14"/>
      <c r="U79" s="14"/>
      <c r="V79" s="110"/>
      <c r="X79" s="111"/>
      <c r="Y79" s="111"/>
      <c r="Z79" s="108"/>
    </row>
    <row r="80" spans="2:28" ht="16.5" customHeight="1" thickBot="1" x14ac:dyDescent="0.3"/>
    <row r="81" spans="2:28" x14ac:dyDescent="0.25">
      <c r="B81" s="315" t="s">
        <v>30</v>
      </c>
      <c r="C81" s="316"/>
      <c r="D81" s="317"/>
      <c r="E81" s="6"/>
      <c r="F81" s="315" t="str">
        <f>B81</f>
        <v>S_NC1</v>
      </c>
      <c r="G81" s="316"/>
      <c r="H81" s="317"/>
      <c r="I81" s="6"/>
      <c r="J81" s="159"/>
      <c r="L81" s="318" t="str">
        <f>F81</f>
        <v>S_NC1</v>
      </c>
      <c r="M81" s="319"/>
      <c r="N81" s="320"/>
      <c r="O81" s="297"/>
      <c r="P81" s="159"/>
      <c r="U81" s="155"/>
      <c r="V81" s="155"/>
      <c r="X81" s="313"/>
      <c r="Y81" s="301"/>
      <c r="Z81" s="301"/>
    </row>
    <row r="82" spans="2:28" x14ac:dyDescent="0.25">
      <c r="B82" s="321" t="s">
        <v>39</v>
      </c>
      <c r="C82" s="322"/>
      <c r="D82" s="116" t="s">
        <v>40</v>
      </c>
      <c r="E82" s="32"/>
      <c r="F82" s="321" t="s">
        <v>39</v>
      </c>
      <c r="G82" s="322"/>
      <c r="H82" s="116" t="s">
        <v>40</v>
      </c>
      <c r="I82" s="14"/>
      <c r="J82" s="160" t="s">
        <v>41</v>
      </c>
      <c r="L82" s="323" t="s">
        <v>61</v>
      </c>
      <c r="M82" s="313"/>
      <c r="N82" s="324"/>
      <c r="O82" s="112"/>
      <c r="P82" s="7"/>
      <c r="R82" s="314"/>
      <c r="S82" s="301"/>
      <c r="T82" s="301"/>
      <c r="U82" s="156"/>
      <c r="V82" s="156"/>
      <c r="X82" s="314"/>
      <c r="Y82" s="301"/>
      <c r="Z82" s="301"/>
    </row>
    <row r="83" spans="2:28" x14ac:dyDescent="0.25">
      <c r="B83" s="293" t="s">
        <v>2</v>
      </c>
      <c r="C83" s="177" t="s">
        <v>43</v>
      </c>
      <c r="D83" s="115" t="s">
        <v>44</v>
      </c>
      <c r="E83" s="32"/>
      <c r="F83" s="293" t="s">
        <v>2</v>
      </c>
      <c r="G83" s="177" t="s">
        <v>43</v>
      </c>
      <c r="H83" s="115" t="s">
        <v>44</v>
      </c>
      <c r="I83" s="14"/>
      <c r="J83" s="125"/>
      <c r="L83" s="294" t="str">
        <f>CONCATENATE(B$2," ",L81)</f>
        <v>Anchor S_NC1</v>
      </c>
      <c r="M83" s="295" t="str">
        <f>CONCATENATE(F$2," ",L81)</f>
        <v>Proposal S_NC1</v>
      </c>
      <c r="N83" s="296" t="s">
        <v>45</v>
      </c>
      <c r="O83" s="6"/>
      <c r="P83" s="7" t="s">
        <v>36</v>
      </c>
      <c r="Q83" s="6"/>
      <c r="R83" s="6"/>
      <c r="S83" s="6"/>
      <c r="T83" s="6"/>
      <c r="U83" s="6"/>
      <c r="V83" s="6"/>
      <c r="X83" s="297"/>
      <c r="Y83" s="297"/>
      <c r="Z83" s="297"/>
    </row>
    <row r="84" spans="2:28" x14ac:dyDescent="0.25">
      <c r="B84" s="166" t="str">
        <f>B81</f>
        <v>S_NC1</v>
      </c>
      <c r="C84" s="177" t="s">
        <v>46</v>
      </c>
      <c r="D84" s="118" t="e">
        <f ca="1">0.001*INDIRECT($B84&amp;"!E5")</f>
        <v>#REF!</v>
      </c>
      <c r="E84" s="32"/>
      <c r="F84" s="166" t="str">
        <f>F81</f>
        <v>S_NC1</v>
      </c>
      <c r="G84" s="177" t="s">
        <v>46</v>
      </c>
      <c r="H84" s="118" t="e">
        <f ca="1">0.001*INDIRECT($B84&amp;"!W5")</f>
        <v>#REF!</v>
      </c>
      <c r="I84" s="14"/>
      <c r="J84" s="33" t="e">
        <f ca="1">H84/D84-1</f>
        <v>#REF!</v>
      </c>
      <c r="L84" s="126" t="e">
        <f ca="1">INDIRECT($B84&amp;"!"&amp;L$3&amp;"5")</f>
        <v>#REF!</v>
      </c>
      <c r="M84" s="127" t="e">
        <f ca="1">INDIRECT($B84&amp;"!"&amp;M$3&amp;"5")</f>
        <v>#REF!</v>
      </c>
      <c r="N84" s="128" t="e">
        <f ca="1">M84-L84</f>
        <v>#REF!</v>
      </c>
      <c r="O84" s="32"/>
      <c r="P84" s="33" t="e">
        <f ca="1">bdrate(D84:D88,L84:L88,H84:H88,M84:M88)</f>
        <v>#VALUE!</v>
      </c>
      <c r="Q84" s="32"/>
      <c r="R84" s="14"/>
      <c r="S84" s="14"/>
      <c r="T84" s="14"/>
      <c r="U84" s="14"/>
      <c r="V84" s="107"/>
      <c r="X84" s="11"/>
      <c r="Y84" s="11"/>
      <c r="Z84" s="108"/>
      <c r="AB84" s="109"/>
    </row>
    <row r="85" spans="2:28" x14ac:dyDescent="0.25">
      <c r="B85" s="166" t="str">
        <f>B84</f>
        <v>S_NC1</v>
      </c>
      <c r="C85" s="177" t="s">
        <v>47</v>
      </c>
      <c r="D85" s="118" t="e">
        <f ca="1">0.001*INDIRECT($B85&amp;"!E6")</f>
        <v>#REF!</v>
      </c>
      <c r="E85" s="32"/>
      <c r="F85" s="166" t="str">
        <f>F84</f>
        <v>S_NC1</v>
      </c>
      <c r="G85" s="177" t="s">
        <v>47</v>
      </c>
      <c r="H85" s="118" t="e">
        <f ca="1">0.001*INDIRECT($B85&amp;"!W6")</f>
        <v>#REF!</v>
      </c>
      <c r="I85" s="14"/>
      <c r="J85" s="33" t="e">
        <f ca="1">H85/D85-1</f>
        <v>#REF!</v>
      </c>
      <c r="L85" s="126" t="e">
        <f ca="1">INDIRECT($B85&amp;"!"&amp;L$3&amp;"6")</f>
        <v>#REF!</v>
      </c>
      <c r="M85" s="127" t="e">
        <f ca="1">INDIRECT($B85&amp;"!"&amp;M$3&amp;"6")</f>
        <v>#REF!</v>
      </c>
      <c r="N85" s="128" t="e">
        <f ca="1">M85-L85</f>
        <v>#REF!</v>
      </c>
      <c r="O85" s="32"/>
      <c r="P85" s="7"/>
      <c r="Q85" s="32"/>
      <c r="R85" s="14"/>
      <c r="S85" s="14"/>
      <c r="T85" s="14"/>
      <c r="U85" s="14"/>
      <c r="V85" s="107"/>
      <c r="X85" s="11"/>
      <c r="Y85" s="11"/>
      <c r="Z85" s="108"/>
    </row>
    <row r="86" spans="2:28" x14ac:dyDescent="0.25">
      <c r="B86" s="166" t="str">
        <f>B85</f>
        <v>S_NC1</v>
      </c>
      <c r="C86" s="177" t="s">
        <v>48</v>
      </c>
      <c r="D86" s="118" t="e">
        <f ca="1">0.001*INDIRECT($B86&amp;"!E7")</f>
        <v>#REF!</v>
      </c>
      <c r="E86" s="32"/>
      <c r="F86" s="166" t="str">
        <f>F85</f>
        <v>S_NC1</v>
      </c>
      <c r="G86" s="177" t="s">
        <v>48</v>
      </c>
      <c r="H86" s="118" t="e">
        <f ca="1">0.001*INDIRECT($B86&amp;"!W7")</f>
        <v>#REF!</v>
      </c>
      <c r="I86" s="14"/>
      <c r="J86" s="33" t="e">
        <f ca="1">H86/D86-1</f>
        <v>#REF!</v>
      </c>
      <c r="L86" s="126" t="e">
        <f ca="1">INDIRECT($B86&amp;"!"&amp;L$3&amp;"7")</f>
        <v>#REF!</v>
      </c>
      <c r="M86" s="127" t="e">
        <f ca="1">INDIRECT($B86&amp;"!"&amp;M$3&amp;"7")</f>
        <v>#REF!</v>
      </c>
      <c r="N86" s="128" t="e">
        <f ca="1">M86-L86</f>
        <v>#REF!</v>
      </c>
      <c r="O86" s="32"/>
      <c r="P86" s="7" t="s">
        <v>49</v>
      </c>
      <c r="Q86" s="32"/>
      <c r="R86" s="14"/>
      <c r="S86" s="14"/>
      <c r="T86" s="14"/>
      <c r="U86" s="14"/>
      <c r="V86" s="107"/>
      <c r="X86" s="11"/>
      <c r="Y86" s="11"/>
      <c r="Z86" s="108"/>
    </row>
    <row r="87" spans="2:28" x14ac:dyDescent="0.25">
      <c r="B87" s="166" t="str">
        <f>B86</f>
        <v>S_NC1</v>
      </c>
      <c r="C87" s="177" t="s">
        <v>50</v>
      </c>
      <c r="D87" s="118" t="e">
        <f ca="1">0.001*INDIRECT($B87&amp;"!E8")</f>
        <v>#REF!</v>
      </c>
      <c r="E87" s="32"/>
      <c r="F87" s="166" t="str">
        <f>F86</f>
        <v>S_NC1</v>
      </c>
      <c r="G87" s="177" t="s">
        <v>50</v>
      </c>
      <c r="H87" s="118" t="e">
        <f ca="1">0.001*INDIRECT($B87&amp;"!W8")</f>
        <v>#REF!</v>
      </c>
      <c r="I87" s="14"/>
      <c r="J87" s="33" t="e">
        <f ca="1">H87/D87-1</f>
        <v>#REF!</v>
      </c>
      <c r="L87" s="126" t="e">
        <f ca="1">INDIRECT($B87&amp;"!"&amp;L$3&amp;"8")</f>
        <v>#REF!</v>
      </c>
      <c r="M87" s="127" t="e">
        <f ca="1">INDIRECT($B87&amp;"!"&amp;M$3&amp;"8")</f>
        <v>#REF!</v>
      </c>
      <c r="N87" s="128" t="e">
        <f ca="1">M87-L87</f>
        <v>#REF!</v>
      </c>
      <c r="O87" s="32"/>
      <c r="P87" s="268" t="e">
        <f ca="1">bdrate(L84:L88,D84:D88,M84:M88,H84:H88)</f>
        <v>#VALUE!</v>
      </c>
      <c r="Q87" s="32"/>
      <c r="R87" s="14"/>
      <c r="S87" s="14"/>
      <c r="T87" s="14"/>
      <c r="U87" s="14"/>
      <c r="V87" s="107"/>
      <c r="X87" s="11"/>
      <c r="Y87" s="11"/>
      <c r="Z87" s="108"/>
    </row>
    <row r="88" spans="2:28" ht="16.5" customHeight="1" thickBot="1" x14ac:dyDescent="0.3">
      <c r="B88" s="120" t="str">
        <f>B87</f>
        <v>S_NC1</v>
      </c>
      <c r="C88" s="178" t="s">
        <v>51</v>
      </c>
      <c r="D88" s="121" t="e">
        <f ca="1">0.001*INDIRECT($B88&amp;"!E9")</f>
        <v>#REF!</v>
      </c>
      <c r="E88" s="32"/>
      <c r="F88" s="120" t="str">
        <f>F87</f>
        <v>S_NC1</v>
      </c>
      <c r="G88" s="178" t="s">
        <v>51</v>
      </c>
      <c r="H88" s="118" t="e">
        <f ca="1">0.001*INDIRECT($B88&amp;"!W9")</f>
        <v>#REF!</v>
      </c>
      <c r="I88" s="14"/>
      <c r="J88" s="33" t="e">
        <f ca="1">H88/D88-1</f>
        <v>#REF!</v>
      </c>
      <c r="L88" s="126" t="e">
        <f ca="1">INDIRECT($B88&amp;"!"&amp;L$3&amp;"9")</f>
        <v>#REF!</v>
      </c>
      <c r="M88" s="127" t="e">
        <f ca="1">INDIRECT($B88&amp;"!"&amp;M$3&amp;"9")</f>
        <v>#REF!</v>
      </c>
      <c r="N88" s="129" t="e">
        <f ca="1">M88-L88</f>
        <v>#REF!</v>
      </c>
      <c r="O88" s="32"/>
      <c r="P88" s="37"/>
      <c r="Q88" s="32"/>
      <c r="R88" s="14"/>
      <c r="S88" s="14"/>
      <c r="T88" s="14"/>
      <c r="U88" s="14"/>
      <c r="V88" s="107"/>
      <c r="X88" s="11"/>
      <c r="Y88" s="11"/>
      <c r="Z88" s="108"/>
      <c r="AB88" s="109"/>
    </row>
    <row r="89" spans="2:28" ht="16.5" customHeight="1" x14ac:dyDescent="0.25">
      <c r="B89" s="152"/>
      <c r="C89" s="153"/>
      <c r="D89" s="123"/>
      <c r="F89" s="152"/>
      <c r="G89" s="153"/>
      <c r="H89" s="123"/>
      <c r="J89" s="130" t="e">
        <f ca="1">MIN(D84:D88,H84:H88)</f>
        <v>#REF!</v>
      </c>
      <c r="L89" s="131"/>
      <c r="M89" s="132"/>
      <c r="N89" s="133"/>
      <c r="O89" s="32"/>
      <c r="P89" s="159"/>
      <c r="Q89" s="32"/>
      <c r="R89" s="14"/>
      <c r="S89" s="14"/>
      <c r="T89" s="14"/>
      <c r="U89" s="14"/>
      <c r="V89" s="110"/>
      <c r="X89" s="11"/>
      <c r="Y89" s="11"/>
      <c r="Z89" s="108"/>
    </row>
    <row r="90" spans="2:28" ht="16.5" customHeight="1" thickBot="1" x14ac:dyDescent="0.3">
      <c r="B90" s="120"/>
      <c r="C90" s="124"/>
      <c r="D90" s="121"/>
      <c r="E90" s="32"/>
      <c r="F90" s="120"/>
      <c r="G90" s="124"/>
      <c r="H90" s="121"/>
      <c r="I90" s="14"/>
      <c r="J90" s="134" t="e">
        <f ca="1">MAX(D84:D88,H84:H88)</f>
        <v>#REF!</v>
      </c>
      <c r="L90" s="135">
        <f>L89</f>
        <v>0</v>
      </c>
      <c r="M90" s="136">
        <f>M89</f>
        <v>0</v>
      </c>
      <c r="N90" s="129"/>
      <c r="O90" s="32"/>
      <c r="P90" s="10"/>
      <c r="Q90" s="32"/>
      <c r="R90" s="14"/>
      <c r="S90" s="14"/>
      <c r="T90" s="14"/>
      <c r="U90" s="14"/>
      <c r="V90" s="110"/>
      <c r="X90" s="111"/>
      <c r="Y90" s="111"/>
      <c r="Z90" s="108"/>
    </row>
    <row r="91" spans="2:28" ht="16.5" customHeight="1" thickBot="1" x14ac:dyDescent="0.3"/>
    <row r="92" spans="2:28" x14ac:dyDescent="0.25">
      <c r="B92" s="315" t="s">
        <v>31</v>
      </c>
      <c r="C92" s="316"/>
      <c r="D92" s="317"/>
      <c r="E92" s="6"/>
      <c r="F92" s="315" t="str">
        <f>B92</f>
        <v>S_NC2</v>
      </c>
      <c r="G92" s="316"/>
      <c r="H92" s="317"/>
      <c r="I92" s="6"/>
      <c r="J92" s="159"/>
      <c r="L92" s="318" t="str">
        <f>F92</f>
        <v>S_NC2</v>
      </c>
      <c r="M92" s="319"/>
      <c r="N92" s="320"/>
      <c r="O92" s="297"/>
      <c r="P92" s="159"/>
      <c r="U92" s="155"/>
      <c r="V92" s="155"/>
      <c r="X92" s="313"/>
      <c r="Y92" s="301"/>
      <c r="Z92" s="301"/>
    </row>
    <row r="93" spans="2:28" x14ac:dyDescent="0.25">
      <c r="B93" s="321" t="s">
        <v>39</v>
      </c>
      <c r="C93" s="322"/>
      <c r="D93" s="116" t="s">
        <v>40</v>
      </c>
      <c r="E93" s="32"/>
      <c r="F93" s="321" t="s">
        <v>39</v>
      </c>
      <c r="G93" s="322"/>
      <c r="H93" s="116" t="s">
        <v>40</v>
      </c>
      <c r="I93" s="14"/>
      <c r="J93" s="160" t="s">
        <v>41</v>
      </c>
      <c r="L93" s="323" t="s">
        <v>61</v>
      </c>
      <c r="M93" s="313"/>
      <c r="N93" s="324"/>
      <c r="O93" s="112"/>
      <c r="P93" s="7"/>
      <c r="R93" s="314"/>
      <c r="S93" s="301"/>
      <c r="T93" s="301"/>
      <c r="U93" s="156"/>
      <c r="V93" s="156"/>
      <c r="X93" s="314"/>
      <c r="Y93" s="301"/>
      <c r="Z93" s="301"/>
    </row>
    <row r="94" spans="2:28" x14ac:dyDescent="0.25">
      <c r="B94" s="293" t="s">
        <v>2</v>
      </c>
      <c r="C94" s="177" t="s">
        <v>43</v>
      </c>
      <c r="D94" s="115" t="s">
        <v>44</v>
      </c>
      <c r="E94" s="32"/>
      <c r="F94" s="293" t="s">
        <v>2</v>
      </c>
      <c r="G94" s="177" t="s">
        <v>43</v>
      </c>
      <c r="H94" s="115" t="s">
        <v>44</v>
      </c>
      <c r="I94" s="14"/>
      <c r="J94" s="125"/>
      <c r="L94" s="294" t="str">
        <f>CONCATENATE(B$2," ",L92)</f>
        <v>Anchor S_NC2</v>
      </c>
      <c r="M94" s="295" t="str">
        <f>CONCATENATE(F$2," ",L92)</f>
        <v>Proposal S_NC2</v>
      </c>
      <c r="N94" s="296" t="s">
        <v>45</v>
      </c>
      <c r="O94" s="6"/>
      <c r="P94" s="7" t="s">
        <v>36</v>
      </c>
      <c r="Q94" s="6"/>
      <c r="R94" s="6"/>
      <c r="S94" s="6"/>
      <c r="T94" s="6"/>
      <c r="U94" s="6"/>
      <c r="V94" s="6"/>
      <c r="X94" s="297"/>
      <c r="Y94" s="297"/>
      <c r="Z94" s="297"/>
    </row>
    <row r="95" spans="2:28" x14ac:dyDescent="0.25">
      <c r="B95" s="166" t="str">
        <f>B92</f>
        <v>S_NC2</v>
      </c>
      <c r="C95" s="177" t="s">
        <v>46</v>
      </c>
      <c r="D95" s="118" t="e">
        <f ca="1">0.001*INDIRECT($B95&amp;"!E5")</f>
        <v>#REF!</v>
      </c>
      <c r="E95" s="32"/>
      <c r="F95" s="166" t="str">
        <f>F92</f>
        <v>S_NC2</v>
      </c>
      <c r="G95" s="177" t="s">
        <v>46</v>
      </c>
      <c r="H95" s="118" t="e">
        <f ca="1">0.001*INDIRECT($B95&amp;"!W5")</f>
        <v>#REF!</v>
      </c>
      <c r="I95" s="14"/>
      <c r="J95" s="33" t="e">
        <f ca="1">H95/D95-1</f>
        <v>#REF!</v>
      </c>
      <c r="L95" s="126" t="e">
        <f ca="1">INDIRECT($B95&amp;"!"&amp;L$3&amp;"5")</f>
        <v>#REF!</v>
      </c>
      <c r="M95" s="127" t="e">
        <f ca="1">INDIRECT($B95&amp;"!"&amp;M$3&amp;"5")</f>
        <v>#REF!</v>
      </c>
      <c r="N95" s="128" t="e">
        <f ca="1">M95-L95</f>
        <v>#REF!</v>
      </c>
      <c r="O95" s="32"/>
      <c r="P95" s="33" t="e">
        <f ca="1">bdrate(D95:D99,L95:L99,H95:H99,M95:M99)</f>
        <v>#VALUE!</v>
      </c>
      <c r="Q95" s="32"/>
      <c r="R95" s="14"/>
      <c r="S95" s="14"/>
      <c r="T95" s="14"/>
      <c r="U95" s="14"/>
      <c r="V95" s="107"/>
      <c r="X95" s="11"/>
      <c r="Y95" s="11"/>
      <c r="Z95" s="108"/>
      <c r="AB95" s="109"/>
    </row>
    <row r="96" spans="2:28" x14ac:dyDescent="0.25">
      <c r="B96" s="166" t="str">
        <f>B95</f>
        <v>S_NC2</v>
      </c>
      <c r="C96" s="177" t="s">
        <v>47</v>
      </c>
      <c r="D96" s="118" t="e">
        <f ca="1">0.001*INDIRECT($B96&amp;"!E6")</f>
        <v>#REF!</v>
      </c>
      <c r="E96" s="32"/>
      <c r="F96" s="166" t="str">
        <f>F95</f>
        <v>S_NC2</v>
      </c>
      <c r="G96" s="177" t="s">
        <v>47</v>
      </c>
      <c r="H96" s="118" t="e">
        <f ca="1">0.001*INDIRECT($B96&amp;"!W6")</f>
        <v>#REF!</v>
      </c>
      <c r="I96" s="14"/>
      <c r="J96" s="33" t="e">
        <f ca="1">H96/D96-1</f>
        <v>#REF!</v>
      </c>
      <c r="L96" s="126" t="e">
        <f ca="1">INDIRECT($B96&amp;"!"&amp;L$3&amp;"6")</f>
        <v>#REF!</v>
      </c>
      <c r="M96" s="127" t="e">
        <f ca="1">INDIRECT($B96&amp;"!"&amp;M$3&amp;"6")</f>
        <v>#REF!</v>
      </c>
      <c r="N96" s="128" t="e">
        <f ca="1">M96-L96</f>
        <v>#REF!</v>
      </c>
      <c r="O96" s="32"/>
      <c r="P96" s="7"/>
      <c r="Q96" s="32"/>
      <c r="R96" s="14"/>
      <c r="S96" s="14"/>
      <c r="T96" s="14"/>
      <c r="U96" s="14"/>
      <c r="V96" s="107"/>
      <c r="X96" s="11"/>
      <c r="Y96" s="11"/>
      <c r="Z96" s="108"/>
    </row>
    <row r="97" spans="2:28" x14ac:dyDescent="0.25">
      <c r="B97" s="166" t="str">
        <f>B96</f>
        <v>S_NC2</v>
      </c>
      <c r="C97" s="177" t="s">
        <v>48</v>
      </c>
      <c r="D97" s="118" t="e">
        <f ca="1">0.001*INDIRECT($B97&amp;"!E7")</f>
        <v>#REF!</v>
      </c>
      <c r="E97" s="32"/>
      <c r="F97" s="166" t="str">
        <f>F96</f>
        <v>S_NC2</v>
      </c>
      <c r="G97" s="177" t="s">
        <v>48</v>
      </c>
      <c r="H97" s="118" t="e">
        <f ca="1">0.001*INDIRECT($B97&amp;"!W7")</f>
        <v>#REF!</v>
      </c>
      <c r="I97" s="14"/>
      <c r="J97" s="33" t="e">
        <f ca="1">H97/D97-1</f>
        <v>#REF!</v>
      </c>
      <c r="L97" s="126" t="e">
        <f ca="1">INDIRECT($B97&amp;"!"&amp;L$3&amp;"7")</f>
        <v>#REF!</v>
      </c>
      <c r="M97" s="127" t="e">
        <f ca="1">INDIRECT($B97&amp;"!"&amp;M$3&amp;"7")</f>
        <v>#REF!</v>
      </c>
      <c r="N97" s="128" t="e">
        <f ca="1">M97-L97</f>
        <v>#REF!</v>
      </c>
      <c r="O97" s="32"/>
      <c r="P97" s="7" t="s">
        <v>49</v>
      </c>
      <c r="Q97" s="32"/>
      <c r="R97" s="14"/>
      <c r="S97" s="14"/>
      <c r="T97" s="14"/>
      <c r="U97" s="14"/>
      <c r="V97" s="107"/>
      <c r="X97" s="11"/>
      <c r="Y97" s="11"/>
      <c r="Z97" s="108"/>
    </row>
    <row r="98" spans="2:28" x14ac:dyDescent="0.25">
      <c r="B98" s="166" t="str">
        <f>B97</f>
        <v>S_NC2</v>
      </c>
      <c r="C98" s="177" t="s">
        <v>50</v>
      </c>
      <c r="D98" s="118" t="e">
        <f ca="1">0.001*INDIRECT($B98&amp;"!E8")</f>
        <v>#REF!</v>
      </c>
      <c r="E98" s="32"/>
      <c r="F98" s="166" t="str">
        <f>F97</f>
        <v>S_NC2</v>
      </c>
      <c r="G98" s="177" t="s">
        <v>50</v>
      </c>
      <c r="H98" s="118" t="e">
        <f ca="1">0.001*INDIRECT($B98&amp;"!W8")</f>
        <v>#REF!</v>
      </c>
      <c r="I98" s="14"/>
      <c r="J98" s="33" t="e">
        <f ca="1">H98/D98-1</f>
        <v>#REF!</v>
      </c>
      <c r="L98" s="126" t="e">
        <f ca="1">INDIRECT($B98&amp;"!"&amp;L$3&amp;"8")</f>
        <v>#REF!</v>
      </c>
      <c r="M98" s="127" t="e">
        <f ca="1">INDIRECT($B98&amp;"!"&amp;M$3&amp;"8")</f>
        <v>#REF!</v>
      </c>
      <c r="N98" s="128" t="e">
        <f ca="1">M98-L98</f>
        <v>#REF!</v>
      </c>
      <c r="O98" s="32"/>
      <c r="P98" s="268" t="e">
        <f ca="1">bdrate(L95:L99,D95:D99,M95:M99,H95:H99)</f>
        <v>#VALUE!</v>
      </c>
      <c r="Q98" s="32"/>
      <c r="R98" s="14"/>
      <c r="S98" s="14"/>
      <c r="T98" s="14"/>
      <c r="U98" s="14"/>
      <c r="V98" s="107"/>
      <c r="X98" s="11"/>
      <c r="Y98" s="11"/>
      <c r="Z98" s="108"/>
    </row>
    <row r="99" spans="2:28" ht="16.5" customHeight="1" thickBot="1" x14ac:dyDescent="0.3">
      <c r="B99" s="120" t="str">
        <f>B98</f>
        <v>S_NC2</v>
      </c>
      <c r="C99" s="178" t="s">
        <v>51</v>
      </c>
      <c r="D99" s="121" t="e">
        <f ca="1">0.001*INDIRECT($B99&amp;"!E9")</f>
        <v>#REF!</v>
      </c>
      <c r="E99" s="32"/>
      <c r="F99" s="120" t="str">
        <f>F98</f>
        <v>S_NC2</v>
      </c>
      <c r="G99" s="178" t="s">
        <v>51</v>
      </c>
      <c r="H99" s="118" t="e">
        <f ca="1">0.001*INDIRECT($B99&amp;"!W9")</f>
        <v>#REF!</v>
      </c>
      <c r="I99" s="14"/>
      <c r="J99" s="33" t="e">
        <f ca="1">H99/D99-1</f>
        <v>#REF!</v>
      </c>
      <c r="L99" s="126" t="e">
        <f ca="1">INDIRECT($B99&amp;"!"&amp;L$3&amp;"9")</f>
        <v>#REF!</v>
      </c>
      <c r="M99" s="127" t="e">
        <f ca="1">INDIRECT($B99&amp;"!"&amp;M$3&amp;"9")</f>
        <v>#REF!</v>
      </c>
      <c r="N99" s="129" t="e">
        <f ca="1">M99-L99</f>
        <v>#REF!</v>
      </c>
      <c r="O99" s="32"/>
      <c r="P99" s="37"/>
      <c r="Q99" s="32"/>
      <c r="R99" s="14"/>
      <c r="S99" s="14"/>
      <c r="T99" s="14"/>
      <c r="U99" s="14"/>
      <c r="V99" s="107"/>
      <c r="X99" s="11"/>
      <c r="Y99" s="11"/>
      <c r="Z99" s="108"/>
      <c r="AB99" s="109"/>
    </row>
    <row r="100" spans="2:28" ht="16.5" customHeight="1" x14ac:dyDescent="0.25">
      <c r="B100" s="152"/>
      <c r="C100" s="153"/>
      <c r="D100" s="123"/>
      <c r="F100" s="152"/>
      <c r="G100" s="153"/>
      <c r="H100" s="123"/>
      <c r="J100" s="130" t="e">
        <f ca="1">MIN(D95:D99,H95:H99)</f>
        <v>#REF!</v>
      </c>
      <c r="L100" s="131"/>
      <c r="M100" s="132"/>
      <c r="N100" s="133"/>
      <c r="O100" s="32"/>
      <c r="P100" s="159"/>
      <c r="Q100" s="32"/>
      <c r="R100" s="14"/>
      <c r="S100" s="14"/>
      <c r="T100" s="14"/>
      <c r="U100" s="14"/>
      <c r="V100" s="110"/>
      <c r="X100" s="11"/>
      <c r="Y100" s="11"/>
      <c r="Z100" s="108"/>
    </row>
    <row r="101" spans="2:28" ht="16.5" customHeight="1" thickBot="1" x14ac:dyDescent="0.3">
      <c r="B101" s="120"/>
      <c r="C101" s="124"/>
      <c r="D101" s="121"/>
      <c r="E101" s="32"/>
      <c r="F101" s="120"/>
      <c r="G101" s="124"/>
      <c r="H101" s="121"/>
      <c r="I101" s="14"/>
      <c r="J101" s="134" t="e">
        <f ca="1">MAX(D95:D99,H95:H99)</f>
        <v>#REF!</v>
      </c>
      <c r="L101" s="135">
        <f>L100</f>
        <v>0</v>
      </c>
      <c r="M101" s="136">
        <f>M100</f>
        <v>0</v>
      </c>
      <c r="N101" s="129"/>
      <c r="O101" s="32"/>
      <c r="P101" s="10"/>
      <c r="Q101" s="32"/>
      <c r="R101" s="14"/>
      <c r="S101" s="14"/>
      <c r="T101" s="14"/>
      <c r="U101" s="14"/>
      <c r="V101" s="110"/>
      <c r="X101" s="111"/>
      <c r="Y101" s="111"/>
      <c r="Z101" s="108"/>
    </row>
    <row r="102" spans="2:28" ht="16.5" customHeight="1" x14ac:dyDescent="0.25"/>
    <row r="103" spans="2:28" x14ac:dyDescent="0.25">
      <c r="B103" s="297"/>
      <c r="C103" s="297"/>
      <c r="D103" s="6"/>
      <c r="E103" s="6"/>
      <c r="F103" s="6"/>
      <c r="G103" s="6"/>
      <c r="H103" s="6"/>
      <c r="I103" s="6"/>
      <c r="J103" s="6"/>
      <c r="L103" s="312"/>
      <c r="M103" s="301"/>
      <c r="N103" s="301"/>
      <c r="O103" s="301"/>
      <c r="P103" s="301"/>
      <c r="Q103" s="301"/>
      <c r="R103" s="301"/>
      <c r="S103" s="301"/>
      <c r="T103" s="301"/>
      <c r="U103" s="155"/>
      <c r="V103" s="155"/>
      <c r="X103" s="313"/>
      <c r="Y103" s="301"/>
      <c r="Z103" s="301"/>
    </row>
    <row r="104" spans="2:28" x14ac:dyDescent="0.25">
      <c r="B104" s="70"/>
      <c r="C104" s="297"/>
      <c r="D104" s="32"/>
      <c r="E104" s="32"/>
      <c r="F104" s="32"/>
      <c r="G104" s="32"/>
      <c r="H104" s="14"/>
      <c r="I104" s="14"/>
      <c r="J104" s="14"/>
      <c r="L104" s="314"/>
      <c r="M104" s="301"/>
      <c r="N104" s="314"/>
      <c r="O104" s="301"/>
      <c r="P104" s="301"/>
      <c r="Q104" s="301"/>
      <c r="R104" s="314"/>
      <c r="S104" s="301"/>
      <c r="T104" s="301"/>
      <c r="U104" s="156"/>
      <c r="V104" s="156"/>
      <c r="X104" s="314"/>
      <c r="Y104" s="301"/>
      <c r="Z104" s="301"/>
    </row>
    <row r="105" spans="2:28" x14ac:dyDescent="0.25">
      <c r="B105" s="70"/>
      <c r="C105" s="297"/>
      <c r="D105" s="32"/>
      <c r="E105" s="32"/>
      <c r="F105" s="32"/>
      <c r="G105" s="32"/>
      <c r="H105" s="14"/>
      <c r="I105" s="14"/>
      <c r="J105" s="14"/>
      <c r="L105" s="297"/>
      <c r="M105" s="297"/>
      <c r="N105" s="6"/>
      <c r="O105" s="6"/>
      <c r="P105" s="6"/>
      <c r="Q105" s="6"/>
      <c r="R105" s="6"/>
      <c r="S105" s="6"/>
      <c r="T105" s="6"/>
      <c r="U105" s="6"/>
      <c r="V105" s="6"/>
      <c r="X105" s="297"/>
      <c r="Y105" s="297"/>
      <c r="Z105" s="297"/>
    </row>
    <row r="106" spans="2:28" x14ac:dyDescent="0.25">
      <c r="B106" s="70"/>
      <c r="C106" s="297"/>
      <c r="D106" s="32"/>
      <c r="E106" s="32"/>
      <c r="F106" s="32"/>
      <c r="G106" s="32"/>
      <c r="H106" s="14"/>
      <c r="I106" s="14"/>
      <c r="J106" s="14"/>
      <c r="L106" s="70"/>
      <c r="M106" s="297"/>
      <c r="N106" s="32"/>
      <c r="O106" s="32"/>
      <c r="P106" s="32"/>
      <c r="Q106" s="32"/>
      <c r="R106" s="14"/>
      <c r="S106" s="14"/>
      <c r="T106" s="14"/>
      <c r="U106" s="14"/>
      <c r="V106" s="107"/>
      <c r="X106" s="11"/>
      <c r="Y106" s="11"/>
      <c r="Z106" s="108"/>
      <c r="AB106" s="109"/>
    </row>
    <row r="107" spans="2:28" x14ac:dyDescent="0.25">
      <c r="B107" s="70"/>
      <c r="C107" s="297"/>
      <c r="D107" s="32"/>
      <c r="E107" s="32"/>
      <c r="F107" s="32"/>
      <c r="G107" s="32"/>
      <c r="H107" s="14"/>
      <c r="I107" s="14"/>
      <c r="J107" s="14"/>
      <c r="L107" s="70"/>
      <c r="M107" s="297"/>
      <c r="N107" s="32"/>
      <c r="O107" s="32"/>
      <c r="P107" s="32"/>
      <c r="Q107" s="32"/>
      <c r="R107" s="14"/>
      <c r="S107" s="14"/>
      <c r="T107" s="14"/>
      <c r="U107" s="14"/>
      <c r="V107" s="107"/>
      <c r="X107" s="11"/>
      <c r="Y107" s="11"/>
      <c r="Z107" s="108"/>
    </row>
    <row r="108" spans="2:28" x14ac:dyDescent="0.25">
      <c r="B108" s="70"/>
      <c r="C108" s="297"/>
      <c r="D108" s="32"/>
      <c r="E108" s="32"/>
      <c r="F108" s="32"/>
      <c r="G108" s="32"/>
      <c r="H108" s="14"/>
      <c r="I108" s="14"/>
      <c r="J108" s="14"/>
      <c r="L108" s="70"/>
      <c r="M108" s="297"/>
      <c r="N108" s="32"/>
      <c r="O108" s="32"/>
      <c r="P108" s="32"/>
      <c r="Q108" s="32"/>
      <c r="R108" s="14"/>
      <c r="S108" s="14"/>
      <c r="T108" s="14"/>
      <c r="U108" s="14"/>
      <c r="V108" s="107"/>
      <c r="X108" s="11"/>
      <c r="Y108" s="11"/>
      <c r="Z108" s="108"/>
    </row>
    <row r="109" spans="2:28" ht="16.5" customHeight="1" x14ac:dyDescent="0.25">
      <c r="B109" s="70"/>
      <c r="D109" s="32"/>
      <c r="E109" s="32"/>
      <c r="F109" s="32"/>
      <c r="G109" s="32"/>
      <c r="H109" s="14"/>
      <c r="I109" s="14"/>
      <c r="J109" s="14"/>
      <c r="L109" s="70"/>
      <c r="M109" s="297"/>
      <c r="N109" s="32"/>
      <c r="O109" s="32"/>
      <c r="P109" s="32"/>
      <c r="Q109" s="32"/>
      <c r="R109" s="14"/>
      <c r="S109" s="14"/>
      <c r="T109" s="14"/>
      <c r="U109" s="14"/>
      <c r="V109" s="107"/>
      <c r="X109" s="11"/>
      <c r="Y109" s="11"/>
      <c r="Z109" s="108"/>
      <c r="AB109" s="109"/>
    </row>
    <row r="110" spans="2:28" ht="16.5" customHeight="1" x14ac:dyDescent="0.25">
      <c r="L110" s="70"/>
      <c r="M110" s="297"/>
      <c r="N110" s="32"/>
      <c r="O110" s="32"/>
      <c r="P110" s="32"/>
      <c r="Q110" s="32"/>
      <c r="R110" s="14"/>
      <c r="S110" s="14"/>
      <c r="T110" s="14"/>
      <c r="U110" s="14"/>
      <c r="V110" s="110"/>
      <c r="X110" s="11"/>
      <c r="Y110" s="11"/>
      <c r="Z110" s="108"/>
    </row>
    <row r="111" spans="2:28" ht="16.5" customHeight="1" x14ac:dyDescent="0.25">
      <c r="B111" s="70"/>
      <c r="D111" s="32"/>
      <c r="E111" s="32"/>
      <c r="F111" s="32"/>
      <c r="G111" s="32"/>
      <c r="H111" s="14"/>
      <c r="I111" s="14"/>
      <c r="J111" s="14"/>
      <c r="L111" s="70"/>
      <c r="M111" s="297"/>
      <c r="N111" s="32"/>
      <c r="O111" s="32"/>
      <c r="P111" s="32"/>
      <c r="Q111" s="32"/>
      <c r="R111" s="14"/>
      <c r="S111" s="14"/>
      <c r="T111" s="14"/>
      <c r="U111" s="14"/>
      <c r="V111" s="110"/>
      <c r="X111" s="111"/>
      <c r="Y111" s="111"/>
      <c r="Z111" s="108"/>
    </row>
    <row r="112" spans="2:28" ht="16.5" customHeight="1" x14ac:dyDescent="0.25"/>
    <row r="116" spans="28:28" x14ac:dyDescent="0.25">
      <c r="AB116" s="109"/>
    </row>
    <row r="119" spans="28:28" ht="16.5" customHeight="1" x14ac:dyDescent="0.25">
      <c r="AB119" s="109"/>
    </row>
    <row r="121" spans="28:28" ht="16.5" customHeight="1" x14ac:dyDescent="0.25"/>
    <row r="122" spans="28:28" ht="16.5" customHeight="1" x14ac:dyDescent="0.25"/>
    <row r="126" spans="28:28" x14ac:dyDescent="0.25">
      <c r="AB126" s="109"/>
    </row>
    <row r="129" spans="28:28" ht="16.5" customHeight="1" x14ac:dyDescent="0.25">
      <c r="AB129" s="109"/>
    </row>
    <row r="131" spans="28:28" ht="16.5" customHeight="1" x14ac:dyDescent="0.25"/>
    <row r="132" spans="28:28" ht="16.5" customHeight="1" x14ac:dyDescent="0.25"/>
    <row r="136" spans="28:28" x14ac:dyDescent="0.25">
      <c r="AB136" s="109"/>
    </row>
    <row r="139" spans="28:28" ht="16.5" customHeight="1" x14ac:dyDescent="0.25">
      <c r="AB139" s="109"/>
    </row>
    <row r="141" spans="28:28" ht="16.5" customHeight="1" x14ac:dyDescent="0.25"/>
    <row r="142" spans="28:28" ht="16.5" customHeight="1" x14ac:dyDescent="0.25"/>
    <row r="146" spans="28:28" x14ac:dyDescent="0.25">
      <c r="AB146" s="109"/>
    </row>
    <row r="149" spans="28:28" ht="16.5" customHeight="1" x14ac:dyDescent="0.25">
      <c r="AB149" s="109"/>
    </row>
    <row r="151" spans="28:28" ht="16.5" customHeight="1" x14ac:dyDescent="0.25"/>
    <row r="152" spans="28:28" ht="16.5" customHeight="1" x14ac:dyDescent="0.25"/>
    <row r="156" spans="28:28" x14ac:dyDescent="0.25">
      <c r="AB156" s="109"/>
    </row>
    <row r="159" spans="28:28" ht="16.5" customHeight="1" x14ac:dyDescent="0.25">
      <c r="AB159" s="109"/>
    </row>
    <row r="161" spans="28:28" ht="16.5" customHeight="1" x14ac:dyDescent="0.25"/>
    <row r="162" spans="28:28" ht="16.5" customHeight="1" x14ac:dyDescent="0.25"/>
    <row r="166" spans="28:28" x14ac:dyDescent="0.25">
      <c r="AB166" s="109"/>
    </row>
    <row r="169" spans="28:28" ht="16.5" customHeight="1" x14ac:dyDescent="0.25">
      <c r="AB169" s="109"/>
    </row>
    <row r="171" spans="28:28" ht="16.5" customHeight="1" x14ac:dyDescent="0.25"/>
    <row r="172" spans="28:28" ht="16.5" customHeight="1" x14ac:dyDescent="0.25"/>
    <row r="176" spans="28:28" x14ac:dyDescent="0.25">
      <c r="AB176" s="109"/>
    </row>
    <row r="179" spans="28:28" ht="16.5" customHeight="1" x14ac:dyDescent="0.25">
      <c r="AB179" s="109"/>
    </row>
    <row r="181" spans="28:28" ht="16.5" customHeight="1" x14ac:dyDescent="0.25"/>
    <row r="182" spans="28:28" ht="16.5" customHeight="1" x14ac:dyDescent="0.25"/>
    <row r="186" spans="28:28" x14ac:dyDescent="0.25">
      <c r="AB186" s="109"/>
    </row>
    <row r="189" spans="28:28" ht="16.5" customHeight="1" x14ac:dyDescent="0.25">
      <c r="AB189" s="109"/>
    </row>
    <row r="191" spans="28:28" ht="16.5" customHeight="1" x14ac:dyDescent="0.25"/>
    <row r="192" spans="28:28" ht="16.5" customHeight="1" x14ac:dyDescent="0.25"/>
    <row r="196" spans="28:28" x14ac:dyDescent="0.25">
      <c r="AB196" s="109"/>
    </row>
    <row r="199" spans="28:28" ht="16.5" customHeight="1" x14ac:dyDescent="0.25">
      <c r="AB199" s="109"/>
    </row>
    <row r="201" spans="28:28" ht="16.5" customHeight="1" x14ac:dyDescent="0.25"/>
    <row r="202" spans="28:28" ht="16.5" customHeight="1" x14ac:dyDescent="0.25"/>
    <row r="206" spans="28:28" x14ac:dyDescent="0.25">
      <c r="AB206" s="109"/>
    </row>
    <row r="209" spans="2:28" ht="16.5" customHeight="1" x14ac:dyDescent="0.25">
      <c r="AB209" s="109"/>
    </row>
    <row r="211" spans="2:28" ht="16.5" customHeight="1" x14ac:dyDescent="0.25"/>
    <row r="212" spans="2:28" ht="16.5" customHeight="1" x14ac:dyDescent="0.25"/>
    <row r="215" spans="2:28" x14ac:dyDescent="0.25">
      <c r="B215" s="297"/>
      <c r="C215" s="297"/>
      <c r="D215" s="6"/>
      <c r="E215" s="6"/>
      <c r="F215" s="6"/>
      <c r="G215" s="6"/>
      <c r="H215" s="6"/>
      <c r="I215" s="6"/>
      <c r="J215" s="6"/>
      <c r="L215" s="297"/>
      <c r="M215" s="297"/>
      <c r="N215" s="6"/>
      <c r="O215" s="6"/>
      <c r="P215" s="6"/>
      <c r="Q215" s="6"/>
      <c r="R215" s="6"/>
      <c r="S215" s="6"/>
      <c r="T215" s="6"/>
      <c r="U215" s="6"/>
      <c r="V215" s="6"/>
      <c r="X215" s="297"/>
      <c r="Y215" s="297"/>
      <c r="Z215" s="297"/>
    </row>
    <row r="216" spans="2:28" x14ac:dyDescent="0.25">
      <c r="B216" s="70"/>
      <c r="C216" s="297"/>
      <c r="D216" s="32"/>
      <c r="E216" s="32"/>
      <c r="F216" s="32"/>
      <c r="G216" s="32"/>
      <c r="H216" s="14"/>
      <c r="I216" s="14"/>
      <c r="J216" s="14"/>
      <c r="L216" s="70"/>
      <c r="M216" s="297"/>
      <c r="N216" s="32"/>
      <c r="O216" s="32"/>
      <c r="P216" s="32"/>
      <c r="Q216" s="32"/>
      <c r="R216" s="14"/>
      <c r="S216" s="14"/>
      <c r="T216" s="14"/>
      <c r="U216" s="14"/>
      <c r="V216" s="107"/>
      <c r="X216" s="11"/>
      <c r="Y216" s="11"/>
      <c r="Z216" s="108"/>
      <c r="AB216" s="109"/>
    </row>
    <row r="217" spans="2:28" x14ac:dyDescent="0.25">
      <c r="B217" s="70"/>
      <c r="C217" s="297"/>
      <c r="D217" s="32"/>
      <c r="E217" s="32"/>
      <c r="F217" s="32"/>
      <c r="G217" s="32"/>
      <c r="H217" s="14"/>
      <c r="I217" s="14"/>
      <c r="J217" s="14"/>
      <c r="L217" s="70"/>
      <c r="M217" s="297"/>
      <c r="N217" s="32"/>
      <c r="O217" s="32"/>
      <c r="P217" s="32"/>
      <c r="Q217" s="32"/>
      <c r="R217" s="14"/>
      <c r="S217" s="14"/>
      <c r="T217" s="14"/>
      <c r="U217" s="14"/>
      <c r="V217" s="107"/>
      <c r="X217" s="11"/>
      <c r="Y217" s="11"/>
      <c r="Z217" s="108"/>
    </row>
    <row r="218" spans="2:28" x14ac:dyDescent="0.25">
      <c r="B218" s="70"/>
      <c r="C218" s="297"/>
      <c r="D218" s="32"/>
      <c r="E218" s="32"/>
      <c r="F218" s="32"/>
      <c r="G218" s="32"/>
      <c r="H218" s="14"/>
      <c r="I218" s="14"/>
      <c r="J218" s="14"/>
      <c r="L218" s="70"/>
      <c r="M218" s="297"/>
      <c r="N218" s="32"/>
      <c r="O218" s="32"/>
      <c r="P218" s="32"/>
      <c r="Q218" s="32"/>
      <c r="R218" s="14"/>
      <c r="S218" s="14"/>
      <c r="T218" s="14"/>
      <c r="U218" s="14"/>
      <c r="V218" s="107"/>
      <c r="X218" s="11"/>
      <c r="Y218" s="11"/>
      <c r="Z218" s="108"/>
    </row>
    <row r="219" spans="2:28" ht="16.5" customHeight="1" x14ac:dyDescent="0.25">
      <c r="B219" s="70"/>
      <c r="C219" s="297"/>
      <c r="D219" s="32"/>
      <c r="E219" s="32"/>
      <c r="F219" s="32"/>
      <c r="G219" s="32"/>
      <c r="H219" s="14"/>
      <c r="I219" s="14"/>
      <c r="J219" s="14"/>
      <c r="L219" s="70"/>
      <c r="M219" s="297"/>
      <c r="N219" s="32"/>
      <c r="O219" s="32"/>
      <c r="P219" s="32"/>
      <c r="Q219" s="32"/>
      <c r="R219" s="14"/>
      <c r="S219" s="14"/>
      <c r="T219" s="14"/>
      <c r="U219" s="14"/>
      <c r="V219" s="107"/>
      <c r="X219" s="11"/>
      <c r="Y219" s="11"/>
      <c r="Z219" s="108"/>
      <c r="AB219" s="109"/>
    </row>
    <row r="220" spans="2:28" x14ac:dyDescent="0.25">
      <c r="B220" s="70"/>
      <c r="C220" s="297"/>
      <c r="D220" s="32"/>
      <c r="E220" s="32"/>
      <c r="F220" s="32"/>
      <c r="G220" s="32"/>
      <c r="H220" s="14"/>
      <c r="I220" s="14"/>
      <c r="J220" s="14"/>
      <c r="L220" s="70"/>
      <c r="M220" s="297"/>
      <c r="N220" s="32"/>
      <c r="O220" s="32"/>
      <c r="P220" s="32"/>
      <c r="Q220" s="32"/>
      <c r="R220" s="14"/>
      <c r="S220" s="14"/>
      <c r="T220" s="14"/>
      <c r="U220" s="14"/>
      <c r="V220" s="110"/>
      <c r="X220" s="11"/>
      <c r="Y220" s="11"/>
      <c r="Z220" s="108"/>
    </row>
    <row r="221" spans="2:28" ht="16.5" customHeight="1" x14ac:dyDescent="0.25">
      <c r="B221" s="70"/>
      <c r="D221" s="32"/>
      <c r="E221" s="32"/>
      <c r="F221" s="32"/>
      <c r="G221" s="32"/>
      <c r="H221" s="14"/>
      <c r="I221" s="14"/>
      <c r="J221" s="14"/>
      <c r="L221" s="70"/>
      <c r="M221" s="297"/>
      <c r="N221" s="32"/>
      <c r="O221" s="32"/>
      <c r="P221" s="32"/>
      <c r="Q221" s="32"/>
      <c r="R221" s="14"/>
      <c r="S221" s="14"/>
      <c r="T221" s="14"/>
      <c r="U221" s="14"/>
      <c r="V221" s="110"/>
      <c r="X221" s="111"/>
      <c r="Y221" s="111"/>
      <c r="Z221" s="108"/>
    </row>
  </sheetData>
  <mergeCells count="87">
    <mergeCell ref="B2:D2"/>
    <mergeCell ref="F2:H2"/>
    <mergeCell ref="L2:N2"/>
    <mergeCell ref="B4:D4"/>
    <mergeCell ref="F4:H4"/>
    <mergeCell ref="L4:N4"/>
    <mergeCell ref="B5:C5"/>
    <mergeCell ref="F5:G5"/>
    <mergeCell ref="L5:N5"/>
    <mergeCell ref="B15:D15"/>
    <mergeCell ref="F15:H15"/>
    <mergeCell ref="L15:N15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L103:T103"/>
    <mergeCell ref="X103:Z103"/>
    <mergeCell ref="L104:M104"/>
    <mergeCell ref="N104:Q104"/>
    <mergeCell ref="R104:T104"/>
    <mergeCell ref="X104:Z104"/>
  </mergeCells>
  <phoneticPr fontId="32" type="noConversion"/>
  <conditionalFormatting sqref="N13">
    <cfRule type="cellIs" dxfId="359" priority="536" stopIfTrue="1" operator="lessThan">
      <formula>-0.01</formula>
    </cfRule>
    <cfRule type="cellIs" dxfId="358" priority="537" stopIfTrue="1" operator="greaterThan">
      <formula>0.01</formula>
    </cfRule>
  </conditionalFormatting>
  <conditionalFormatting sqref="I13">
    <cfRule type="dataBar" priority="535">
      <dataBar>
        <cfvo type="min"/>
        <cfvo type="max"/>
        <color rgb="FF008AEF"/>
      </dataBar>
    </cfRule>
  </conditionalFormatting>
  <conditionalFormatting sqref="R12:T13">
    <cfRule type="dataBar" priority="534">
      <dataBar>
        <cfvo type="min"/>
        <cfvo type="max"/>
        <color rgb="FF008AEF"/>
      </dataBar>
    </cfRule>
  </conditionalFormatting>
  <conditionalFormatting sqref="U12:U13">
    <cfRule type="dataBar" priority="538">
      <dataBar>
        <cfvo type="min"/>
        <cfvo type="max"/>
        <color rgb="FF008AEF"/>
      </dataBar>
    </cfRule>
  </conditionalFormatting>
  <conditionalFormatting sqref="V7:V11">
    <cfRule type="cellIs" dxfId="357" priority="531" operator="greaterThan">
      <formula>0.03</formula>
    </cfRule>
    <cfRule type="cellIs" dxfId="356" priority="532" stopIfTrue="1" operator="lessThan">
      <formula>-0.03</formula>
    </cfRule>
  </conditionalFormatting>
  <conditionalFormatting sqref="R8:T8">
    <cfRule type="dataBar" priority="530">
      <dataBar>
        <cfvo type="min"/>
        <cfvo type="max"/>
        <color rgb="FF008AEF"/>
      </dataBar>
    </cfRule>
  </conditionalFormatting>
  <conditionalFormatting sqref="R9:T10">
    <cfRule type="dataBar" priority="529">
      <dataBar>
        <cfvo type="min"/>
        <cfvo type="max"/>
        <color rgb="FF008AEF"/>
      </dataBar>
    </cfRule>
  </conditionalFormatting>
  <conditionalFormatting sqref="R11:T11">
    <cfRule type="dataBar" priority="528">
      <dataBar>
        <cfvo type="min"/>
        <cfvo type="max"/>
        <color rgb="FF008AEF"/>
      </dataBar>
    </cfRule>
  </conditionalFormatting>
  <conditionalFormatting sqref="R7:U7 U8:U11">
    <cfRule type="dataBar" priority="533">
      <dataBar>
        <cfvo type="min"/>
        <cfvo type="max"/>
        <color rgb="FF008AEF"/>
      </dataBar>
    </cfRule>
  </conditionalFormatting>
  <conditionalFormatting sqref="Z23:Z24">
    <cfRule type="cellIs" dxfId="355" priority="525" stopIfTrue="1" operator="lessThan">
      <formula>-0.01</formula>
    </cfRule>
    <cfRule type="cellIs" dxfId="354" priority="526" stopIfTrue="1" operator="greaterThan">
      <formula>0.01</formula>
    </cfRule>
  </conditionalFormatting>
  <conditionalFormatting sqref="I24">
    <cfRule type="dataBar" priority="524">
      <dataBar>
        <cfvo type="min"/>
        <cfvo type="max"/>
        <color rgb="FF008AEF"/>
      </dataBar>
    </cfRule>
  </conditionalFormatting>
  <conditionalFormatting sqref="R23:T24">
    <cfRule type="dataBar" priority="523">
      <dataBar>
        <cfvo type="min"/>
        <cfvo type="max"/>
        <color rgb="FF008AEF"/>
      </dataBar>
    </cfRule>
  </conditionalFormatting>
  <conditionalFormatting sqref="U23:U24">
    <cfRule type="dataBar" priority="527">
      <dataBar>
        <cfvo type="min"/>
        <cfvo type="max"/>
        <color rgb="FF008AEF"/>
      </dataBar>
    </cfRule>
  </conditionalFormatting>
  <conditionalFormatting sqref="AB18">
    <cfRule type="cellIs" dxfId="353" priority="520" operator="greaterThan">
      <formula>0.03</formula>
    </cfRule>
    <cfRule type="cellIs" dxfId="352" priority="521" stopIfTrue="1" operator="lessThan">
      <formula>-0.03</formula>
    </cfRule>
  </conditionalFormatting>
  <conditionalFormatting sqref="AB22">
    <cfRule type="cellIs" dxfId="351" priority="518" operator="lessThan">
      <formula>-0.03</formula>
    </cfRule>
    <cfRule type="cellIs" dxfId="350" priority="519" stopIfTrue="1" operator="greaterThan">
      <formula>0.03</formula>
    </cfRule>
  </conditionalFormatting>
  <conditionalFormatting sqref="Z18">
    <cfRule type="cellIs" dxfId="349" priority="516" stopIfTrue="1" operator="lessThan">
      <formula>-0.01</formula>
    </cfRule>
    <cfRule type="cellIs" dxfId="348" priority="517" stopIfTrue="1" operator="greaterThan">
      <formula>0.01</formula>
    </cfRule>
  </conditionalFormatting>
  <conditionalFormatting sqref="Z19">
    <cfRule type="cellIs" dxfId="347" priority="514" stopIfTrue="1" operator="lessThan">
      <formula>-0.01</formula>
    </cfRule>
    <cfRule type="cellIs" dxfId="346" priority="515" stopIfTrue="1" operator="greaterThan">
      <formula>0.01</formula>
    </cfRule>
  </conditionalFormatting>
  <conditionalFormatting sqref="Z20:Z21">
    <cfRule type="cellIs" dxfId="345" priority="512" stopIfTrue="1" operator="lessThan">
      <formula>-0.01</formula>
    </cfRule>
    <cfRule type="cellIs" dxfId="344" priority="513" stopIfTrue="1" operator="greaterThan">
      <formula>0.01</formula>
    </cfRule>
  </conditionalFormatting>
  <conditionalFormatting sqref="Z22">
    <cfRule type="cellIs" dxfId="343" priority="510" stopIfTrue="1" operator="lessThan">
      <formula>-0.01</formula>
    </cfRule>
    <cfRule type="cellIs" dxfId="342" priority="511" stopIfTrue="1" operator="greaterThan">
      <formula>0.01</formula>
    </cfRule>
  </conditionalFormatting>
  <conditionalFormatting sqref="V18:V22">
    <cfRule type="cellIs" dxfId="341" priority="508" operator="greaterThan">
      <formula>0.03</formula>
    </cfRule>
    <cfRule type="cellIs" dxfId="340" priority="509" stopIfTrue="1" operator="lessThan">
      <formula>-0.03</formula>
    </cfRule>
  </conditionalFormatting>
  <conditionalFormatting sqref="R19:T19">
    <cfRule type="dataBar" priority="507">
      <dataBar>
        <cfvo type="min"/>
        <cfvo type="max"/>
        <color rgb="FF008AEF"/>
      </dataBar>
    </cfRule>
  </conditionalFormatting>
  <conditionalFormatting sqref="R20:T21">
    <cfRule type="dataBar" priority="506">
      <dataBar>
        <cfvo type="min"/>
        <cfvo type="max"/>
        <color rgb="FF008AEF"/>
      </dataBar>
    </cfRule>
  </conditionalFormatting>
  <conditionalFormatting sqref="R22:T22">
    <cfRule type="dataBar" priority="505">
      <dataBar>
        <cfvo type="min"/>
        <cfvo type="max"/>
        <color rgb="FF008AEF"/>
      </dataBar>
    </cfRule>
  </conditionalFormatting>
  <conditionalFormatting sqref="R18:U18 U19:U22">
    <cfRule type="dataBar" priority="522">
      <dataBar>
        <cfvo type="min"/>
        <cfvo type="max"/>
        <color rgb="FF008AEF"/>
      </dataBar>
    </cfRule>
  </conditionalFormatting>
  <conditionalFormatting sqref="Z34:Z35">
    <cfRule type="cellIs" dxfId="339" priority="502" stopIfTrue="1" operator="lessThan">
      <formula>-0.01</formula>
    </cfRule>
    <cfRule type="cellIs" dxfId="338" priority="503" stopIfTrue="1" operator="greaterThan">
      <formula>0.01</formula>
    </cfRule>
  </conditionalFormatting>
  <conditionalFormatting sqref="R34:T35">
    <cfRule type="dataBar" priority="501">
      <dataBar>
        <cfvo type="min"/>
        <cfvo type="max"/>
        <color rgb="FF008AEF"/>
      </dataBar>
    </cfRule>
  </conditionalFormatting>
  <conditionalFormatting sqref="U34:U35">
    <cfRule type="dataBar" priority="504">
      <dataBar>
        <cfvo type="min"/>
        <cfvo type="max"/>
        <color rgb="FF008AEF"/>
      </dataBar>
    </cfRule>
  </conditionalFormatting>
  <conditionalFormatting sqref="AB29">
    <cfRule type="cellIs" dxfId="337" priority="498" operator="greaterThan">
      <formula>0.03</formula>
    </cfRule>
    <cfRule type="cellIs" dxfId="336" priority="499" stopIfTrue="1" operator="lessThan">
      <formula>-0.03</formula>
    </cfRule>
  </conditionalFormatting>
  <conditionalFormatting sqref="AB33">
    <cfRule type="cellIs" dxfId="335" priority="496" operator="lessThan">
      <formula>-0.03</formula>
    </cfRule>
    <cfRule type="cellIs" dxfId="334" priority="497" stopIfTrue="1" operator="greaterThan">
      <formula>0.03</formula>
    </cfRule>
  </conditionalFormatting>
  <conditionalFormatting sqref="Z29">
    <cfRule type="cellIs" dxfId="333" priority="494" stopIfTrue="1" operator="lessThan">
      <formula>-0.01</formula>
    </cfRule>
    <cfRule type="cellIs" dxfId="332" priority="495" stopIfTrue="1" operator="greaterThan">
      <formula>0.01</formula>
    </cfRule>
  </conditionalFormatting>
  <conditionalFormatting sqref="Z30">
    <cfRule type="cellIs" dxfId="331" priority="492" stopIfTrue="1" operator="lessThan">
      <formula>-0.01</formula>
    </cfRule>
    <cfRule type="cellIs" dxfId="330" priority="493" stopIfTrue="1" operator="greaterThan">
      <formula>0.01</formula>
    </cfRule>
  </conditionalFormatting>
  <conditionalFormatting sqref="Z31:Z32">
    <cfRule type="cellIs" dxfId="329" priority="490" stopIfTrue="1" operator="lessThan">
      <formula>-0.01</formula>
    </cfRule>
    <cfRule type="cellIs" dxfId="328" priority="491" stopIfTrue="1" operator="greaterThan">
      <formula>0.01</formula>
    </cfRule>
  </conditionalFormatting>
  <conditionalFormatting sqref="Z33">
    <cfRule type="cellIs" dxfId="327" priority="488" stopIfTrue="1" operator="lessThan">
      <formula>-0.01</formula>
    </cfRule>
    <cfRule type="cellIs" dxfId="326" priority="489" stopIfTrue="1" operator="greaterThan">
      <formula>0.01</formula>
    </cfRule>
  </conditionalFormatting>
  <conditionalFormatting sqref="V29:V33">
    <cfRule type="cellIs" dxfId="325" priority="486" operator="greaterThan">
      <formula>0.03</formula>
    </cfRule>
    <cfRule type="cellIs" dxfId="324" priority="487" stopIfTrue="1" operator="lessThan">
      <formula>-0.03</formula>
    </cfRule>
  </conditionalFormatting>
  <conditionalFormatting sqref="R30:T30">
    <cfRule type="dataBar" priority="485">
      <dataBar>
        <cfvo type="min"/>
        <cfvo type="max"/>
        <color rgb="FF008AEF"/>
      </dataBar>
    </cfRule>
  </conditionalFormatting>
  <conditionalFormatting sqref="R31:T32">
    <cfRule type="dataBar" priority="484">
      <dataBar>
        <cfvo type="min"/>
        <cfvo type="max"/>
        <color rgb="FF008AEF"/>
      </dataBar>
    </cfRule>
  </conditionalFormatting>
  <conditionalFormatting sqref="R33:T33">
    <cfRule type="dataBar" priority="483">
      <dataBar>
        <cfvo type="min"/>
        <cfvo type="max"/>
        <color rgb="FF008AEF"/>
      </dataBar>
    </cfRule>
  </conditionalFormatting>
  <conditionalFormatting sqref="R29:U29 U30:U33">
    <cfRule type="dataBar" priority="500">
      <dataBar>
        <cfvo type="min"/>
        <cfvo type="max"/>
        <color rgb="FF008AEF"/>
      </dataBar>
    </cfRule>
  </conditionalFormatting>
  <conditionalFormatting sqref="Z45:Z46">
    <cfRule type="cellIs" dxfId="323" priority="480" stopIfTrue="1" operator="lessThan">
      <formula>-0.01</formula>
    </cfRule>
    <cfRule type="cellIs" dxfId="322" priority="481" stopIfTrue="1" operator="greaterThan">
      <formula>0.01</formula>
    </cfRule>
  </conditionalFormatting>
  <conditionalFormatting sqref="R45:T46">
    <cfRule type="dataBar" priority="479">
      <dataBar>
        <cfvo type="min"/>
        <cfvo type="max"/>
        <color rgb="FF008AEF"/>
      </dataBar>
    </cfRule>
  </conditionalFormatting>
  <conditionalFormatting sqref="U45:U46">
    <cfRule type="dataBar" priority="482">
      <dataBar>
        <cfvo type="min"/>
        <cfvo type="max"/>
        <color rgb="FF008AEF"/>
      </dataBar>
    </cfRule>
  </conditionalFormatting>
  <conditionalFormatting sqref="AB40">
    <cfRule type="cellIs" dxfId="321" priority="476" operator="greaterThan">
      <formula>0.03</formula>
    </cfRule>
    <cfRule type="cellIs" dxfId="320" priority="477" stopIfTrue="1" operator="lessThan">
      <formula>-0.03</formula>
    </cfRule>
  </conditionalFormatting>
  <conditionalFormatting sqref="AB44">
    <cfRule type="cellIs" dxfId="319" priority="474" operator="lessThan">
      <formula>-0.03</formula>
    </cfRule>
    <cfRule type="cellIs" dxfId="318" priority="475" stopIfTrue="1" operator="greaterThan">
      <formula>0.03</formula>
    </cfRule>
  </conditionalFormatting>
  <conditionalFormatting sqref="Z40">
    <cfRule type="cellIs" dxfId="317" priority="472" stopIfTrue="1" operator="lessThan">
      <formula>-0.01</formula>
    </cfRule>
    <cfRule type="cellIs" dxfId="316" priority="473" stopIfTrue="1" operator="greaterThan">
      <formula>0.01</formula>
    </cfRule>
  </conditionalFormatting>
  <conditionalFormatting sqref="Z41">
    <cfRule type="cellIs" dxfId="315" priority="470" stopIfTrue="1" operator="lessThan">
      <formula>-0.01</formula>
    </cfRule>
    <cfRule type="cellIs" dxfId="314" priority="471" stopIfTrue="1" operator="greaterThan">
      <formula>0.01</formula>
    </cfRule>
  </conditionalFormatting>
  <conditionalFormatting sqref="Z42:Z43">
    <cfRule type="cellIs" dxfId="313" priority="468" stopIfTrue="1" operator="lessThan">
      <formula>-0.01</formula>
    </cfRule>
    <cfRule type="cellIs" dxfId="312" priority="469" stopIfTrue="1" operator="greaterThan">
      <formula>0.01</formula>
    </cfRule>
  </conditionalFormatting>
  <conditionalFormatting sqref="Z44">
    <cfRule type="cellIs" dxfId="311" priority="466" stopIfTrue="1" operator="lessThan">
      <formula>-0.01</formula>
    </cfRule>
    <cfRule type="cellIs" dxfId="310" priority="467" stopIfTrue="1" operator="greaterThan">
      <formula>0.01</formula>
    </cfRule>
  </conditionalFormatting>
  <conditionalFormatting sqref="V40:V44">
    <cfRule type="cellIs" dxfId="309" priority="464" operator="greaterThan">
      <formula>0.03</formula>
    </cfRule>
    <cfRule type="cellIs" dxfId="308" priority="465" stopIfTrue="1" operator="lessThan">
      <formula>-0.03</formula>
    </cfRule>
  </conditionalFormatting>
  <conditionalFormatting sqref="R41:T41">
    <cfRule type="dataBar" priority="463">
      <dataBar>
        <cfvo type="min"/>
        <cfvo type="max"/>
        <color rgb="FF008AEF"/>
      </dataBar>
    </cfRule>
  </conditionalFormatting>
  <conditionalFormatting sqref="R42:T43">
    <cfRule type="dataBar" priority="462">
      <dataBar>
        <cfvo type="min"/>
        <cfvo type="max"/>
        <color rgb="FF008AEF"/>
      </dataBar>
    </cfRule>
  </conditionalFormatting>
  <conditionalFormatting sqref="R44:T44">
    <cfRule type="dataBar" priority="461">
      <dataBar>
        <cfvo type="min"/>
        <cfvo type="max"/>
        <color rgb="FF008AEF"/>
      </dataBar>
    </cfRule>
  </conditionalFormatting>
  <conditionalFormatting sqref="R40:U40 U41:U44">
    <cfRule type="dataBar" priority="478">
      <dataBar>
        <cfvo type="min"/>
        <cfvo type="max"/>
        <color rgb="FF008AEF"/>
      </dataBar>
    </cfRule>
  </conditionalFormatting>
  <conditionalFormatting sqref="Z56:Z57">
    <cfRule type="cellIs" dxfId="307" priority="458" stopIfTrue="1" operator="lessThan">
      <formula>-0.01</formula>
    </cfRule>
    <cfRule type="cellIs" dxfId="306" priority="459" stopIfTrue="1" operator="greaterThan">
      <formula>0.01</formula>
    </cfRule>
  </conditionalFormatting>
  <conditionalFormatting sqref="R56:T57">
    <cfRule type="dataBar" priority="457">
      <dataBar>
        <cfvo type="min"/>
        <cfvo type="max"/>
        <color rgb="FF008AEF"/>
      </dataBar>
    </cfRule>
  </conditionalFormatting>
  <conditionalFormatting sqref="U56:U57">
    <cfRule type="dataBar" priority="460">
      <dataBar>
        <cfvo type="min"/>
        <cfvo type="max"/>
        <color rgb="FF008AEF"/>
      </dataBar>
    </cfRule>
  </conditionalFormatting>
  <conditionalFormatting sqref="AB51">
    <cfRule type="cellIs" dxfId="305" priority="454" operator="greaterThan">
      <formula>0.03</formula>
    </cfRule>
    <cfRule type="cellIs" dxfId="304" priority="455" stopIfTrue="1" operator="lessThan">
      <formula>-0.03</formula>
    </cfRule>
  </conditionalFormatting>
  <conditionalFormatting sqref="AB55">
    <cfRule type="cellIs" dxfId="303" priority="452" operator="lessThan">
      <formula>-0.03</formula>
    </cfRule>
    <cfRule type="cellIs" dxfId="302" priority="453" stopIfTrue="1" operator="greaterThan">
      <formula>0.03</formula>
    </cfRule>
  </conditionalFormatting>
  <conditionalFormatting sqref="Z51">
    <cfRule type="cellIs" dxfId="301" priority="450" stopIfTrue="1" operator="lessThan">
      <formula>-0.01</formula>
    </cfRule>
    <cfRule type="cellIs" dxfId="300" priority="451" stopIfTrue="1" operator="greaterThan">
      <formula>0.01</formula>
    </cfRule>
  </conditionalFormatting>
  <conditionalFormatting sqref="Z52">
    <cfRule type="cellIs" dxfId="299" priority="448" stopIfTrue="1" operator="lessThan">
      <formula>-0.01</formula>
    </cfRule>
    <cfRule type="cellIs" dxfId="298" priority="449" stopIfTrue="1" operator="greaterThan">
      <formula>0.01</formula>
    </cfRule>
  </conditionalFormatting>
  <conditionalFormatting sqref="Z53:Z54">
    <cfRule type="cellIs" dxfId="297" priority="446" stopIfTrue="1" operator="lessThan">
      <formula>-0.01</formula>
    </cfRule>
    <cfRule type="cellIs" dxfId="296" priority="447" stopIfTrue="1" operator="greaterThan">
      <formula>0.01</formula>
    </cfRule>
  </conditionalFormatting>
  <conditionalFormatting sqref="Z55">
    <cfRule type="cellIs" dxfId="295" priority="444" stopIfTrue="1" operator="lessThan">
      <formula>-0.01</formula>
    </cfRule>
    <cfRule type="cellIs" dxfId="294" priority="445" stopIfTrue="1" operator="greaterThan">
      <formula>0.01</formula>
    </cfRule>
  </conditionalFormatting>
  <conditionalFormatting sqref="V51:V55">
    <cfRule type="cellIs" dxfId="293" priority="442" operator="greaterThan">
      <formula>0.03</formula>
    </cfRule>
    <cfRule type="cellIs" dxfId="292" priority="443" stopIfTrue="1" operator="lessThan">
      <formula>-0.03</formula>
    </cfRule>
  </conditionalFormatting>
  <conditionalFormatting sqref="R52:T52">
    <cfRule type="dataBar" priority="441">
      <dataBar>
        <cfvo type="min"/>
        <cfvo type="max"/>
        <color rgb="FF008AEF"/>
      </dataBar>
    </cfRule>
  </conditionalFormatting>
  <conditionalFormatting sqref="R53:T54">
    <cfRule type="dataBar" priority="440">
      <dataBar>
        <cfvo type="min"/>
        <cfvo type="max"/>
        <color rgb="FF008AEF"/>
      </dataBar>
    </cfRule>
  </conditionalFormatting>
  <conditionalFormatting sqref="R55:T55">
    <cfRule type="dataBar" priority="439">
      <dataBar>
        <cfvo type="min"/>
        <cfvo type="max"/>
        <color rgb="FF008AEF"/>
      </dataBar>
    </cfRule>
  </conditionalFormatting>
  <conditionalFormatting sqref="R51:U51 U52:U55">
    <cfRule type="dataBar" priority="456">
      <dataBar>
        <cfvo type="min"/>
        <cfvo type="max"/>
        <color rgb="FF008AEF"/>
      </dataBar>
    </cfRule>
  </conditionalFormatting>
  <conditionalFormatting sqref="Z67:Z68">
    <cfRule type="cellIs" dxfId="291" priority="436" stopIfTrue="1" operator="lessThan">
      <formula>-0.01</formula>
    </cfRule>
    <cfRule type="cellIs" dxfId="290" priority="437" stopIfTrue="1" operator="greaterThan">
      <formula>0.01</formula>
    </cfRule>
  </conditionalFormatting>
  <conditionalFormatting sqref="R67:T68">
    <cfRule type="dataBar" priority="435">
      <dataBar>
        <cfvo type="min"/>
        <cfvo type="max"/>
        <color rgb="FF008AEF"/>
      </dataBar>
    </cfRule>
  </conditionalFormatting>
  <conditionalFormatting sqref="U67:U68">
    <cfRule type="dataBar" priority="438">
      <dataBar>
        <cfvo type="min"/>
        <cfvo type="max"/>
        <color rgb="FF008AEF"/>
      </dataBar>
    </cfRule>
  </conditionalFormatting>
  <conditionalFormatting sqref="AB62">
    <cfRule type="cellIs" dxfId="289" priority="432" operator="greaterThan">
      <formula>0.03</formula>
    </cfRule>
    <cfRule type="cellIs" dxfId="288" priority="433" stopIfTrue="1" operator="lessThan">
      <formula>-0.03</formula>
    </cfRule>
  </conditionalFormatting>
  <conditionalFormatting sqref="AB66">
    <cfRule type="cellIs" dxfId="287" priority="430" operator="lessThan">
      <formula>-0.03</formula>
    </cfRule>
    <cfRule type="cellIs" dxfId="286" priority="431" stopIfTrue="1" operator="greaterThan">
      <formula>0.03</formula>
    </cfRule>
  </conditionalFormatting>
  <conditionalFormatting sqref="Z62">
    <cfRule type="cellIs" dxfId="285" priority="428" stopIfTrue="1" operator="lessThan">
      <formula>-0.01</formula>
    </cfRule>
    <cfRule type="cellIs" dxfId="284" priority="429" stopIfTrue="1" operator="greaterThan">
      <formula>0.01</formula>
    </cfRule>
  </conditionalFormatting>
  <conditionalFormatting sqref="Z63">
    <cfRule type="cellIs" dxfId="283" priority="426" stopIfTrue="1" operator="lessThan">
      <formula>-0.01</formula>
    </cfRule>
    <cfRule type="cellIs" dxfId="282" priority="427" stopIfTrue="1" operator="greaterThan">
      <formula>0.01</formula>
    </cfRule>
  </conditionalFormatting>
  <conditionalFormatting sqref="Z64:Z65">
    <cfRule type="cellIs" dxfId="281" priority="424" stopIfTrue="1" operator="lessThan">
      <formula>-0.01</formula>
    </cfRule>
    <cfRule type="cellIs" dxfId="280" priority="425" stopIfTrue="1" operator="greaterThan">
      <formula>0.01</formula>
    </cfRule>
  </conditionalFormatting>
  <conditionalFormatting sqref="Z66">
    <cfRule type="cellIs" dxfId="279" priority="422" stopIfTrue="1" operator="lessThan">
      <formula>-0.01</formula>
    </cfRule>
    <cfRule type="cellIs" dxfId="278" priority="423" stopIfTrue="1" operator="greaterThan">
      <formula>0.01</formula>
    </cfRule>
  </conditionalFormatting>
  <conditionalFormatting sqref="V62:V66">
    <cfRule type="cellIs" dxfId="277" priority="420" operator="greaterThan">
      <formula>0.03</formula>
    </cfRule>
    <cfRule type="cellIs" dxfId="276" priority="421" stopIfTrue="1" operator="lessThan">
      <formula>-0.03</formula>
    </cfRule>
  </conditionalFormatting>
  <conditionalFormatting sqref="R63:T63">
    <cfRule type="dataBar" priority="419">
      <dataBar>
        <cfvo type="min"/>
        <cfvo type="max"/>
        <color rgb="FF008AEF"/>
      </dataBar>
    </cfRule>
  </conditionalFormatting>
  <conditionalFormatting sqref="R64:T65">
    <cfRule type="dataBar" priority="418">
      <dataBar>
        <cfvo type="min"/>
        <cfvo type="max"/>
        <color rgb="FF008AEF"/>
      </dataBar>
    </cfRule>
  </conditionalFormatting>
  <conditionalFormatting sqref="R66:T66">
    <cfRule type="dataBar" priority="417">
      <dataBar>
        <cfvo type="min"/>
        <cfvo type="max"/>
        <color rgb="FF008AEF"/>
      </dataBar>
    </cfRule>
  </conditionalFormatting>
  <conditionalFormatting sqref="R62:U62 U63:U66">
    <cfRule type="dataBar" priority="434">
      <dataBar>
        <cfvo type="min"/>
        <cfvo type="max"/>
        <color rgb="FF008AEF"/>
      </dataBar>
    </cfRule>
  </conditionalFormatting>
  <conditionalFormatting sqref="Z78:Z79">
    <cfRule type="cellIs" dxfId="275" priority="414" stopIfTrue="1" operator="lessThan">
      <formula>-0.01</formula>
    </cfRule>
    <cfRule type="cellIs" dxfId="274" priority="415" stopIfTrue="1" operator="greaterThan">
      <formula>0.01</formula>
    </cfRule>
  </conditionalFormatting>
  <conditionalFormatting sqref="R78:T79">
    <cfRule type="dataBar" priority="413">
      <dataBar>
        <cfvo type="min"/>
        <cfvo type="max"/>
        <color rgb="FF008AEF"/>
      </dataBar>
    </cfRule>
  </conditionalFormatting>
  <conditionalFormatting sqref="U78:U79">
    <cfRule type="dataBar" priority="416">
      <dataBar>
        <cfvo type="min"/>
        <cfvo type="max"/>
        <color rgb="FF008AEF"/>
      </dataBar>
    </cfRule>
  </conditionalFormatting>
  <conditionalFormatting sqref="AB73">
    <cfRule type="cellIs" dxfId="273" priority="410" operator="greaterThan">
      <formula>0.03</formula>
    </cfRule>
    <cfRule type="cellIs" dxfId="272" priority="411" stopIfTrue="1" operator="lessThan">
      <formula>-0.03</formula>
    </cfRule>
  </conditionalFormatting>
  <conditionalFormatting sqref="AB77">
    <cfRule type="cellIs" dxfId="271" priority="408" operator="lessThan">
      <formula>-0.03</formula>
    </cfRule>
    <cfRule type="cellIs" dxfId="270" priority="409" stopIfTrue="1" operator="greaterThan">
      <formula>0.03</formula>
    </cfRule>
  </conditionalFormatting>
  <conditionalFormatting sqref="Z73">
    <cfRule type="cellIs" dxfId="269" priority="406" stopIfTrue="1" operator="lessThan">
      <formula>-0.01</formula>
    </cfRule>
    <cfRule type="cellIs" dxfId="268" priority="407" stopIfTrue="1" operator="greaterThan">
      <formula>0.01</formula>
    </cfRule>
  </conditionalFormatting>
  <conditionalFormatting sqref="Z74">
    <cfRule type="cellIs" dxfId="267" priority="404" stopIfTrue="1" operator="lessThan">
      <formula>-0.01</formula>
    </cfRule>
    <cfRule type="cellIs" dxfId="266" priority="405" stopIfTrue="1" operator="greaterThan">
      <formula>0.01</formula>
    </cfRule>
  </conditionalFormatting>
  <conditionalFormatting sqref="Z75:Z76">
    <cfRule type="cellIs" dxfId="265" priority="402" stopIfTrue="1" operator="lessThan">
      <formula>-0.01</formula>
    </cfRule>
    <cfRule type="cellIs" dxfId="264" priority="403" stopIfTrue="1" operator="greaterThan">
      <formula>0.01</formula>
    </cfRule>
  </conditionalFormatting>
  <conditionalFormatting sqref="Z77">
    <cfRule type="cellIs" dxfId="263" priority="400" stopIfTrue="1" operator="lessThan">
      <formula>-0.01</formula>
    </cfRule>
    <cfRule type="cellIs" dxfId="262" priority="401" stopIfTrue="1" operator="greaterThan">
      <formula>0.01</formula>
    </cfRule>
  </conditionalFormatting>
  <conditionalFormatting sqref="V73:V77">
    <cfRule type="cellIs" dxfId="261" priority="398" operator="greaterThan">
      <formula>0.03</formula>
    </cfRule>
    <cfRule type="cellIs" dxfId="260" priority="399" stopIfTrue="1" operator="lessThan">
      <formula>-0.03</formula>
    </cfRule>
  </conditionalFormatting>
  <conditionalFormatting sqref="R74:T74">
    <cfRule type="dataBar" priority="397">
      <dataBar>
        <cfvo type="min"/>
        <cfvo type="max"/>
        <color rgb="FF008AEF"/>
      </dataBar>
    </cfRule>
  </conditionalFormatting>
  <conditionalFormatting sqref="R75:T76">
    <cfRule type="dataBar" priority="396">
      <dataBar>
        <cfvo type="min"/>
        <cfvo type="max"/>
        <color rgb="FF008AEF"/>
      </dataBar>
    </cfRule>
  </conditionalFormatting>
  <conditionalFormatting sqref="R77:T77">
    <cfRule type="dataBar" priority="395">
      <dataBar>
        <cfvo type="min"/>
        <cfvo type="max"/>
        <color rgb="FF008AEF"/>
      </dataBar>
    </cfRule>
  </conditionalFormatting>
  <conditionalFormatting sqref="R73:U73 U74:U77">
    <cfRule type="dataBar" priority="412">
      <dataBar>
        <cfvo type="min"/>
        <cfvo type="max"/>
        <color rgb="FF008AEF"/>
      </dataBar>
    </cfRule>
  </conditionalFormatting>
  <conditionalFormatting sqref="Z89:Z90">
    <cfRule type="cellIs" dxfId="259" priority="392" stopIfTrue="1" operator="lessThan">
      <formula>-0.01</formula>
    </cfRule>
    <cfRule type="cellIs" dxfId="258" priority="393" stopIfTrue="1" operator="greaterThan">
      <formula>0.01</formula>
    </cfRule>
  </conditionalFormatting>
  <conditionalFormatting sqref="U89:U90">
    <cfRule type="dataBar" priority="394">
      <dataBar>
        <cfvo type="min"/>
        <cfvo type="max"/>
        <color rgb="FF008AEF"/>
      </dataBar>
    </cfRule>
  </conditionalFormatting>
  <conditionalFormatting sqref="AB84">
    <cfRule type="cellIs" dxfId="257" priority="389" operator="greaterThan">
      <formula>0.03</formula>
    </cfRule>
    <cfRule type="cellIs" dxfId="256" priority="390" stopIfTrue="1" operator="lessThan">
      <formula>-0.03</formula>
    </cfRule>
  </conditionalFormatting>
  <conditionalFormatting sqref="AB88">
    <cfRule type="cellIs" dxfId="255" priority="387" operator="lessThan">
      <formula>-0.03</formula>
    </cfRule>
    <cfRule type="cellIs" dxfId="254" priority="388" stopIfTrue="1" operator="greaterThan">
      <formula>0.03</formula>
    </cfRule>
  </conditionalFormatting>
  <conditionalFormatting sqref="Z84">
    <cfRule type="cellIs" dxfId="253" priority="385" stopIfTrue="1" operator="lessThan">
      <formula>-0.01</formula>
    </cfRule>
    <cfRule type="cellIs" dxfId="252" priority="386" stopIfTrue="1" operator="greaterThan">
      <formula>0.01</formula>
    </cfRule>
  </conditionalFormatting>
  <conditionalFormatting sqref="Z85">
    <cfRule type="cellIs" dxfId="251" priority="383" stopIfTrue="1" operator="lessThan">
      <formula>-0.01</formula>
    </cfRule>
    <cfRule type="cellIs" dxfId="250" priority="384" stopIfTrue="1" operator="greaterThan">
      <formula>0.01</formula>
    </cfRule>
  </conditionalFormatting>
  <conditionalFormatting sqref="Z86:Z87">
    <cfRule type="cellIs" dxfId="249" priority="381" stopIfTrue="1" operator="lessThan">
      <formula>-0.01</formula>
    </cfRule>
    <cfRule type="cellIs" dxfId="248" priority="382" stopIfTrue="1" operator="greaterThan">
      <formula>0.01</formula>
    </cfRule>
  </conditionalFormatting>
  <conditionalFormatting sqref="Z88">
    <cfRule type="cellIs" dxfId="247" priority="379" stopIfTrue="1" operator="lessThan">
      <formula>-0.01</formula>
    </cfRule>
    <cfRule type="cellIs" dxfId="246" priority="380" stopIfTrue="1" operator="greaterThan">
      <formula>0.01</formula>
    </cfRule>
  </conditionalFormatting>
  <conditionalFormatting sqref="V84:V88">
    <cfRule type="cellIs" dxfId="245" priority="377" operator="greaterThan">
      <formula>0.03</formula>
    </cfRule>
    <cfRule type="cellIs" dxfId="244" priority="378" stopIfTrue="1" operator="lessThan">
      <formula>-0.03</formula>
    </cfRule>
  </conditionalFormatting>
  <conditionalFormatting sqref="U84:U88">
    <cfRule type="dataBar" priority="391">
      <dataBar>
        <cfvo type="min"/>
        <cfvo type="max"/>
        <color rgb="FF008AEF"/>
      </dataBar>
    </cfRule>
  </conditionalFormatting>
  <conditionalFormatting sqref="Z100:Z101">
    <cfRule type="cellIs" dxfId="243" priority="374" stopIfTrue="1" operator="lessThan">
      <formula>-0.01</formula>
    </cfRule>
    <cfRule type="cellIs" dxfId="242" priority="375" stopIfTrue="1" operator="greaterThan">
      <formula>0.01</formula>
    </cfRule>
  </conditionalFormatting>
  <conditionalFormatting sqref="U100:U101">
    <cfRule type="dataBar" priority="376">
      <dataBar>
        <cfvo type="min"/>
        <cfvo type="max"/>
        <color rgb="FF008AEF"/>
      </dataBar>
    </cfRule>
  </conditionalFormatting>
  <conditionalFormatting sqref="AB95">
    <cfRule type="cellIs" dxfId="241" priority="371" operator="greaterThan">
      <formula>0.03</formula>
    </cfRule>
    <cfRule type="cellIs" dxfId="240" priority="372" stopIfTrue="1" operator="lessThan">
      <formula>-0.03</formula>
    </cfRule>
  </conditionalFormatting>
  <conditionalFormatting sqref="AB99">
    <cfRule type="cellIs" dxfId="239" priority="369" operator="lessThan">
      <formula>-0.03</formula>
    </cfRule>
    <cfRule type="cellIs" dxfId="238" priority="370" stopIfTrue="1" operator="greaterThan">
      <formula>0.03</formula>
    </cfRule>
  </conditionalFormatting>
  <conditionalFormatting sqref="Z95">
    <cfRule type="cellIs" dxfId="237" priority="367" stopIfTrue="1" operator="lessThan">
      <formula>-0.01</formula>
    </cfRule>
    <cfRule type="cellIs" dxfId="236" priority="368" stopIfTrue="1" operator="greaterThan">
      <formula>0.01</formula>
    </cfRule>
  </conditionalFormatting>
  <conditionalFormatting sqref="Z96">
    <cfRule type="cellIs" dxfId="235" priority="365" stopIfTrue="1" operator="lessThan">
      <formula>-0.01</formula>
    </cfRule>
    <cfRule type="cellIs" dxfId="234" priority="366" stopIfTrue="1" operator="greaterThan">
      <formula>0.01</formula>
    </cfRule>
  </conditionalFormatting>
  <conditionalFormatting sqref="Z97:Z98">
    <cfRule type="cellIs" dxfId="233" priority="363" stopIfTrue="1" operator="lessThan">
      <formula>-0.01</formula>
    </cfRule>
    <cfRule type="cellIs" dxfId="232" priority="364" stopIfTrue="1" operator="greaterThan">
      <formula>0.01</formula>
    </cfRule>
  </conditionalFormatting>
  <conditionalFormatting sqref="Z99">
    <cfRule type="cellIs" dxfId="231" priority="361" stopIfTrue="1" operator="lessThan">
      <formula>-0.01</formula>
    </cfRule>
    <cfRule type="cellIs" dxfId="230" priority="362" stopIfTrue="1" operator="greaterThan">
      <formula>0.01</formula>
    </cfRule>
  </conditionalFormatting>
  <conditionalFormatting sqref="V95:V99">
    <cfRule type="cellIs" dxfId="229" priority="359" operator="greaterThan">
      <formula>0.03</formula>
    </cfRule>
    <cfRule type="cellIs" dxfId="228" priority="360" stopIfTrue="1" operator="lessThan">
      <formula>-0.03</formula>
    </cfRule>
  </conditionalFormatting>
  <conditionalFormatting sqref="U95:U99">
    <cfRule type="dataBar" priority="373">
      <dataBar>
        <cfvo type="min"/>
        <cfvo type="max"/>
        <color rgb="FF008AEF"/>
      </dataBar>
    </cfRule>
  </conditionalFormatting>
  <conditionalFormatting sqref="Z110:Z111">
    <cfRule type="cellIs" dxfId="227" priority="356" stopIfTrue="1" operator="lessThan">
      <formula>-0.01</formula>
    </cfRule>
    <cfRule type="cellIs" dxfId="226" priority="357" stopIfTrue="1" operator="greaterThan">
      <formula>0.01</formula>
    </cfRule>
  </conditionalFormatting>
  <conditionalFormatting sqref="R110:T111">
    <cfRule type="dataBar" priority="355">
      <dataBar>
        <cfvo type="min"/>
        <cfvo type="max"/>
        <color rgb="FF008AEF"/>
      </dataBar>
    </cfRule>
  </conditionalFormatting>
  <conditionalFormatting sqref="U110:U111">
    <cfRule type="dataBar" priority="358">
      <dataBar>
        <cfvo type="min"/>
        <cfvo type="max"/>
        <color rgb="FF008AEF"/>
      </dataBar>
    </cfRule>
  </conditionalFormatting>
  <conditionalFormatting sqref="AB106">
    <cfRule type="cellIs" dxfId="225" priority="352" operator="greaterThan">
      <formula>0.03</formula>
    </cfRule>
    <cfRule type="cellIs" dxfId="224" priority="353" stopIfTrue="1" operator="lessThan">
      <formula>-0.03</formula>
    </cfRule>
  </conditionalFormatting>
  <conditionalFormatting sqref="AB109">
    <cfRule type="cellIs" dxfId="223" priority="350" operator="lessThan">
      <formula>-0.03</formula>
    </cfRule>
    <cfRule type="cellIs" dxfId="222" priority="351" stopIfTrue="1" operator="greaterThan">
      <formula>0.03</formula>
    </cfRule>
  </conditionalFormatting>
  <conditionalFormatting sqref="Z106">
    <cfRule type="cellIs" dxfId="221" priority="348" stopIfTrue="1" operator="lessThan">
      <formula>-0.01</formula>
    </cfRule>
    <cfRule type="cellIs" dxfId="220" priority="349" stopIfTrue="1" operator="greaterThan">
      <formula>0.01</formula>
    </cfRule>
  </conditionalFormatting>
  <conditionalFormatting sqref="Z107">
    <cfRule type="cellIs" dxfId="219" priority="346" stopIfTrue="1" operator="lessThan">
      <formula>-0.01</formula>
    </cfRule>
    <cfRule type="cellIs" dxfId="218" priority="347" stopIfTrue="1" operator="greaterThan">
      <formula>0.01</formula>
    </cfRule>
  </conditionalFormatting>
  <conditionalFormatting sqref="Z108">
    <cfRule type="cellIs" dxfId="217" priority="344" stopIfTrue="1" operator="lessThan">
      <formula>-0.01</formula>
    </cfRule>
    <cfRule type="cellIs" dxfId="216" priority="345" stopIfTrue="1" operator="greaterThan">
      <formula>0.01</formula>
    </cfRule>
  </conditionalFormatting>
  <conditionalFormatting sqref="Z109">
    <cfRule type="cellIs" dxfId="215" priority="342" stopIfTrue="1" operator="lessThan">
      <formula>-0.01</formula>
    </cfRule>
    <cfRule type="cellIs" dxfId="214" priority="343" stopIfTrue="1" operator="greaterThan">
      <formula>0.01</formula>
    </cfRule>
  </conditionalFormatting>
  <conditionalFormatting sqref="V106:V109">
    <cfRule type="cellIs" dxfId="213" priority="340" operator="greaterThan">
      <formula>0.03</formula>
    </cfRule>
    <cfRule type="cellIs" dxfId="212" priority="341" stopIfTrue="1" operator="lessThan">
      <formula>-0.03</formula>
    </cfRule>
  </conditionalFormatting>
  <conditionalFormatting sqref="R107:T107">
    <cfRule type="dataBar" priority="339">
      <dataBar>
        <cfvo type="min"/>
        <cfvo type="max"/>
        <color rgb="FF008AEF"/>
      </dataBar>
    </cfRule>
  </conditionalFormatting>
  <conditionalFormatting sqref="R108:T108">
    <cfRule type="dataBar" priority="338">
      <dataBar>
        <cfvo type="min"/>
        <cfvo type="max"/>
        <color rgb="FF008AEF"/>
      </dataBar>
    </cfRule>
  </conditionalFormatting>
  <conditionalFormatting sqref="R109:T109">
    <cfRule type="dataBar" priority="337">
      <dataBar>
        <cfvo type="min"/>
        <cfvo type="max"/>
        <color rgb="FF008AEF"/>
      </dataBar>
    </cfRule>
  </conditionalFormatting>
  <conditionalFormatting sqref="R106:U106 U107:U109">
    <cfRule type="dataBar" priority="354">
      <dataBar>
        <cfvo type="min"/>
        <cfvo type="max"/>
        <color rgb="FF008AEF"/>
      </dataBar>
    </cfRule>
  </conditionalFormatting>
  <conditionalFormatting sqref="AB116">
    <cfRule type="cellIs" dxfId="211" priority="335" operator="greaterThan">
      <formula>0.03</formula>
    </cfRule>
    <cfRule type="cellIs" dxfId="210" priority="336" stopIfTrue="1" operator="lessThan">
      <formula>-0.03</formula>
    </cfRule>
  </conditionalFormatting>
  <conditionalFormatting sqref="AB119">
    <cfRule type="cellIs" dxfId="209" priority="333" operator="lessThan">
      <formula>-0.03</formula>
    </cfRule>
    <cfRule type="cellIs" dxfId="208" priority="334" stopIfTrue="1" operator="greaterThan">
      <formula>0.03</formula>
    </cfRule>
  </conditionalFormatting>
  <conditionalFormatting sqref="AB126">
    <cfRule type="cellIs" dxfId="207" priority="331" operator="greaterThan">
      <formula>0.03</formula>
    </cfRule>
    <cfRule type="cellIs" dxfId="206" priority="332" stopIfTrue="1" operator="lessThan">
      <formula>-0.03</formula>
    </cfRule>
  </conditionalFormatting>
  <conditionalFormatting sqref="AB129">
    <cfRule type="cellIs" dxfId="205" priority="329" operator="lessThan">
      <formula>-0.03</formula>
    </cfRule>
    <cfRule type="cellIs" dxfId="204" priority="330" stopIfTrue="1" operator="greaterThan">
      <formula>0.03</formula>
    </cfRule>
  </conditionalFormatting>
  <conditionalFormatting sqref="AB136">
    <cfRule type="cellIs" dxfId="203" priority="327" operator="greaterThan">
      <formula>0.03</formula>
    </cfRule>
    <cfRule type="cellIs" dxfId="202" priority="328" stopIfTrue="1" operator="lessThan">
      <formula>-0.03</formula>
    </cfRule>
  </conditionalFormatting>
  <conditionalFormatting sqref="AB139">
    <cfRule type="cellIs" dxfId="201" priority="325" operator="lessThan">
      <formula>-0.03</formula>
    </cfRule>
    <cfRule type="cellIs" dxfId="200" priority="326" stopIfTrue="1" operator="greaterThan">
      <formula>0.03</formula>
    </cfRule>
  </conditionalFormatting>
  <conditionalFormatting sqref="AB146">
    <cfRule type="cellIs" dxfId="199" priority="323" operator="greaterThan">
      <formula>0.03</formula>
    </cfRule>
    <cfRule type="cellIs" dxfId="198" priority="324" stopIfTrue="1" operator="lessThan">
      <formula>-0.03</formula>
    </cfRule>
  </conditionalFormatting>
  <conditionalFormatting sqref="AB149">
    <cfRule type="cellIs" dxfId="197" priority="321" operator="lessThan">
      <formula>-0.03</formula>
    </cfRule>
    <cfRule type="cellIs" dxfId="196" priority="322" stopIfTrue="1" operator="greaterThan">
      <formula>0.03</formula>
    </cfRule>
  </conditionalFormatting>
  <conditionalFormatting sqref="AB156">
    <cfRule type="cellIs" dxfId="195" priority="319" operator="greaterThan">
      <formula>0.03</formula>
    </cfRule>
    <cfRule type="cellIs" dxfId="194" priority="320" stopIfTrue="1" operator="lessThan">
      <formula>-0.03</formula>
    </cfRule>
  </conditionalFormatting>
  <conditionalFormatting sqref="AB159">
    <cfRule type="cellIs" dxfId="193" priority="317" operator="lessThan">
      <formula>-0.03</formula>
    </cfRule>
    <cfRule type="cellIs" dxfId="192" priority="318" stopIfTrue="1" operator="greaterThan">
      <formula>0.03</formula>
    </cfRule>
  </conditionalFormatting>
  <conditionalFormatting sqref="AB166">
    <cfRule type="cellIs" dxfId="191" priority="315" operator="greaterThan">
      <formula>0.03</formula>
    </cfRule>
    <cfRule type="cellIs" dxfId="190" priority="316" stopIfTrue="1" operator="lessThan">
      <formula>-0.03</formula>
    </cfRule>
  </conditionalFormatting>
  <conditionalFormatting sqref="AB169">
    <cfRule type="cellIs" dxfId="189" priority="313" operator="lessThan">
      <formula>-0.03</formula>
    </cfRule>
    <cfRule type="cellIs" dxfId="188" priority="314" stopIfTrue="1" operator="greaterThan">
      <formula>0.03</formula>
    </cfRule>
  </conditionalFormatting>
  <conditionalFormatting sqref="AB176">
    <cfRule type="cellIs" dxfId="187" priority="311" operator="greaterThan">
      <formula>0.03</formula>
    </cfRule>
    <cfRule type="cellIs" dxfId="186" priority="312" stopIfTrue="1" operator="lessThan">
      <formula>-0.03</formula>
    </cfRule>
  </conditionalFormatting>
  <conditionalFormatting sqref="AB179">
    <cfRule type="cellIs" dxfId="185" priority="309" operator="lessThan">
      <formula>-0.03</formula>
    </cfRule>
    <cfRule type="cellIs" dxfId="184" priority="310" stopIfTrue="1" operator="greaterThan">
      <formula>0.03</formula>
    </cfRule>
  </conditionalFormatting>
  <conditionalFormatting sqref="AB186">
    <cfRule type="cellIs" dxfId="183" priority="307" operator="greaterThan">
      <formula>0.03</formula>
    </cfRule>
    <cfRule type="cellIs" dxfId="182" priority="308" stopIfTrue="1" operator="lessThan">
      <formula>-0.03</formula>
    </cfRule>
  </conditionalFormatting>
  <conditionalFormatting sqref="AB189">
    <cfRule type="cellIs" dxfId="181" priority="305" operator="lessThan">
      <formula>-0.03</formula>
    </cfRule>
    <cfRule type="cellIs" dxfId="180" priority="306" stopIfTrue="1" operator="greaterThan">
      <formula>0.03</formula>
    </cfRule>
  </conditionalFormatting>
  <conditionalFormatting sqref="AB196">
    <cfRule type="cellIs" dxfId="179" priority="303" operator="greaterThan">
      <formula>0.03</formula>
    </cfRule>
    <cfRule type="cellIs" dxfId="178" priority="304" stopIfTrue="1" operator="lessThan">
      <formula>-0.03</formula>
    </cfRule>
  </conditionalFormatting>
  <conditionalFormatting sqref="AB199">
    <cfRule type="cellIs" dxfId="177" priority="301" operator="lessThan">
      <formula>-0.03</formula>
    </cfRule>
    <cfRule type="cellIs" dxfId="176" priority="302" stopIfTrue="1" operator="greaterThan">
      <formula>0.03</formula>
    </cfRule>
  </conditionalFormatting>
  <conditionalFormatting sqref="AB206">
    <cfRule type="cellIs" dxfId="175" priority="299" operator="greaterThan">
      <formula>0.03</formula>
    </cfRule>
    <cfRule type="cellIs" dxfId="174" priority="300" stopIfTrue="1" operator="lessThan">
      <formula>-0.03</formula>
    </cfRule>
  </conditionalFormatting>
  <conditionalFormatting sqref="AB209">
    <cfRule type="cellIs" dxfId="173" priority="297" operator="lessThan">
      <formula>-0.03</formula>
    </cfRule>
    <cfRule type="cellIs" dxfId="172" priority="298" stopIfTrue="1" operator="greaterThan">
      <formula>0.03</formula>
    </cfRule>
  </conditionalFormatting>
  <conditionalFormatting sqref="Z220:Z221">
    <cfRule type="cellIs" dxfId="171" priority="294" stopIfTrue="1" operator="lessThan">
      <formula>-0.01</formula>
    </cfRule>
    <cfRule type="cellIs" dxfId="170" priority="295" stopIfTrue="1" operator="greaterThan">
      <formula>0.01</formula>
    </cfRule>
  </conditionalFormatting>
  <conditionalFormatting sqref="H220:J221">
    <cfRule type="dataBar" priority="293">
      <dataBar>
        <cfvo type="min"/>
        <cfvo type="max"/>
        <color rgb="FF008AEF"/>
      </dataBar>
    </cfRule>
  </conditionalFormatting>
  <conditionalFormatting sqref="R220:T221">
    <cfRule type="dataBar" priority="292">
      <dataBar>
        <cfvo type="min"/>
        <cfvo type="max"/>
        <color rgb="FF008AEF"/>
      </dataBar>
    </cfRule>
  </conditionalFormatting>
  <conditionalFormatting sqref="U220:U221">
    <cfRule type="dataBar" priority="296">
      <dataBar>
        <cfvo type="min"/>
        <cfvo type="max"/>
        <color rgb="FF008AEF"/>
      </dataBar>
    </cfRule>
  </conditionalFormatting>
  <conditionalFormatting sqref="AB216">
    <cfRule type="cellIs" dxfId="169" priority="289" operator="greaterThan">
      <formula>0.03</formula>
    </cfRule>
    <cfRule type="cellIs" dxfId="168" priority="290" stopIfTrue="1" operator="lessThan">
      <formula>-0.03</formula>
    </cfRule>
  </conditionalFormatting>
  <conditionalFormatting sqref="AB219">
    <cfRule type="cellIs" dxfId="167" priority="287" operator="lessThan">
      <formula>-0.03</formula>
    </cfRule>
    <cfRule type="cellIs" dxfId="166" priority="288" stopIfTrue="1" operator="greaterThan">
      <formula>0.03</formula>
    </cfRule>
  </conditionalFormatting>
  <conditionalFormatting sqref="H216:J216">
    <cfRule type="dataBar" priority="286">
      <dataBar>
        <cfvo type="min"/>
        <cfvo type="max"/>
        <color rgb="FF008AEF"/>
      </dataBar>
    </cfRule>
  </conditionalFormatting>
  <conditionalFormatting sqref="Z216">
    <cfRule type="cellIs" dxfId="165" priority="284" stopIfTrue="1" operator="lessThan">
      <formula>-0.01</formula>
    </cfRule>
    <cfRule type="cellIs" dxfId="164" priority="285" stopIfTrue="1" operator="greaterThan">
      <formula>0.01</formula>
    </cfRule>
  </conditionalFormatting>
  <conditionalFormatting sqref="Z217">
    <cfRule type="cellIs" dxfId="163" priority="282" stopIfTrue="1" operator="lessThan">
      <formula>-0.01</formula>
    </cfRule>
    <cfRule type="cellIs" dxfId="162" priority="283" stopIfTrue="1" operator="greaterThan">
      <formula>0.01</formula>
    </cfRule>
  </conditionalFormatting>
  <conditionalFormatting sqref="Z218">
    <cfRule type="cellIs" dxfId="161" priority="280" stopIfTrue="1" operator="lessThan">
      <formula>-0.01</formula>
    </cfRule>
    <cfRule type="cellIs" dxfId="160" priority="281" stopIfTrue="1" operator="greaterThan">
      <formula>0.01</formula>
    </cfRule>
  </conditionalFormatting>
  <conditionalFormatting sqref="Z219">
    <cfRule type="cellIs" dxfId="159" priority="278" stopIfTrue="1" operator="lessThan">
      <formula>-0.01</formula>
    </cfRule>
    <cfRule type="cellIs" dxfId="158" priority="279" stopIfTrue="1" operator="greaterThan">
      <formula>0.01</formula>
    </cfRule>
  </conditionalFormatting>
  <conditionalFormatting sqref="V216:V219">
    <cfRule type="cellIs" dxfId="157" priority="276" operator="greaterThan">
      <formula>0.03</formula>
    </cfRule>
    <cfRule type="cellIs" dxfId="156" priority="277" stopIfTrue="1" operator="lessThan">
      <formula>-0.03</formula>
    </cfRule>
  </conditionalFormatting>
  <conditionalFormatting sqref="H217:J217">
    <cfRule type="dataBar" priority="275">
      <dataBar>
        <cfvo type="min"/>
        <cfvo type="max"/>
        <color rgb="FF008AEF"/>
      </dataBar>
    </cfRule>
  </conditionalFormatting>
  <conditionalFormatting sqref="H218:J218">
    <cfRule type="dataBar" priority="274">
      <dataBar>
        <cfvo type="min"/>
        <cfvo type="max"/>
        <color rgb="FF008AEF"/>
      </dataBar>
    </cfRule>
  </conditionalFormatting>
  <conditionalFormatting sqref="H219:J219">
    <cfRule type="dataBar" priority="273">
      <dataBar>
        <cfvo type="min"/>
        <cfvo type="max"/>
        <color rgb="FF008AEF"/>
      </dataBar>
    </cfRule>
  </conditionalFormatting>
  <conditionalFormatting sqref="R217:T217">
    <cfRule type="dataBar" priority="272">
      <dataBar>
        <cfvo type="min"/>
        <cfvo type="max"/>
        <color rgb="FF008AEF"/>
      </dataBar>
    </cfRule>
  </conditionalFormatting>
  <conditionalFormatting sqref="R218:T218">
    <cfRule type="dataBar" priority="271">
      <dataBar>
        <cfvo type="min"/>
        <cfvo type="max"/>
        <color rgb="FF008AEF"/>
      </dataBar>
    </cfRule>
  </conditionalFormatting>
  <conditionalFormatting sqref="R219:T219">
    <cfRule type="dataBar" priority="270">
      <dataBar>
        <cfvo type="min"/>
        <cfvo type="max"/>
        <color rgb="FF008AEF"/>
      </dataBar>
    </cfRule>
  </conditionalFormatting>
  <conditionalFormatting sqref="R216:U216 U217:U219">
    <cfRule type="dataBar" priority="291">
      <dataBar>
        <cfvo type="min"/>
        <cfvo type="max"/>
        <color rgb="FF008AEF"/>
      </dataBar>
    </cfRule>
  </conditionalFormatting>
  <conditionalFormatting sqref="I16">
    <cfRule type="dataBar" priority="269">
      <dataBar>
        <cfvo type="min"/>
        <cfvo type="max"/>
        <color rgb="FF008AEF"/>
      </dataBar>
    </cfRule>
  </conditionalFormatting>
  <conditionalFormatting sqref="I17">
    <cfRule type="dataBar" priority="268">
      <dataBar>
        <cfvo type="min"/>
        <cfvo type="max"/>
        <color rgb="FF008AEF"/>
      </dataBar>
    </cfRule>
  </conditionalFormatting>
  <conditionalFormatting sqref="H110:J111">
    <cfRule type="dataBar" priority="267">
      <dataBar>
        <cfvo type="min"/>
        <cfvo type="max"/>
        <color rgb="FF008AEF"/>
      </dataBar>
    </cfRule>
  </conditionalFormatting>
  <conditionalFormatting sqref="H106:J106">
    <cfRule type="dataBar" priority="266">
      <dataBar>
        <cfvo type="min"/>
        <cfvo type="max"/>
        <color rgb="FF008AEF"/>
      </dataBar>
    </cfRule>
  </conditionalFormatting>
  <conditionalFormatting sqref="H107:J107">
    <cfRule type="dataBar" priority="265">
      <dataBar>
        <cfvo type="min"/>
        <cfvo type="max"/>
        <color rgb="FF008AEF"/>
      </dataBar>
    </cfRule>
  </conditionalFormatting>
  <conditionalFormatting sqref="H108:J108">
    <cfRule type="dataBar" priority="264">
      <dataBar>
        <cfvo type="min"/>
        <cfvo type="max"/>
        <color rgb="FF008AEF"/>
      </dataBar>
    </cfRule>
  </conditionalFormatting>
  <conditionalFormatting sqref="H109:J109">
    <cfRule type="dataBar" priority="263">
      <dataBar>
        <cfvo type="min"/>
        <cfvo type="max"/>
        <color rgb="FF008AEF"/>
      </dataBar>
    </cfRule>
  </conditionalFormatting>
  <conditionalFormatting sqref="H108:J109">
    <cfRule type="dataBar" priority="262">
      <dataBar>
        <cfvo type="min"/>
        <cfvo type="max"/>
        <color rgb="FF008AEF"/>
      </dataBar>
    </cfRule>
  </conditionalFormatting>
  <conditionalFormatting sqref="H104:J104">
    <cfRule type="dataBar" priority="261">
      <dataBar>
        <cfvo type="min"/>
        <cfvo type="max"/>
        <color rgb="FF008AEF"/>
      </dataBar>
    </cfRule>
  </conditionalFormatting>
  <conditionalFormatting sqref="H105:J105">
    <cfRule type="dataBar" priority="260">
      <dataBar>
        <cfvo type="min"/>
        <cfvo type="max"/>
        <color rgb="FF008AEF"/>
      </dataBar>
    </cfRule>
  </conditionalFormatting>
  <conditionalFormatting sqref="H106:J106">
    <cfRule type="dataBar" priority="259">
      <dataBar>
        <cfvo type="min"/>
        <cfvo type="max"/>
        <color rgb="FF008AEF"/>
      </dataBar>
    </cfRule>
  </conditionalFormatting>
  <conditionalFormatting sqref="H107:J107">
    <cfRule type="dataBar" priority="258">
      <dataBar>
        <cfvo type="min"/>
        <cfvo type="max"/>
        <color rgb="FF008AEF"/>
      </dataBar>
    </cfRule>
  </conditionalFormatting>
  <conditionalFormatting sqref="N24">
    <cfRule type="cellIs" dxfId="155" priority="256" stopIfTrue="1" operator="lessThan">
      <formula>-0.01</formula>
    </cfRule>
    <cfRule type="cellIs" dxfId="154" priority="257" stopIfTrue="1" operator="greaterThan">
      <formula>0.01</formula>
    </cfRule>
  </conditionalFormatting>
  <conditionalFormatting sqref="I35">
    <cfRule type="dataBar" priority="255">
      <dataBar>
        <cfvo type="min"/>
        <cfvo type="max"/>
        <color rgb="FF008AEF"/>
      </dataBar>
    </cfRule>
  </conditionalFormatting>
  <conditionalFormatting sqref="I27">
    <cfRule type="dataBar" priority="254">
      <dataBar>
        <cfvo type="min"/>
        <cfvo type="max"/>
        <color rgb="FF008AEF"/>
      </dataBar>
    </cfRule>
  </conditionalFormatting>
  <conditionalFormatting sqref="I28">
    <cfRule type="dataBar" priority="253">
      <dataBar>
        <cfvo type="min"/>
        <cfvo type="max"/>
        <color rgb="FF008AEF"/>
      </dataBar>
    </cfRule>
  </conditionalFormatting>
  <conditionalFormatting sqref="N35">
    <cfRule type="cellIs" dxfId="153" priority="251" stopIfTrue="1" operator="lessThan">
      <formula>-0.01</formula>
    </cfRule>
    <cfRule type="cellIs" dxfId="152" priority="252" stopIfTrue="1" operator="greaterThan">
      <formula>0.01</formula>
    </cfRule>
  </conditionalFormatting>
  <conditionalFormatting sqref="I45:I46">
    <cfRule type="dataBar" priority="250">
      <dataBar>
        <cfvo type="min"/>
        <cfvo type="max"/>
        <color rgb="FF008AEF"/>
      </dataBar>
    </cfRule>
  </conditionalFormatting>
  <conditionalFormatting sqref="I40">
    <cfRule type="dataBar" priority="249">
      <dataBar>
        <cfvo type="min"/>
        <cfvo type="max"/>
        <color rgb="FF008AEF"/>
      </dataBar>
    </cfRule>
  </conditionalFormatting>
  <conditionalFormatting sqref="I41">
    <cfRule type="dataBar" priority="248">
      <dataBar>
        <cfvo type="min"/>
        <cfvo type="max"/>
        <color rgb="FF008AEF"/>
      </dataBar>
    </cfRule>
  </conditionalFormatting>
  <conditionalFormatting sqref="I42:I43">
    <cfRule type="dataBar" priority="247">
      <dataBar>
        <cfvo type="min"/>
        <cfvo type="max"/>
        <color rgb="FF008AEF"/>
      </dataBar>
    </cfRule>
  </conditionalFormatting>
  <conditionalFormatting sqref="I44">
    <cfRule type="dataBar" priority="246">
      <dataBar>
        <cfvo type="min"/>
        <cfvo type="max"/>
        <color rgb="FF008AEF"/>
      </dataBar>
    </cfRule>
  </conditionalFormatting>
  <conditionalFormatting sqref="I42:I44">
    <cfRule type="dataBar" priority="245">
      <dataBar>
        <cfvo type="min"/>
        <cfvo type="max"/>
        <color rgb="FF008AEF"/>
      </dataBar>
    </cfRule>
  </conditionalFormatting>
  <conditionalFormatting sqref="I38">
    <cfRule type="dataBar" priority="244">
      <dataBar>
        <cfvo type="min"/>
        <cfvo type="max"/>
        <color rgb="FF008AEF"/>
      </dataBar>
    </cfRule>
  </conditionalFormatting>
  <conditionalFormatting sqref="I39">
    <cfRule type="dataBar" priority="243">
      <dataBar>
        <cfvo type="min"/>
        <cfvo type="max"/>
        <color rgb="FF008AEF"/>
      </dataBar>
    </cfRule>
  </conditionalFormatting>
  <conditionalFormatting sqref="I40">
    <cfRule type="dataBar" priority="242">
      <dataBar>
        <cfvo type="min"/>
        <cfvo type="max"/>
        <color rgb="FF008AEF"/>
      </dataBar>
    </cfRule>
  </conditionalFormatting>
  <conditionalFormatting sqref="I41">
    <cfRule type="dataBar" priority="241">
      <dataBar>
        <cfvo type="min"/>
        <cfvo type="max"/>
        <color rgb="FF008AEF"/>
      </dataBar>
    </cfRule>
  </conditionalFormatting>
  <conditionalFormatting sqref="N45:N46">
    <cfRule type="cellIs" dxfId="151" priority="239" stopIfTrue="1" operator="lessThan">
      <formula>-0.01</formula>
    </cfRule>
    <cfRule type="cellIs" dxfId="150" priority="240" stopIfTrue="1" operator="greaterThan">
      <formula>0.01</formula>
    </cfRule>
  </conditionalFormatting>
  <conditionalFormatting sqref="I56:I57">
    <cfRule type="dataBar" priority="238">
      <dataBar>
        <cfvo type="min"/>
        <cfvo type="max"/>
        <color rgb="FF008AEF"/>
      </dataBar>
    </cfRule>
  </conditionalFormatting>
  <conditionalFormatting sqref="I51">
    <cfRule type="dataBar" priority="237">
      <dataBar>
        <cfvo type="min"/>
        <cfvo type="max"/>
        <color rgb="FF008AEF"/>
      </dataBar>
    </cfRule>
  </conditionalFormatting>
  <conditionalFormatting sqref="I52">
    <cfRule type="dataBar" priority="236">
      <dataBar>
        <cfvo type="min"/>
        <cfvo type="max"/>
        <color rgb="FF008AEF"/>
      </dataBar>
    </cfRule>
  </conditionalFormatting>
  <conditionalFormatting sqref="I53:I54">
    <cfRule type="dataBar" priority="235">
      <dataBar>
        <cfvo type="min"/>
        <cfvo type="max"/>
        <color rgb="FF008AEF"/>
      </dataBar>
    </cfRule>
  </conditionalFormatting>
  <conditionalFormatting sqref="I55">
    <cfRule type="dataBar" priority="234">
      <dataBar>
        <cfvo type="min"/>
        <cfvo type="max"/>
        <color rgb="FF008AEF"/>
      </dataBar>
    </cfRule>
  </conditionalFormatting>
  <conditionalFormatting sqref="I53:I55">
    <cfRule type="dataBar" priority="233">
      <dataBar>
        <cfvo type="min"/>
        <cfvo type="max"/>
        <color rgb="FF008AEF"/>
      </dataBar>
    </cfRule>
  </conditionalFormatting>
  <conditionalFormatting sqref="I49">
    <cfRule type="dataBar" priority="232">
      <dataBar>
        <cfvo type="min"/>
        <cfvo type="max"/>
        <color rgb="FF008AEF"/>
      </dataBar>
    </cfRule>
  </conditionalFormatting>
  <conditionalFormatting sqref="I50">
    <cfRule type="dataBar" priority="231">
      <dataBar>
        <cfvo type="min"/>
        <cfvo type="max"/>
        <color rgb="FF008AEF"/>
      </dataBar>
    </cfRule>
  </conditionalFormatting>
  <conditionalFormatting sqref="I51">
    <cfRule type="dataBar" priority="230">
      <dataBar>
        <cfvo type="min"/>
        <cfvo type="max"/>
        <color rgb="FF008AEF"/>
      </dataBar>
    </cfRule>
  </conditionalFormatting>
  <conditionalFormatting sqref="I52">
    <cfRule type="dataBar" priority="229">
      <dataBar>
        <cfvo type="min"/>
        <cfvo type="max"/>
        <color rgb="FF008AEF"/>
      </dataBar>
    </cfRule>
  </conditionalFormatting>
  <conditionalFormatting sqref="J51:J55">
    <cfRule type="cellIs" dxfId="149" priority="227" operator="greaterThan">
      <formula>0.03</formula>
    </cfRule>
    <cfRule type="cellIs" dxfId="148" priority="228" stopIfTrue="1" operator="lessThan">
      <formula>-0.03</formula>
    </cfRule>
  </conditionalFormatting>
  <conditionalFormatting sqref="N56:N57">
    <cfRule type="cellIs" dxfId="147" priority="225" stopIfTrue="1" operator="lessThan">
      <formula>-0.01</formula>
    </cfRule>
    <cfRule type="cellIs" dxfId="146" priority="226" stopIfTrue="1" operator="greaterThan">
      <formula>0.01</formula>
    </cfRule>
  </conditionalFormatting>
  <conditionalFormatting sqref="N51">
    <cfRule type="cellIs" dxfId="145" priority="223" stopIfTrue="1" operator="lessThan">
      <formula>-0.01</formula>
    </cfRule>
    <cfRule type="cellIs" dxfId="144" priority="224" stopIfTrue="1" operator="greaterThan">
      <formula>0.01</formula>
    </cfRule>
  </conditionalFormatting>
  <conditionalFormatting sqref="N52">
    <cfRule type="cellIs" dxfId="143" priority="221" stopIfTrue="1" operator="lessThan">
      <formula>-0.01</formula>
    </cfRule>
    <cfRule type="cellIs" dxfId="142" priority="222" stopIfTrue="1" operator="greaterThan">
      <formula>0.01</formula>
    </cfRule>
  </conditionalFormatting>
  <conditionalFormatting sqref="N53:N54">
    <cfRule type="cellIs" dxfId="141" priority="219" stopIfTrue="1" operator="lessThan">
      <formula>-0.01</formula>
    </cfRule>
    <cfRule type="cellIs" dxfId="140" priority="220" stopIfTrue="1" operator="greaterThan">
      <formula>0.01</formula>
    </cfRule>
  </conditionalFormatting>
  <conditionalFormatting sqref="N55">
    <cfRule type="cellIs" dxfId="139" priority="217" stopIfTrue="1" operator="lessThan">
      <formula>-0.01</formula>
    </cfRule>
    <cfRule type="cellIs" dxfId="138" priority="218" stopIfTrue="1" operator="greaterThan">
      <formula>0.01</formula>
    </cfRule>
  </conditionalFormatting>
  <conditionalFormatting sqref="P51">
    <cfRule type="cellIs" dxfId="137" priority="215" operator="greaterThan">
      <formula>0.03</formula>
    </cfRule>
    <cfRule type="cellIs" dxfId="136" priority="216" stopIfTrue="1" operator="lessThan">
      <formula>-0.03</formula>
    </cfRule>
  </conditionalFormatting>
  <conditionalFormatting sqref="P55">
    <cfRule type="cellIs" dxfId="135" priority="213" operator="lessThan">
      <formula>-0.03</formula>
    </cfRule>
    <cfRule type="cellIs" dxfId="134" priority="214" stopIfTrue="1" operator="greaterThan">
      <formula>0.03</formula>
    </cfRule>
  </conditionalFormatting>
  <conditionalFormatting sqref="I68">
    <cfRule type="dataBar" priority="212">
      <dataBar>
        <cfvo type="min"/>
        <cfvo type="max"/>
        <color rgb="FF008AEF"/>
      </dataBar>
    </cfRule>
  </conditionalFormatting>
  <conditionalFormatting sqref="I60">
    <cfRule type="dataBar" priority="211">
      <dataBar>
        <cfvo type="min"/>
        <cfvo type="max"/>
        <color rgb="FF008AEF"/>
      </dataBar>
    </cfRule>
  </conditionalFormatting>
  <conditionalFormatting sqref="I61">
    <cfRule type="dataBar" priority="210">
      <dataBar>
        <cfvo type="min"/>
        <cfvo type="max"/>
        <color rgb="FF008AEF"/>
      </dataBar>
    </cfRule>
  </conditionalFormatting>
  <conditionalFormatting sqref="N68">
    <cfRule type="cellIs" dxfId="133" priority="208" stopIfTrue="1" operator="lessThan">
      <formula>-0.01</formula>
    </cfRule>
    <cfRule type="cellIs" dxfId="132" priority="209" stopIfTrue="1" operator="greaterThan">
      <formula>0.01</formula>
    </cfRule>
  </conditionalFormatting>
  <conditionalFormatting sqref="I79">
    <cfRule type="dataBar" priority="207">
      <dataBar>
        <cfvo type="min"/>
        <cfvo type="max"/>
        <color rgb="FF008AEF"/>
      </dataBar>
    </cfRule>
  </conditionalFormatting>
  <conditionalFormatting sqref="I71">
    <cfRule type="dataBar" priority="206">
      <dataBar>
        <cfvo type="min"/>
        <cfvo type="max"/>
        <color rgb="FF008AEF"/>
      </dataBar>
    </cfRule>
  </conditionalFormatting>
  <conditionalFormatting sqref="I72">
    <cfRule type="dataBar" priority="205">
      <dataBar>
        <cfvo type="min"/>
        <cfvo type="max"/>
        <color rgb="FF008AEF"/>
      </dataBar>
    </cfRule>
  </conditionalFormatting>
  <conditionalFormatting sqref="N79">
    <cfRule type="cellIs" dxfId="131" priority="203" stopIfTrue="1" operator="lessThan">
      <formula>-0.01</formula>
    </cfRule>
    <cfRule type="cellIs" dxfId="130" priority="204" stopIfTrue="1" operator="greaterThan">
      <formula>0.01</formula>
    </cfRule>
  </conditionalFormatting>
  <conditionalFormatting sqref="R89:T90">
    <cfRule type="dataBar" priority="202">
      <dataBar>
        <cfvo type="min"/>
        <cfvo type="max"/>
        <color rgb="FF008AEF"/>
      </dataBar>
    </cfRule>
  </conditionalFormatting>
  <conditionalFormatting sqref="R85:T85">
    <cfRule type="dataBar" priority="200">
      <dataBar>
        <cfvo type="min"/>
        <cfvo type="max"/>
        <color rgb="FF008AEF"/>
      </dataBar>
    </cfRule>
  </conditionalFormatting>
  <conditionalFormatting sqref="R86:T87">
    <cfRule type="dataBar" priority="199">
      <dataBar>
        <cfvo type="min"/>
        <cfvo type="max"/>
        <color rgb="FF008AEF"/>
      </dataBar>
    </cfRule>
  </conditionalFormatting>
  <conditionalFormatting sqref="R88:T88">
    <cfRule type="dataBar" priority="198">
      <dataBar>
        <cfvo type="min"/>
        <cfvo type="max"/>
        <color rgb="FF008AEF"/>
      </dataBar>
    </cfRule>
  </conditionalFormatting>
  <conditionalFormatting sqref="R84:T84">
    <cfRule type="dataBar" priority="201">
      <dataBar>
        <cfvo type="min"/>
        <cfvo type="max"/>
        <color rgb="FF008AEF"/>
      </dataBar>
    </cfRule>
  </conditionalFormatting>
  <conditionalFormatting sqref="I90">
    <cfRule type="dataBar" priority="197">
      <dataBar>
        <cfvo type="min"/>
        <cfvo type="max"/>
        <color rgb="FF008AEF"/>
      </dataBar>
    </cfRule>
  </conditionalFormatting>
  <conditionalFormatting sqref="I82">
    <cfRule type="dataBar" priority="196">
      <dataBar>
        <cfvo type="min"/>
        <cfvo type="max"/>
        <color rgb="FF008AEF"/>
      </dataBar>
    </cfRule>
  </conditionalFormatting>
  <conditionalFormatting sqref="I83">
    <cfRule type="dataBar" priority="195">
      <dataBar>
        <cfvo type="min"/>
        <cfvo type="max"/>
        <color rgb="FF008AEF"/>
      </dataBar>
    </cfRule>
  </conditionalFormatting>
  <conditionalFormatting sqref="N90">
    <cfRule type="cellIs" dxfId="129" priority="193" stopIfTrue="1" operator="lessThan">
      <formula>-0.01</formula>
    </cfRule>
    <cfRule type="cellIs" dxfId="128" priority="194" stopIfTrue="1" operator="greaterThan">
      <formula>0.01</formula>
    </cfRule>
  </conditionalFormatting>
  <conditionalFormatting sqref="R100:T101">
    <cfRule type="dataBar" priority="192">
      <dataBar>
        <cfvo type="min"/>
        <cfvo type="max"/>
        <color rgb="FF008AEF"/>
      </dataBar>
    </cfRule>
  </conditionalFormatting>
  <conditionalFormatting sqref="R96:T96">
    <cfRule type="dataBar" priority="190">
      <dataBar>
        <cfvo type="min"/>
        <cfvo type="max"/>
        <color rgb="FF008AEF"/>
      </dataBar>
    </cfRule>
  </conditionalFormatting>
  <conditionalFormatting sqref="R97:T98">
    <cfRule type="dataBar" priority="189">
      <dataBar>
        <cfvo type="min"/>
        <cfvo type="max"/>
        <color rgb="FF008AEF"/>
      </dataBar>
    </cfRule>
  </conditionalFormatting>
  <conditionalFormatting sqref="R99:T99">
    <cfRule type="dataBar" priority="188">
      <dataBar>
        <cfvo type="min"/>
        <cfvo type="max"/>
        <color rgb="FF008AEF"/>
      </dataBar>
    </cfRule>
  </conditionalFormatting>
  <conditionalFormatting sqref="R95:T95">
    <cfRule type="dataBar" priority="191">
      <dataBar>
        <cfvo type="min"/>
        <cfvo type="max"/>
        <color rgb="FF008AEF"/>
      </dataBar>
    </cfRule>
  </conditionalFormatting>
  <conditionalFormatting sqref="I101">
    <cfRule type="dataBar" priority="187">
      <dataBar>
        <cfvo type="min"/>
        <cfvo type="max"/>
        <color rgb="FF008AEF"/>
      </dataBar>
    </cfRule>
  </conditionalFormatting>
  <conditionalFormatting sqref="I93">
    <cfRule type="dataBar" priority="186">
      <dataBar>
        <cfvo type="min"/>
        <cfvo type="max"/>
        <color rgb="FF008AEF"/>
      </dataBar>
    </cfRule>
  </conditionalFormatting>
  <conditionalFormatting sqref="I94">
    <cfRule type="dataBar" priority="185">
      <dataBar>
        <cfvo type="min"/>
        <cfvo type="max"/>
        <color rgb="FF008AEF"/>
      </dataBar>
    </cfRule>
  </conditionalFormatting>
  <conditionalFormatting sqref="N101">
    <cfRule type="cellIs" dxfId="127" priority="183" stopIfTrue="1" operator="lessThan">
      <formula>-0.01</formula>
    </cfRule>
    <cfRule type="cellIs" dxfId="126" priority="184" stopIfTrue="1" operator="greaterThan">
      <formula>0.01</formula>
    </cfRule>
  </conditionalFormatting>
  <conditionalFormatting sqref="J40:J44">
    <cfRule type="cellIs" dxfId="125" priority="181" operator="greaterThan">
      <formula>0.03</formula>
    </cfRule>
    <cfRule type="cellIs" dxfId="124" priority="182" stopIfTrue="1" operator="lessThan">
      <formula>-0.03</formula>
    </cfRule>
  </conditionalFormatting>
  <conditionalFormatting sqref="N40">
    <cfRule type="cellIs" dxfId="123" priority="179" stopIfTrue="1" operator="lessThan">
      <formula>-0.01</formula>
    </cfRule>
    <cfRule type="cellIs" dxfId="122" priority="180" stopIfTrue="1" operator="greaterThan">
      <formula>0.01</formula>
    </cfRule>
  </conditionalFormatting>
  <conditionalFormatting sqref="N41">
    <cfRule type="cellIs" dxfId="121" priority="177" stopIfTrue="1" operator="lessThan">
      <formula>-0.01</formula>
    </cfRule>
    <cfRule type="cellIs" dxfId="120" priority="178" stopIfTrue="1" operator="greaterThan">
      <formula>0.01</formula>
    </cfRule>
  </conditionalFormatting>
  <conditionalFormatting sqref="N42:N43">
    <cfRule type="cellIs" dxfId="119" priority="175" stopIfTrue="1" operator="lessThan">
      <formula>-0.01</formula>
    </cfRule>
    <cfRule type="cellIs" dxfId="118" priority="176" stopIfTrue="1" operator="greaterThan">
      <formula>0.01</formula>
    </cfRule>
  </conditionalFormatting>
  <conditionalFormatting sqref="N44">
    <cfRule type="cellIs" dxfId="117" priority="173" stopIfTrue="1" operator="lessThan">
      <formula>-0.01</formula>
    </cfRule>
    <cfRule type="cellIs" dxfId="116" priority="174" stopIfTrue="1" operator="greaterThan">
      <formula>0.01</formula>
    </cfRule>
  </conditionalFormatting>
  <conditionalFormatting sqref="P40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P44">
    <cfRule type="cellIs" dxfId="113" priority="169" operator="lessThan">
      <formula>-0.03</formula>
    </cfRule>
    <cfRule type="cellIs" dxfId="112" priority="170" stopIfTrue="1" operator="greaterThan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I29"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1">
      <dataBar>
        <cfvo type="min"/>
        <cfvo type="max"/>
        <color rgb="FF008AEF"/>
      </dataBar>
    </cfRule>
  </conditionalFormatting>
  <conditionalFormatting sqref="N34">
    <cfRule type="cellIs" dxfId="111" priority="159" stopIfTrue="1" operator="lessThan">
      <formula>-0.01</formula>
    </cfRule>
    <cfRule type="cellIs" dxfId="110" priority="160" stopIfTrue="1" operator="greaterThan">
      <formula>0.01</formula>
    </cfRule>
  </conditionalFormatting>
  <conditionalFormatting sqref="J29:J33">
    <cfRule type="cellIs" dxfId="109" priority="157" operator="greaterThan">
      <formula>0.03</formula>
    </cfRule>
    <cfRule type="cellIs" dxfId="108" priority="158" stopIfTrue="1" operator="lessThan">
      <formula>-0.03</formula>
    </cfRule>
  </conditionalFormatting>
  <conditionalFormatting sqref="N29">
    <cfRule type="cellIs" dxfId="107" priority="155" stopIfTrue="1" operator="lessThan">
      <formula>-0.01</formula>
    </cfRule>
    <cfRule type="cellIs" dxfId="106" priority="156" stopIfTrue="1" operator="greaterThan">
      <formula>0.01</formula>
    </cfRule>
  </conditionalFormatting>
  <conditionalFormatting sqref="N30">
    <cfRule type="cellIs" dxfId="105" priority="153" stopIfTrue="1" operator="lessThan">
      <formula>-0.01</formula>
    </cfRule>
    <cfRule type="cellIs" dxfId="104" priority="154" stopIfTrue="1" operator="greaterThan">
      <formula>0.01</formula>
    </cfRule>
  </conditionalFormatting>
  <conditionalFormatting sqref="N31:N32">
    <cfRule type="cellIs" dxfId="103" priority="151" stopIfTrue="1" operator="lessThan">
      <formula>-0.01</formula>
    </cfRule>
    <cfRule type="cellIs" dxfId="102" priority="152" stopIfTrue="1" operator="greaterThan">
      <formula>0.01</formula>
    </cfRule>
  </conditionalFormatting>
  <conditionalFormatting sqref="N33">
    <cfRule type="cellIs" dxfId="101" priority="149" stopIfTrue="1" operator="lessThan">
      <formula>-0.01</formula>
    </cfRule>
    <cfRule type="cellIs" dxfId="100" priority="150" stopIfTrue="1" operator="greaterThan">
      <formula>0.01</formula>
    </cfRule>
  </conditionalFormatting>
  <conditionalFormatting sqref="P29">
    <cfRule type="cellIs" dxfId="99" priority="147" operator="greaterThan">
      <formula>0.03</formula>
    </cfRule>
    <cfRule type="cellIs" dxfId="98" priority="148" stopIfTrue="1" operator="lessThan">
      <formula>-0.03</formula>
    </cfRule>
  </conditionalFormatting>
  <conditionalFormatting sqref="P33">
    <cfRule type="cellIs" dxfId="97" priority="145" operator="lessThan">
      <formula>-0.03</formula>
    </cfRule>
    <cfRule type="cellIs" dxfId="96" priority="146" stopIfTrue="1" operator="greaterThan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I18"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37">
      <dataBar>
        <cfvo type="min"/>
        <cfvo type="max"/>
        <color rgb="FF008AEF"/>
      </dataBar>
    </cfRule>
  </conditionalFormatting>
  <conditionalFormatting sqref="N23">
    <cfRule type="cellIs" dxfId="95" priority="135" stopIfTrue="1" operator="lessThan">
      <formula>-0.01</formula>
    </cfRule>
    <cfRule type="cellIs" dxfId="94" priority="136" stopIfTrue="1" operator="greaterThan">
      <formula>0.01</formula>
    </cfRule>
  </conditionalFormatting>
  <conditionalFormatting sqref="J18:J22">
    <cfRule type="cellIs" dxfId="93" priority="133" operator="greaterThan">
      <formula>0.03</formula>
    </cfRule>
    <cfRule type="cellIs" dxfId="92" priority="134" stopIfTrue="1" operator="lessThan">
      <formula>-0.03</formula>
    </cfRule>
  </conditionalFormatting>
  <conditionalFormatting sqref="N18">
    <cfRule type="cellIs" dxfId="91" priority="131" stopIfTrue="1" operator="lessThan">
      <formula>-0.01</formula>
    </cfRule>
    <cfRule type="cellIs" dxfId="90" priority="132" stopIfTrue="1" operator="greaterThan">
      <formula>0.01</formula>
    </cfRule>
  </conditionalFormatting>
  <conditionalFormatting sqref="N19">
    <cfRule type="cellIs" dxfId="89" priority="129" stopIfTrue="1" operator="lessThan">
      <formula>-0.01</formula>
    </cfRule>
    <cfRule type="cellIs" dxfId="88" priority="130" stopIfTrue="1" operator="greaterThan">
      <formula>0.01</formula>
    </cfRule>
  </conditionalFormatting>
  <conditionalFormatting sqref="N20:N21">
    <cfRule type="cellIs" dxfId="87" priority="127" stopIfTrue="1" operator="lessThan">
      <formula>-0.01</formula>
    </cfRule>
    <cfRule type="cellIs" dxfId="86" priority="128" stopIfTrue="1" operator="greaterThan">
      <formula>0.01</formula>
    </cfRule>
  </conditionalFormatting>
  <conditionalFormatting sqref="N22">
    <cfRule type="cellIs" dxfId="85" priority="125" stopIfTrue="1" operator="lessThan">
      <formula>-0.01</formula>
    </cfRule>
    <cfRule type="cellIs" dxfId="84" priority="126" stopIfTrue="1" operator="greaterThan">
      <formula>0.01</formula>
    </cfRule>
  </conditionalFormatting>
  <conditionalFormatting sqref="P18">
    <cfRule type="cellIs" dxfId="83" priority="123" operator="greaterThan">
      <formula>0.03</formula>
    </cfRule>
    <cfRule type="cellIs" dxfId="82" priority="124" stopIfTrue="1" operator="lessThan">
      <formula>-0.03</formula>
    </cfRule>
  </conditionalFormatting>
  <conditionalFormatting sqref="P22">
    <cfRule type="cellIs" dxfId="81" priority="121" operator="lessThan">
      <formula>-0.03</formula>
    </cfRule>
    <cfRule type="cellIs" dxfId="80" priority="122" stopIfTrue="1" operator="greaterThan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I7"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3">
      <dataBar>
        <cfvo type="min"/>
        <cfvo type="max"/>
        <color rgb="FF008AEF"/>
      </dataBar>
    </cfRule>
  </conditionalFormatting>
  <conditionalFormatting sqref="N12">
    <cfRule type="cellIs" dxfId="79" priority="111" stopIfTrue="1" operator="lessThan">
      <formula>-0.01</formula>
    </cfRule>
    <cfRule type="cellIs" dxfId="78" priority="112" stopIfTrue="1" operator="greaterThan">
      <formula>0.01</formula>
    </cfRule>
  </conditionalFormatting>
  <conditionalFormatting sqref="J7:J11">
    <cfRule type="cellIs" dxfId="77" priority="109" operator="greaterThan">
      <formula>0.03</formula>
    </cfRule>
    <cfRule type="cellIs" dxfId="76" priority="110" stopIfTrue="1" operator="lessThan">
      <formula>-0.03</formula>
    </cfRule>
  </conditionalFormatting>
  <conditionalFormatting sqref="N7">
    <cfRule type="cellIs" dxfId="75" priority="107" stopIfTrue="1" operator="lessThan">
      <formula>-0.01</formula>
    </cfRule>
    <cfRule type="cellIs" dxfId="74" priority="108" stopIfTrue="1" operator="greaterThan">
      <formula>0.01</formula>
    </cfRule>
  </conditionalFormatting>
  <conditionalFormatting sqref="N8">
    <cfRule type="cellIs" dxfId="73" priority="105" stopIfTrue="1" operator="lessThan">
      <formula>-0.01</formula>
    </cfRule>
    <cfRule type="cellIs" dxfId="72" priority="106" stopIfTrue="1" operator="greaterThan">
      <formula>0.01</formula>
    </cfRule>
  </conditionalFormatting>
  <conditionalFormatting sqref="N9:N10">
    <cfRule type="cellIs" dxfId="71" priority="103" stopIfTrue="1" operator="lessThan">
      <formula>-0.01</formula>
    </cfRule>
    <cfRule type="cellIs" dxfId="70" priority="104" stopIfTrue="1" operator="greaterThan">
      <formula>0.01</formula>
    </cfRule>
  </conditionalFormatting>
  <conditionalFormatting sqref="N11">
    <cfRule type="cellIs" dxfId="69" priority="101" stopIfTrue="1" operator="lessThan">
      <formula>-0.01</formula>
    </cfRule>
    <cfRule type="cellIs" dxfId="68" priority="102" stopIfTrue="1" operator="greaterThan">
      <formula>0.01</formula>
    </cfRule>
  </conditionalFormatting>
  <conditionalFormatting sqref="P7">
    <cfRule type="cellIs" dxfId="67" priority="99" operator="greaterThan">
      <formula>0.03</formula>
    </cfRule>
    <cfRule type="cellIs" dxfId="66" priority="100" stopIfTrue="1" operator="lessThan">
      <formula>-0.03</formula>
    </cfRule>
  </conditionalFormatting>
  <conditionalFormatting sqref="P11">
    <cfRule type="cellIs" dxfId="65" priority="97" operator="lessThan">
      <formula>-0.03</formula>
    </cfRule>
    <cfRule type="cellIs" dxfId="64" priority="98" stopIfTrue="1" operator="greaterThan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I62">
    <cfRule type="dataBar" priority="90">
      <dataBar>
        <cfvo type="min"/>
        <cfvo type="max"/>
        <color rgb="FF008AEF"/>
      </dataBar>
    </cfRule>
  </conditionalFormatting>
  <conditionalFormatting sqref="I63">
    <cfRule type="dataBar" priority="89">
      <dataBar>
        <cfvo type="min"/>
        <cfvo type="max"/>
        <color rgb="FF008AEF"/>
      </dataBar>
    </cfRule>
  </conditionalFormatting>
  <conditionalFormatting sqref="J62:J66">
    <cfRule type="cellIs" dxfId="63" priority="87" operator="greaterThan">
      <formula>0.03</formula>
    </cfRule>
    <cfRule type="cellIs" dxfId="62" priority="88" stopIfTrue="1" operator="lessThan">
      <formula>-0.03</formula>
    </cfRule>
  </conditionalFormatting>
  <conditionalFormatting sqref="N67">
    <cfRule type="cellIs" dxfId="61" priority="85" stopIfTrue="1" operator="lessThan">
      <formula>-0.01</formula>
    </cfRule>
    <cfRule type="cellIs" dxfId="60" priority="86" stopIfTrue="1" operator="greaterThan">
      <formula>0.01</formula>
    </cfRule>
  </conditionalFormatting>
  <conditionalFormatting sqref="N62">
    <cfRule type="cellIs" dxfId="59" priority="83" stopIfTrue="1" operator="lessThan">
      <formula>-0.01</formula>
    </cfRule>
    <cfRule type="cellIs" dxfId="58" priority="84" stopIfTrue="1" operator="greaterThan">
      <formula>0.01</formula>
    </cfRule>
  </conditionalFormatting>
  <conditionalFormatting sqref="N63">
    <cfRule type="cellIs" dxfId="57" priority="81" stopIfTrue="1" operator="lessThan">
      <formula>-0.01</formula>
    </cfRule>
    <cfRule type="cellIs" dxfId="56" priority="82" stopIfTrue="1" operator="greaterThan">
      <formula>0.01</formula>
    </cfRule>
  </conditionalFormatting>
  <conditionalFormatting sqref="N64:N65">
    <cfRule type="cellIs" dxfId="55" priority="79" stopIfTrue="1" operator="lessThan">
      <formula>-0.01</formula>
    </cfRule>
    <cfRule type="cellIs" dxfId="54" priority="80" stopIfTrue="1" operator="greaterThan">
      <formula>0.01</formula>
    </cfRule>
  </conditionalFormatting>
  <conditionalFormatting sqref="N66">
    <cfRule type="cellIs" dxfId="53" priority="77" stopIfTrue="1" operator="lessThan">
      <formula>-0.01</formula>
    </cfRule>
    <cfRule type="cellIs" dxfId="52" priority="78" stopIfTrue="1" operator="greaterThan">
      <formula>0.01</formula>
    </cfRule>
  </conditionalFormatting>
  <conditionalFormatting sqref="P62">
    <cfRule type="cellIs" dxfId="51" priority="75" operator="greaterThan">
      <formula>0.03</formula>
    </cfRule>
    <cfRule type="cellIs" dxfId="50" priority="76" stopIfTrue="1" operator="lessThan">
      <formula>-0.03</formula>
    </cfRule>
  </conditionalFormatting>
  <conditionalFormatting sqref="P66">
    <cfRule type="cellIs" dxfId="49" priority="73" operator="lessThan">
      <formula>-0.03</formula>
    </cfRule>
    <cfRule type="cellIs" dxfId="48" priority="74" stopIfTrue="1" operator="greaterThan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I73">
    <cfRule type="dataBar" priority="66">
      <dataBar>
        <cfvo type="min"/>
        <cfvo type="max"/>
        <color rgb="FF008AEF"/>
      </dataBar>
    </cfRule>
  </conditionalFormatting>
  <conditionalFormatting sqref="I74">
    <cfRule type="dataBar" priority="65">
      <dataBar>
        <cfvo type="min"/>
        <cfvo type="max"/>
        <color rgb="FF008AEF"/>
      </dataBar>
    </cfRule>
  </conditionalFormatting>
  <conditionalFormatting sqref="J73:J77">
    <cfRule type="cellIs" dxfId="47" priority="63" operator="greaterThan">
      <formula>0.03</formula>
    </cfRule>
    <cfRule type="cellIs" dxfId="46" priority="64" stopIfTrue="1" operator="lessThan">
      <formula>-0.03</formula>
    </cfRule>
  </conditionalFormatting>
  <conditionalFormatting sqref="N78">
    <cfRule type="cellIs" dxfId="45" priority="61" stopIfTrue="1" operator="lessThan">
      <formula>-0.01</formula>
    </cfRule>
    <cfRule type="cellIs" dxfId="44" priority="62" stopIfTrue="1" operator="greaterThan">
      <formula>0.01</formula>
    </cfRule>
  </conditionalFormatting>
  <conditionalFormatting sqref="N73">
    <cfRule type="cellIs" dxfId="43" priority="59" stopIfTrue="1" operator="lessThan">
      <formula>-0.01</formula>
    </cfRule>
    <cfRule type="cellIs" dxfId="42" priority="60" stopIfTrue="1" operator="greaterThan">
      <formula>0.01</formula>
    </cfRule>
  </conditionalFormatting>
  <conditionalFormatting sqref="N74">
    <cfRule type="cellIs" dxfId="41" priority="57" stopIfTrue="1" operator="lessThan">
      <formula>-0.01</formula>
    </cfRule>
    <cfRule type="cellIs" dxfId="40" priority="58" stopIfTrue="1" operator="greaterThan">
      <formula>0.01</formula>
    </cfRule>
  </conditionalFormatting>
  <conditionalFormatting sqref="N75:N76">
    <cfRule type="cellIs" dxfId="39" priority="55" stopIfTrue="1" operator="lessThan">
      <formula>-0.01</formula>
    </cfRule>
    <cfRule type="cellIs" dxfId="38" priority="56" stopIfTrue="1" operator="greaterThan">
      <formula>0.01</formula>
    </cfRule>
  </conditionalFormatting>
  <conditionalFormatting sqref="N77">
    <cfRule type="cellIs" dxfId="37" priority="53" stopIfTrue="1" operator="lessThan">
      <formula>-0.01</formula>
    </cfRule>
    <cfRule type="cellIs" dxfId="36" priority="54" stopIfTrue="1" operator="greaterThan">
      <formula>0.01</formula>
    </cfRule>
  </conditionalFormatting>
  <conditionalFormatting sqref="P73">
    <cfRule type="cellIs" dxfId="35" priority="51" operator="greaterThan">
      <formula>0.03</formula>
    </cfRule>
    <cfRule type="cellIs" dxfId="34" priority="52" stopIfTrue="1" operator="lessThan">
      <formula>-0.03</formula>
    </cfRule>
  </conditionalFormatting>
  <conditionalFormatting sqref="P77">
    <cfRule type="cellIs" dxfId="33" priority="49" operator="lessThan">
      <formula>-0.03</formula>
    </cfRule>
    <cfRule type="cellIs" dxfId="32" priority="50" stopIfTrue="1" operator="greaterThan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I84"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1">
      <dataBar>
        <cfvo type="min"/>
        <cfvo type="max"/>
        <color rgb="FF008AEF"/>
      </dataBar>
    </cfRule>
  </conditionalFormatting>
  <conditionalFormatting sqref="J84:J88">
    <cfRule type="cellIs" dxfId="31" priority="39" operator="greaterThan">
      <formula>0.03</formula>
    </cfRule>
    <cfRule type="cellIs" dxfId="30" priority="40" stopIfTrue="1" operator="lessThan">
      <formula>-0.03</formula>
    </cfRule>
  </conditionalFormatting>
  <conditionalFormatting sqref="N89">
    <cfRule type="cellIs" dxfId="29" priority="37" stopIfTrue="1" operator="lessThan">
      <formula>-0.01</formula>
    </cfRule>
    <cfRule type="cellIs" dxfId="28" priority="38" stopIfTrue="1" operator="greaterThan">
      <formula>0.01</formula>
    </cfRule>
  </conditionalFormatting>
  <conditionalFormatting sqref="N84">
    <cfRule type="cellIs" dxfId="27" priority="35" stopIfTrue="1" operator="lessThan">
      <formula>-0.01</formula>
    </cfRule>
    <cfRule type="cellIs" dxfId="26" priority="36" stopIfTrue="1" operator="greaterThan">
      <formula>0.01</formula>
    </cfRule>
  </conditionalFormatting>
  <conditionalFormatting sqref="N85">
    <cfRule type="cellIs" dxfId="25" priority="33" stopIfTrue="1" operator="lessThan">
      <formula>-0.01</formula>
    </cfRule>
    <cfRule type="cellIs" dxfId="24" priority="34" stopIfTrue="1" operator="greaterThan">
      <formula>0.01</formula>
    </cfRule>
  </conditionalFormatting>
  <conditionalFormatting sqref="N86:N87">
    <cfRule type="cellIs" dxfId="23" priority="31" stopIfTrue="1" operator="lessThan">
      <formula>-0.01</formula>
    </cfRule>
    <cfRule type="cellIs" dxfId="22" priority="32" stopIfTrue="1" operator="greaterThan">
      <formula>0.01</formula>
    </cfRule>
  </conditionalFormatting>
  <conditionalFormatting sqref="N88">
    <cfRule type="cellIs" dxfId="21" priority="29" stopIfTrue="1" operator="lessThan">
      <formula>-0.01</formula>
    </cfRule>
    <cfRule type="cellIs" dxfId="20" priority="30" stopIfTrue="1" operator="greaterThan">
      <formula>0.01</formula>
    </cfRule>
  </conditionalFormatting>
  <conditionalFormatting sqref="P84">
    <cfRule type="cellIs" dxfId="19" priority="27" operator="greaterThan">
      <formula>0.03</formula>
    </cfRule>
    <cfRule type="cellIs" dxfId="18" priority="28" stopIfTrue="1" operator="lessThan">
      <formula>-0.03</formula>
    </cfRule>
  </conditionalFormatting>
  <conditionalFormatting sqref="P88">
    <cfRule type="cellIs" dxfId="17" priority="25" operator="lessThan">
      <formula>-0.03</formula>
    </cfRule>
    <cfRule type="cellIs" dxfId="16" priority="26" stopIfTrue="1" operator="greaterThan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I95">
    <cfRule type="dataBar" priority="18">
      <dataBar>
        <cfvo type="min"/>
        <cfvo type="max"/>
        <color rgb="FF008AEF"/>
      </dataBar>
    </cfRule>
  </conditionalFormatting>
  <conditionalFormatting sqref="I96">
    <cfRule type="dataBar" priority="17">
      <dataBar>
        <cfvo type="min"/>
        <cfvo type="max"/>
        <color rgb="FF008AEF"/>
      </dataBar>
    </cfRule>
  </conditionalFormatting>
  <conditionalFormatting sqref="J95:J99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N100">
    <cfRule type="cellIs" dxfId="13" priority="13" stopIfTrue="1" operator="lessThan">
      <formula>-0.01</formula>
    </cfRule>
    <cfRule type="cellIs" dxfId="12" priority="14" stopIfTrue="1" operator="greaterThan">
      <formula>0.01</formula>
    </cfRule>
  </conditionalFormatting>
  <conditionalFormatting sqref="N95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96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7:N9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99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95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99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1C2C5-F572-4147-AE61-DDDBBC69D13D}">
  <sheetPr codeName="Sheet17"/>
  <dimension ref="A1:BF689"/>
  <sheetViews>
    <sheetView tabSelected="1" zoomScale="75" zoomScaleNormal="100" workbookViewId="0">
      <selection activeCell="N46" sqref="N46"/>
    </sheetView>
  </sheetViews>
  <sheetFormatPr defaultColWidth="9" defaultRowHeight="12" x14ac:dyDescent="0.15"/>
  <cols>
    <col min="1" max="1" width="2.296875" style="24" bestFit="1" customWidth="1"/>
    <col min="2" max="2" width="9.796875" style="24" customWidth="1"/>
    <col min="3" max="3" width="9.5" style="12" bestFit="1" customWidth="1"/>
    <col min="4" max="4" width="2.69921875" style="12" bestFit="1" customWidth="1"/>
    <col min="5" max="5" width="9.19921875" style="34" customWidth="1"/>
    <col min="6" max="8" width="9.19921875" style="16" customWidth="1"/>
    <col min="9" max="9" width="10.19921875" style="16" customWidth="1"/>
    <col min="10" max="10" width="9.19921875" style="16" customWidth="1"/>
    <col min="11" max="11" width="12.5" style="16" customWidth="1"/>
    <col min="12" max="12" width="14.59765625" style="16" customWidth="1"/>
    <col min="13" max="13" width="8.69921875" style="16" customWidth="1"/>
    <col min="14" max="14" width="12.09765625" style="16" customWidth="1"/>
    <col min="15" max="15" width="3.69921875" style="35" customWidth="1"/>
    <col min="16" max="16" width="9.296875" style="16" customWidth="1"/>
    <col min="17" max="18" width="9.19921875" style="17" customWidth="1"/>
    <col min="19" max="19" width="4.19921875" style="24" customWidth="1"/>
    <col min="20" max="20" width="11" style="24" customWidth="1"/>
    <col min="21" max="23" width="9.19921875" style="24" customWidth="1"/>
    <col min="24" max="24" width="9.69921875" style="24" customWidth="1"/>
    <col min="25" max="25" width="9.796875" style="24" customWidth="1"/>
    <col min="26" max="26" width="8.69921875" style="24" customWidth="1"/>
    <col min="27" max="27" width="10.19921875" style="24" bestFit="1" customWidth="1"/>
    <col min="28" max="28" width="10.19921875" style="24" customWidth="1"/>
    <col min="29" max="29" width="12.59765625" style="24" customWidth="1"/>
    <col min="30" max="30" width="13.59765625" style="24" customWidth="1"/>
    <col min="31" max="31" width="9.69921875" style="24" customWidth="1"/>
    <col min="32" max="32" width="9.796875" style="24" customWidth="1"/>
    <col min="33" max="33" width="3.69921875" style="35" customWidth="1"/>
    <col min="34" max="34" width="7.19921875" style="24" customWidth="1"/>
    <col min="35" max="35" width="7.796875" style="24" customWidth="1"/>
    <col min="36" max="36" width="9.19921875" style="24" customWidth="1"/>
    <col min="37" max="37" width="3.69921875" style="24" customWidth="1"/>
    <col min="38" max="38" width="8.296875" style="24" bestFit="1" customWidth="1"/>
    <col min="39" max="39" width="10.69921875" style="24" customWidth="1"/>
    <col min="40" max="40" width="10.296875" style="24" customWidth="1"/>
    <col min="41" max="41" width="9.796875" style="24" customWidth="1"/>
    <col min="42" max="42" width="11.296875" style="24" customWidth="1"/>
    <col min="43" max="43" width="10.5" style="24" customWidth="1"/>
    <col min="44" max="44" width="7" style="24" bestFit="1" customWidth="1"/>
    <col min="45" max="45" width="7.5" style="24" bestFit="1" customWidth="1"/>
    <col min="46" max="46" width="8.19921875" style="24" customWidth="1"/>
    <col min="47" max="47" width="16.19921875" style="24" customWidth="1"/>
    <col min="48" max="49" width="8.5" style="24" bestFit="1" customWidth="1"/>
    <col min="50" max="52" width="7.296875" style="24" bestFit="1" customWidth="1"/>
    <col min="53" max="53" width="7.296875" style="24" customWidth="1"/>
    <col min="54" max="54" width="7.296875" style="24" bestFit="1" customWidth="1"/>
    <col min="55" max="55" width="2.296875" style="24" customWidth="1"/>
    <col min="56" max="69" width="9" style="24" customWidth="1"/>
    <col min="70" max="16384" width="9" style="24"/>
  </cols>
  <sheetData>
    <row r="1" spans="1:58" ht="12.6" thickBot="1" x14ac:dyDescent="0.2">
      <c r="A1" s="1" t="s">
        <v>62</v>
      </c>
      <c r="S1" s="1" t="s">
        <v>62</v>
      </c>
      <c r="AK1" s="1" t="s">
        <v>62</v>
      </c>
      <c r="AL1" s="1"/>
      <c r="AP1" s="1" t="s">
        <v>62</v>
      </c>
      <c r="AQ1" s="1"/>
      <c r="AU1" s="1" t="s">
        <v>62</v>
      </c>
    </row>
    <row r="2" spans="1:58" ht="13.5" customHeight="1" thickBot="1" x14ac:dyDescent="0.2">
      <c r="B2" s="239" t="s">
        <v>217</v>
      </c>
      <c r="C2" s="335" t="str">
        <f>CONCATENATE("Summary [ ",'Summary (auto)'!$C$3," ]")</f>
        <v>Summary [ anchor  (IDCC) ]</v>
      </c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7"/>
      <c r="S2" s="161"/>
      <c r="T2" s="239" t="str">
        <f>$B$2</f>
        <v>Cinema</v>
      </c>
      <c r="U2" s="338" t="str">
        <f>CONCATENATE("Summary [ ",'Summary (auto)'!$C$4," ]")</f>
        <v>Summary [ proposal ]</v>
      </c>
      <c r="V2" s="339"/>
      <c r="W2" s="339"/>
      <c r="X2" s="339"/>
      <c r="Y2" s="339"/>
      <c r="Z2" s="339"/>
      <c r="AA2" s="339"/>
      <c r="AB2" s="339"/>
      <c r="AC2" s="339"/>
      <c r="AD2" s="339"/>
      <c r="AE2" s="339"/>
      <c r="AF2" s="339"/>
      <c r="AG2" s="339"/>
      <c r="AH2" s="339"/>
      <c r="AI2" s="339"/>
      <c r="AJ2" s="340"/>
      <c r="AK2" s="169"/>
      <c r="AL2" s="264" t="str">
        <f>$B$2</f>
        <v>Cinema</v>
      </c>
      <c r="AM2" s="343" t="s">
        <v>63</v>
      </c>
      <c r="AN2" s="344"/>
      <c r="AO2" s="344"/>
      <c r="AP2" s="344"/>
      <c r="AQ2" s="345"/>
      <c r="AR2" s="68"/>
      <c r="AS2" s="69"/>
      <c r="AT2" s="68"/>
    </row>
    <row r="3" spans="1:58" ht="13.5" customHeight="1" x14ac:dyDescent="0.3">
      <c r="B3" s="255"/>
      <c r="C3" s="237"/>
      <c r="D3" s="167"/>
      <c r="E3" s="55" t="s">
        <v>44</v>
      </c>
      <c r="F3" s="56" t="s">
        <v>64</v>
      </c>
      <c r="G3" s="58" t="s">
        <v>65</v>
      </c>
      <c r="H3" s="58" t="s">
        <v>65</v>
      </c>
      <c r="I3" s="58" t="s">
        <v>65</v>
      </c>
      <c r="J3" s="58" t="s">
        <v>65</v>
      </c>
      <c r="K3" s="58"/>
      <c r="L3" s="58"/>
      <c r="M3" s="58"/>
      <c r="N3" s="58"/>
      <c r="O3" s="57"/>
      <c r="P3" s="333" t="s">
        <v>66</v>
      </c>
      <c r="Q3" s="333" t="s">
        <v>67</v>
      </c>
      <c r="R3" s="346" t="s">
        <v>68</v>
      </c>
      <c r="S3" s="161"/>
      <c r="T3" s="236"/>
      <c r="U3" s="237"/>
      <c r="V3" s="167"/>
      <c r="W3" s="55" t="s">
        <v>44</v>
      </c>
      <c r="X3" s="56" t="s">
        <v>64</v>
      </c>
      <c r="Y3" s="58" t="s">
        <v>65</v>
      </c>
      <c r="Z3" s="58" t="s">
        <v>65</v>
      </c>
      <c r="AA3" s="58" t="s">
        <v>65</v>
      </c>
      <c r="AB3" s="58" t="s">
        <v>65</v>
      </c>
      <c r="AC3" s="58"/>
      <c r="AD3" s="58"/>
      <c r="AE3" s="58"/>
      <c r="AF3" s="58"/>
      <c r="AG3" s="57"/>
      <c r="AH3" s="333" t="s">
        <v>66</v>
      </c>
      <c r="AI3" s="333" t="s">
        <v>67</v>
      </c>
      <c r="AJ3" s="346" t="s">
        <v>68</v>
      </c>
      <c r="AK3" s="169"/>
      <c r="AL3" s="236"/>
      <c r="AM3" s="265"/>
      <c r="AN3" s="265"/>
      <c r="AO3" s="265"/>
      <c r="AP3" s="265"/>
      <c r="AQ3" s="266"/>
      <c r="AR3" s="75"/>
      <c r="AS3" s="88"/>
      <c r="AT3" s="43" t="s">
        <v>69</v>
      </c>
      <c r="AV3" s="342"/>
      <c r="AW3" s="342"/>
      <c r="AX3" s="342"/>
      <c r="AY3" s="342"/>
      <c r="AZ3" s="342"/>
      <c r="BA3" s="342"/>
      <c r="BB3" s="342"/>
      <c r="BD3" s="341"/>
      <c r="BE3" s="341"/>
      <c r="BF3" s="341"/>
    </row>
    <row r="4" spans="1:58" ht="13.5" customHeight="1" thickBot="1" x14ac:dyDescent="0.2">
      <c r="B4" s="238"/>
      <c r="C4" s="169"/>
      <c r="D4" s="60"/>
      <c r="E4" s="61" t="s">
        <v>70</v>
      </c>
      <c r="F4" s="62" t="s">
        <v>71</v>
      </c>
      <c r="G4" s="63" t="s">
        <v>72</v>
      </c>
      <c r="H4" s="63" t="s">
        <v>73</v>
      </c>
      <c r="I4" s="63" t="s">
        <v>74</v>
      </c>
      <c r="J4" s="63" t="s">
        <v>75</v>
      </c>
      <c r="K4" s="63"/>
      <c r="L4" s="204"/>
      <c r="M4" s="204"/>
      <c r="N4" s="165"/>
      <c r="O4" s="63"/>
      <c r="P4" s="334"/>
      <c r="Q4" s="334"/>
      <c r="R4" s="347"/>
      <c r="S4" s="161"/>
      <c r="T4" s="238"/>
      <c r="U4" s="169"/>
      <c r="V4" s="60"/>
      <c r="W4" s="61" t="s">
        <v>70</v>
      </c>
      <c r="X4" s="62" t="s">
        <v>71</v>
      </c>
      <c r="Y4" s="63" t="s">
        <v>72</v>
      </c>
      <c r="Z4" s="63" t="s">
        <v>73</v>
      </c>
      <c r="AA4" s="63" t="s">
        <v>74</v>
      </c>
      <c r="AB4" s="63" t="s">
        <v>75</v>
      </c>
      <c r="AC4" s="63"/>
      <c r="AD4" s="63"/>
      <c r="AE4" s="63"/>
      <c r="AF4" s="165"/>
      <c r="AG4" s="63"/>
      <c r="AH4" s="334"/>
      <c r="AI4" s="334"/>
      <c r="AJ4" s="347"/>
      <c r="AK4" s="161"/>
      <c r="AL4" s="176"/>
      <c r="AM4" s="163" t="s">
        <v>71</v>
      </c>
      <c r="AN4" s="163" t="s">
        <v>72</v>
      </c>
      <c r="AO4" s="163" t="s">
        <v>73</v>
      </c>
      <c r="AP4" s="163" t="s">
        <v>74</v>
      </c>
      <c r="AQ4" s="267" t="s">
        <v>75</v>
      </c>
      <c r="AR4" s="163"/>
      <c r="AS4" s="163"/>
      <c r="AT4" s="163"/>
      <c r="AV4" s="41"/>
      <c r="AW4" s="41"/>
      <c r="AX4" s="41"/>
      <c r="AY4" s="41"/>
      <c r="AZ4" s="41"/>
      <c r="BA4" s="41"/>
      <c r="BB4" s="41"/>
      <c r="BD4" s="12"/>
      <c r="BE4" s="12"/>
      <c r="BF4" s="12"/>
    </row>
    <row r="5" spans="1:58" ht="13.5" customHeight="1" x14ac:dyDescent="0.15">
      <c r="B5" s="350"/>
      <c r="C5" s="50" t="s">
        <v>46</v>
      </c>
      <c r="D5" s="51"/>
      <c r="E5" s="216">
        <f>E23</f>
        <v>0</v>
      </c>
      <c r="F5" s="56" t="e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56" t="e">
        <f t="shared" ref="G5:J5" si="0"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#DIV/0!</v>
      </c>
      <c r="H5" s="56" t="e">
        <f t="shared" si="0"/>
        <v>#DIV/0!</v>
      </c>
      <c r="I5" s="163" t="e">
        <f t="shared" si="0"/>
        <v>#DIV/0!</v>
      </c>
      <c r="J5" s="163" t="e">
        <f t="shared" si="0"/>
        <v>#DIV/0!</v>
      </c>
      <c r="K5" s="93"/>
      <c r="L5" s="93"/>
      <c r="M5" s="93"/>
      <c r="N5" s="51"/>
      <c r="O5" s="95"/>
      <c r="P5" s="222">
        <f>P16</f>
        <v>0</v>
      </c>
      <c r="Q5" s="251">
        <f t="shared" ref="Q5:Q9" si="1">Q16</f>
        <v>0</v>
      </c>
      <c r="R5" s="227" t="e">
        <f>AVERAGE(R33,R38,R43,R48,R53,R58,R63,R68,R73,R78,R83)</f>
        <v>#DIV/0!</v>
      </c>
      <c r="S5" s="161"/>
      <c r="T5" s="350"/>
      <c r="U5" s="50" t="s">
        <v>46</v>
      </c>
      <c r="V5" s="51"/>
      <c r="W5" s="217">
        <f>W23</f>
        <v>0</v>
      </c>
      <c r="X5" s="56" t="e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56" t="e">
        <f t="shared" ref="Y5:AB5" si="2"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#DIV/0!</v>
      </c>
      <c r="Z5" s="56" t="e">
        <f t="shared" si="2"/>
        <v>#DIV/0!</v>
      </c>
      <c r="AA5" s="163" t="e">
        <f t="shared" si="2"/>
        <v>#DIV/0!</v>
      </c>
      <c r="AB5" s="163" t="e">
        <f t="shared" si="2"/>
        <v>#DIV/0!</v>
      </c>
      <c r="AC5" s="93"/>
      <c r="AD5" s="93"/>
      <c r="AE5" s="93"/>
      <c r="AF5" s="51"/>
      <c r="AG5" s="96"/>
      <c r="AH5" s="222">
        <f>AH16</f>
        <v>0</v>
      </c>
      <c r="AI5" s="251">
        <f t="shared" ref="AI5:AI9" si="3">AI16</f>
        <v>0</v>
      </c>
      <c r="AJ5" s="227" t="e">
        <f>AVERAGE(AJ33,AJ38,AJ43,AJ48,AJ53,AJ58,AJ63,AJ68,AJ73,AJ78,AJ83)</f>
        <v>#DIV/0!</v>
      </c>
      <c r="AK5" s="169"/>
      <c r="AL5" s="260"/>
      <c r="AM5" s="76" t="e" cm="1">
        <f t="array" ref="AM5">bdrate($E5:$E9,F5:F9,$W5:$W9,X5:X9)</f>
        <v>#VALUE!</v>
      </c>
      <c r="AN5" s="77" t="e" cm="1">
        <f t="array" ref="AN5">bdrate($E5:$E9,G5:G9,$W5:$W9,Y5:Y9)</f>
        <v>#VALUE!</v>
      </c>
      <c r="AO5" s="77" t="e" cm="1">
        <f t="array" ref="AO5">bdrate($E5:$E9,H5:H9,$W5:$W9,Z5:Z9)</f>
        <v>#VALUE!</v>
      </c>
      <c r="AP5" s="77" t="e">
        <f>bdrate($E5:$E9,I5:I9,$W5:$W9,AA5:AA9)</f>
        <v>#VALUE!</v>
      </c>
      <c r="AQ5" s="78" t="e">
        <f>bdrate($E5:$E9,J5:J9,$W5:$W9,AB5:AB9)</f>
        <v>#VALUE!</v>
      </c>
      <c r="AR5" s="79"/>
      <c r="AS5" s="89"/>
      <c r="AT5" s="43" t="s">
        <v>76</v>
      </c>
      <c r="AV5" s="42"/>
      <c r="AW5" s="42"/>
      <c r="AX5" s="42"/>
      <c r="AY5" s="42"/>
      <c r="AZ5" s="42"/>
      <c r="BA5" s="42"/>
      <c r="BB5" s="42"/>
      <c r="BF5" s="16"/>
    </row>
    <row r="6" spans="1:58" ht="13.5" customHeight="1" x14ac:dyDescent="0.15">
      <c r="B6" s="350"/>
      <c r="C6" s="52" t="s">
        <v>47</v>
      </c>
      <c r="D6" s="53"/>
      <c r="E6" s="256">
        <f t="shared" ref="E6:E9" si="4">E24</f>
        <v>0</v>
      </c>
      <c r="F6" s="163" t="e">
        <f t="shared" ref="F6:J6" si="5"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#DIV/0!</v>
      </c>
      <c r="G6" s="163" t="e">
        <f t="shared" si="5"/>
        <v>#DIV/0!</v>
      </c>
      <c r="H6" s="163" t="e">
        <f t="shared" si="5"/>
        <v>#DIV/0!</v>
      </c>
      <c r="I6" s="163" t="e">
        <f t="shared" si="5"/>
        <v>#DIV/0!</v>
      </c>
      <c r="J6" s="163" t="e">
        <f t="shared" si="5"/>
        <v>#DIV/0!</v>
      </c>
      <c r="K6" s="95"/>
      <c r="L6" s="95"/>
      <c r="M6" s="95"/>
      <c r="N6" s="53"/>
      <c r="O6" s="95"/>
      <c r="P6" s="222">
        <f t="shared" ref="P6" si="6">P17</f>
        <v>0</v>
      </c>
      <c r="Q6" s="222">
        <f t="shared" si="1"/>
        <v>0</v>
      </c>
      <c r="R6" s="227" t="e">
        <f>AVERAGE(R34,R39,R44,R49,R54,R59,R64,R69,R74,R79,R84)</f>
        <v>#DIV/0!</v>
      </c>
      <c r="S6" s="161"/>
      <c r="T6" s="350"/>
      <c r="U6" s="52" t="s">
        <v>47</v>
      </c>
      <c r="V6" s="53"/>
      <c r="W6" s="218">
        <f>W24</f>
        <v>0</v>
      </c>
      <c r="X6" s="163" t="e">
        <f t="shared" ref="X6:AB6" si="7"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#DIV/0!</v>
      </c>
      <c r="Y6" s="163" t="e">
        <f t="shared" si="7"/>
        <v>#DIV/0!</v>
      </c>
      <c r="Z6" s="163" t="e">
        <f t="shared" si="7"/>
        <v>#DIV/0!</v>
      </c>
      <c r="AA6" s="163" t="e">
        <f t="shared" si="7"/>
        <v>#DIV/0!</v>
      </c>
      <c r="AB6" s="163" t="e">
        <f t="shared" si="7"/>
        <v>#DIV/0!</v>
      </c>
      <c r="AC6" s="95"/>
      <c r="AD6" s="95"/>
      <c r="AE6" s="95"/>
      <c r="AF6" s="53"/>
      <c r="AG6" s="96"/>
      <c r="AH6" s="222">
        <f t="shared" ref="AH6:AH9" si="8">AH17</f>
        <v>0</v>
      </c>
      <c r="AI6" s="222">
        <f t="shared" si="3"/>
        <v>0</v>
      </c>
      <c r="AJ6" s="227" t="e">
        <f>AVERAGE(AJ34,AJ39,AJ44,AJ49,AJ54,AJ59,AJ64,AJ69,AJ74,AJ79,AJ84)</f>
        <v>#DIV/0!</v>
      </c>
      <c r="AK6" s="169"/>
      <c r="AL6" s="260"/>
      <c r="AM6" s="80"/>
      <c r="AN6" s="261"/>
      <c r="AO6" s="262"/>
      <c r="AP6" s="262"/>
      <c r="AQ6" s="81"/>
      <c r="AR6" s="79"/>
      <c r="AS6" s="79"/>
      <c r="AT6" s="67"/>
      <c r="AV6" s="42"/>
      <c r="AW6" s="42"/>
      <c r="AX6" s="13"/>
      <c r="AY6" s="42"/>
      <c r="AZ6" s="42"/>
      <c r="BA6" s="42"/>
      <c r="BB6" s="13"/>
      <c r="BF6" s="16"/>
    </row>
    <row r="7" spans="1:58" ht="12.75" customHeight="1" x14ac:dyDescent="0.15">
      <c r="B7" s="350"/>
      <c r="C7" s="52" t="s">
        <v>48</v>
      </c>
      <c r="D7" s="53"/>
      <c r="E7" s="256">
        <f t="shared" si="4"/>
        <v>0</v>
      </c>
      <c r="F7" s="163" t="e">
        <f t="shared" ref="F7:J7" si="9"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>#DIV/0!</v>
      </c>
      <c r="G7" s="163" t="e">
        <f t="shared" si="9"/>
        <v>#DIV/0!</v>
      </c>
      <c r="H7" s="163" t="e">
        <f t="shared" si="9"/>
        <v>#DIV/0!</v>
      </c>
      <c r="I7" s="163" t="e">
        <f t="shared" si="9"/>
        <v>#DIV/0!</v>
      </c>
      <c r="J7" s="163" t="e">
        <f t="shared" si="9"/>
        <v>#DIV/0!</v>
      </c>
      <c r="K7" s="95"/>
      <c r="L7" s="95"/>
      <c r="M7" s="95"/>
      <c r="N7" s="53"/>
      <c r="O7" s="95"/>
      <c r="P7" s="222">
        <f t="shared" ref="P7" si="10">P18</f>
        <v>0</v>
      </c>
      <c r="Q7" s="222">
        <f t="shared" si="1"/>
        <v>0</v>
      </c>
      <c r="R7" s="227" t="e">
        <f>AVERAGE(R35,R40,R45,R50,R55,R60,R65,R70,R75,R80,R85)</f>
        <v>#DIV/0!</v>
      </c>
      <c r="S7" s="161"/>
      <c r="T7" s="350"/>
      <c r="U7" s="52" t="s">
        <v>48</v>
      </c>
      <c r="V7" s="53"/>
      <c r="W7" s="218">
        <f>W25</f>
        <v>0</v>
      </c>
      <c r="X7" s="163" t="e">
        <f t="shared" ref="X7:AB7" si="11"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>#DIV/0!</v>
      </c>
      <c r="Y7" s="163" t="e">
        <f t="shared" si="11"/>
        <v>#DIV/0!</v>
      </c>
      <c r="Z7" s="163" t="e">
        <f t="shared" si="11"/>
        <v>#DIV/0!</v>
      </c>
      <c r="AA7" s="163" t="e">
        <f t="shared" si="11"/>
        <v>#DIV/0!</v>
      </c>
      <c r="AB7" s="163" t="e">
        <f t="shared" si="11"/>
        <v>#DIV/0!</v>
      </c>
      <c r="AC7" s="95"/>
      <c r="AD7" s="95"/>
      <c r="AE7" s="95"/>
      <c r="AF7" s="53"/>
      <c r="AG7" s="96"/>
      <c r="AH7" s="222">
        <f t="shared" si="8"/>
        <v>0</v>
      </c>
      <c r="AI7" s="222">
        <f t="shared" si="3"/>
        <v>0</v>
      </c>
      <c r="AJ7" s="227" t="e">
        <f>AVERAGE(AJ35,AJ40,AJ45,AJ50,AJ55,AJ60,AJ65,AJ70,AJ75,AJ80,AJ85)</f>
        <v>#DIV/0!</v>
      </c>
      <c r="AK7" s="169"/>
      <c r="AL7" s="260"/>
      <c r="AM7" s="80"/>
      <c r="AN7" s="261"/>
      <c r="AO7" s="262"/>
      <c r="AP7" s="262"/>
      <c r="AQ7" s="81"/>
      <c r="AR7" s="79"/>
      <c r="AS7" s="90"/>
      <c r="AT7" s="43" t="s">
        <v>77</v>
      </c>
      <c r="AV7" s="42"/>
      <c r="AW7" s="42"/>
      <c r="AX7" s="13"/>
      <c r="AY7" s="42"/>
      <c r="AZ7" s="42"/>
      <c r="BA7" s="42"/>
      <c r="BB7" s="13"/>
      <c r="BF7" s="16"/>
    </row>
    <row r="8" spans="1:58" ht="12.75" customHeight="1" x14ac:dyDescent="0.15">
      <c r="B8" s="350"/>
      <c r="C8" s="52" t="s">
        <v>50</v>
      </c>
      <c r="D8" s="53"/>
      <c r="E8" s="256">
        <f t="shared" si="4"/>
        <v>0</v>
      </c>
      <c r="F8" s="163" t="e">
        <f t="shared" ref="F8:J8" si="12"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>#DIV/0!</v>
      </c>
      <c r="G8" s="163" t="e">
        <f t="shared" si="12"/>
        <v>#DIV/0!</v>
      </c>
      <c r="H8" s="163" t="e">
        <f t="shared" si="12"/>
        <v>#DIV/0!</v>
      </c>
      <c r="I8" s="163" t="e">
        <f t="shared" si="12"/>
        <v>#DIV/0!</v>
      </c>
      <c r="J8" s="163" t="e">
        <f t="shared" si="12"/>
        <v>#DIV/0!</v>
      </c>
      <c r="K8" s="95"/>
      <c r="L8" s="95"/>
      <c r="M8" s="95"/>
      <c r="N8" s="53"/>
      <c r="O8" s="95"/>
      <c r="P8" s="222">
        <f t="shared" ref="P8" si="13">P19</f>
        <v>0</v>
      </c>
      <c r="Q8" s="222">
        <f t="shared" si="1"/>
        <v>0</v>
      </c>
      <c r="R8" s="227" t="e">
        <f>AVERAGE(R36,R41,R46,R51,R56,R61,R66,R71,R76,R81,R86)</f>
        <v>#DIV/0!</v>
      </c>
      <c r="S8" s="161"/>
      <c r="T8" s="350"/>
      <c r="U8" s="52" t="s">
        <v>50</v>
      </c>
      <c r="V8" s="53"/>
      <c r="W8" s="218">
        <f>W26</f>
        <v>0</v>
      </c>
      <c r="X8" s="163" t="e">
        <f t="shared" ref="X8:AB8" si="14"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>#DIV/0!</v>
      </c>
      <c r="Y8" s="163" t="e">
        <f t="shared" si="14"/>
        <v>#DIV/0!</v>
      </c>
      <c r="Z8" s="163" t="e">
        <f t="shared" si="14"/>
        <v>#DIV/0!</v>
      </c>
      <c r="AA8" s="163" t="e">
        <f t="shared" si="14"/>
        <v>#DIV/0!</v>
      </c>
      <c r="AB8" s="163" t="e">
        <f t="shared" si="14"/>
        <v>#DIV/0!</v>
      </c>
      <c r="AC8" s="95"/>
      <c r="AD8" s="95"/>
      <c r="AE8" s="95"/>
      <c r="AF8" s="53"/>
      <c r="AG8" s="96"/>
      <c r="AH8" s="222">
        <f t="shared" si="8"/>
        <v>0</v>
      </c>
      <c r="AI8" s="222">
        <f t="shared" si="3"/>
        <v>0</v>
      </c>
      <c r="AJ8" s="227" t="e">
        <f>AVERAGE(AJ36,AJ41,AJ46,AJ51,AJ56,AJ61,AJ66,AJ71,AJ76,AJ81,AJ86)</f>
        <v>#DIV/0!</v>
      </c>
      <c r="AK8" s="169"/>
      <c r="AL8" s="260"/>
      <c r="AM8" s="82"/>
      <c r="AN8" s="262"/>
      <c r="AO8" s="262"/>
      <c r="AP8" s="262"/>
      <c r="AQ8" s="81"/>
      <c r="AR8" s="67"/>
      <c r="AV8" s="13"/>
      <c r="AW8" s="13"/>
      <c r="AX8" s="13"/>
      <c r="AY8" s="13"/>
      <c r="AZ8" s="13"/>
      <c r="BA8" s="13"/>
      <c r="BB8" s="13"/>
      <c r="BF8" s="16"/>
    </row>
    <row r="9" spans="1:58" ht="12.75" customHeight="1" thickBot="1" x14ac:dyDescent="0.2">
      <c r="B9" s="351"/>
      <c r="C9" s="54" t="s">
        <v>51</v>
      </c>
      <c r="D9" s="66"/>
      <c r="E9" s="257">
        <f t="shared" si="4"/>
        <v>0</v>
      </c>
      <c r="F9" s="62" t="e">
        <f t="shared" ref="F9:J9" si="15">AVERAGE(F37,F42,F47,F52,F57,F62,F67,F72,F77,F82,F87,F92,F97,F102,F107,F112,F117,F122,F127,F132,F137,F142,F147,F152,F157,F162,F167,F172,F177,F182,F187,F192,F197,F202,F207,F212,F217,F222,F227,F232,F237,F242,F247,F252,F257,F262,F267,F272,F277,F282,F287,F292,F297,F302,F307,F312,F317,F322,F327,F332,F337,F342,F347,F352,F357,F362,F367,F372,F377,F382,F387,F392,F397,F402,F407,F412,F417,F422,F427,F432,F437,F442,F447,F452,F457,F462,F467,F472,F477,F482,F487,F492,F497,F502,F507,F512,F517,F522,F527,F532,F537,F542,F547,F552,F557,F562,F567,F572,F577,F582,F587,F592,F597,F602,F607,F612,F617,F622,F627,F632,F637)</f>
        <v>#DIV/0!</v>
      </c>
      <c r="G9" s="62" t="e">
        <f t="shared" si="15"/>
        <v>#DIV/0!</v>
      </c>
      <c r="H9" s="62" t="e">
        <f t="shared" si="15"/>
        <v>#DIV/0!</v>
      </c>
      <c r="I9" s="62" t="e">
        <f t="shared" si="15"/>
        <v>#DIV/0!</v>
      </c>
      <c r="J9" s="62" t="e">
        <f t="shared" si="15"/>
        <v>#DIV/0!</v>
      </c>
      <c r="K9" s="98"/>
      <c r="L9" s="98"/>
      <c r="M9" s="98"/>
      <c r="N9" s="66"/>
      <c r="O9" s="98"/>
      <c r="P9" s="223">
        <f t="shared" ref="P9" si="16">P20</f>
        <v>0</v>
      </c>
      <c r="Q9" s="223">
        <f t="shared" si="1"/>
        <v>0</v>
      </c>
      <c r="R9" s="258" t="e">
        <f>AVERAGE(R37,R42,R47,R52,R57,R62,R67,R72,R77,R82,R87)</f>
        <v>#DIV/0!</v>
      </c>
      <c r="S9" s="161"/>
      <c r="T9" s="350"/>
      <c r="U9" s="52" t="s">
        <v>51</v>
      </c>
      <c r="V9" s="53"/>
      <c r="W9" s="218">
        <f>W27</f>
        <v>0</v>
      </c>
      <c r="X9" s="62" t="e">
        <f t="shared" ref="X9:AB9" si="17">AVERAGE(X37,X42,X47,X52,X57,X62,X67,X72,X77,X82,X87,X92,X97,X102,X107,X112,X117,X122,X127,X132,X137,X142,X147,X152,X157,X162,X167,X172,X177,X182,X187,X192,X197,X202,X207,X212,X217,X222,X227,X232,X237,X242,X247,X252,X257,X262,X267,X272,X277,X282,X287,X292,X297,X302,X307,X312,X317,X322,X327,X332,X337,X342,X347,X352,X357,X362,X367,X372,X377,X382,X387,X392,X397,X402,X407,X412,X417,X422,X427,X432,X437,X442,X447,X452,X457,X462,X467,X472,X477,X482,X487,X492,X497,X502,X507,X512,X517,X522,X527,X532,X537,X542,X547,X552,X557,X562,X567,X572,X577,X582,X587,X592,X597,X602,X607,X612,X617,X622,X627,X632,X637)</f>
        <v>#DIV/0!</v>
      </c>
      <c r="Y9" s="62" t="e">
        <f t="shared" si="17"/>
        <v>#DIV/0!</v>
      </c>
      <c r="Z9" s="62" t="e">
        <f t="shared" si="17"/>
        <v>#DIV/0!</v>
      </c>
      <c r="AA9" s="62" t="e">
        <f t="shared" si="17"/>
        <v>#DIV/0!</v>
      </c>
      <c r="AB9" s="62" t="e">
        <f t="shared" si="17"/>
        <v>#DIV/0!</v>
      </c>
      <c r="AC9" s="95"/>
      <c r="AD9" s="95"/>
      <c r="AE9" s="95"/>
      <c r="AF9" s="53"/>
      <c r="AG9" s="96"/>
      <c r="AH9" s="223">
        <f t="shared" si="8"/>
        <v>0</v>
      </c>
      <c r="AI9" s="223">
        <f t="shared" si="3"/>
        <v>0</v>
      </c>
      <c r="AJ9" s="258" t="e">
        <f>AVERAGE(AJ37,AJ42,AJ47,AJ52,AJ57,AJ62,AJ67,AJ72,AJ77,AJ82,AJ87)</f>
        <v>#DIV/0!</v>
      </c>
      <c r="AK9" s="169"/>
      <c r="AL9" s="260"/>
      <c r="AM9" s="83"/>
      <c r="AN9" s="250"/>
      <c r="AO9" s="250"/>
      <c r="AP9" s="250"/>
      <c r="AQ9" s="84"/>
      <c r="AR9" s="169"/>
      <c r="AS9" s="169"/>
      <c r="AT9" s="169"/>
      <c r="BF9" s="16"/>
    </row>
    <row r="10" spans="1:58" ht="13.5" customHeight="1" thickBot="1" x14ac:dyDescent="0.2">
      <c r="B10" s="253" t="s">
        <v>78</v>
      </c>
      <c r="C10" s="231"/>
      <c r="D10" s="231"/>
      <c r="E10" s="232"/>
      <c r="F10" s="233"/>
      <c r="G10" s="233"/>
      <c r="H10" s="233"/>
      <c r="I10" s="233"/>
      <c r="J10" s="233"/>
      <c r="K10" s="233"/>
      <c r="L10" s="231"/>
      <c r="M10" s="234"/>
      <c r="N10" s="234"/>
      <c r="O10" s="235"/>
      <c r="P10" s="254" t="e">
        <f>GEOMEAN(P5:P9)</f>
        <v>#NUM!</v>
      </c>
      <c r="Q10" s="254" t="e">
        <f>GEOMEAN(Q5:Q9)</f>
        <v>#NUM!</v>
      </c>
      <c r="R10" s="228" t="e">
        <f>AVERAGE(R5:R9)</f>
        <v>#DIV/0!</v>
      </c>
      <c r="S10" s="161"/>
      <c r="T10" s="253" t="s">
        <v>78</v>
      </c>
      <c r="U10" s="231"/>
      <c r="V10" s="231"/>
      <c r="W10" s="232"/>
      <c r="X10" s="233"/>
      <c r="Y10" s="233"/>
      <c r="Z10" s="233"/>
      <c r="AA10" s="233"/>
      <c r="AB10" s="233"/>
      <c r="AC10" s="233"/>
      <c r="AD10" s="231"/>
      <c r="AE10" s="234"/>
      <c r="AF10" s="234"/>
      <c r="AG10" s="235"/>
      <c r="AH10" s="254" t="e">
        <f>GEOMEAN(AH5:AH9)</f>
        <v>#NUM!</v>
      </c>
      <c r="AI10" s="254" t="e">
        <f>GEOMEAN(AI5:AI9)</f>
        <v>#NUM!</v>
      </c>
      <c r="AJ10" s="228" t="e">
        <f>AVERAGE(AJ5:AJ9)</f>
        <v>#DIV/0!</v>
      </c>
      <c r="AK10" s="169"/>
      <c r="AL10" s="263"/>
      <c r="AM10" s="85"/>
      <c r="AN10" s="86"/>
      <c r="AO10" s="86"/>
      <c r="AP10" s="86"/>
      <c r="AQ10" s="87"/>
      <c r="AR10" s="169"/>
      <c r="AS10" s="169"/>
      <c r="AT10" s="169"/>
      <c r="BF10" s="16"/>
    </row>
    <row r="11" spans="1:58" ht="13.5" customHeight="1" x14ac:dyDescent="0.15">
      <c r="B11" s="161"/>
      <c r="C11" s="161"/>
      <c r="D11" s="161"/>
      <c r="E11" s="162"/>
      <c r="F11" s="163"/>
      <c r="G11" s="163"/>
      <c r="H11" s="163"/>
      <c r="I11" s="163"/>
      <c r="J11" s="163"/>
      <c r="K11" s="163"/>
      <c r="L11" s="161"/>
      <c r="M11" s="165"/>
      <c r="N11" s="165"/>
      <c r="O11" s="164"/>
      <c r="P11" s="163"/>
      <c r="Q11" s="163"/>
      <c r="R11" s="222"/>
      <c r="S11" s="161"/>
      <c r="T11" s="161"/>
      <c r="U11" s="161"/>
      <c r="V11" s="161"/>
      <c r="W11" s="162"/>
      <c r="X11" s="163"/>
      <c r="Y11" s="163"/>
      <c r="Z11" s="163"/>
      <c r="AA11" s="163"/>
      <c r="AB11" s="163"/>
      <c r="AC11" s="163"/>
      <c r="AD11" s="161"/>
      <c r="AE11" s="165"/>
      <c r="AF11" s="165"/>
      <c r="AG11" s="164"/>
      <c r="AH11" s="163"/>
      <c r="AI11" s="163"/>
      <c r="AJ11" s="222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BF11" s="16"/>
    </row>
    <row r="12" spans="1:58" ht="13.5" customHeight="1" thickBot="1" x14ac:dyDescent="0.2">
      <c r="B12" s="161"/>
      <c r="C12" s="161"/>
      <c r="D12" s="161"/>
      <c r="E12" s="162"/>
      <c r="F12" s="163"/>
      <c r="G12" s="163"/>
      <c r="H12" s="163"/>
      <c r="I12" s="163"/>
      <c r="J12" s="163"/>
      <c r="K12" s="163"/>
      <c r="L12" s="161"/>
      <c r="M12" s="165"/>
      <c r="N12" s="165"/>
      <c r="O12" s="164"/>
      <c r="P12" s="163"/>
      <c r="Q12" s="163"/>
      <c r="R12" s="222"/>
      <c r="S12" s="161"/>
      <c r="T12" s="161"/>
      <c r="U12" s="161"/>
      <c r="V12" s="161"/>
      <c r="W12" s="162"/>
      <c r="X12" s="163"/>
      <c r="Y12" s="163"/>
      <c r="Z12" s="163"/>
      <c r="AA12" s="163"/>
      <c r="AB12" s="163"/>
      <c r="AC12" s="163"/>
      <c r="AD12" s="161"/>
      <c r="AE12" s="165"/>
      <c r="AF12" s="165"/>
      <c r="AG12" s="164"/>
      <c r="AH12" s="163"/>
      <c r="AI12" s="163"/>
      <c r="AJ12" s="222"/>
      <c r="AK12" s="169"/>
      <c r="AL12" s="169"/>
      <c r="AM12" s="169"/>
      <c r="AN12" s="169"/>
      <c r="AO12" s="169"/>
      <c r="AP12" s="169"/>
      <c r="AQ12" s="169"/>
      <c r="AR12" s="169"/>
      <c r="AS12" s="169"/>
      <c r="AT12" s="169"/>
      <c r="BF12" s="16"/>
    </row>
    <row r="13" spans="1:58" ht="16.2" thickBot="1" x14ac:dyDescent="0.2">
      <c r="B13" s="249"/>
      <c r="C13" s="338" t="str">
        <f>CONCATENATE("Encoding/Decoding [ ",'Summary (auto)'!$C$3," ]")</f>
        <v>Encoding/Decoding [ anchor  (IDCC) ]</v>
      </c>
      <c r="D13" s="339"/>
      <c r="E13" s="339"/>
      <c r="F13" s="339"/>
      <c r="G13" s="339"/>
      <c r="H13" s="339"/>
      <c r="I13" s="339"/>
      <c r="J13" s="339"/>
      <c r="K13" s="339"/>
      <c r="L13" s="339"/>
      <c r="M13" s="339"/>
      <c r="N13" s="339"/>
      <c r="O13" s="339"/>
      <c r="P13" s="339"/>
      <c r="Q13" s="339"/>
      <c r="R13" s="340"/>
      <c r="T13" s="45"/>
      <c r="U13" s="338" t="str">
        <f>CONCATENATE("Encoding [ ",'Summary (auto)'!$C$4," ]")</f>
        <v>Encoding [ proposal ]</v>
      </c>
      <c r="V13" s="339"/>
      <c r="W13" s="339"/>
      <c r="X13" s="339"/>
      <c r="Y13" s="339"/>
      <c r="Z13" s="339"/>
      <c r="AA13" s="339"/>
      <c r="AB13" s="339"/>
      <c r="AC13" s="339"/>
      <c r="AD13" s="339"/>
      <c r="AE13" s="339"/>
      <c r="AF13" s="339"/>
      <c r="AG13" s="339"/>
      <c r="AH13" s="339"/>
      <c r="AI13" s="339"/>
      <c r="AJ13" s="340"/>
    </row>
    <row r="14" spans="1:58" ht="15.6" x14ac:dyDescent="0.25">
      <c r="B14" s="255"/>
      <c r="C14" s="179"/>
      <c r="D14" s="179"/>
      <c r="E14" s="275" t="s">
        <v>79</v>
      </c>
      <c r="F14" s="229" t="s">
        <v>80</v>
      </c>
      <c r="G14" s="229" t="s">
        <v>81</v>
      </c>
      <c r="H14" s="229" t="s">
        <v>82</v>
      </c>
      <c r="I14" s="229" t="s">
        <v>83</v>
      </c>
      <c r="J14" s="229" t="s">
        <v>84</v>
      </c>
      <c r="K14" s="229" t="s">
        <v>85</v>
      </c>
      <c r="L14" s="229" t="s">
        <v>86</v>
      </c>
      <c r="M14" s="181" t="s">
        <v>87</v>
      </c>
      <c r="N14" s="181"/>
      <c r="O14" s="182"/>
      <c r="P14" s="181"/>
      <c r="Q14" s="183"/>
      <c r="R14" s="184"/>
      <c r="S14" s="169"/>
      <c r="T14" s="255"/>
      <c r="U14" s="179"/>
      <c r="V14" s="179"/>
      <c r="W14" s="275" t="s">
        <v>79</v>
      </c>
      <c r="X14" s="229" t="s">
        <v>80</v>
      </c>
      <c r="Y14" s="229" t="s">
        <v>81</v>
      </c>
      <c r="Z14" s="229" t="s">
        <v>81</v>
      </c>
      <c r="AA14" s="229" t="s">
        <v>81</v>
      </c>
      <c r="AB14" s="229" t="s">
        <v>84</v>
      </c>
      <c r="AC14" s="229" t="s">
        <v>85</v>
      </c>
      <c r="AD14" s="229" t="s">
        <v>86</v>
      </c>
      <c r="AE14" s="181" t="s">
        <v>87</v>
      </c>
      <c r="AF14" s="181"/>
      <c r="AG14" s="182"/>
      <c r="AH14" s="181"/>
      <c r="AI14" s="183"/>
      <c r="AJ14" s="184"/>
      <c r="AK14" s="169"/>
      <c r="AL14" s="169"/>
      <c r="AM14" s="359"/>
      <c r="AN14" s="360"/>
      <c r="AO14" s="360"/>
      <c r="AP14" s="360"/>
      <c r="AQ14" s="360"/>
      <c r="AR14" s="360"/>
      <c r="AS14" s="360"/>
      <c r="AT14" s="360"/>
      <c r="AV14" s="341"/>
      <c r="AW14" s="308"/>
      <c r="AX14" s="308"/>
      <c r="BB14" s="154"/>
      <c r="BC14" s="154"/>
    </row>
    <row r="15" spans="1:58" s="12" customFormat="1" ht="16.2" thickBot="1" x14ac:dyDescent="0.3">
      <c r="B15" s="248"/>
      <c r="C15" s="60"/>
      <c r="D15" s="60"/>
      <c r="E15" s="61" t="s">
        <v>70</v>
      </c>
      <c r="F15" s="61" t="s">
        <v>70</v>
      </c>
      <c r="G15" s="61" t="s">
        <v>70</v>
      </c>
      <c r="H15" s="61" t="s">
        <v>70</v>
      </c>
      <c r="I15" s="61" t="s">
        <v>70</v>
      </c>
      <c r="J15" s="61" t="s">
        <v>70</v>
      </c>
      <c r="K15" s="61" t="s">
        <v>70</v>
      </c>
      <c r="L15" s="61" t="s">
        <v>70</v>
      </c>
      <c r="M15" s="61" t="s">
        <v>70</v>
      </c>
      <c r="N15" s="62"/>
      <c r="O15" s="63"/>
      <c r="P15" s="64" t="s">
        <v>66</v>
      </c>
      <c r="Q15" s="64" t="s">
        <v>67</v>
      </c>
      <c r="R15" s="65"/>
      <c r="S15" s="161"/>
      <c r="T15" s="248"/>
      <c r="U15" s="60"/>
      <c r="V15" s="60"/>
      <c r="W15" s="61" t="s">
        <v>70</v>
      </c>
      <c r="X15" s="61" t="s">
        <v>70</v>
      </c>
      <c r="Y15" s="61" t="s">
        <v>70</v>
      </c>
      <c r="Z15" s="61" t="s">
        <v>70</v>
      </c>
      <c r="AA15" s="61" t="s">
        <v>70</v>
      </c>
      <c r="AB15" s="61" t="s">
        <v>70</v>
      </c>
      <c r="AC15" s="61" t="s">
        <v>70</v>
      </c>
      <c r="AD15" s="61" t="s">
        <v>70</v>
      </c>
      <c r="AE15" s="61" t="s">
        <v>70</v>
      </c>
      <c r="AF15" s="62"/>
      <c r="AG15" s="63"/>
      <c r="AH15" s="64" t="s">
        <v>66</v>
      </c>
      <c r="AI15" s="64" t="s">
        <v>67</v>
      </c>
      <c r="AJ15" s="65"/>
      <c r="AK15" s="161"/>
      <c r="AL15" s="161"/>
      <c r="AM15" s="163"/>
      <c r="AN15" s="163"/>
      <c r="AO15" s="163"/>
      <c r="AP15" s="161"/>
      <c r="AQ15" s="161"/>
      <c r="AR15" s="161"/>
      <c r="AS15" s="161"/>
      <c r="AT15" s="161"/>
      <c r="AZ15" s="24"/>
      <c r="BA15" s="24"/>
      <c r="BB15" s="154"/>
      <c r="BC15" s="154"/>
    </row>
    <row r="16" spans="1:58" ht="12.75" customHeight="1" x14ac:dyDescent="0.25">
      <c r="B16" s="354"/>
      <c r="C16" s="50" t="s">
        <v>46</v>
      </c>
      <c r="D16" s="51"/>
      <c r="E16" s="219"/>
      <c r="F16" s="270"/>
      <c r="G16" s="270"/>
      <c r="H16" s="270"/>
      <c r="I16" s="270"/>
      <c r="J16" s="270"/>
      <c r="K16" s="101"/>
      <c r="L16" s="101"/>
      <c r="M16" s="101"/>
      <c r="N16" s="93"/>
      <c r="O16" s="94"/>
      <c r="P16" s="221"/>
      <c r="Q16" s="221"/>
      <c r="R16" s="240"/>
      <c r="S16" s="161"/>
      <c r="T16" s="354"/>
      <c r="U16" s="50" t="s">
        <v>46</v>
      </c>
      <c r="V16" s="51"/>
      <c r="W16" s="219"/>
      <c r="X16" s="270"/>
      <c r="Y16" s="270"/>
      <c r="Z16" s="270"/>
      <c r="AA16" s="270"/>
      <c r="AB16" s="270"/>
      <c r="AC16" s="101"/>
      <c r="AD16" s="101"/>
      <c r="AE16" s="101"/>
      <c r="AF16" s="93"/>
      <c r="AG16" s="94"/>
      <c r="AH16" s="221"/>
      <c r="AI16" s="221"/>
      <c r="AJ16" s="240"/>
      <c r="AK16" s="169"/>
      <c r="AL16" s="169"/>
      <c r="AP16" s="44"/>
      <c r="AQ16" s="44"/>
      <c r="AR16" s="169"/>
      <c r="AS16" s="169"/>
      <c r="AT16" s="169"/>
      <c r="AX16" s="16"/>
      <c r="AZ16" s="154"/>
      <c r="BA16" s="92"/>
      <c r="BB16" s="154"/>
      <c r="BC16" s="154"/>
      <c r="BD16" s="13"/>
    </row>
    <row r="17" spans="2:56" ht="12.75" customHeight="1" x14ac:dyDescent="0.25">
      <c r="B17" s="327"/>
      <c r="C17" s="52" t="s">
        <v>47</v>
      </c>
      <c r="D17" s="53"/>
      <c r="E17" s="241"/>
      <c r="F17" s="271"/>
      <c r="G17" s="271"/>
      <c r="H17" s="271"/>
      <c r="I17" s="271"/>
      <c r="J17" s="271"/>
      <c r="K17" s="103"/>
      <c r="L17" s="103"/>
      <c r="M17" s="103"/>
      <c r="N17" s="95"/>
      <c r="O17" s="96"/>
      <c r="P17" s="242"/>
      <c r="Q17" s="242"/>
      <c r="R17" s="243"/>
      <c r="S17" s="161"/>
      <c r="T17" s="327"/>
      <c r="U17" s="52" t="s">
        <v>47</v>
      </c>
      <c r="V17" s="53"/>
      <c r="W17" s="241"/>
      <c r="X17" s="271"/>
      <c r="Y17" s="271"/>
      <c r="Z17" s="271"/>
      <c r="AA17" s="271"/>
      <c r="AB17" s="271"/>
      <c r="AC17" s="103"/>
      <c r="AD17" s="103"/>
      <c r="AE17" s="103"/>
      <c r="AF17" s="95"/>
      <c r="AG17" s="96"/>
      <c r="AH17" s="242"/>
      <c r="AI17" s="242"/>
      <c r="AJ17" s="243"/>
      <c r="AK17" s="169"/>
      <c r="AL17" s="169"/>
      <c r="AN17" s="44"/>
      <c r="AO17" s="44"/>
      <c r="AP17" s="44"/>
      <c r="AQ17" s="44"/>
      <c r="AR17" s="169"/>
      <c r="AS17" s="169"/>
      <c r="AT17" s="169"/>
      <c r="AX17" s="16"/>
      <c r="AZ17" s="154"/>
      <c r="BA17" s="154"/>
      <c r="BB17" s="154"/>
      <c r="BC17" s="154"/>
      <c r="BD17" s="13"/>
    </row>
    <row r="18" spans="2:56" ht="12.75" customHeight="1" x14ac:dyDescent="0.25">
      <c r="B18" s="327"/>
      <c r="C18" s="52" t="s">
        <v>48</v>
      </c>
      <c r="D18" s="53"/>
      <c r="E18" s="241"/>
      <c r="F18" s="271"/>
      <c r="G18" s="271"/>
      <c r="H18" s="271"/>
      <c r="I18" s="271"/>
      <c r="J18" s="271"/>
      <c r="K18" s="103"/>
      <c r="L18" s="103"/>
      <c r="M18" s="103"/>
      <c r="N18" s="95"/>
      <c r="O18" s="96"/>
      <c r="P18" s="242"/>
      <c r="Q18" s="242"/>
      <c r="R18" s="243"/>
      <c r="S18" s="161"/>
      <c r="T18" s="327"/>
      <c r="U18" s="52" t="s">
        <v>48</v>
      </c>
      <c r="V18" s="53"/>
      <c r="W18" s="241"/>
      <c r="X18" s="271"/>
      <c r="Y18" s="271"/>
      <c r="Z18" s="271"/>
      <c r="AA18" s="271"/>
      <c r="AB18" s="271"/>
      <c r="AC18" s="103"/>
      <c r="AD18" s="103"/>
      <c r="AE18" s="103"/>
      <c r="AF18" s="95"/>
      <c r="AG18" s="96"/>
      <c r="AH18" s="242"/>
      <c r="AI18" s="242"/>
      <c r="AJ18" s="243"/>
      <c r="AK18" s="169"/>
      <c r="AL18" s="169"/>
      <c r="AP18" s="44"/>
      <c r="AQ18" s="44"/>
      <c r="AR18" s="169"/>
      <c r="AS18" s="169"/>
      <c r="AT18" s="169"/>
      <c r="AX18" s="16"/>
      <c r="AZ18" s="154"/>
      <c r="BA18" s="91"/>
      <c r="BB18" s="154"/>
      <c r="BC18" s="154"/>
      <c r="BD18" s="13"/>
    </row>
    <row r="19" spans="2:56" ht="12.75" customHeight="1" x14ac:dyDescent="0.25">
      <c r="B19" s="327"/>
      <c r="C19" s="52" t="s">
        <v>50</v>
      </c>
      <c r="D19" s="53"/>
      <c r="E19" s="241"/>
      <c r="F19" s="271"/>
      <c r="G19" s="271"/>
      <c r="H19" s="271"/>
      <c r="I19" s="271"/>
      <c r="J19" s="271"/>
      <c r="K19" s="103"/>
      <c r="L19" s="103"/>
      <c r="M19" s="103"/>
      <c r="N19" s="95"/>
      <c r="O19" s="96"/>
      <c r="P19" s="242"/>
      <c r="Q19" s="242"/>
      <c r="R19" s="243"/>
      <c r="S19" s="161"/>
      <c r="T19" s="327"/>
      <c r="U19" s="52" t="s">
        <v>50</v>
      </c>
      <c r="V19" s="53"/>
      <c r="W19" s="241"/>
      <c r="X19" s="271"/>
      <c r="Y19" s="271"/>
      <c r="Z19" s="271"/>
      <c r="AA19" s="271"/>
      <c r="AB19" s="271"/>
      <c r="AC19" s="103"/>
      <c r="AD19" s="103"/>
      <c r="AE19" s="103"/>
      <c r="AF19" s="95"/>
      <c r="AG19" s="96"/>
      <c r="AH19" s="242"/>
      <c r="AI19" s="242"/>
      <c r="AJ19" s="243"/>
      <c r="AK19" s="169"/>
      <c r="AL19" s="169"/>
      <c r="AN19" s="44"/>
      <c r="AO19" s="43"/>
      <c r="AP19" s="44"/>
      <c r="AQ19" s="44"/>
      <c r="AR19" s="169"/>
      <c r="AS19" s="169"/>
      <c r="AT19" s="169"/>
      <c r="AX19" s="16"/>
      <c r="AZ19" s="154"/>
      <c r="BA19" s="91"/>
      <c r="BB19" s="154"/>
      <c r="BC19" s="154"/>
      <c r="BD19" s="13"/>
    </row>
    <row r="20" spans="2:56" ht="12.75" customHeight="1" thickBot="1" x14ac:dyDescent="0.3">
      <c r="B20" s="327"/>
      <c r="C20" s="54" t="s">
        <v>51</v>
      </c>
      <c r="D20" s="66"/>
      <c r="E20" s="244"/>
      <c r="F20" s="272"/>
      <c r="G20" s="272"/>
      <c r="H20" s="272"/>
      <c r="I20" s="272"/>
      <c r="J20" s="272"/>
      <c r="K20" s="105"/>
      <c r="L20" s="105"/>
      <c r="M20" s="105"/>
      <c r="N20" s="98"/>
      <c r="O20" s="99"/>
      <c r="P20" s="245"/>
      <c r="Q20" s="245"/>
      <c r="R20" s="246"/>
      <c r="S20" s="161"/>
      <c r="T20" s="327"/>
      <c r="U20" s="54" t="s">
        <v>51</v>
      </c>
      <c r="V20" s="66"/>
      <c r="W20" s="244"/>
      <c r="X20" s="272"/>
      <c r="Y20" s="272"/>
      <c r="Z20" s="272"/>
      <c r="AA20" s="272"/>
      <c r="AB20" s="272"/>
      <c r="AC20" s="105"/>
      <c r="AD20" s="105"/>
      <c r="AE20" s="105"/>
      <c r="AF20" s="98"/>
      <c r="AG20" s="99"/>
      <c r="AH20" s="245"/>
      <c r="AI20" s="245"/>
      <c r="AJ20" s="246"/>
      <c r="AK20" s="169"/>
      <c r="AL20" s="169"/>
      <c r="AN20" s="44"/>
      <c r="AO20" s="44"/>
      <c r="AP20" s="44"/>
      <c r="AQ20" s="44"/>
      <c r="AR20" s="169"/>
      <c r="AS20" s="169"/>
      <c r="AT20" s="169"/>
      <c r="AX20" s="16"/>
      <c r="AZ20" s="154"/>
      <c r="BA20" s="154"/>
      <c r="BD20" s="13"/>
    </row>
    <row r="21" spans="2:56" ht="13.5" customHeight="1" x14ac:dyDescent="0.15">
      <c r="B21" s="361"/>
      <c r="C21" s="167"/>
      <c r="D21" s="167"/>
      <c r="E21" s="55" t="s">
        <v>44</v>
      </c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6"/>
      <c r="Q21" s="58"/>
      <c r="R21" s="59"/>
      <c r="S21" s="161"/>
      <c r="T21" s="361"/>
      <c r="U21" s="167"/>
      <c r="V21" s="167"/>
      <c r="W21" s="209" t="s">
        <v>44</v>
      </c>
      <c r="X21" s="56"/>
      <c r="Y21" s="56"/>
      <c r="Z21" s="56"/>
      <c r="AA21" s="56"/>
      <c r="AB21" s="56"/>
      <c r="AC21" s="56"/>
      <c r="AD21" s="56"/>
      <c r="AE21" s="56"/>
      <c r="AF21" s="56"/>
      <c r="AG21" s="57"/>
      <c r="AH21" s="56"/>
      <c r="AI21" s="58"/>
      <c r="AJ21" s="59"/>
      <c r="AK21" s="169"/>
      <c r="AL21" s="169"/>
      <c r="AP21" s="44"/>
      <c r="AQ21" s="44"/>
      <c r="AR21" s="168"/>
      <c r="AS21" s="168"/>
      <c r="AT21" s="168"/>
      <c r="AV21" s="341"/>
      <c r="AW21" s="341"/>
      <c r="AX21" s="341"/>
    </row>
    <row r="22" spans="2:56" s="12" customFormat="1" ht="13.5" customHeight="1" thickBot="1" x14ac:dyDescent="0.3">
      <c r="B22" s="362"/>
      <c r="C22" s="60"/>
      <c r="D22" s="60"/>
      <c r="E22" s="61" t="s">
        <v>70</v>
      </c>
      <c r="F22" s="62"/>
      <c r="G22" s="62"/>
      <c r="H22" s="62"/>
      <c r="I22" s="62"/>
      <c r="J22" s="62"/>
      <c r="K22" s="62"/>
      <c r="L22" s="62"/>
      <c r="M22" s="62"/>
      <c r="N22" s="62"/>
      <c r="O22" s="63"/>
      <c r="P22" s="62"/>
      <c r="Q22" s="64"/>
      <c r="R22" s="65"/>
      <c r="S22" s="161"/>
      <c r="T22" s="362"/>
      <c r="U22" s="60"/>
      <c r="V22" s="60"/>
      <c r="W22" s="208" t="s">
        <v>70</v>
      </c>
      <c r="X22" s="62"/>
      <c r="Y22" s="62"/>
      <c r="Z22" s="62"/>
      <c r="AA22" s="62"/>
      <c r="AB22" s="62"/>
      <c r="AC22" s="62"/>
      <c r="AD22" s="62"/>
      <c r="AE22" s="62"/>
      <c r="AF22" s="62"/>
      <c r="AG22" s="63"/>
      <c r="AH22" s="62"/>
      <c r="AI22" s="64"/>
      <c r="AJ22" s="65"/>
      <c r="AK22" s="161"/>
      <c r="AL22" s="161"/>
      <c r="AM22" s="163"/>
      <c r="AN22" s="163"/>
      <c r="AO22" s="163"/>
      <c r="AP22" s="161"/>
      <c r="AQ22" s="161"/>
      <c r="AR22" s="161"/>
      <c r="AS22" s="161"/>
      <c r="AT22" s="161"/>
      <c r="AZ22" s="154"/>
      <c r="BA22" s="92"/>
    </row>
    <row r="23" spans="2:56" ht="13.5" customHeight="1" x14ac:dyDescent="0.15">
      <c r="B23" s="350"/>
      <c r="C23" s="50" t="s">
        <v>46</v>
      </c>
      <c r="D23" s="51"/>
      <c r="E23" s="218">
        <f>SUM(E16:L16)</f>
        <v>0</v>
      </c>
      <c r="F23" s="95"/>
      <c r="G23" s="95"/>
      <c r="H23" s="95"/>
      <c r="I23" s="95"/>
      <c r="J23" s="95"/>
      <c r="K23" s="95"/>
      <c r="L23" s="95"/>
      <c r="M23" s="95"/>
      <c r="N23" s="95"/>
      <c r="O23" s="96"/>
      <c r="P23" s="95"/>
      <c r="Q23" s="273"/>
      <c r="R23" s="97"/>
      <c r="S23" s="161"/>
      <c r="T23" s="350"/>
      <c r="U23" s="50" t="s">
        <v>46</v>
      </c>
      <c r="V23" s="51"/>
      <c r="W23" s="218">
        <f>SUM(W16:AD16)</f>
        <v>0</v>
      </c>
      <c r="X23" s="95"/>
      <c r="Y23" s="95"/>
      <c r="Z23" s="95"/>
      <c r="AA23" s="95"/>
      <c r="AB23" s="95"/>
      <c r="AC23" s="95"/>
      <c r="AD23" s="95"/>
      <c r="AE23" s="95"/>
      <c r="AF23" s="95"/>
      <c r="AG23" s="96"/>
      <c r="AH23" s="95"/>
      <c r="AI23" s="273"/>
      <c r="AJ23" s="97"/>
      <c r="AK23" s="169"/>
      <c r="AL23" s="169"/>
      <c r="AM23" s="67"/>
      <c r="AN23" s="67"/>
      <c r="AO23" s="67"/>
      <c r="AP23" s="169"/>
      <c r="AQ23" s="169"/>
      <c r="AR23" s="169"/>
      <c r="AS23" s="169"/>
      <c r="AT23" s="169"/>
      <c r="AX23" s="16"/>
    </row>
    <row r="24" spans="2:56" x14ac:dyDescent="0.15">
      <c r="B24" s="350"/>
      <c r="C24" s="52" t="s">
        <v>47</v>
      </c>
      <c r="D24" s="53"/>
      <c r="E24" s="218">
        <f t="shared" ref="E24:E27" si="18">SUM(E17:L17)</f>
        <v>0</v>
      </c>
      <c r="F24" s="95"/>
      <c r="G24" s="95"/>
      <c r="H24" s="95"/>
      <c r="I24" s="95"/>
      <c r="J24" s="95"/>
      <c r="K24" s="95"/>
      <c r="L24" s="95"/>
      <c r="M24" s="95"/>
      <c r="N24" s="95"/>
      <c r="O24" s="96"/>
      <c r="P24" s="95"/>
      <c r="Q24" s="273"/>
      <c r="R24" s="97"/>
      <c r="S24" s="161"/>
      <c r="T24" s="350"/>
      <c r="U24" s="52" t="s">
        <v>47</v>
      </c>
      <c r="V24" s="53"/>
      <c r="W24" s="218">
        <f t="shared" ref="W24:W27" si="19">SUM(W17:AD17)</f>
        <v>0</v>
      </c>
      <c r="X24" s="95"/>
      <c r="Y24" s="95"/>
      <c r="Z24" s="95"/>
      <c r="AA24" s="95"/>
      <c r="AB24" s="95"/>
      <c r="AC24" s="95"/>
      <c r="AD24" s="95"/>
      <c r="AE24" s="95"/>
      <c r="AF24" s="95"/>
      <c r="AG24" s="96"/>
      <c r="AH24" s="95"/>
      <c r="AI24" s="273"/>
      <c r="AJ24" s="97"/>
      <c r="AK24" s="169"/>
      <c r="AL24" s="169"/>
      <c r="AM24" s="67"/>
      <c r="AN24" s="67"/>
      <c r="AO24" s="67"/>
      <c r="AP24" s="169"/>
      <c r="AQ24" s="169"/>
      <c r="AR24" s="169"/>
      <c r="AS24" s="169"/>
      <c r="AT24" s="169"/>
      <c r="AX24" s="16"/>
      <c r="AZ24" s="12"/>
      <c r="BA24" s="12"/>
    </row>
    <row r="25" spans="2:56" x14ac:dyDescent="0.15">
      <c r="B25" s="350"/>
      <c r="C25" s="52" t="s">
        <v>48</v>
      </c>
      <c r="D25" s="53"/>
      <c r="E25" s="218">
        <f t="shared" si="18"/>
        <v>0</v>
      </c>
      <c r="F25" s="95"/>
      <c r="G25" s="95"/>
      <c r="H25" s="95"/>
      <c r="I25" s="95"/>
      <c r="J25" s="95"/>
      <c r="K25" s="95"/>
      <c r="L25" s="95"/>
      <c r="M25" s="95"/>
      <c r="N25" s="95"/>
      <c r="O25" s="96"/>
      <c r="P25" s="95"/>
      <c r="Q25" s="273"/>
      <c r="R25" s="97"/>
      <c r="S25" s="161"/>
      <c r="T25" s="350"/>
      <c r="U25" s="52" t="s">
        <v>48</v>
      </c>
      <c r="V25" s="53"/>
      <c r="W25" s="218">
        <f t="shared" si="19"/>
        <v>0</v>
      </c>
      <c r="X25" s="95"/>
      <c r="Y25" s="95"/>
      <c r="Z25" s="95"/>
      <c r="AA25" s="95"/>
      <c r="AB25" s="95"/>
      <c r="AC25" s="95"/>
      <c r="AD25" s="95"/>
      <c r="AE25" s="95"/>
      <c r="AF25" s="95"/>
      <c r="AG25" s="96"/>
      <c r="AH25" s="95"/>
      <c r="AI25" s="273"/>
      <c r="AJ25" s="97"/>
      <c r="AK25" s="169"/>
      <c r="AL25" s="169"/>
      <c r="AM25" s="169"/>
      <c r="AN25" s="169"/>
      <c r="AO25" s="169"/>
      <c r="AP25" s="169"/>
      <c r="AQ25" s="169"/>
      <c r="AR25" s="169"/>
      <c r="AS25" s="169"/>
      <c r="AT25" s="169"/>
      <c r="AX25" s="16"/>
    </row>
    <row r="26" spans="2:56" x14ac:dyDescent="0.15">
      <c r="B26" s="350"/>
      <c r="C26" s="52" t="s">
        <v>50</v>
      </c>
      <c r="D26" s="53"/>
      <c r="E26" s="218">
        <f t="shared" si="18"/>
        <v>0</v>
      </c>
      <c r="F26" s="95"/>
      <c r="G26" s="95"/>
      <c r="H26" s="95"/>
      <c r="I26" s="95"/>
      <c r="J26" s="95"/>
      <c r="K26" s="95"/>
      <c r="L26" s="95"/>
      <c r="M26" s="95"/>
      <c r="N26" s="95"/>
      <c r="O26" s="96"/>
      <c r="P26" s="95"/>
      <c r="Q26" s="273"/>
      <c r="R26" s="97"/>
      <c r="S26" s="161"/>
      <c r="T26" s="350"/>
      <c r="U26" s="52" t="s">
        <v>50</v>
      </c>
      <c r="V26" s="53"/>
      <c r="W26" s="218">
        <f t="shared" si="19"/>
        <v>0</v>
      </c>
      <c r="X26" s="95"/>
      <c r="Y26" s="95"/>
      <c r="Z26" s="95"/>
      <c r="AA26" s="95"/>
      <c r="AB26" s="95"/>
      <c r="AC26" s="95"/>
      <c r="AD26" s="95"/>
      <c r="AE26" s="95"/>
      <c r="AF26" s="95"/>
      <c r="AG26" s="96"/>
      <c r="AH26" s="95"/>
      <c r="AI26" s="273"/>
      <c r="AJ26" s="97"/>
      <c r="AK26" s="169"/>
      <c r="AL26" s="169"/>
      <c r="AM26" s="169"/>
      <c r="AN26" s="169"/>
      <c r="AO26" s="169"/>
      <c r="AP26" s="169"/>
      <c r="AQ26" s="169"/>
      <c r="AR26" s="169"/>
      <c r="AS26" s="169"/>
      <c r="AT26" s="169"/>
      <c r="AX26" s="16"/>
    </row>
    <row r="27" spans="2:56" ht="13.5" customHeight="1" thickBot="1" x14ac:dyDescent="0.2">
      <c r="B27" s="351"/>
      <c r="C27" s="54" t="s">
        <v>51</v>
      </c>
      <c r="D27" s="66"/>
      <c r="E27" s="220">
        <f t="shared" si="18"/>
        <v>0</v>
      </c>
      <c r="F27" s="98"/>
      <c r="G27" s="98"/>
      <c r="H27" s="98"/>
      <c r="I27" s="98"/>
      <c r="J27" s="98"/>
      <c r="K27" s="98"/>
      <c r="L27" s="98"/>
      <c r="M27" s="98"/>
      <c r="N27" s="98"/>
      <c r="O27" s="99"/>
      <c r="P27" s="98"/>
      <c r="Q27" s="274"/>
      <c r="R27" s="100"/>
      <c r="S27" s="161"/>
      <c r="T27" s="351"/>
      <c r="U27" s="54" t="s">
        <v>51</v>
      </c>
      <c r="V27" s="66"/>
      <c r="W27" s="218">
        <f t="shared" si="19"/>
        <v>0</v>
      </c>
      <c r="X27" s="98"/>
      <c r="Y27" s="98"/>
      <c r="Z27" s="98"/>
      <c r="AA27" s="98"/>
      <c r="AB27" s="98"/>
      <c r="AC27" s="98"/>
      <c r="AD27" s="98"/>
      <c r="AE27" s="98"/>
      <c r="AF27" s="98"/>
      <c r="AG27" s="99"/>
      <c r="AH27" s="98"/>
      <c r="AI27" s="274"/>
      <c r="AJ27" s="100"/>
      <c r="AK27" s="169"/>
      <c r="AL27" s="169"/>
      <c r="AM27" s="169"/>
      <c r="AN27" s="169"/>
      <c r="AO27" s="169"/>
      <c r="AP27" s="169"/>
      <c r="AQ27" s="169"/>
      <c r="AR27" s="169"/>
      <c r="AS27" s="169"/>
      <c r="AT27" s="169"/>
      <c r="AX27" s="16"/>
    </row>
    <row r="28" spans="2:56" x14ac:dyDescent="0.15">
      <c r="B28" s="161"/>
      <c r="C28" s="161"/>
      <c r="D28" s="165"/>
      <c r="E28" s="162"/>
      <c r="F28" s="163"/>
      <c r="G28" s="163"/>
      <c r="H28" s="163"/>
      <c r="I28" s="163"/>
      <c r="J28" s="163"/>
      <c r="K28" s="163"/>
      <c r="L28" s="163"/>
      <c r="M28" s="163"/>
      <c r="N28" s="163"/>
      <c r="O28" s="164"/>
      <c r="P28" s="163"/>
      <c r="Q28" s="165"/>
      <c r="R28" s="165"/>
      <c r="S28" s="161"/>
      <c r="T28" s="161"/>
      <c r="U28" s="161"/>
      <c r="V28" s="165"/>
      <c r="W28" s="162"/>
      <c r="X28" s="163"/>
      <c r="Y28" s="163"/>
      <c r="Z28" s="163"/>
      <c r="AA28" s="163"/>
      <c r="AB28" s="163"/>
      <c r="AC28" s="163"/>
      <c r="AD28" s="163"/>
      <c r="AE28" s="163"/>
      <c r="AF28" s="163"/>
      <c r="AG28" s="164"/>
      <c r="AH28" s="163"/>
      <c r="AI28" s="165"/>
      <c r="AJ28" s="165"/>
      <c r="AK28" s="169"/>
      <c r="AL28" s="169"/>
      <c r="AM28" s="169"/>
      <c r="AN28" s="169"/>
      <c r="AO28" s="169"/>
      <c r="AP28" s="169"/>
      <c r="AQ28" s="169"/>
      <c r="AR28" s="169"/>
      <c r="AS28" s="169"/>
      <c r="AT28" s="169"/>
      <c r="AX28" s="16"/>
    </row>
    <row r="29" spans="2:56" ht="13.5" customHeight="1" x14ac:dyDescent="0.15"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4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4"/>
      <c r="AH29" s="161"/>
      <c r="AI29" s="161"/>
      <c r="AJ29" s="161"/>
      <c r="AK29" s="169"/>
      <c r="AL29" s="169"/>
      <c r="AM29" s="169"/>
      <c r="AN29" s="169"/>
      <c r="AO29" s="169"/>
      <c r="AP29" s="169"/>
      <c r="AQ29" s="169"/>
      <c r="AR29" s="169"/>
      <c r="AS29" s="169"/>
      <c r="AT29" s="169"/>
    </row>
    <row r="30" spans="2:56" ht="13.5" customHeight="1" thickBot="1" x14ac:dyDescent="0.2">
      <c r="B30" s="161"/>
      <c r="C30" s="161"/>
      <c r="D30" s="161"/>
      <c r="E30" s="162"/>
      <c r="F30" s="161"/>
      <c r="G30" s="161"/>
      <c r="H30" s="161"/>
      <c r="I30" s="161"/>
      <c r="J30" s="161"/>
      <c r="K30" s="161"/>
      <c r="L30" s="161"/>
      <c r="M30" s="161"/>
      <c r="N30" s="161"/>
      <c r="O30" s="164"/>
      <c r="P30" s="161"/>
      <c r="Q30" s="161"/>
      <c r="R30" s="161"/>
      <c r="S30" s="161"/>
      <c r="T30" s="161"/>
      <c r="U30" s="161"/>
      <c r="V30" s="161"/>
      <c r="W30" s="162"/>
      <c r="X30" s="161"/>
      <c r="Y30" s="161"/>
      <c r="Z30" s="161"/>
      <c r="AA30" s="161"/>
      <c r="AB30" s="161"/>
      <c r="AC30" s="161"/>
      <c r="AD30" s="161"/>
      <c r="AE30" s="161"/>
      <c r="AF30" s="161"/>
      <c r="AG30" s="164"/>
      <c r="AH30" s="161"/>
      <c r="AI30" s="161"/>
      <c r="AJ30" s="161"/>
      <c r="AK30" s="169"/>
      <c r="AL30" s="169"/>
      <c r="AM30" s="169"/>
      <c r="AN30" s="169"/>
      <c r="AO30" s="169"/>
      <c r="AP30" s="169"/>
      <c r="AQ30" s="169"/>
      <c r="AR30" s="169"/>
      <c r="AS30" s="169"/>
      <c r="AT30" s="169"/>
    </row>
    <row r="31" spans="2:56" ht="13.5" customHeight="1" thickBot="1" x14ac:dyDescent="0.2">
      <c r="B31" s="45"/>
      <c r="C31" s="338" t="str">
        <f>CONCATENATE("View Synthesis [ ",'Summary (auto)'!$C$3," ]")</f>
        <v>View Synthesis [ anchor  (IDCC) ]</v>
      </c>
      <c r="D31" s="355"/>
      <c r="E31" s="355"/>
      <c r="F31" s="355"/>
      <c r="G31" s="355"/>
      <c r="H31" s="355"/>
      <c r="I31" s="355"/>
      <c r="J31" s="355"/>
      <c r="K31" s="355"/>
      <c r="L31" s="355"/>
      <c r="M31" s="355"/>
      <c r="N31" s="355"/>
      <c r="O31" s="355"/>
      <c r="P31" s="355"/>
      <c r="Q31" s="355"/>
      <c r="R31" s="356"/>
      <c r="S31" s="161"/>
      <c r="T31" s="45"/>
      <c r="U31" s="338" t="str">
        <f>CONCATENATE("View Synthesis [ ",'Summary (auto)'!$C$4," ]")</f>
        <v>View Synthesis [ proposal ]</v>
      </c>
      <c r="V31" s="355"/>
      <c r="W31" s="355"/>
      <c r="X31" s="355"/>
      <c r="Y31" s="355"/>
      <c r="Z31" s="355"/>
      <c r="AA31" s="355"/>
      <c r="AB31" s="355"/>
      <c r="AC31" s="355"/>
      <c r="AD31" s="355"/>
      <c r="AE31" s="355"/>
      <c r="AF31" s="355"/>
      <c r="AG31" s="355"/>
      <c r="AH31" s="355"/>
      <c r="AI31" s="355"/>
      <c r="AJ31" s="356"/>
      <c r="AK31" s="169"/>
      <c r="AL31" s="169"/>
      <c r="AM31" s="357" t="s">
        <v>88</v>
      </c>
      <c r="AN31" s="358"/>
      <c r="AO31" s="358"/>
      <c r="AP31" s="358"/>
      <c r="AQ31" s="252"/>
      <c r="AR31" s="169"/>
      <c r="AS31" s="169"/>
      <c r="AT31" s="169"/>
    </row>
    <row r="32" spans="2:56" ht="13.5" customHeight="1" thickBot="1" x14ac:dyDescent="0.2">
      <c r="B32" s="49" t="s">
        <v>89</v>
      </c>
      <c r="C32" s="170"/>
      <c r="D32" s="170"/>
      <c r="E32" s="161"/>
      <c r="F32" s="46" t="s">
        <v>71</v>
      </c>
      <c r="G32" s="46" t="s">
        <v>72</v>
      </c>
      <c r="H32" s="46" t="s">
        <v>73</v>
      </c>
      <c r="I32" s="46" t="s">
        <v>74</v>
      </c>
      <c r="J32" s="46" t="s">
        <v>75</v>
      </c>
      <c r="K32" s="46"/>
      <c r="L32" s="204"/>
      <c r="M32" s="204"/>
      <c r="N32" s="46"/>
      <c r="O32" s="47"/>
      <c r="P32" s="46"/>
      <c r="Q32" s="46"/>
      <c r="R32" s="48" t="s">
        <v>90</v>
      </c>
      <c r="S32" s="161"/>
      <c r="T32" s="49" t="s">
        <v>89</v>
      </c>
      <c r="U32" s="170"/>
      <c r="V32" s="170"/>
      <c r="W32" s="161"/>
      <c r="X32" s="46" t="s">
        <v>71</v>
      </c>
      <c r="Y32" s="46" t="s">
        <v>72</v>
      </c>
      <c r="Z32" s="46" t="s">
        <v>73</v>
      </c>
      <c r="AA32" s="46" t="s">
        <v>74</v>
      </c>
      <c r="AB32" s="46" t="s">
        <v>75</v>
      </c>
      <c r="AC32" s="46"/>
      <c r="AD32" s="161"/>
      <c r="AE32" s="161"/>
      <c r="AF32" s="46"/>
      <c r="AG32" s="47"/>
      <c r="AH32" s="46"/>
      <c r="AI32" s="46"/>
      <c r="AJ32" s="48" t="s">
        <v>90</v>
      </c>
      <c r="AK32" s="169"/>
      <c r="AL32" s="49" t="s">
        <v>89</v>
      </c>
      <c r="AM32" s="175" t="s">
        <v>71</v>
      </c>
      <c r="AN32" s="56" t="s">
        <v>72</v>
      </c>
      <c r="AO32" s="56" t="s">
        <v>73</v>
      </c>
      <c r="AP32" s="56" t="s">
        <v>74</v>
      </c>
      <c r="AQ32" s="174" t="s">
        <v>75</v>
      </c>
      <c r="AR32" s="163"/>
      <c r="AS32" s="164"/>
      <c r="AT32" s="163"/>
    </row>
    <row r="33" spans="2:52" x14ac:dyDescent="0.15">
      <c r="B33" s="326" t="s">
        <v>91</v>
      </c>
      <c r="C33" s="50" t="s">
        <v>46</v>
      </c>
      <c r="D33" s="71"/>
      <c r="E33" s="93"/>
      <c r="F33" s="172"/>
      <c r="G33" s="172"/>
      <c r="H33" s="172"/>
      <c r="I33" s="101"/>
      <c r="J33" s="101"/>
      <c r="K33" s="102"/>
      <c r="L33" s="205"/>
      <c r="M33" s="205"/>
      <c r="N33" s="93"/>
      <c r="O33" s="51"/>
      <c r="P33" s="93"/>
      <c r="Q33" s="51"/>
      <c r="R33" s="224"/>
      <c r="S33" s="161"/>
      <c r="T33" s="326" t="s">
        <v>91</v>
      </c>
      <c r="U33" s="50" t="s">
        <v>46</v>
      </c>
      <c r="V33" s="71"/>
      <c r="W33" s="93"/>
      <c r="X33" s="172"/>
      <c r="Y33" s="172"/>
      <c r="Z33" s="172"/>
      <c r="AA33" s="101"/>
      <c r="AB33" s="101"/>
      <c r="AC33" s="102"/>
      <c r="AD33" s="102"/>
      <c r="AE33" s="102"/>
      <c r="AF33" s="93"/>
      <c r="AG33" s="51"/>
      <c r="AH33" s="93"/>
      <c r="AI33" s="51"/>
      <c r="AJ33" s="224"/>
      <c r="AK33" s="169"/>
      <c r="AL33" s="326" t="s">
        <v>91</v>
      </c>
      <c r="AM33" s="210" t="str">
        <f t="shared" ref="AM33:AQ38" si="20">IF(OR(X33="",F33=""),"",X33-F33)</f>
        <v/>
      </c>
      <c r="AN33" s="171" t="str">
        <f t="shared" si="20"/>
        <v/>
      </c>
      <c r="AO33" s="171" t="str">
        <f t="shared" si="20"/>
        <v/>
      </c>
      <c r="AP33" s="171" t="str">
        <f t="shared" si="20"/>
        <v/>
      </c>
      <c r="AQ33" s="211" t="str">
        <f t="shared" si="20"/>
        <v/>
      </c>
      <c r="AR33" s="72"/>
      <c r="AS33" s="72" t="str">
        <f t="shared" ref="AS33:AS64" si="21">IF(OR(AD33="",L33=""),"",AD33-L33)</f>
        <v/>
      </c>
      <c r="AT33" s="72" t="str">
        <f t="shared" ref="AT33:AT64" si="22">IF(OR(AE33="",M33=""),"",AE33-M33)</f>
        <v/>
      </c>
      <c r="AX33" s="16"/>
      <c r="AZ33" s="16"/>
    </row>
    <row r="34" spans="2:52" ht="13.5" customHeight="1" x14ac:dyDescent="0.15">
      <c r="B34" s="332"/>
      <c r="C34" s="52" t="s">
        <v>47</v>
      </c>
      <c r="D34" s="73"/>
      <c r="E34" s="95"/>
      <c r="F34" s="173"/>
      <c r="G34" s="173"/>
      <c r="H34" s="173"/>
      <c r="I34" s="103"/>
      <c r="J34" s="103"/>
      <c r="K34" s="104"/>
      <c r="L34" s="206"/>
      <c r="M34" s="206"/>
      <c r="N34" s="95"/>
      <c r="O34" s="53"/>
      <c r="P34" s="95"/>
      <c r="Q34" s="53"/>
      <c r="R34" s="225"/>
      <c r="S34" s="161"/>
      <c r="T34" s="332"/>
      <c r="U34" s="52" t="s">
        <v>47</v>
      </c>
      <c r="V34" s="73"/>
      <c r="W34" s="95"/>
      <c r="X34" s="173"/>
      <c r="Y34" s="173"/>
      <c r="Z34" s="173"/>
      <c r="AA34" s="103"/>
      <c r="AB34" s="103"/>
      <c r="AC34" s="104"/>
      <c r="AD34" s="104"/>
      <c r="AE34" s="104"/>
      <c r="AF34" s="95"/>
      <c r="AG34" s="53"/>
      <c r="AH34" s="95"/>
      <c r="AI34" s="53"/>
      <c r="AJ34" s="225"/>
      <c r="AK34" s="169"/>
      <c r="AL34" s="332"/>
      <c r="AM34" s="150" t="str">
        <f t="shared" si="20"/>
        <v/>
      </c>
      <c r="AN34" s="212" t="str">
        <f t="shared" si="20"/>
        <v/>
      </c>
      <c r="AO34" s="212" t="str">
        <f t="shared" si="20"/>
        <v/>
      </c>
      <c r="AP34" s="212" t="str">
        <f t="shared" si="20"/>
        <v/>
      </c>
      <c r="AQ34" s="151" t="str">
        <f t="shared" si="20"/>
        <v/>
      </c>
      <c r="AR34" s="72"/>
      <c r="AS34" s="72" t="str">
        <f t="shared" si="21"/>
        <v/>
      </c>
      <c r="AT34" s="72" t="str">
        <f t="shared" si="22"/>
        <v/>
      </c>
      <c r="AX34" s="16"/>
      <c r="AZ34" s="16"/>
    </row>
    <row r="35" spans="2:52" ht="13.5" customHeight="1" x14ac:dyDescent="0.15">
      <c r="B35" s="332"/>
      <c r="C35" s="52" t="s">
        <v>48</v>
      </c>
      <c r="D35" s="73"/>
      <c r="E35" s="95"/>
      <c r="F35" s="173"/>
      <c r="G35" s="173"/>
      <c r="H35" s="173"/>
      <c r="I35" s="103"/>
      <c r="J35" s="103"/>
      <c r="K35" s="104"/>
      <c r="L35" s="206"/>
      <c r="M35" s="206"/>
      <c r="N35" s="95"/>
      <c r="O35" s="53"/>
      <c r="P35" s="95"/>
      <c r="Q35" s="53"/>
      <c r="R35" s="225"/>
      <c r="S35" s="161"/>
      <c r="T35" s="332"/>
      <c r="U35" s="52" t="s">
        <v>48</v>
      </c>
      <c r="V35" s="73"/>
      <c r="W35" s="95"/>
      <c r="X35" s="173"/>
      <c r="Y35" s="173"/>
      <c r="Z35" s="173"/>
      <c r="AA35" s="103"/>
      <c r="AB35" s="103"/>
      <c r="AC35" s="104"/>
      <c r="AD35" s="104"/>
      <c r="AE35" s="104"/>
      <c r="AF35" s="95"/>
      <c r="AG35" s="53"/>
      <c r="AH35" s="95"/>
      <c r="AI35" s="53"/>
      <c r="AJ35" s="225"/>
      <c r="AK35" s="169"/>
      <c r="AL35" s="332"/>
      <c r="AM35" s="150" t="str">
        <f t="shared" si="20"/>
        <v/>
      </c>
      <c r="AN35" s="212" t="str">
        <f t="shared" si="20"/>
        <v/>
      </c>
      <c r="AO35" s="212" t="str">
        <f t="shared" si="20"/>
        <v/>
      </c>
      <c r="AP35" s="212" t="str">
        <f t="shared" si="20"/>
        <v/>
      </c>
      <c r="AQ35" s="151" t="str">
        <f t="shared" si="20"/>
        <v/>
      </c>
      <c r="AR35" s="72"/>
      <c r="AS35" s="72" t="str">
        <f t="shared" si="21"/>
        <v/>
      </c>
      <c r="AT35" s="72" t="str">
        <f t="shared" si="22"/>
        <v/>
      </c>
      <c r="AX35" s="16"/>
      <c r="AZ35" s="16"/>
    </row>
    <row r="36" spans="2:52" ht="13.5" customHeight="1" x14ac:dyDescent="0.15">
      <c r="B36" s="332"/>
      <c r="C36" s="52" t="s">
        <v>50</v>
      </c>
      <c r="D36" s="73"/>
      <c r="E36" s="95"/>
      <c r="F36" s="173"/>
      <c r="G36" s="173"/>
      <c r="H36" s="173"/>
      <c r="I36" s="103"/>
      <c r="J36" s="103"/>
      <c r="K36" s="104"/>
      <c r="L36" s="206"/>
      <c r="M36" s="206"/>
      <c r="N36" s="95"/>
      <c r="O36" s="53"/>
      <c r="P36" s="95"/>
      <c r="Q36" s="53"/>
      <c r="R36" s="225"/>
      <c r="S36" s="161"/>
      <c r="T36" s="332"/>
      <c r="U36" s="52" t="s">
        <v>50</v>
      </c>
      <c r="V36" s="73"/>
      <c r="W36" s="95"/>
      <c r="X36" s="173"/>
      <c r="Y36" s="173"/>
      <c r="Z36" s="173"/>
      <c r="AA36" s="103"/>
      <c r="AB36" s="103"/>
      <c r="AC36" s="104"/>
      <c r="AD36" s="104"/>
      <c r="AE36" s="104"/>
      <c r="AF36" s="95"/>
      <c r="AG36" s="53"/>
      <c r="AH36" s="95"/>
      <c r="AI36" s="53"/>
      <c r="AJ36" s="225"/>
      <c r="AK36" s="169"/>
      <c r="AL36" s="332"/>
      <c r="AM36" s="150" t="str">
        <f t="shared" si="20"/>
        <v/>
      </c>
      <c r="AN36" s="212" t="str">
        <f t="shared" si="20"/>
        <v/>
      </c>
      <c r="AO36" s="212" t="str">
        <f t="shared" si="20"/>
        <v/>
      </c>
      <c r="AP36" s="212" t="str">
        <f t="shared" si="20"/>
        <v/>
      </c>
      <c r="AQ36" s="151" t="str">
        <f t="shared" si="20"/>
        <v/>
      </c>
      <c r="AR36" s="72"/>
      <c r="AS36" s="72" t="str">
        <f t="shared" si="21"/>
        <v/>
      </c>
      <c r="AT36" s="72" t="str">
        <f t="shared" si="22"/>
        <v/>
      </c>
      <c r="AX36" s="16"/>
      <c r="AZ36" s="16"/>
    </row>
    <row r="37" spans="2:52" ht="13.5" customHeight="1" thickBot="1" x14ac:dyDescent="0.2">
      <c r="B37" s="332"/>
      <c r="C37" s="52" t="s">
        <v>51</v>
      </c>
      <c r="D37" s="73"/>
      <c r="E37" s="95"/>
      <c r="F37" s="173"/>
      <c r="G37" s="173"/>
      <c r="H37" s="173"/>
      <c r="I37" s="103"/>
      <c r="J37" s="103"/>
      <c r="K37" s="104"/>
      <c r="L37" s="206"/>
      <c r="M37" s="206"/>
      <c r="N37" s="95"/>
      <c r="O37" s="53"/>
      <c r="P37" s="95"/>
      <c r="Q37" s="53"/>
      <c r="R37" s="225"/>
      <c r="S37" s="161"/>
      <c r="T37" s="332"/>
      <c r="U37" s="52" t="s">
        <v>51</v>
      </c>
      <c r="V37" s="73"/>
      <c r="W37" s="95"/>
      <c r="X37" s="173"/>
      <c r="Y37" s="173"/>
      <c r="Z37" s="173"/>
      <c r="AA37" s="103"/>
      <c r="AB37" s="103"/>
      <c r="AC37" s="104"/>
      <c r="AD37" s="104"/>
      <c r="AE37" s="104"/>
      <c r="AF37" s="95"/>
      <c r="AG37" s="53"/>
      <c r="AH37" s="95"/>
      <c r="AI37" s="53"/>
      <c r="AJ37" s="225"/>
      <c r="AK37" s="169"/>
      <c r="AL37" s="332"/>
      <c r="AM37" s="213" t="str">
        <f t="shared" si="20"/>
        <v/>
      </c>
      <c r="AN37" s="214" t="str">
        <f t="shared" si="20"/>
        <v/>
      </c>
      <c r="AO37" s="214" t="str">
        <f t="shared" si="20"/>
        <v/>
      </c>
      <c r="AP37" s="214" t="str">
        <f t="shared" si="20"/>
        <v/>
      </c>
      <c r="AQ37" s="215" t="str">
        <f t="shared" si="20"/>
        <v/>
      </c>
      <c r="AR37" s="72"/>
      <c r="AS37" s="72" t="str">
        <f t="shared" si="21"/>
        <v/>
      </c>
      <c r="AT37" s="72" t="str">
        <f t="shared" si="22"/>
        <v/>
      </c>
      <c r="AX37" s="16"/>
      <c r="AZ37" s="16"/>
    </row>
    <row r="38" spans="2:52" x14ac:dyDescent="0.15">
      <c r="B38" s="326" t="s">
        <v>92</v>
      </c>
      <c r="C38" s="50" t="s">
        <v>46</v>
      </c>
      <c r="D38" s="71"/>
      <c r="E38" s="93"/>
      <c r="F38" s="172"/>
      <c r="G38" s="172"/>
      <c r="H38" s="172"/>
      <c r="I38" s="172"/>
      <c r="J38" s="172"/>
      <c r="K38" s="102"/>
      <c r="L38" s="205"/>
      <c r="M38" s="205"/>
      <c r="N38" s="93"/>
      <c r="O38" s="51"/>
      <c r="P38" s="93"/>
      <c r="Q38" s="51"/>
      <c r="R38" s="224"/>
      <c r="S38" s="161"/>
      <c r="T38" s="326" t="s">
        <v>92</v>
      </c>
      <c r="U38" s="50" t="s">
        <v>46</v>
      </c>
      <c r="V38" s="71"/>
      <c r="W38" s="93"/>
      <c r="X38" s="172"/>
      <c r="Y38" s="172"/>
      <c r="Z38" s="172"/>
      <c r="AA38" s="172"/>
      <c r="AB38" s="172"/>
      <c r="AC38" s="102"/>
      <c r="AD38" s="102"/>
      <c r="AE38" s="102"/>
      <c r="AF38" s="93"/>
      <c r="AG38" s="51"/>
      <c r="AH38" s="93"/>
      <c r="AI38" s="51"/>
      <c r="AJ38" s="224"/>
      <c r="AK38" s="169"/>
      <c r="AL38" s="326" t="s">
        <v>92</v>
      </c>
      <c r="AM38" s="210" t="str">
        <f t="shared" si="20"/>
        <v/>
      </c>
      <c r="AN38" s="171" t="str">
        <f t="shared" si="20"/>
        <v/>
      </c>
      <c r="AO38" s="171" t="str">
        <f t="shared" si="20"/>
        <v/>
      </c>
      <c r="AP38" s="171" t="str">
        <f t="shared" si="20"/>
        <v/>
      </c>
      <c r="AQ38" s="211" t="str">
        <f t="shared" si="20"/>
        <v/>
      </c>
      <c r="AR38" s="72"/>
      <c r="AS38" s="72" t="str">
        <f t="shared" si="21"/>
        <v/>
      </c>
      <c r="AT38" s="72" t="str">
        <f t="shared" si="22"/>
        <v/>
      </c>
      <c r="AX38" s="16"/>
      <c r="AZ38" s="16"/>
    </row>
    <row r="39" spans="2:52" ht="13.5" customHeight="1" x14ac:dyDescent="0.15">
      <c r="B39" s="332"/>
      <c r="C39" s="52" t="s">
        <v>47</v>
      </c>
      <c r="D39" s="73"/>
      <c r="E39" s="95"/>
      <c r="F39" s="173"/>
      <c r="G39" s="173"/>
      <c r="H39" s="173"/>
      <c r="I39" s="173"/>
      <c r="J39" s="173"/>
      <c r="K39" s="104"/>
      <c r="L39" s="206"/>
      <c r="M39" s="206"/>
      <c r="N39" s="95"/>
      <c r="O39" s="53"/>
      <c r="P39" s="95"/>
      <c r="Q39" s="53"/>
      <c r="R39" s="225"/>
      <c r="S39" s="161"/>
      <c r="T39" s="332"/>
      <c r="U39" s="52" t="s">
        <v>47</v>
      </c>
      <c r="V39" s="73"/>
      <c r="W39" s="95"/>
      <c r="X39" s="173"/>
      <c r="Y39" s="173"/>
      <c r="Z39" s="173"/>
      <c r="AA39" s="173"/>
      <c r="AB39" s="173"/>
      <c r="AC39" s="104"/>
      <c r="AD39" s="104"/>
      <c r="AE39" s="104"/>
      <c r="AF39" s="95"/>
      <c r="AG39" s="53"/>
      <c r="AH39" s="95"/>
      <c r="AI39" s="53"/>
      <c r="AJ39" s="225"/>
      <c r="AK39" s="169"/>
      <c r="AL39" s="332"/>
      <c r="AM39" s="150" t="str">
        <f t="shared" ref="AM39:AM42" si="23">IF(OR(X39="",F39=""),"",X39-F39)</f>
        <v/>
      </c>
      <c r="AN39" s="212" t="str">
        <f t="shared" ref="AN39:AN42" si="24">IF(OR(Y39="",G39=""),"",Y39-G39)</f>
        <v/>
      </c>
      <c r="AO39" s="212" t="str">
        <f t="shared" ref="AO39:AO42" si="25">IF(OR(Z39="",H39=""),"",Z39-H39)</f>
        <v/>
      </c>
      <c r="AP39" s="212" t="str">
        <f t="shared" ref="AP39:AP42" si="26">IF(OR(AA39="",I39=""),"",AA39-I39)</f>
        <v/>
      </c>
      <c r="AQ39" s="151" t="str">
        <f t="shared" ref="AQ39:AQ42" si="27">IF(OR(AB39="",J39=""),"",AB39-J39)</f>
        <v/>
      </c>
      <c r="AR39" s="72"/>
      <c r="AS39" s="72" t="str">
        <f t="shared" si="21"/>
        <v/>
      </c>
      <c r="AT39" s="72" t="str">
        <f t="shared" si="22"/>
        <v/>
      </c>
      <c r="AX39" s="16"/>
      <c r="AZ39" s="16"/>
    </row>
    <row r="40" spans="2:52" ht="13.5" customHeight="1" x14ac:dyDescent="0.15">
      <c r="B40" s="332"/>
      <c r="C40" s="52" t="s">
        <v>48</v>
      </c>
      <c r="D40" s="73"/>
      <c r="E40" s="95"/>
      <c r="F40" s="173"/>
      <c r="G40" s="173"/>
      <c r="H40" s="173"/>
      <c r="I40" s="173"/>
      <c r="J40" s="173"/>
      <c r="K40" s="104"/>
      <c r="L40" s="206"/>
      <c r="M40" s="206"/>
      <c r="N40" s="95"/>
      <c r="O40" s="53"/>
      <c r="P40" s="95"/>
      <c r="Q40" s="53"/>
      <c r="R40" s="225"/>
      <c r="S40" s="161"/>
      <c r="T40" s="332"/>
      <c r="U40" s="52" t="s">
        <v>48</v>
      </c>
      <c r="V40" s="73"/>
      <c r="W40" s="95"/>
      <c r="X40" s="173"/>
      <c r="Y40" s="173"/>
      <c r="Z40" s="173"/>
      <c r="AA40" s="173"/>
      <c r="AB40" s="173"/>
      <c r="AC40" s="104"/>
      <c r="AD40" s="104"/>
      <c r="AE40" s="104"/>
      <c r="AF40" s="95"/>
      <c r="AG40" s="53"/>
      <c r="AH40" s="95"/>
      <c r="AI40" s="53"/>
      <c r="AJ40" s="225"/>
      <c r="AK40" s="169"/>
      <c r="AL40" s="332"/>
      <c r="AM40" s="150" t="str">
        <f t="shared" si="23"/>
        <v/>
      </c>
      <c r="AN40" s="212" t="str">
        <f t="shared" si="24"/>
        <v/>
      </c>
      <c r="AO40" s="212" t="str">
        <f t="shared" si="25"/>
        <v/>
      </c>
      <c r="AP40" s="212" t="str">
        <f t="shared" si="26"/>
        <v/>
      </c>
      <c r="AQ40" s="151" t="str">
        <f t="shared" si="27"/>
        <v/>
      </c>
      <c r="AR40" s="72"/>
      <c r="AS40" s="72" t="str">
        <f t="shared" si="21"/>
        <v/>
      </c>
      <c r="AT40" s="72" t="str">
        <f t="shared" si="22"/>
        <v/>
      </c>
      <c r="AX40" s="16"/>
      <c r="AZ40" s="16"/>
    </row>
    <row r="41" spans="2:52" ht="13.5" customHeight="1" x14ac:dyDescent="0.15">
      <c r="B41" s="332"/>
      <c r="C41" s="52" t="s">
        <v>50</v>
      </c>
      <c r="D41" s="73"/>
      <c r="E41" s="95"/>
      <c r="F41" s="173"/>
      <c r="G41" s="173"/>
      <c r="H41" s="173"/>
      <c r="I41" s="173"/>
      <c r="J41" s="173"/>
      <c r="K41" s="104"/>
      <c r="L41" s="206"/>
      <c r="M41" s="206"/>
      <c r="N41" s="95"/>
      <c r="O41" s="53"/>
      <c r="P41" s="95"/>
      <c r="Q41" s="53"/>
      <c r="R41" s="225"/>
      <c r="S41" s="161"/>
      <c r="T41" s="332"/>
      <c r="U41" s="52" t="s">
        <v>50</v>
      </c>
      <c r="V41" s="73"/>
      <c r="W41" s="95"/>
      <c r="X41" s="173"/>
      <c r="Y41" s="173"/>
      <c r="Z41" s="173"/>
      <c r="AA41" s="173"/>
      <c r="AB41" s="173"/>
      <c r="AC41" s="104"/>
      <c r="AD41" s="104"/>
      <c r="AE41" s="104"/>
      <c r="AF41" s="95"/>
      <c r="AG41" s="53"/>
      <c r="AH41" s="95"/>
      <c r="AI41" s="53"/>
      <c r="AJ41" s="225"/>
      <c r="AK41" s="169"/>
      <c r="AL41" s="332"/>
      <c r="AM41" s="150" t="str">
        <f t="shared" si="23"/>
        <v/>
      </c>
      <c r="AN41" s="212" t="str">
        <f t="shared" si="24"/>
        <v/>
      </c>
      <c r="AO41" s="212" t="str">
        <f t="shared" si="25"/>
        <v/>
      </c>
      <c r="AP41" s="212" t="str">
        <f t="shared" si="26"/>
        <v/>
      </c>
      <c r="AQ41" s="151" t="str">
        <f t="shared" si="27"/>
        <v/>
      </c>
      <c r="AR41" s="72"/>
      <c r="AS41" s="72" t="str">
        <f t="shared" si="21"/>
        <v/>
      </c>
      <c r="AT41" s="72" t="str">
        <f t="shared" si="22"/>
        <v/>
      </c>
      <c r="AX41" s="16"/>
      <c r="AZ41" s="16"/>
    </row>
    <row r="42" spans="2:52" ht="13.5" customHeight="1" thickBot="1" x14ac:dyDescent="0.2">
      <c r="B42" s="332"/>
      <c r="C42" s="52" t="s">
        <v>51</v>
      </c>
      <c r="D42" s="73"/>
      <c r="E42" s="95"/>
      <c r="F42" s="173"/>
      <c r="G42" s="173"/>
      <c r="H42" s="173"/>
      <c r="I42" s="173"/>
      <c r="J42" s="173"/>
      <c r="K42" s="104"/>
      <c r="L42" s="206"/>
      <c r="M42" s="206"/>
      <c r="N42" s="95"/>
      <c r="O42" s="53"/>
      <c r="P42" s="95"/>
      <c r="Q42" s="53"/>
      <c r="R42" s="225"/>
      <c r="S42" s="161"/>
      <c r="T42" s="332"/>
      <c r="U42" s="52" t="s">
        <v>51</v>
      </c>
      <c r="V42" s="73"/>
      <c r="W42" s="95"/>
      <c r="X42" s="173"/>
      <c r="Y42" s="173"/>
      <c r="Z42" s="173"/>
      <c r="AA42" s="173"/>
      <c r="AB42" s="173"/>
      <c r="AC42" s="104"/>
      <c r="AD42" s="104"/>
      <c r="AE42" s="104"/>
      <c r="AF42" s="95"/>
      <c r="AG42" s="53"/>
      <c r="AH42" s="95"/>
      <c r="AI42" s="53"/>
      <c r="AJ42" s="225"/>
      <c r="AK42" s="169"/>
      <c r="AL42" s="332"/>
      <c r="AM42" s="213" t="str">
        <f t="shared" si="23"/>
        <v/>
      </c>
      <c r="AN42" s="214" t="str">
        <f t="shared" si="24"/>
        <v/>
      </c>
      <c r="AO42" s="214" t="str">
        <f t="shared" si="25"/>
        <v/>
      </c>
      <c r="AP42" s="214" t="str">
        <f t="shared" si="26"/>
        <v/>
      </c>
      <c r="AQ42" s="215" t="str">
        <f t="shared" si="27"/>
        <v/>
      </c>
      <c r="AR42" s="72"/>
      <c r="AS42" s="72" t="str">
        <f t="shared" si="21"/>
        <v/>
      </c>
      <c r="AT42" s="72" t="str">
        <f t="shared" si="22"/>
        <v/>
      </c>
      <c r="AX42" s="16"/>
      <c r="AZ42" s="16"/>
    </row>
    <row r="43" spans="2:52" x14ac:dyDescent="0.15">
      <c r="B43" s="326" t="s">
        <v>93</v>
      </c>
      <c r="C43" s="50" t="s">
        <v>46</v>
      </c>
      <c r="D43" s="71"/>
      <c r="E43" s="93"/>
      <c r="F43" s="172"/>
      <c r="G43" s="172"/>
      <c r="H43" s="172"/>
      <c r="I43" s="172"/>
      <c r="J43" s="172"/>
      <c r="K43" s="102"/>
      <c r="L43" s="205"/>
      <c r="M43" s="205"/>
      <c r="N43" s="93"/>
      <c r="O43" s="51"/>
      <c r="P43" s="93"/>
      <c r="Q43" s="51"/>
      <c r="R43" s="224"/>
      <c r="S43" s="161"/>
      <c r="T43" s="326" t="s">
        <v>93</v>
      </c>
      <c r="U43" s="50" t="s">
        <v>46</v>
      </c>
      <c r="V43" s="71"/>
      <c r="W43" s="93"/>
      <c r="X43" s="172"/>
      <c r="Y43" s="172"/>
      <c r="Z43" s="172"/>
      <c r="AA43" s="172"/>
      <c r="AB43" s="172"/>
      <c r="AC43" s="102"/>
      <c r="AD43" s="102"/>
      <c r="AE43" s="102"/>
      <c r="AF43" s="93"/>
      <c r="AG43" s="51"/>
      <c r="AH43" s="93"/>
      <c r="AI43" s="51"/>
      <c r="AJ43" s="224"/>
      <c r="AK43" s="169"/>
      <c r="AL43" s="326" t="s">
        <v>93</v>
      </c>
      <c r="AM43" s="210" t="str">
        <f>IF(OR(X43="",F43=""),"",X43-F43)</f>
        <v/>
      </c>
      <c r="AN43" s="171" t="str">
        <f>IF(OR(Y43="",G43=""),"",Y43-G43)</f>
        <v/>
      </c>
      <c r="AO43" s="171" t="str">
        <f>IF(OR(Z43="",H43=""),"",Z43-H43)</f>
        <v/>
      </c>
      <c r="AP43" s="171" t="str">
        <f>IF(OR(AA43="",I43=""),"",AA43-I43)</f>
        <v/>
      </c>
      <c r="AQ43" s="211" t="str">
        <f>IF(OR(AB43="",J43=""),"",AB43-J43)</f>
        <v/>
      </c>
      <c r="AR43" s="72"/>
      <c r="AS43" s="72" t="str">
        <f t="shared" si="21"/>
        <v/>
      </c>
      <c r="AT43" s="72" t="str">
        <f t="shared" si="22"/>
        <v/>
      </c>
      <c r="AX43" s="16"/>
      <c r="AZ43" s="16"/>
    </row>
    <row r="44" spans="2:52" ht="13.5" customHeight="1" x14ac:dyDescent="0.15">
      <c r="B44" s="332"/>
      <c r="C44" s="52" t="s">
        <v>47</v>
      </c>
      <c r="D44" s="73"/>
      <c r="E44" s="95"/>
      <c r="F44" s="173"/>
      <c r="G44" s="173"/>
      <c r="H44" s="173"/>
      <c r="I44" s="173"/>
      <c r="J44" s="173"/>
      <c r="K44" s="104"/>
      <c r="L44" s="206"/>
      <c r="M44" s="206"/>
      <c r="N44" s="95"/>
      <c r="O44" s="53"/>
      <c r="P44" s="95"/>
      <c r="Q44" s="53"/>
      <c r="R44" s="225"/>
      <c r="S44" s="161"/>
      <c r="T44" s="332"/>
      <c r="U44" s="52" t="s">
        <v>47</v>
      </c>
      <c r="V44" s="73"/>
      <c r="W44" s="95"/>
      <c r="X44" s="173"/>
      <c r="Y44" s="173"/>
      <c r="Z44" s="173"/>
      <c r="AA44" s="173"/>
      <c r="AB44" s="173"/>
      <c r="AC44" s="104"/>
      <c r="AD44" s="104"/>
      <c r="AE44" s="104"/>
      <c r="AF44" s="95"/>
      <c r="AG44" s="53"/>
      <c r="AH44" s="95"/>
      <c r="AI44" s="53"/>
      <c r="AJ44" s="225"/>
      <c r="AK44" s="169"/>
      <c r="AL44" s="332"/>
      <c r="AM44" s="150" t="str">
        <f t="shared" ref="AM44:AM47" si="28">IF(OR(X44="",F44=""),"",X44-F44)</f>
        <v/>
      </c>
      <c r="AN44" s="212" t="str">
        <f t="shared" ref="AN44:AN47" si="29">IF(OR(Y44="",G44=""),"",Y44-G44)</f>
        <v/>
      </c>
      <c r="AO44" s="212" t="str">
        <f t="shared" ref="AO44:AO47" si="30">IF(OR(Z44="",H44=""),"",Z44-H44)</f>
        <v/>
      </c>
      <c r="AP44" s="212" t="str">
        <f t="shared" ref="AP44:AP47" si="31">IF(OR(AA44="",I44=""),"",AA44-I44)</f>
        <v/>
      </c>
      <c r="AQ44" s="151" t="str">
        <f t="shared" ref="AQ44:AQ47" si="32">IF(OR(AB44="",J44=""),"",AB44-J44)</f>
        <v/>
      </c>
      <c r="AR44" s="72"/>
      <c r="AS44" s="72" t="str">
        <f t="shared" si="21"/>
        <v/>
      </c>
      <c r="AT44" s="72" t="str">
        <f t="shared" si="22"/>
        <v/>
      </c>
      <c r="AX44" s="16"/>
      <c r="AZ44" s="16"/>
    </row>
    <row r="45" spans="2:52" ht="13.5" customHeight="1" x14ac:dyDescent="0.15">
      <c r="B45" s="332"/>
      <c r="C45" s="52" t="s">
        <v>48</v>
      </c>
      <c r="D45" s="73"/>
      <c r="E45" s="95"/>
      <c r="F45" s="173"/>
      <c r="G45" s="173"/>
      <c r="H45" s="173"/>
      <c r="I45" s="173"/>
      <c r="J45" s="173"/>
      <c r="K45" s="104"/>
      <c r="L45" s="206"/>
      <c r="M45" s="206"/>
      <c r="N45" s="95"/>
      <c r="O45" s="53"/>
      <c r="P45" s="95"/>
      <c r="Q45" s="53"/>
      <c r="R45" s="225"/>
      <c r="S45" s="161"/>
      <c r="T45" s="332"/>
      <c r="U45" s="52" t="s">
        <v>48</v>
      </c>
      <c r="V45" s="73"/>
      <c r="W45" s="95"/>
      <c r="X45" s="173"/>
      <c r="Y45" s="173"/>
      <c r="Z45" s="173"/>
      <c r="AA45" s="173"/>
      <c r="AB45" s="173"/>
      <c r="AC45" s="104"/>
      <c r="AD45" s="104"/>
      <c r="AE45" s="104"/>
      <c r="AF45" s="95"/>
      <c r="AG45" s="53"/>
      <c r="AH45" s="95"/>
      <c r="AI45" s="53"/>
      <c r="AJ45" s="225"/>
      <c r="AK45" s="169"/>
      <c r="AL45" s="332"/>
      <c r="AM45" s="150" t="str">
        <f t="shared" si="28"/>
        <v/>
      </c>
      <c r="AN45" s="212" t="str">
        <f t="shared" si="29"/>
        <v/>
      </c>
      <c r="AO45" s="212" t="str">
        <f t="shared" si="30"/>
        <v/>
      </c>
      <c r="AP45" s="212" t="str">
        <f t="shared" si="31"/>
        <v/>
      </c>
      <c r="AQ45" s="151" t="str">
        <f t="shared" si="32"/>
        <v/>
      </c>
      <c r="AR45" s="72"/>
      <c r="AS45" s="72" t="str">
        <f t="shared" si="21"/>
        <v/>
      </c>
      <c r="AT45" s="72" t="str">
        <f t="shared" si="22"/>
        <v/>
      </c>
      <c r="AX45" s="16"/>
      <c r="AZ45" s="16"/>
    </row>
    <row r="46" spans="2:52" ht="13.5" customHeight="1" x14ac:dyDescent="0.15">
      <c r="B46" s="332"/>
      <c r="C46" s="52" t="s">
        <v>50</v>
      </c>
      <c r="D46" s="73"/>
      <c r="E46" s="95"/>
      <c r="F46" s="173"/>
      <c r="G46" s="173"/>
      <c r="H46" s="173"/>
      <c r="I46" s="173"/>
      <c r="J46" s="173"/>
      <c r="K46" s="104"/>
      <c r="L46" s="206"/>
      <c r="M46" s="206"/>
      <c r="N46" s="95"/>
      <c r="O46" s="53"/>
      <c r="P46" s="95"/>
      <c r="Q46" s="53"/>
      <c r="R46" s="225"/>
      <c r="S46" s="161"/>
      <c r="T46" s="332"/>
      <c r="U46" s="52" t="s">
        <v>50</v>
      </c>
      <c r="V46" s="73"/>
      <c r="W46" s="95"/>
      <c r="X46" s="173"/>
      <c r="Y46" s="173"/>
      <c r="Z46" s="173"/>
      <c r="AA46" s="173"/>
      <c r="AB46" s="173"/>
      <c r="AC46" s="104"/>
      <c r="AD46" s="104"/>
      <c r="AE46" s="104"/>
      <c r="AF46" s="95"/>
      <c r="AG46" s="53"/>
      <c r="AH46" s="95"/>
      <c r="AI46" s="53"/>
      <c r="AJ46" s="225"/>
      <c r="AK46" s="169"/>
      <c r="AL46" s="332"/>
      <c r="AM46" s="150" t="str">
        <f t="shared" si="28"/>
        <v/>
      </c>
      <c r="AN46" s="212" t="str">
        <f t="shared" si="29"/>
        <v/>
      </c>
      <c r="AO46" s="212" t="str">
        <f t="shared" si="30"/>
        <v/>
      </c>
      <c r="AP46" s="212" t="str">
        <f t="shared" si="31"/>
        <v/>
      </c>
      <c r="AQ46" s="151" t="str">
        <f t="shared" si="32"/>
        <v/>
      </c>
      <c r="AR46" s="72"/>
      <c r="AS46" s="72" t="str">
        <f t="shared" si="21"/>
        <v/>
      </c>
      <c r="AT46" s="72" t="str">
        <f t="shared" si="22"/>
        <v/>
      </c>
      <c r="AX46" s="16"/>
      <c r="AZ46" s="16"/>
    </row>
    <row r="47" spans="2:52" ht="13.5" customHeight="1" thickBot="1" x14ac:dyDescent="0.2">
      <c r="B47" s="332"/>
      <c r="C47" s="52" t="s">
        <v>51</v>
      </c>
      <c r="D47" s="73"/>
      <c r="E47" s="95"/>
      <c r="F47" s="173"/>
      <c r="G47" s="173"/>
      <c r="H47" s="173"/>
      <c r="I47" s="173"/>
      <c r="J47" s="173"/>
      <c r="K47" s="104"/>
      <c r="L47" s="206"/>
      <c r="M47" s="206"/>
      <c r="N47" s="95"/>
      <c r="O47" s="53"/>
      <c r="P47" s="95"/>
      <c r="Q47" s="53"/>
      <c r="R47" s="225"/>
      <c r="S47" s="161"/>
      <c r="T47" s="332"/>
      <c r="U47" s="52" t="s">
        <v>51</v>
      </c>
      <c r="V47" s="73"/>
      <c r="W47" s="95"/>
      <c r="X47" s="173"/>
      <c r="Y47" s="173"/>
      <c r="Z47" s="173"/>
      <c r="AA47" s="173"/>
      <c r="AB47" s="173"/>
      <c r="AC47" s="104"/>
      <c r="AD47" s="104"/>
      <c r="AE47" s="104"/>
      <c r="AF47" s="95"/>
      <c r="AG47" s="53"/>
      <c r="AH47" s="95"/>
      <c r="AI47" s="53"/>
      <c r="AJ47" s="225"/>
      <c r="AK47" s="169"/>
      <c r="AL47" s="332"/>
      <c r="AM47" s="213" t="str">
        <f t="shared" si="28"/>
        <v/>
      </c>
      <c r="AN47" s="214" t="str">
        <f t="shared" si="29"/>
        <v/>
      </c>
      <c r="AO47" s="214" t="str">
        <f t="shared" si="30"/>
        <v/>
      </c>
      <c r="AP47" s="214" t="str">
        <f t="shared" si="31"/>
        <v/>
      </c>
      <c r="AQ47" s="215" t="str">
        <f t="shared" si="32"/>
        <v/>
      </c>
      <c r="AR47" s="72"/>
      <c r="AS47" s="72" t="str">
        <f t="shared" si="21"/>
        <v/>
      </c>
      <c r="AT47" s="72" t="str">
        <f t="shared" si="22"/>
        <v/>
      </c>
      <c r="AX47" s="16"/>
      <c r="AZ47" s="16"/>
    </row>
    <row r="48" spans="2:52" x14ac:dyDescent="0.15">
      <c r="B48" s="326" t="s">
        <v>94</v>
      </c>
      <c r="C48" s="50" t="s">
        <v>46</v>
      </c>
      <c r="D48" s="71"/>
      <c r="E48" s="93"/>
      <c r="F48" s="101"/>
      <c r="G48" s="101"/>
      <c r="H48" s="101"/>
      <c r="I48" s="101"/>
      <c r="J48" s="101"/>
      <c r="K48" s="102"/>
      <c r="L48" s="205"/>
      <c r="M48" s="205"/>
      <c r="N48" s="93"/>
      <c r="O48" s="51"/>
      <c r="P48" s="93"/>
      <c r="Q48" s="51"/>
      <c r="R48" s="224"/>
      <c r="S48" s="161"/>
      <c r="T48" s="326" t="s">
        <v>94</v>
      </c>
      <c r="U48" s="50" t="s">
        <v>46</v>
      </c>
      <c r="V48" s="71"/>
      <c r="W48" s="93"/>
      <c r="X48" s="101"/>
      <c r="Y48" s="101"/>
      <c r="Z48" s="101"/>
      <c r="AA48" s="101"/>
      <c r="AB48" s="101"/>
      <c r="AC48" s="102"/>
      <c r="AD48" s="102"/>
      <c r="AE48" s="102"/>
      <c r="AF48" s="93"/>
      <c r="AG48" s="51"/>
      <c r="AH48" s="93"/>
      <c r="AI48" s="51"/>
      <c r="AJ48" s="224"/>
      <c r="AK48" s="169"/>
      <c r="AL48" s="326" t="s">
        <v>94</v>
      </c>
      <c r="AM48" s="210" t="str">
        <f>IF(OR(X48="",F48=""),"",X48-F48)</f>
        <v/>
      </c>
      <c r="AN48" s="171" t="str">
        <f>IF(OR(Y48="",G48=""),"",Y48-G48)</f>
        <v/>
      </c>
      <c r="AO48" s="171" t="str">
        <f>IF(OR(Z48="",H48=""),"",Z48-H48)</f>
        <v/>
      </c>
      <c r="AP48" s="171" t="str">
        <f>IF(OR(AA48="",I48=""),"",AA48-I48)</f>
        <v/>
      </c>
      <c r="AQ48" s="211" t="str">
        <f>IF(OR(AB48="",J48=""),"",AB48-J48)</f>
        <v/>
      </c>
      <c r="AR48" s="72" t="str">
        <f t="shared" ref="AR48:AR87" si="33">IF(OR(AC48="",K48=""),"",AC48-K48)</f>
        <v/>
      </c>
      <c r="AS48" s="72" t="str">
        <f t="shared" si="21"/>
        <v/>
      </c>
      <c r="AT48" s="72" t="str">
        <f t="shared" si="22"/>
        <v/>
      </c>
      <c r="AX48" s="16"/>
      <c r="AZ48" s="16"/>
    </row>
    <row r="49" spans="2:52" ht="13.5" customHeight="1" x14ac:dyDescent="0.15">
      <c r="B49" s="327"/>
      <c r="C49" s="52" t="s">
        <v>47</v>
      </c>
      <c r="D49" s="73"/>
      <c r="E49" s="95"/>
      <c r="F49" s="103"/>
      <c r="G49" s="103"/>
      <c r="H49" s="103"/>
      <c r="I49" s="103"/>
      <c r="J49" s="103"/>
      <c r="K49" s="104"/>
      <c r="L49" s="206"/>
      <c r="M49" s="206"/>
      <c r="N49" s="95"/>
      <c r="O49" s="53"/>
      <c r="P49" s="95"/>
      <c r="Q49" s="53"/>
      <c r="R49" s="225"/>
      <c r="S49" s="161"/>
      <c r="T49" s="327"/>
      <c r="U49" s="52" t="s">
        <v>47</v>
      </c>
      <c r="V49" s="73"/>
      <c r="W49" s="95"/>
      <c r="X49" s="103"/>
      <c r="Y49" s="103"/>
      <c r="Z49" s="103"/>
      <c r="AA49" s="103"/>
      <c r="AB49" s="103"/>
      <c r="AC49" s="104"/>
      <c r="AD49" s="104"/>
      <c r="AE49" s="104"/>
      <c r="AF49" s="95"/>
      <c r="AG49" s="53"/>
      <c r="AH49" s="95"/>
      <c r="AI49" s="53"/>
      <c r="AJ49" s="225"/>
      <c r="AK49" s="169"/>
      <c r="AL49" s="327"/>
      <c r="AM49" s="150" t="str">
        <f t="shared" ref="AM49:AM52" si="34">IF(OR(X49="",F49=""),"",X49-F49)</f>
        <v/>
      </c>
      <c r="AN49" s="212" t="str">
        <f t="shared" ref="AN49:AN52" si="35">IF(OR(Y49="",G49=""),"",Y49-G49)</f>
        <v/>
      </c>
      <c r="AO49" s="212" t="str">
        <f t="shared" ref="AO49:AO52" si="36">IF(OR(Z49="",H49=""),"",Z49-H49)</f>
        <v/>
      </c>
      <c r="AP49" s="212" t="str">
        <f t="shared" ref="AP49:AP52" si="37">IF(OR(AA49="",I49=""),"",AA49-I49)</f>
        <v/>
      </c>
      <c r="AQ49" s="151" t="str">
        <f t="shared" ref="AQ49:AQ52" si="38">IF(OR(AB49="",J49=""),"",AB49-J49)</f>
        <v/>
      </c>
      <c r="AR49" s="72" t="str">
        <f t="shared" si="33"/>
        <v/>
      </c>
      <c r="AS49" s="72" t="str">
        <f t="shared" si="21"/>
        <v/>
      </c>
      <c r="AT49" s="72" t="str">
        <f t="shared" si="22"/>
        <v/>
      </c>
      <c r="AX49" s="16"/>
      <c r="AZ49" s="16"/>
    </row>
    <row r="50" spans="2:52" ht="13.5" customHeight="1" x14ac:dyDescent="0.15">
      <c r="B50" s="327"/>
      <c r="C50" s="52" t="s">
        <v>48</v>
      </c>
      <c r="D50" s="73"/>
      <c r="E50" s="95"/>
      <c r="F50" s="103"/>
      <c r="G50" s="103"/>
      <c r="H50" s="103"/>
      <c r="I50" s="103"/>
      <c r="J50" s="103"/>
      <c r="K50" s="104"/>
      <c r="L50" s="206"/>
      <c r="M50" s="206"/>
      <c r="N50" s="95"/>
      <c r="O50" s="53"/>
      <c r="P50" s="95"/>
      <c r="Q50" s="53"/>
      <c r="R50" s="225"/>
      <c r="S50" s="161"/>
      <c r="T50" s="327"/>
      <c r="U50" s="52" t="s">
        <v>48</v>
      </c>
      <c r="V50" s="73"/>
      <c r="W50" s="95"/>
      <c r="X50" s="103"/>
      <c r="Y50" s="103"/>
      <c r="Z50" s="103"/>
      <c r="AA50" s="103"/>
      <c r="AB50" s="103"/>
      <c r="AC50" s="104"/>
      <c r="AD50" s="104"/>
      <c r="AE50" s="104"/>
      <c r="AF50" s="95"/>
      <c r="AG50" s="53"/>
      <c r="AH50" s="95"/>
      <c r="AI50" s="53"/>
      <c r="AJ50" s="225"/>
      <c r="AK50" s="169"/>
      <c r="AL50" s="327"/>
      <c r="AM50" s="150" t="str">
        <f t="shared" si="34"/>
        <v/>
      </c>
      <c r="AN50" s="212" t="str">
        <f t="shared" si="35"/>
        <v/>
      </c>
      <c r="AO50" s="212" t="str">
        <f t="shared" si="36"/>
        <v/>
      </c>
      <c r="AP50" s="212" t="str">
        <f t="shared" si="37"/>
        <v/>
      </c>
      <c r="AQ50" s="151" t="str">
        <f t="shared" si="38"/>
        <v/>
      </c>
      <c r="AR50" s="72" t="str">
        <f t="shared" si="33"/>
        <v/>
      </c>
      <c r="AS50" s="72" t="str">
        <f t="shared" si="21"/>
        <v/>
      </c>
      <c r="AT50" s="72" t="str">
        <f t="shared" si="22"/>
        <v/>
      </c>
      <c r="AX50" s="16"/>
      <c r="AZ50" s="16"/>
    </row>
    <row r="51" spans="2:52" ht="13.5" customHeight="1" x14ac:dyDescent="0.15">
      <c r="B51" s="327"/>
      <c r="C51" s="52" t="s">
        <v>50</v>
      </c>
      <c r="D51" s="73"/>
      <c r="E51" s="95"/>
      <c r="F51" s="103"/>
      <c r="G51" s="103"/>
      <c r="H51" s="103"/>
      <c r="I51" s="103"/>
      <c r="J51" s="103"/>
      <c r="K51" s="104"/>
      <c r="L51" s="206"/>
      <c r="M51" s="206"/>
      <c r="N51" s="95"/>
      <c r="O51" s="53"/>
      <c r="P51" s="95"/>
      <c r="Q51" s="53"/>
      <c r="R51" s="225"/>
      <c r="S51" s="161"/>
      <c r="T51" s="327"/>
      <c r="U51" s="52" t="s">
        <v>50</v>
      </c>
      <c r="V51" s="73"/>
      <c r="W51" s="95"/>
      <c r="X51" s="103"/>
      <c r="Y51" s="103"/>
      <c r="Z51" s="103"/>
      <c r="AA51" s="103"/>
      <c r="AB51" s="103"/>
      <c r="AC51" s="104"/>
      <c r="AD51" s="104"/>
      <c r="AE51" s="104"/>
      <c r="AF51" s="95"/>
      <c r="AG51" s="53"/>
      <c r="AH51" s="95"/>
      <c r="AI51" s="53"/>
      <c r="AJ51" s="225"/>
      <c r="AK51" s="169"/>
      <c r="AL51" s="327"/>
      <c r="AM51" s="150" t="str">
        <f t="shared" si="34"/>
        <v/>
      </c>
      <c r="AN51" s="212" t="str">
        <f t="shared" si="35"/>
        <v/>
      </c>
      <c r="AO51" s="212" t="str">
        <f t="shared" si="36"/>
        <v/>
      </c>
      <c r="AP51" s="212" t="str">
        <f t="shared" si="37"/>
        <v/>
      </c>
      <c r="AQ51" s="151" t="str">
        <f t="shared" si="38"/>
        <v/>
      </c>
      <c r="AR51" s="72" t="str">
        <f t="shared" si="33"/>
        <v/>
      </c>
      <c r="AS51" s="72" t="str">
        <f t="shared" si="21"/>
        <v/>
      </c>
      <c r="AT51" s="72" t="str">
        <f t="shared" si="22"/>
        <v/>
      </c>
      <c r="AX51" s="16"/>
      <c r="AZ51" s="16"/>
    </row>
    <row r="52" spans="2:52" ht="13.5" customHeight="1" thickBot="1" x14ac:dyDescent="0.2">
      <c r="B52" s="327"/>
      <c r="C52" s="52" t="s">
        <v>51</v>
      </c>
      <c r="D52" s="73"/>
      <c r="E52" s="95"/>
      <c r="F52" s="103"/>
      <c r="G52" s="103"/>
      <c r="H52" s="103"/>
      <c r="I52" s="103"/>
      <c r="J52" s="103"/>
      <c r="K52" s="104"/>
      <c r="L52" s="206"/>
      <c r="M52" s="206"/>
      <c r="N52" s="95"/>
      <c r="O52" s="53"/>
      <c r="P52" s="95"/>
      <c r="Q52" s="53"/>
      <c r="R52" s="225"/>
      <c r="S52" s="161"/>
      <c r="T52" s="327"/>
      <c r="U52" s="52" t="s">
        <v>51</v>
      </c>
      <c r="V52" s="73"/>
      <c r="W52" s="95"/>
      <c r="X52" s="103"/>
      <c r="Y52" s="103"/>
      <c r="Z52" s="103"/>
      <c r="AA52" s="103"/>
      <c r="AB52" s="103"/>
      <c r="AC52" s="104"/>
      <c r="AD52" s="104"/>
      <c r="AE52" s="104"/>
      <c r="AF52" s="95"/>
      <c r="AG52" s="53"/>
      <c r="AH52" s="95"/>
      <c r="AI52" s="53"/>
      <c r="AJ52" s="225"/>
      <c r="AK52" s="169"/>
      <c r="AL52" s="327"/>
      <c r="AM52" s="213" t="str">
        <f t="shared" si="34"/>
        <v/>
      </c>
      <c r="AN52" s="214" t="str">
        <f t="shared" si="35"/>
        <v/>
      </c>
      <c r="AO52" s="214" t="str">
        <f t="shared" si="36"/>
        <v/>
      </c>
      <c r="AP52" s="214" t="str">
        <f t="shared" si="37"/>
        <v/>
      </c>
      <c r="AQ52" s="215" t="str">
        <f t="shared" si="38"/>
        <v/>
      </c>
      <c r="AR52" s="72" t="str">
        <f t="shared" si="33"/>
        <v/>
      </c>
      <c r="AS52" s="72" t="str">
        <f t="shared" si="21"/>
        <v/>
      </c>
      <c r="AT52" s="72" t="str">
        <f t="shared" si="22"/>
        <v/>
      </c>
      <c r="AX52" s="16"/>
      <c r="AZ52" s="16"/>
    </row>
    <row r="53" spans="2:52" x14ac:dyDescent="0.15">
      <c r="B53" s="326" t="s">
        <v>95</v>
      </c>
      <c r="C53" s="50" t="s">
        <v>46</v>
      </c>
      <c r="D53" s="71"/>
      <c r="E53" s="93"/>
      <c r="F53" s="101"/>
      <c r="G53" s="101"/>
      <c r="H53" s="101"/>
      <c r="I53" s="101"/>
      <c r="J53" s="101"/>
      <c r="K53" s="102"/>
      <c r="L53" s="205"/>
      <c r="M53" s="205"/>
      <c r="N53" s="93"/>
      <c r="O53" s="51"/>
      <c r="P53" s="93"/>
      <c r="Q53" s="51"/>
      <c r="R53" s="224"/>
      <c r="S53" s="161"/>
      <c r="T53" s="326" t="s">
        <v>95</v>
      </c>
      <c r="U53" s="50" t="s">
        <v>46</v>
      </c>
      <c r="V53" s="71"/>
      <c r="W53" s="93"/>
      <c r="X53" s="101"/>
      <c r="Y53" s="101"/>
      <c r="Z53" s="101"/>
      <c r="AA53" s="101"/>
      <c r="AB53" s="101"/>
      <c r="AC53" s="102"/>
      <c r="AD53" s="102"/>
      <c r="AE53" s="102"/>
      <c r="AF53" s="93"/>
      <c r="AG53" s="51"/>
      <c r="AH53" s="93"/>
      <c r="AI53" s="51"/>
      <c r="AJ53" s="224"/>
      <c r="AK53" s="169"/>
      <c r="AL53" s="326" t="s">
        <v>95</v>
      </c>
      <c r="AM53" s="210" t="str">
        <f>IF(OR(X53="",F53=""),"",X53-F53)</f>
        <v/>
      </c>
      <c r="AN53" s="171" t="str">
        <f>IF(OR(Y53="",G53=""),"",Y53-G53)</f>
        <v/>
      </c>
      <c r="AO53" s="171" t="str">
        <f>IF(OR(Z53="",H53=""),"",Z53-H53)</f>
        <v/>
      </c>
      <c r="AP53" s="171" t="str">
        <f>IF(OR(AA53="",I53=""),"",AA53-I53)</f>
        <v/>
      </c>
      <c r="AQ53" s="211" t="str">
        <f>IF(OR(AB53="",J53=""),"",AB53-J53)</f>
        <v/>
      </c>
      <c r="AR53" s="72" t="str">
        <f t="shared" si="33"/>
        <v/>
      </c>
      <c r="AS53" s="72" t="str">
        <f t="shared" si="21"/>
        <v/>
      </c>
      <c r="AT53" s="72" t="str">
        <f t="shared" si="22"/>
        <v/>
      </c>
      <c r="AX53" s="16"/>
      <c r="AZ53" s="16"/>
    </row>
    <row r="54" spans="2:52" ht="13.5" customHeight="1" x14ac:dyDescent="0.15">
      <c r="B54" s="327"/>
      <c r="C54" s="52" t="s">
        <v>47</v>
      </c>
      <c r="D54" s="73"/>
      <c r="E54" s="95"/>
      <c r="F54" s="103"/>
      <c r="G54" s="103"/>
      <c r="H54" s="103"/>
      <c r="I54" s="103"/>
      <c r="J54" s="103"/>
      <c r="K54" s="104"/>
      <c r="L54" s="206"/>
      <c r="M54" s="206"/>
      <c r="N54" s="95"/>
      <c r="O54" s="53"/>
      <c r="P54" s="95"/>
      <c r="Q54" s="53"/>
      <c r="R54" s="225"/>
      <c r="S54" s="161"/>
      <c r="T54" s="327"/>
      <c r="U54" s="52" t="s">
        <v>47</v>
      </c>
      <c r="V54" s="73"/>
      <c r="W54" s="95"/>
      <c r="X54" s="103"/>
      <c r="Y54" s="103"/>
      <c r="Z54" s="103"/>
      <c r="AA54" s="103"/>
      <c r="AB54" s="103"/>
      <c r="AC54" s="104"/>
      <c r="AD54" s="104"/>
      <c r="AE54" s="104"/>
      <c r="AF54" s="95"/>
      <c r="AG54" s="53"/>
      <c r="AH54" s="95"/>
      <c r="AI54" s="53"/>
      <c r="AJ54" s="225"/>
      <c r="AK54" s="169"/>
      <c r="AL54" s="327"/>
      <c r="AM54" s="150" t="str">
        <f t="shared" ref="AM54:AM57" si="39">IF(OR(X54="",F54=""),"",X54-F54)</f>
        <v/>
      </c>
      <c r="AN54" s="212" t="str">
        <f t="shared" ref="AN54:AN57" si="40">IF(OR(Y54="",G54=""),"",Y54-G54)</f>
        <v/>
      </c>
      <c r="AO54" s="212" t="str">
        <f t="shared" ref="AO54:AO57" si="41">IF(OR(Z54="",H54=""),"",Z54-H54)</f>
        <v/>
      </c>
      <c r="AP54" s="212" t="str">
        <f t="shared" ref="AP54:AP57" si="42">IF(OR(AA54="",I54=""),"",AA54-I54)</f>
        <v/>
      </c>
      <c r="AQ54" s="151" t="str">
        <f t="shared" ref="AQ54:AQ57" si="43">IF(OR(AB54="",J54=""),"",AB54-J54)</f>
        <v/>
      </c>
      <c r="AR54" s="72" t="str">
        <f t="shared" si="33"/>
        <v/>
      </c>
      <c r="AS54" s="72" t="str">
        <f t="shared" si="21"/>
        <v/>
      </c>
      <c r="AT54" s="72" t="str">
        <f t="shared" si="22"/>
        <v/>
      </c>
      <c r="AX54" s="16"/>
      <c r="AZ54" s="16"/>
    </row>
    <row r="55" spans="2:52" ht="13.5" customHeight="1" x14ac:dyDescent="0.15">
      <c r="B55" s="327"/>
      <c r="C55" s="52" t="s">
        <v>48</v>
      </c>
      <c r="D55" s="73"/>
      <c r="E55" s="95"/>
      <c r="F55" s="103"/>
      <c r="G55" s="103"/>
      <c r="H55" s="103"/>
      <c r="I55" s="103"/>
      <c r="J55" s="103"/>
      <c r="K55" s="104"/>
      <c r="L55" s="206"/>
      <c r="M55" s="206"/>
      <c r="N55" s="95"/>
      <c r="O55" s="53"/>
      <c r="P55" s="95"/>
      <c r="Q55" s="53"/>
      <c r="R55" s="225"/>
      <c r="S55" s="161"/>
      <c r="T55" s="327"/>
      <c r="U55" s="52" t="s">
        <v>48</v>
      </c>
      <c r="V55" s="73"/>
      <c r="W55" s="95"/>
      <c r="X55" s="103"/>
      <c r="Y55" s="103"/>
      <c r="Z55" s="103"/>
      <c r="AA55" s="103"/>
      <c r="AB55" s="103"/>
      <c r="AC55" s="104"/>
      <c r="AD55" s="104"/>
      <c r="AE55" s="104"/>
      <c r="AF55" s="95"/>
      <c r="AG55" s="53"/>
      <c r="AH55" s="95"/>
      <c r="AI55" s="53"/>
      <c r="AJ55" s="225"/>
      <c r="AK55" s="169"/>
      <c r="AL55" s="327"/>
      <c r="AM55" s="150" t="str">
        <f t="shared" si="39"/>
        <v/>
      </c>
      <c r="AN55" s="212" t="str">
        <f t="shared" si="40"/>
        <v/>
      </c>
      <c r="AO55" s="212" t="str">
        <f t="shared" si="41"/>
        <v/>
      </c>
      <c r="AP55" s="212" t="str">
        <f t="shared" si="42"/>
        <v/>
      </c>
      <c r="AQ55" s="151" t="str">
        <f t="shared" si="43"/>
        <v/>
      </c>
      <c r="AR55" s="72" t="str">
        <f t="shared" si="33"/>
        <v/>
      </c>
      <c r="AS55" s="72" t="str">
        <f t="shared" si="21"/>
        <v/>
      </c>
      <c r="AT55" s="72" t="str">
        <f t="shared" si="22"/>
        <v/>
      </c>
      <c r="AX55" s="16"/>
      <c r="AZ55" s="16"/>
    </row>
    <row r="56" spans="2:52" ht="13.5" customHeight="1" x14ac:dyDescent="0.15">
      <c r="B56" s="327"/>
      <c r="C56" s="52" t="s">
        <v>50</v>
      </c>
      <c r="D56" s="73"/>
      <c r="E56" s="95"/>
      <c r="F56" s="103"/>
      <c r="G56" s="103"/>
      <c r="H56" s="103"/>
      <c r="I56" s="103"/>
      <c r="J56" s="103"/>
      <c r="K56" s="104"/>
      <c r="L56" s="206"/>
      <c r="M56" s="206"/>
      <c r="N56" s="95"/>
      <c r="O56" s="53"/>
      <c r="P56" s="95"/>
      <c r="Q56" s="53"/>
      <c r="R56" s="225"/>
      <c r="S56" s="161"/>
      <c r="T56" s="327"/>
      <c r="U56" s="52" t="s">
        <v>50</v>
      </c>
      <c r="V56" s="73"/>
      <c r="W56" s="95"/>
      <c r="X56" s="103"/>
      <c r="Y56" s="103"/>
      <c r="Z56" s="103"/>
      <c r="AA56" s="103"/>
      <c r="AB56" s="103"/>
      <c r="AC56" s="104"/>
      <c r="AD56" s="104"/>
      <c r="AE56" s="104"/>
      <c r="AF56" s="95"/>
      <c r="AG56" s="53"/>
      <c r="AH56" s="95"/>
      <c r="AI56" s="53"/>
      <c r="AJ56" s="225"/>
      <c r="AK56" s="169"/>
      <c r="AL56" s="327"/>
      <c r="AM56" s="150" t="str">
        <f t="shared" si="39"/>
        <v/>
      </c>
      <c r="AN56" s="212" t="str">
        <f t="shared" si="40"/>
        <v/>
      </c>
      <c r="AO56" s="212" t="str">
        <f t="shared" si="41"/>
        <v/>
      </c>
      <c r="AP56" s="212" t="str">
        <f t="shared" si="42"/>
        <v/>
      </c>
      <c r="AQ56" s="151" t="str">
        <f t="shared" si="43"/>
        <v/>
      </c>
      <c r="AR56" s="72" t="str">
        <f t="shared" si="33"/>
        <v/>
      </c>
      <c r="AS56" s="72" t="str">
        <f t="shared" si="21"/>
        <v/>
      </c>
      <c r="AT56" s="72" t="str">
        <f t="shared" si="22"/>
        <v/>
      </c>
      <c r="AX56" s="16"/>
      <c r="AZ56" s="16"/>
    </row>
    <row r="57" spans="2:52" ht="13.5" customHeight="1" thickBot="1" x14ac:dyDescent="0.2">
      <c r="B57" s="327"/>
      <c r="C57" s="52" t="s">
        <v>51</v>
      </c>
      <c r="D57" s="73"/>
      <c r="E57" s="95"/>
      <c r="F57" s="103"/>
      <c r="G57" s="103"/>
      <c r="H57" s="103"/>
      <c r="I57" s="103"/>
      <c r="J57" s="103"/>
      <c r="K57" s="104"/>
      <c r="L57" s="206"/>
      <c r="M57" s="206"/>
      <c r="N57" s="95"/>
      <c r="O57" s="53"/>
      <c r="P57" s="95"/>
      <c r="Q57" s="53"/>
      <c r="R57" s="225"/>
      <c r="S57" s="161"/>
      <c r="T57" s="327"/>
      <c r="U57" s="52" t="s">
        <v>51</v>
      </c>
      <c r="V57" s="73"/>
      <c r="W57" s="95"/>
      <c r="X57" s="103"/>
      <c r="Y57" s="103"/>
      <c r="Z57" s="103"/>
      <c r="AA57" s="103"/>
      <c r="AB57" s="103"/>
      <c r="AC57" s="104"/>
      <c r="AD57" s="104"/>
      <c r="AE57" s="104"/>
      <c r="AF57" s="95"/>
      <c r="AG57" s="53"/>
      <c r="AH57" s="95"/>
      <c r="AI57" s="53"/>
      <c r="AJ57" s="225"/>
      <c r="AK57" s="169"/>
      <c r="AL57" s="327"/>
      <c r="AM57" s="213" t="str">
        <f t="shared" si="39"/>
        <v/>
      </c>
      <c r="AN57" s="214" t="str">
        <f t="shared" si="40"/>
        <v/>
      </c>
      <c r="AO57" s="214" t="str">
        <f t="shared" si="41"/>
        <v/>
      </c>
      <c r="AP57" s="214" t="str">
        <f t="shared" si="42"/>
        <v/>
      </c>
      <c r="AQ57" s="215" t="str">
        <f t="shared" si="43"/>
        <v/>
      </c>
      <c r="AR57" s="72" t="str">
        <f t="shared" si="33"/>
        <v/>
      </c>
      <c r="AS57" s="72" t="str">
        <f t="shared" si="21"/>
        <v/>
      </c>
      <c r="AT57" s="72" t="str">
        <f t="shared" si="22"/>
        <v/>
      </c>
      <c r="AX57" s="16"/>
      <c r="AZ57" s="16"/>
    </row>
    <row r="58" spans="2:52" x14ac:dyDescent="0.15">
      <c r="B58" s="326" t="s">
        <v>96</v>
      </c>
      <c r="C58" s="50" t="s">
        <v>46</v>
      </c>
      <c r="D58" s="71"/>
      <c r="E58" s="93"/>
      <c r="F58" s="101"/>
      <c r="G58" s="101"/>
      <c r="H58" s="101"/>
      <c r="I58" s="101"/>
      <c r="J58" s="101"/>
      <c r="K58" s="102"/>
      <c r="L58" s="205"/>
      <c r="M58" s="205"/>
      <c r="N58" s="93"/>
      <c r="O58" s="51"/>
      <c r="P58" s="93"/>
      <c r="Q58" s="51"/>
      <c r="R58" s="224"/>
      <c r="S58" s="161"/>
      <c r="T58" s="326" t="s">
        <v>96</v>
      </c>
      <c r="U58" s="50" t="s">
        <v>46</v>
      </c>
      <c r="V58" s="71"/>
      <c r="W58" s="93"/>
      <c r="X58" s="101"/>
      <c r="Y58" s="101"/>
      <c r="Z58" s="101"/>
      <c r="AA58" s="101"/>
      <c r="AB58" s="101"/>
      <c r="AC58" s="102"/>
      <c r="AD58" s="102"/>
      <c r="AE58" s="102"/>
      <c r="AF58" s="93"/>
      <c r="AG58" s="51"/>
      <c r="AH58" s="93"/>
      <c r="AI58" s="51"/>
      <c r="AJ58" s="224"/>
      <c r="AK58" s="169"/>
      <c r="AL58" s="326" t="s">
        <v>96</v>
      </c>
      <c r="AM58" s="210" t="str">
        <f>IF(OR(X58="",F58=""),"",X58-F58)</f>
        <v/>
      </c>
      <c r="AN58" s="171" t="str">
        <f>IF(OR(Y58="",G58=""),"",Y58-G58)</f>
        <v/>
      </c>
      <c r="AO58" s="171" t="str">
        <f>IF(OR(Z58="",H58=""),"",Z58-H58)</f>
        <v/>
      </c>
      <c r="AP58" s="171" t="str">
        <f>IF(OR(AA58="",I58=""),"",AA58-I58)</f>
        <v/>
      </c>
      <c r="AQ58" s="211" t="str">
        <f>IF(OR(AB58="",J58=""),"",AB58-J58)</f>
        <v/>
      </c>
      <c r="AR58" s="72" t="str">
        <f t="shared" si="33"/>
        <v/>
      </c>
      <c r="AS58" s="72" t="str">
        <f t="shared" si="21"/>
        <v/>
      </c>
      <c r="AT58" s="72" t="str">
        <f t="shared" si="22"/>
        <v/>
      </c>
      <c r="AX58" s="16"/>
      <c r="AZ58" s="16"/>
    </row>
    <row r="59" spans="2:52" ht="12.75" customHeight="1" x14ac:dyDescent="0.15">
      <c r="B59" s="327"/>
      <c r="C59" s="52" t="s">
        <v>47</v>
      </c>
      <c r="D59" s="73"/>
      <c r="E59" s="95"/>
      <c r="F59" s="103"/>
      <c r="G59" s="103"/>
      <c r="H59" s="103"/>
      <c r="I59" s="103"/>
      <c r="J59" s="103"/>
      <c r="K59" s="104"/>
      <c r="L59" s="206"/>
      <c r="M59" s="206"/>
      <c r="N59" s="95"/>
      <c r="O59" s="53"/>
      <c r="P59" s="95"/>
      <c r="Q59" s="53"/>
      <c r="R59" s="225"/>
      <c r="S59" s="161"/>
      <c r="T59" s="327"/>
      <c r="U59" s="52" t="s">
        <v>47</v>
      </c>
      <c r="V59" s="73"/>
      <c r="W59" s="95"/>
      <c r="X59" s="103"/>
      <c r="Y59" s="103"/>
      <c r="Z59" s="103"/>
      <c r="AA59" s="103"/>
      <c r="AB59" s="103"/>
      <c r="AC59" s="104"/>
      <c r="AD59" s="104"/>
      <c r="AE59" s="104"/>
      <c r="AF59" s="95"/>
      <c r="AG59" s="53"/>
      <c r="AH59" s="95"/>
      <c r="AI59" s="53"/>
      <c r="AJ59" s="225"/>
      <c r="AK59" s="169"/>
      <c r="AL59" s="327"/>
      <c r="AM59" s="150" t="str">
        <f t="shared" ref="AM59:AM62" si="44">IF(OR(X59="",F59=""),"",X59-F59)</f>
        <v/>
      </c>
      <c r="AN59" s="212" t="str">
        <f t="shared" ref="AN59:AN62" si="45">IF(OR(Y59="",G59=""),"",Y59-G59)</f>
        <v/>
      </c>
      <c r="AO59" s="212" t="str">
        <f t="shared" ref="AO59:AO62" si="46">IF(OR(Z59="",H59=""),"",Z59-H59)</f>
        <v/>
      </c>
      <c r="AP59" s="212" t="str">
        <f t="shared" ref="AP59:AP62" si="47">IF(OR(AA59="",I59=""),"",AA59-I59)</f>
        <v/>
      </c>
      <c r="AQ59" s="151" t="str">
        <f t="shared" ref="AQ59:AQ62" si="48">IF(OR(AB59="",J59=""),"",AB59-J59)</f>
        <v/>
      </c>
      <c r="AR59" s="72" t="str">
        <f t="shared" si="33"/>
        <v/>
      </c>
      <c r="AS59" s="72" t="str">
        <f t="shared" si="21"/>
        <v/>
      </c>
      <c r="AT59" s="72" t="str">
        <f t="shared" si="22"/>
        <v/>
      </c>
      <c r="AX59" s="16"/>
      <c r="AZ59" s="16"/>
    </row>
    <row r="60" spans="2:52" ht="12.75" customHeight="1" x14ac:dyDescent="0.15">
      <c r="B60" s="327"/>
      <c r="C60" s="52" t="s">
        <v>48</v>
      </c>
      <c r="D60" s="73"/>
      <c r="E60" s="95"/>
      <c r="F60" s="103"/>
      <c r="G60" s="103"/>
      <c r="H60" s="103"/>
      <c r="I60" s="103"/>
      <c r="J60" s="103"/>
      <c r="K60" s="104"/>
      <c r="L60" s="206"/>
      <c r="M60" s="206"/>
      <c r="N60" s="95"/>
      <c r="O60" s="53"/>
      <c r="P60" s="95"/>
      <c r="Q60" s="53"/>
      <c r="R60" s="225"/>
      <c r="S60" s="161"/>
      <c r="T60" s="327"/>
      <c r="U60" s="52" t="s">
        <v>48</v>
      </c>
      <c r="V60" s="73"/>
      <c r="W60" s="95"/>
      <c r="X60" s="103"/>
      <c r="Y60" s="103"/>
      <c r="Z60" s="103"/>
      <c r="AA60" s="103"/>
      <c r="AB60" s="103"/>
      <c r="AC60" s="104"/>
      <c r="AD60" s="104"/>
      <c r="AE60" s="104"/>
      <c r="AF60" s="95"/>
      <c r="AG60" s="53"/>
      <c r="AH60" s="95"/>
      <c r="AI60" s="53"/>
      <c r="AJ60" s="225"/>
      <c r="AK60" s="169"/>
      <c r="AL60" s="327"/>
      <c r="AM60" s="150" t="str">
        <f t="shared" si="44"/>
        <v/>
      </c>
      <c r="AN60" s="212" t="str">
        <f t="shared" si="45"/>
        <v/>
      </c>
      <c r="AO60" s="212" t="str">
        <f t="shared" si="46"/>
        <v/>
      </c>
      <c r="AP60" s="212" t="str">
        <f t="shared" si="47"/>
        <v/>
      </c>
      <c r="AQ60" s="151" t="str">
        <f t="shared" si="48"/>
        <v/>
      </c>
      <c r="AR60" s="72" t="str">
        <f t="shared" si="33"/>
        <v/>
      </c>
      <c r="AS60" s="72" t="str">
        <f t="shared" si="21"/>
        <v/>
      </c>
      <c r="AT60" s="72" t="str">
        <f t="shared" si="22"/>
        <v/>
      </c>
      <c r="AX60" s="16"/>
      <c r="AZ60" s="16"/>
    </row>
    <row r="61" spans="2:52" ht="12.75" customHeight="1" x14ac:dyDescent="0.15">
      <c r="B61" s="327"/>
      <c r="C61" s="52" t="s">
        <v>50</v>
      </c>
      <c r="D61" s="73"/>
      <c r="E61" s="95"/>
      <c r="F61" s="103"/>
      <c r="G61" s="103"/>
      <c r="H61" s="103"/>
      <c r="I61" s="103"/>
      <c r="J61" s="103"/>
      <c r="K61" s="104"/>
      <c r="L61" s="206"/>
      <c r="M61" s="206"/>
      <c r="N61" s="95"/>
      <c r="O61" s="53"/>
      <c r="P61" s="95"/>
      <c r="Q61" s="53"/>
      <c r="R61" s="225"/>
      <c r="S61" s="161"/>
      <c r="T61" s="327"/>
      <c r="U61" s="52" t="s">
        <v>50</v>
      </c>
      <c r="V61" s="73"/>
      <c r="W61" s="95"/>
      <c r="X61" s="103"/>
      <c r="Y61" s="103"/>
      <c r="Z61" s="103"/>
      <c r="AA61" s="103"/>
      <c r="AB61" s="103"/>
      <c r="AC61" s="104"/>
      <c r="AD61" s="104"/>
      <c r="AE61" s="104"/>
      <c r="AF61" s="95"/>
      <c r="AG61" s="53"/>
      <c r="AH61" s="95"/>
      <c r="AI61" s="53"/>
      <c r="AJ61" s="225"/>
      <c r="AK61" s="169"/>
      <c r="AL61" s="327"/>
      <c r="AM61" s="150" t="str">
        <f t="shared" si="44"/>
        <v/>
      </c>
      <c r="AN61" s="212" t="str">
        <f t="shared" si="45"/>
        <v/>
      </c>
      <c r="AO61" s="212" t="str">
        <f t="shared" si="46"/>
        <v/>
      </c>
      <c r="AP61" s="212" t="str">
        <f t="shared" si="47"/>
        <v/>
      </c>
      <c r="AQ61" s="151" t="str">
        <f t="shared" si="48"/>
        <v/>
      </c>
      <c r="AR61" s="72" t="str">
        <f t="shared" si="33"/>
        <v/>
      </c>
      <c r="AS61" s="72" t="str">
        <f t="shared" si="21"/>
        <v/>
      </c>
      <c r="AT61" s="72" t="str">
        <f t="shared" si="22"/>
        <v/>
      </c>
      <c r="AX61" s="16"/>
      <c r="AZ61" s="16"/>
    </row>
    <row r="62" spans="2:52" ht="13.5" customHeight="1" thickBot="1" x14ac:dyDescent="0.2">
      <c r="B62" s="327"/>
      <c r="C62" s="52" t="s">
        <v>51</v>
      </c>
      <c r="D62" s="73"/>
      <c r="E62" s="95"/>
      <c r="F62" s="103"/>
      <c r="G62" s="103"/>
      <c r="H62" s="103"/>
      <c r="I62" s="103"/>
      <c r="J62" s="103"/>
      <c r="K62" s="104"/>
      <c r="L62" s="206"/>
      <c r="M62" s="206"/>
      <c r="N62" s="95"/>
      <c r="O62" s="53"/>
      <c r="P62" s="95"/>
      <c r="Q62" s="53"/>
      <c r="R62" s="225"/>
      <c r="S62" s="161"/>
      <c r="T62" s="327"/>
      <c r="U62" s="52" t="s">
        <v>51</v>
      </c>
      <c r="V62" s="73"/>
      <c r="W62" s="95"/>
      <c r="X62" s="103"/>
      <c r="Y62" s="103"/>
      <c r="Z62" s="103"/>
      <c r="AA62" s="103"/>
      <c r="AB62" s="103"/>
      <c r="AC62" s="104"/>
      <c r="AD62" s="104"/>
      <c r="AE62" s="104"/>
      <c r="AF62" s="95"/>
      <c r="AG62" s="53"/>
      <c r="AH62" s="95"/>
      <c r="AI62" s="53"/>
      <c r="AJ62" s="225"/>
      <c r="AK62" s="169"/>
      <c r="AL62" s="327"/>
      <c r="AM62" s="213" t="str">
        <f t="shared" si="44"/>
        <v/>
      </c>
      <c r="AN62" s="214" t="str">
        <f t="shared" si="45"/>
        <v/>
      </c>
      <c r="AO62" s="214" t="str">
        <f t="shared" si="46"/>
        <v/>
      </c>
      <c r="AP62" s="214" t="str">
        <f t="shared" si="47"/>
        <v/>
      </c>
      <c r="AQ62" s="215" t="str">
        <f t="shared" si="48"/>
        <v/>
      </c>
      <c r="AR62" s="72" t="str">
        <f t="shared" si="33"/>
        <v/>
      </c>
      <c r="AS62" s="72" t="str">
        <f t="shared" si="21"/>
        <v/>
      </c>
      <c r="AT62" s="72" t="str">
        <f t="shared" si="22"/>
        <v/>
      </c>
      <c r="AX62" s="16"/>
      <c r="AZ62" s="16"/>
    </row>
    <row r="63" spans="2:52" x14ac:dyDescent="0.15">
      <c r="B63" s="326" t="s">
        <v>97</v>
      </c>
      <c r="C63" s="50" t="s">
        <v>46</v>
      </c>
      <c r="D63" s="71"/>
      <c r="E63" s="93"/>
      <c r="F63" s="101"/>
      <c r="G63" s="101"/>
      <c r="H63" s="101"/>
      <c r="I63" s="101"/>
      <c r="J63" s="101"/>
      <c r="K63" s="102"/>
      <c r="L63" s="205"/>
      <c r="M63" s="205"/>
      <c r="N63" s="93"/>
      <c r="O63" s="51"/>
      <c r="P63" s="93"/>
      <c r="Q63" s="51"/>
      <c r="R63" s="224"/>
      <c r="S63" s="161"/>
      <c r="T63" s="326" t="s">
        <v>97</v>
      </c>
      <c r="U63" s="50" t="s">
        <v>46</v>
      </c>
      <c r="V63" s="71"/>
      <c r="W63" s="93"/>
      <c r="X63" s="101"/>
      <c r="Y63" s="101"/>
      <c r="Z63" s="101"/>
      <c r="AA63" s="101"/>
      <c r="AB63" s="101"/>
      <c r="AC63" s="102"/>
      <c r="AD63" s="102"/>
      <c r="AE63" s="102"/>
      <c r="AF63" s="93"/>
      <c r="AG63" s="51"/>
      <c r="AH63" s="93"/>
      <c r="AI63" s="51"/>
      <c r="AJ63" s="224"/>
      <c r="AK63" s="169"/>
      <c r="AL63" s="326" t="s">
        <v>97</v>
      </c>
      <c r="AM63" s="210" t="str">
        <f>IF(OR(X63="",F63=""),"",X63-F63)</f>
        <v/>
      </c>
      <c r="AN63" s="171" t="str">
        <f>IF(OR(Y63="",G63=""),"",Y63-G63)</f>
        <v/>
      </c>
      <c r="AO63" s="171" t="str">
        <f>IF(OR(Z63="",H63=""),"",Z63-H63)</f>
        <v/>
      </c>
      <c r="AP63" s="171" t="str">
        <f>IF(OR(AA63="",I63=""),"",AA63-I63)</f>
        <v/>
      </c>
      <c r="AQ63" s="211" t="str">
        <f>IF(OR(AB63="",J63=""),"",AB63-J63)</f>
        <v/>
      </c>
      <c r="AR63" s="72" t="str">
        <f t="shared" si="33"/>
        <v/>
      </c>
      <c r="AS63" s="72" t="str">
        <f t="shared" si="21"/>
        <v/>
      </c>
      <c r="AT63" s="72" t="str">
        <f t="shared" si="22"/>
        <v/>
      </c>
      <c r="AX63" s="16"/>
      <c r="AZ63" s="16"/>
    </row>
    <row r="64" spans="2:52" ht="12.75" customHeight="1" x14ac:dyDescent="0.15">
      <c r="B64" s="327"/>
      <c r="C64" s="52" t="s">
        <v>47</v>
      </c>
      <c r="D64" s="73"/>
      <c r="E64" s="95"/>
      <c r="F64" s="103"/>
      <c r="G64" s="103"/>
      <c r="H64" s="103"/>
      <c r="I64" s="103"/>
      <c r="J64" s="103"/>
      <c r="K64" s="104"/>
      <c r="L64" s="206"/>
      <c r="M64" s="206"/>
      <c r="N64" s="95"/>
      <c r="O64" s="53"/>
      <c r="P64" s="95"/>
      <c r="Q64" s="53"/>
      <c r="R64" s="225"/>
      <c r="S64" s="161"/>
      <c r="T64" s="327"/>
      <c r="U64" s="52" t="s">
        <v>47</v>
      </c>
      <c r="V64" s="73"/>
      <c r="W64" s="95"/>
      <c r="X64" s="103"/>
      <c r="Y64" s="103"/>
      <c r="Z64" s="103"/>
      <c r="AA64" s="103"/>
      <c r="AB64" s="103"/>
      <c r="AC64" s="104"/>
      <c r="AD64" s="104"/>
      <c r="AE64" s="104"/>
      <c r="AF64" s="95"/>
      <c r="AG64" s="53"/>
      <c r="AH64" s="95"/>
      <c r="AI64" s="53"/>
      <c r="AJ64" s="225"/>
      <c r="AK64" s="169"/>
      <c r="AL64" s="327"/>
      <c r="AM64" s="150" t="str">
        <f t="shared" ref="AM64:AM67" si="49">IF(OR(X64="",F64=""),"",X64-F64)</f>
        <v/>
      </c>
      <c r="AN64" s="212" t="str">
        <f t="shared" ref="AN64:AN67" si="50">IF(OR(Y64="",G64=""),"",Y64-G64)</f>
        <v/>
      </c>
      <c r="AO64" s="212" t="str">
        <f t="shared" ref="AO64:AO67" si="51">IF(OR(Z64="",H64=""),"",Z64-H64)</f>
        <v/>
      </c>
      <c r="AP64" s="212" t="str">
        <f t="shared" ref="AP64:AP67" si="52">IF(OR(AA64="",I64=""),"",AA64-I64)</f>
        <v/>
      </c>
      <c r="AQ64" s="151" t="str">
        <f t="shared" ref="AQ64:AQ67" si="53">IF(OR(AB64="",J64=""),"",AB64-J64)</f>
        <v/>
      </c>
      <c r="AR64" s="72" t="str">
        <f t="shared" si="33"/>
        <v/>
      </c>
      <c r="AS64" s="72" t="str">
        <f t="shared" si="21"/>
        <v/>
      </c>
      <c r="AT64" s="72" t="str">
        <f t="shared" si="22"/>
        <v/>
      </c>
      <c r="AX64" s="16"/>
      <c r="AZ64" s="16"/>
    </row>
    <row r="65" spans="2:52" ht="12.75" customHeight="1" x14ac:dyDescent="0.15">
      <c r="B65" s="327"/>
      <c r="C65" s="52" t="s">
        <v>48</v>
      </c>
      <c r="D65" s="73"/>
      <c r="E65" s="95"/>
      <c r="F65" s="103"/>
      <c r="G65" s="103"/>
      <c r="H65" s="103"/>
      <c r="I65" s="103"/>
      <c r="J65" s="103"/>
      <c r="K65" s="104"/>
      <c r="L65" s="206"/>
      <c r="M65" s="206"/>
      <c r="N65" s="95"/>
      <c r="O65" s="53"/>
      <c r="P65" s="95"/>
      <c r="Q65" s="53"/>
      <c r="R65" s="225"/>
      <c r="S65" s="161"/>
      <c r="T65" s="327"/>
      <c r="U65" s="52" t="s">
        <v>48</v>
      </c>
      <c r="V65" s="73"/>
      <c r="W65" s="95"/>
      <c r="X65" s="103"/>
      <c r="Y65" s="103"/>
      <c r="Z65" s="103"/>
      <c r="AA65" s="103"/>
      <c r="AB65" s="103"/>
      <c r="AC65" s="104"/>
      <c r="AD65" s="104"/>
      <c r="AE65" s="104"/>
      <c r="AF65" s="95"/>
      <c r="AG65" s="53"/>
      <c r="AH65" s="95"/>
      <c r="AI65" s="53"/>
      <c r="AJ65" s="225"/>
      <c r="AK65" s="169"/>
      <c r="AL65" s="327"/>
      <c r="AM65" s="150" t="str">
        <f t="shared" si="49"/>
        <v/>
      </c>
      <c r="AN65" s="212" t="str">
        <f t="shared" si="50"/>
        <v/>
      </c>
      <c r="AO65" s="212" t="str">
        <f t="shared" si="51"/>
        <v/>
      </c>
      <c r="AP65" s="212" t="str">
        <f t="shared" si="52"/>
        <v/>
      </c>
      <c r="AQ65" s="151" t="str">
        <f t="shared" si="53"/>
        <v/>
      </c>
      <c r="AR65" s="72" t="str">
        <f t="shared" si="33"/>
        <v/>
      </c>
      <c r="AS65" s="72" t="str">
        <f t="shared" ref="AS65:AS87" si="54">IF(OR(AD65="",L65=""),"",AD65-L65)</f>
        <v/>
      </c>
      <c r="AT65" s="72" t="str">
        <f t="shared" ref="AT65:AT87" si="55">IF(OR(AE65="",M65=""),"",AE65-M65)</f>
        <v/>
      </c>
      <c r="AX65" s="16"/>
      <c r="AZ65" s="16"/>
    </row>
    <row r="66" spans="2:52" ht="12.75" customHeight="1" x14ac:dyDescent="0.15">
      <c r="B66" s="327"/>
      <c r="C66" s="52" t="s">
        <v>50</v>
      </c>
      <c r="D66" s="73"/>
      <c r="E66" s="95"/>
      <c r="F66" s="103"/>
      <c r="G66" s="103"/>
      <c r="H66" s="103"/>
      <c r="I66" s="103"/>
      <c r="J66" s="103"/>
      <c r="K66" s="104"/>
      <c r="L66" s="206"/>
      <c r="M66" s="206"/>
      <c r="N66" s="95"/>
      <c r="O66" s="53"/>
      <c r="P66" s="95"/>
      <c r="Q66" s="53"/>
      <c r="R66" s="225"/>
      <c r="S66" s="161"/>
      <c r="T66" s="327"/>
      <c r="U66" s="52" t="s">
        <v>50</v>
      </c>
      <c r="V66" s="73"/>
      <c r="W66" s="95"/>
      <c r="X66" s="103"/>
      <c r="Y66" s="103"/>
      <c r="Z66" s="103"/>
      <c r="AA66" s="103"/>
      <c r="AB66" s="103"/>
      <c r="AC66" s="104"/>
      <c r="AD66" s="104"/>
      <c r="AE66" s="104"/>
      <c r="AF66" s="95"/>
      <c r="AG66" s="53"/>
      <c r="AH66" s="95"/>
      <c r="AI66" s="53"/>
      <c r="AJ66" s="225"/>
      <c r="AK66" s="169"/>
      <c r="AL66" s="327"/>
      <c r="AM66" s="150" t="str">
        <f t="shared" si="49"/>
        <v/>
      </c>
      <c r="AN66" s="212" t="str">
        <f t="shared" si="50"/>
        <v/>
      </c>
      <c r="AO66" s="212" t="str">
        <f t="shared" si="51"/>
        <v/>
      </c>
      <c r="AP66" s="212" t="str">
        <f t="shared" si="52"/>
        <v/>
      </c>
      <c r="AQ66" s="151" t="str">
        <f t="shared" si="53"/>
        <v/>
      </c>
      <c r="AR66" s="72" t="str">
        <f t="shared" si="33"/>
        <v/>
      </c>
      <c r="AS66" s="72" t="str">
        <f t="shared" si="54"/>
        <v/>
      </c>
      <c r="AT66" s="72" t="str">
        <f t="shared" si="55"/>
        <v/>
      </c>
      <c r="AX66" s="16"/>
      <c r="AZ66" s="16"/>
    </row>
    <row r="67" spans="2:52" ht="13.5" customHeight="1" thickBot="1" x14ac:dyDescent="0.2">
      <c r="B67" s="327"/>
      <c r="C67" s="52" t="s">
        <v>51</v>
      </c>
      <c r="D67" s="73"/>
      <c r="E67" s="95"/>
      <c r="F67" s="103"/>
      <c r="G67" s="103"/>
      <c r="H67" s="103"/>
      <c r="I67" s="103"/>
      <c r="J67" s="103"/>
      <c r="K67" s="104"/>
      <c r="L67" s="206"/>
      <c r="M67" s="206"/>
      <c r="N67" s="95"/>
      <c r="O67" s="53"/>
      <c r="P67" s="95"/>
      <c r="Q67" s="53"/>
      <c r="R67" s="225"/>
      <c r="S67" s="161"/>
      <c r="T67" s="327"/>
      <c r="U67" s="52" t="s">
        <v>51</v>
      </c>
      <c r="V67" s="73"/>
      <c r="W67" s="95"/>
      <c r="X67" s="103"/>
      <c r="Y67" s="103"/>
      <c r="Z67" s="103"/>
      <c r="AA67" s="103"/>
      <c r="AB67" s="103"/>
      <c r="AC67" s="104"/>
      <c r="AD67" s="104"/>
      <c r="AE67" s="104"/>
      <c r="AF67" s="95"/>
      <c r="AG67" s="53"/>
      <c r="AH67" s="95"/>
      <c r="AI67" s="53"/>
      <c r="AJ67" s="225"/>
      <c r="AK67" s="169"/>
      <c r="AL67" s="327"/>
      <c r="AM67" s="213" t="str">
        <f t="shared" si="49"/>
        <v/>
      </c>
      <c r="AN67" s="214" t="str">
        <f t="shared" si="50"/>
        <v/>
      </c>
      <c r="AO67" s="214" t="str">
        <f t="shared" si="51"/>
        <v/>
      </c>
      <c r="AP67" s="214" t="str">
        <f t="shared" si="52"/>
        <v/>
      </c>
      <c r="AQ67" s="215" t="str">
        <f t="shared" si="53"/>
        <v/>
      </c>
      <c r="AR67" s="72" t="str">
        <f t="shared" si="33"/>
        <v/>
      </c>
      <c r="AS67" s="72" t="str">
        <f t="shared" si="54"/>
        <v/>
      </c>
      <c r="AT67" s="72" t="str">
        <f t="shared" si="55"/>
        <v/>
      </c>
      <c r="AX67" s="16"/>
      <c r="AZ67" s="16"/>
    </row>
    <row r="68" spans="2:52" x14ac:dyDescent="0.15">
      <c r="B68" s="326" t="s">
        <v>98</v>
      </c>
      <c r="C68" s="50" t="s">
        <v>46</v>
      </c>
      <c r="D68" s="71"/>
      <c r="E68" s="93"/>
      <c r="F68" s="101"/>
      <c r="G68" s="101"/>
      <c r="H68" s="101"/>
      <c r="I68" s="101"/>
      <c r="J68" s="101"/>
      <c r="K68" s="102"/>
      <c r="L68" s="205"/>
      <c r="M68" s="205"/>
      <c r="N68" s="93"/>
      <c r="O68" s="51"/>
      <c r="P68" s="93"/>
      <c r="Q68" s="51"/>
      <c r="R68" s="224"/>
      <c r="S68" s="161"/>
      <c r="T68" s="326" t="s">
        <v>98</v>
      </c>
      <c r="U68" s="50" t="s">
        <v>46</v>
      </c>
      <c r="V68" s="71"/>
      <c r="W68" s="93"/>
      <c r="X68" s="101"/>
      <c r="Y68" s="101"/>
      <c r="Z68" s="101"/>
      <c r="AA68" s="101"/>
      <c r="AB68" s="101"/>
      <c r="AC68" s="102"/>
      <c r="AD68" s="102"/>
      <c r="AE68" s="102"/>
      <c r="AF68" s="93"/>
      <c r="AG68" s="51"/>
      <c r="AH68" s="93"/>
      <c r="AI68" s="51"/>
      <c r="AJ68" s="224"/>
      <c r="AK68" s="169"/>
      <c r="AL68" s="326" t="s">
        <v>98</v>
      </c>
      <c r="AM68" s="210" t="str">
        <f>IF(OR(X68="",F68=""),"",X68-F68)</f>
        <v/>
      </c>
      <c r="AN68" s="171" t="str">
        <f>IF(OR(Y68="",G68=""),"",Y68-G68)</f>
        <v/>
      </c>
      <c r="AO68" s="171" t="str">
        <f>IF(OR(Z68="",H68=""),"",Z68-H68)</f>
        <v/>
      </c>
      <c r="AP68" s="171" t="str">
        <f>IF(OR(AA68="",I68=""),"",AA68-I68)</f>
        <v/>
      </c>
      <c r="AQ68" s="211" t="str">
        <f>IF(OR(AB68="",J68=""),"",AB68-J68)</f>
        <v/>
      </c>
      <c r="AR68" s="72" t="str">
        <f t="shared" si="33"/>
        <v/>
      </c>
      <c r="AS68" s="72" t="str">
        <f t="shared" si="54"/>
        <v/>
      </c>
      <c r="AT68" s="72" t="str">
        <f t="shared" si="55"/>
        <v/>
      </c>
      <c r="AX68" s="16"/>
      <c r="AZ68" s="16"/>
    </row>
    <row r="69" spans="2:52" ht="12.75" customHeight="1" x14ac:dyDescent="0.15">
      <c r="B69" s="327"/>
      <c r="C69" s="52" t="s">
        <v>47</v>
      </c>
      <c r="D69" s="73"/>
      <c r="E69" s="95"/>
      <c r="F69" s="103"/>
      <c r="G69" s="103"/>
      <c r="H69" s="103"/>
      <c r="I69" s="103"/>
      <c r="J69" s="103"/>
      <c r="K69" s="104"/>
      <c r="L69" s="206"/>
      <c r="M69" s="206"/>
      <c r="N69" s="95"/>
      <c r="O69" s="53"/>
      <c r="P69" s="95"/>
      <c r="Q69" s="53"/>
      <c r="R69" s="225"/>
      <c r="S69" s="161"/>
      <c r="T69" s="327"/>
      <c r="U69" s="52" t="s">
        <v>47</v>
      </c>
      <c r="V69" s="73"/>
      <c r="W69" s="95"/>
      <c r="X69" s="103"/>
      <c r="Y69" s="103"/>
      <c r="Z69" s="103"/>
      <c r="AA69" s="103"/>
      <c r="AB69" s="103"/>
      <c r="AC69" s="104"/>
      <c r="AD69" s="104"/>
      <c r="AE69" s="104"/>
      <c r="AF69" s="95"/>
      <c r="AG69" s="53"/>
      <c r="AH69" s="95"/>
      <c r="AI69" s="53"/>
      <c r="AJ69" s="225"/>
      <c r="AK69" s="169"/>
      <c r="AL69" s="327"/>
      <c r="AM69" s="150" t="str">
        <f t="shared" ref="AM69:AM72" si="56">IF(OR(X69="",F69=""),"",X69-F69)</f>
        <v/>
      </c>
      <c r="AN69" s="212" t="str">
        <f t="shared" ref="AN69:AN72" si="57">IF(OR(Y69="",G69=""),"",Y69-G69)</f>
        <v/>
      </c>
      <c r="AO69" s="212" t="str">
        <f t="shared" ref="AO69:AO72" si="58">IF(OR(Z69="",H69=""),"",Z69-H69)</f>
        <v/>
      </c>
      <c r="AP69" s="212" t="str">
        <f t="shared" ref="AP69:AP72" si="59">IF(OR(AA69="",I69=""),"",AA69-I69)</f>
        <v/>
      </c>
      <c r="AQ69" s="151" t="str">
        <f t="shared" ref="AQ69:AQ72" si="60">IF(OR(AB69="",J69=""),"",AB69-J69)</f>
        <v/>
      </c>
      <c r="AR69" s="72" t="str">
        <f t="shared" si="33"/>
        <v/>
      </c>
      <c r="AS69" s="72" t="str">
        <f t="shared" si="54"/>
        <v/>
      </c>
      <c r="AT69" s="72" t="str">
        <f t="shared" si="55"/>
        <v/>
      </c>
      <c r="AX69" s="16"/>
      <c r="AZ69" s="16"/>
    </row>
    <row r="70" spans="2:52" ht="12.75" customHeight="1" x14ac:dyDescent="0.15">
      <c r="B70" s="327"/>
      <c r="C70" s="52" t="s">
        <v>48</v>
      </c>
      <c r="D70" s="73"/>
      <c r="E70" s="95"/>
      <c r="F70" s="103"/>
      <c r="G70" s="103"/>
      <c r="H70" s="103"/>
      <c r="I70" s="103"/>
      <c r="J70" s="103"/>
      <c r="K70" s="104"/>
      <c r="L70" s="206"/>
      <c r="M70" s="206"/>
      <c r="N70" s="95"/>
      <c r="O70" s="53"/>
      <c r="P70" s="95"/>
      <c r="Q70" s="53"/>
      <c r="R70" s="225"/>
      <c r="S70" s="161"/>
      <c r="T70" s="327"/>
      <c r="U70" s="52" t="s">
        <v>48</v>
      </c>
      <c r="V70" s="73"/>
      <c r="W70" s="95"/>
      <c r="X70" s="103"/>
      <c r="Y70" s="103"/>
      <c r="Z70" s="103"/>
      <c r="AA70" s="103"/>
      <c r="AB70" s="103"/>
      <c r="AC70" s="104"/>
      <c r="AD70" s="104"/>
      <c r="AE70" s="104"/>
      <c r="AF70" s="95"/>
      <c r="AG70" s="53"/>
      <c r="AH70" s="95"/>
      <c r="AI70" s="53"/>
      <c r="AJ70" s="225"/>
      <c r="AK70" s="169"/>
      <c r="AL70" s="327"/>
      <c r="AM70" s="150" t="str">
        <f t="shared" si="56"/>
        <v/>
      </c>
      <c r="AN70" s="212" t="str">
        <f t="shared" si="57"/>
        <v/>
      </c>
      <c r="AO70" s="212" t="str">
        <f t="shared" si="58"/>
        <v/>
      </c>
      <c r="AP70" s="212" t="str">
        <f t="shared" si="59"/>
        <v/>
      </c>
      <c r="AQ70" s="151" t="str">
        <f t="shared" si="60"/>
        <v/>
      </c>
      <c r="AR70" s="72" t="str">
        <f t="shared" si="33"/>
        <v/>
      </c>
      <c r="AS70" s="72" t="str">
        <f t="shared" si="54"/>
        <v/>
      </c>
      <c r="AT70" s="72" t="str">
        <f t="shared" si="55"/>
        <v/>
      </c>
      <c r="AX70" s="16"/>
      <c r="AZ70" s="16"/>
    </row>
    <row r="71" spans="2:52" ht="12.75" customHeight="1" x14ac:dyDescent="0.15">
      <c r="B71" s="327"/>
      <c r="C71" s="52" t="s">
        <v>50</v>
      </c>
      <c r="D71" s="73"/>
      <c r="E71" s="95"/>
      <c r="F71" s="103"/>
      <c r="G71" s="103"/>
      <c r="H71" s="103"/>
      <c r="I71" s="103"/>
      <c r="J71" s="103"/>
      <c r="K71" s="104"/>
      <c r="L71" s="206"/>
      <c r="M71" s="206"/>
      <c r="N71" s="95"/>
      <c r="O71" s="53"/>
      <c r="P71" s="95"/>
      <c r="Q71" s="53"/>
      <c r="R71" s="225"/>
      <c r="S71" s="161"/>
      <c r="T71" s="327"/>
      <c r="U71" s="52" t="s">
        <v>50</v>
      </c>
      <c r="V71" s="73"/>
      <c r="W71" s="95"/>
      <c r="X71" s="103"/>
      <c r="Y71" s="103"/>
      <c r="Z71" s="103"/>
      <c r="AA71" s="103"/>
      <c r="AB71" s="103"/>
      <c r="AC71" s="104"/>
      <c r="AD71" s="104"/>
      <c r="AE71" s="104"/>
      <c r="AF71" s="95"/>
      <c r="AG71" s="53"/>
      <c r="AH71" s="95"/>
      <c r="AI71" s="53"/>
      <c r="AJ71" s="225"/>
      <c r="AK71" s="169"/>
      <c r="AL71" s="327"/>
      <c r="AM71" s="150" t="str">
        <f t="shared" si="56"/>
        <v/>
      </c>
      <c r="AN71" s="212" t="str">
        <f t="shared" si="57"/>
        <v/>
      </c>
      <c r="AO71" s="212" t="str">
        <f t="shared" si="58"/>
        <v/>
      </c>
      <c r="AP71" s="212" t="str">
        <f t="shared" si="59"/>
        <v/>
      </c>
      <c r="AQ71" s="151" t="str">
        <f t="shared" si="60"/>
        <v/>
      </c>
      <c r="AR71" s="72" t="str">
        <f t="shared" si="33"/>
        <v/>
      </c>
      <c r="AS71" s="72" t="str">
        <f t="shared" si="54"/>
        <v/>
      </c>
      <c r="AT71" s="72" t="str">
        <f t="shared" si="55"/>
        <v/>
      </c>
      <c r="AX71" s="16"/>
      <c r="AZ71" s="16"/>
    </row>
    <row r="72" spans="2:52" ht="13.5" customHeight="1" thickBot="1" x14ac:dyDescent="0.2">
      <c r="B72" s="327"/>
      <c r="C72" s="52" t="s">
        <v>51</v>
      </c>
      <c r="D72" s="73"/>
      <c r="E72" s="95"/>
      <c r="F72" s="103"/>
      <c r="G72" s="103"/>
      <c r="H72" s="103"/>
      <c r="I72" s="103"/>
      <c r="J72" s="103"/>
      <c r="K72" s="104"/>
      <c r="L72" s="206"/>
      <c r="M72" s="206"/>
      <c r="N72" s="95"/>
      <c r="O72" s="53"/>
      <c r="P72" s="95"/>
      <c r="Q72" s="53"/>
      <c r="R72" s="225"/>
      <c r="S72" s="161"/>
      <c r="T72" s="327"/>
      <c r="U72" s="52" t="s">
        <v>51</v>
      </c>
      <c r="V72" s="73"/>
      <c r="W72" s="95"/>
      <c r="X72" s="103"/>
      <c r="Y72" s="103"/>
      <c r="Z72" s="103"/>
      <c r="AA72" s="103"/>
      <c r="AB72" s="103"/>
      <c r="AC72" s="104"/>
      <c r="AD72" s="104"/>
      <c r="AE72" s="104"/>
      <c r="AF72" s="95"/>
      <c r="AG72" s="53"/>
      <c r="AH72" s="95"/>
      <c r="AI72" s="53"/>
      <c r="AJ72" s="225"/>
      <c r="AK72" s="169"/>
      <c r="AL72" s="327"/>
      <c r="AM72" s="213" t="str">
        <f t="shared" si="56"/>
        <v/>
      </c>
      <c r="AN72" s="214" t="str">
        <f t="shared" si="57"/>
        <v/>
      </c>
      <c r="AO72" s="214" t="str">
        <f t="shared" si="58"/>
        <v/>
      </c>
      <c r="AP72" s="214" t="str">
        <f t="shared" si="59"/>
        <v/>
      </c>
      <c r="AQ72" s="215" t="str">
        <f t="shared" si="60"/>
        <v/>
      </c>
      <c r="AR72" s="72" t="str">
        <f t="shared" si="33"/>
        <v/>
      </c>
      <c r="AS72" s="72" t="str">
        <f t="shared" si="54"/>
        <v/>
      </c>
      <c r="AT72" s="72" t="str">
        <f t="shared" si="55"/>
        <v/>
      </c>
      <c r="AX72" s="16"/>
      <c r="AZ72" s="16"/>
    </row>
    <row r="73" spans="2:52" x14ac:dyDescent="0.15">
      <c r="B73" s="329" t="s">
        <v>99</v>
      </c>
      <c r="C73" s="50" t="s">
        <v>46</v>
      </c>
      <c r="D73" s="71"/>
      <c r="E73" s="93"/>
      <c r="F73" s="101"/>
      <c r="G73" s="101"/>
      <c r="H73" s="101"/>
      <c r="I73" s="101"/>
      <c r="J73" s="101"/>
      <c r="K73" s="102"/>
      <c r="L73" s="205"/>
      <c r="M73" s="205"/>
      <c r="N73" s="93"/>
      <c r="O73" s="51"/>
      <c r="P73" s="93"/>
      <c r="Q73" s="51"/>
      <c r="R73" s="224"/>
      <c r="S73" s="161"/>
      <c r="T73" s="329" t="s">
        <v>99</v>
      </c>
      <c r="U73" s="50" t="s">
        <v>46</v>
      </c>
      <c r="V73" s="71"/>
      <c r="W73" s="93"/>
      <c r="X73" s="101"/>
      <c r="Y73" s="101"/>
      <c r="Z73" s="101"/>
      <c r="AA73" s="101"/>
      <c r="AB73" s="101"/>
      <c r="AC73" s="102"/>
      <c r="AD73" s="102"/>
      <c r="AE73" s="102"/>
      <c r="AF73" s="93"/>
      <c r="AG73" s="51"/>
      <c r="AH73" s="93"/>
      <c r="AI73" s="51"/>
      <c r="AJ73" s="224"/>
      <c r="AK73" s="169"/>
      <c r="AL73" s="329" t="s">
        <v>99</v>
      </c>
      <c r="AM73" s="210" t="str">
        <f>IF(OR(X73="",F73=""),"",X73-F73)</f>
        <v/>
      </c>
      <c r="AN73" s="171" t="str">
        <f>IF(OR(Y73="",G73=""),"",Y73-G73)</f>
        <v/>
      </c>
      <c r="AO73" s="171" t="str">
        <f>IF(OR(Z73="",H73=""),"",Z73-H73)</f>
        <v/>
      </c>
      <c r="AP73" s="171" t="str">
        <f>IF(OR(AA73="",I73=""),"",AA73-I73)</f>
        <v/>
      </c>
      <c r="AQ73" s="211" t="str">
        <f>IF(OR(AB73="",J73=""),"",AB73-J73)</f>
        <v/>
      </c>
      <c r="AR73" s="72" t="str">
        <f t="shared" si="33"/>
        <v/>
      </c>
      <c r="AS73" s="72" t="str">
        <f t="shared" si="54"/>
        <v/>
      </c>
      <c r="AT73" s="72" t="str">
        <f t="shared" si="55"/>
        <v/>
      </c>
      <c r="AX73" s="16"/>
      <c r="AZ73" s="16"/>
    </row>
    <row r="74" spans="2:52" ht="12.75" customHeight="1" x14ac:dyDescent="0.15">
      <c r="B74" s="330"/>
      <c r="C74" s="52" t="s">
        <v>47</v>
      </c>
      <c r="D74" s="73"/>
      <c r="E74" s="95"/>
      <c r="F74" s="103"/>
      <c r="G74" s="103"/>
      <c r="H74" s="103"/>
      <c r="I74" s="103"/>
      <c r="J74" s="103"/>
      <c r="K74" s="104"/>
      <c r="L74" s="206"/>
      <c r="M74" s="206"/>
      <c r="N74" s="95"/>
      <c r="O74" s="53"/>
      <c r="P74" s="95"/>
      <c r="Q74" s="53"/>
      <c r="R74" s="225"/>
      <c r="S74" s="161"/>
      <c r="T74" s="330"/>
      <c r="U74" s="52" t="s">
        <v>47</v>
      </c>
      <c r="V74" s="73"/>
      <c r="W74" s="95"/>
      <c r="X74" s="103"/>
      <c r="Y74" s="103"/>
      <c r="Z74" s="103"/>
      <c r="AA74" s="103"/>
      <c r="AB74" s="103"/>
      <c r="AC74" s="104"/>
      <c r="AD74" s="104"/>
      <c r="AE74" s="104"/>
      <c r="AF74" s="95"/>
      <c r="AG74" s="53"/>
      <c r="AH74" s="95"/>
      <c r="AI74" s="53"/>
      <c r="AJ74" s="225"/>
      <c r="AK74" s="169"/>
      <c r="AL74" s="330"/>
      <c r="AM74" s="150" t="str">
        <f t="shared" ref="AM74:AM77" si="61">IF(OR(X74="",F74=""),"",X74-F74)</f>
        <v/>
      </c>
      <c r="AN74" s="212" t="str">
        <f t="shared" ref="AN74:AN77" si="62">IF(OR(Y74="",G74=""),"",Y74-G74)</f>
        <v/>
      </c>
      <c r="AO74" s="212" t="str">
        <f t="shared" ref="AO74:AO77" si="63">IF(OR(Z74="",H74=""),"",Z74-H74)</f>
        <v/>
      </c>
      <c r="AP74" s="212" t="str">
        <f t="shared" ref="AP74:AP77" si="64">IF(OR(AA74="",I74=""),"",AA74-I74)</f>
        <v/>
      </c>
      <c r="AQ74" s="151" t="str">
        <f t="shared" ref="AQ74:AQ77" si="65">IF(OR(AB74="",J74=""),"",AB74-J74)</f>
        <v/>
      </c>
      <c r="AR74" s="72" t="str">
        <f t="shared" si="33"/>
        <v/>
      </c>
      <c r="AS74" s="72" t="str">
        <f t="shared" si="54"/>
        <v/>
      </c>
      <c r="AT74" s="72" t="str">
        <f t="shared" si="55"/>
        <v/>
      </c>
      <c r="AX74" s="16"/>
      <c r="AZ74" s="16"/>
    </row>
    <row r="75" spans="2:52" ht="12.75" customHeight="1" x14ac:dyDescent="0.15">
      <c r="B75" s="330"/>
      <c r="C75" s="52" t="s">
        <v>48</v>
      </c>
      <c r="D75" s="73"/>
      <c r="E75" s="95"/>
      <c r="F75" s="103"/>
      <c r="G75" s="103"/>
      <c r="H75" s="103"/>
      <c r="I75" s="103"/>
      <c r="J75" s="103"/>
      <c r="K75" s="104"/>
      <c r="L75" s="206"/>
      <c r="M75" s="206"/>
      <c r="N75" s="95"/>
      <c r="O75" s="53"/>
      <c r="P75" s="95"/>
      <c r="Q75" s="53"/>
      <c r="R75" s="225"/>
      <c r="S75" s="161"/>
      <c r="T75" s="330"/>
      <c r="U75" s="52" t="s">
        <v>48</v>
      </c>
      <c r="V75" s="73"/>
      <c r="W75" s="95"/>
      <c r="X75" s="103"/>
      <c r="Y75" s="103"/>
      <c r="Z75" s="103"/>
      <c r="AA75" s="103"/>
      <c r="AB75" s="103"/>
      <c r="AC75" s="104"/>
      <c r="AD75" s="104"/>
      <c r="AE75" s="104"/>
      <c r="AF75" s="95"/>
      <c r="AG75" s="53"/>
      <c r="AH75" s="95"/>
      <c r="AI75" s="53"/>
      <c r="AJ75" s="225"/>
      <c r="AK75" s="169"/>
      <c r="AL75" s="330"/>
      <c r="AM75" s="150" t="str">
        <f t="shared" si="61"/>
        <v/>
      </c>
      <c r="AN75" s="212" t="str">
        <f t="shared" si="62"/>
        <v/>
      </c>
      <c r="AO75" s="212" t="str">
        <f t="shared" si="63"/>
        <v/>
      </c>
      <c r="AP75" s="212" t="str">
        <f t="shared" si="64"/>
        <v/>
      </c>
      <c r="AQ75" s="151" t="str">
        <f t="shared" si="65"/>
        <v/>
      </c>
      <c r="AR75" s="72" t="str">
        <f t="shared" si="33"/>
        <v/>
      </c>
      <c r="AS75" s="72" t="str">
        <f t="shared" si="54"/>
        <v/>
      </c>
      <c r="AT75" s="72" t="str">
        <f t="shared" si="55"/>
        <v/>
      </c>
      <c r="AX75" s="16"/>
      <c r="AZ75" s="16"/>
    </row>
    <row r="76" spans="2:52" ht="12.75" customHeight="1" x14ac:dyDescent="0.15">
      <c r="B76" s="330"/>
      <c r="C76" s="52" t="s">
        <v>50</v>
      </c>
      <c r="D76" s="73"/>
      <c r="E76" s="95"/>
      <c r="F76" s="103"/>
      <c r="G76" s="103"/>
      <c r="H76" s="103"/>
      <c r="I76" s="103"/>
      <c r="J76" s="103"/>
      <c r="K76" s="104"/>
      <c r="L76" s="206"/>
      <c r="M76" s="206"/>
      <c r="N76" s="95"/>
      <c r="O76" s="53"/>
      <c r="P76" s="95"/>
      <c r="Q76" s="53"/>
      <c r="R76" s="225"/>
      <c r="S76" s="161"/>
      <c r="T76" s="330"/>
      <c r="U76" s="52" t="s">
        <v>50</v>
      </c>
      <c r="V76" s="73"/>
      <c r="W76" s="95"/>
      <c r="X76" s="103"/>
      <c r="Y76" s="103"/>
      <c r="Z76" s="103"/>
      <c r="AA76" s="103"/>
      <c r="AB76" s="103"/>
      <c r="AC76" s="104"/>
      <c r="AD76" s="104"/>
      <c r="AE76" s="104"/>
      <c r="AF76" s="95"/>
      <c r="AG76" s="53"/>
      <c r="AH76" s="95"/>
      <c r="AI76" s="53"/>
      <c r="AJ76" s="225"/>
      <c r="AK76" s="169"/>
      <c r="AL76" s="330"/>
      <c r="AM76" s="150" t="str">
        <f t="shared" si="61"/>
        <v/>
      </c>
      <c r="AN76" s="212" t="str">
        <f t="shared" si="62"/>
        <v/>
      </c>
      <c r="AO76" s="212" t="str">
        <f t="shared" si="63"/>
        <v/>
      </c>
      <c r="AP76" s="212" t="str">
        <f t="shared" si="64"/>
        <v/>
      </c>
      <c r="AQ76" s="151" t="str">
        <f t="shared" si="65"/>
        <v/>
      </c>
      <c r="AR76" s="72" t="str">
        <f t="shared" si="33"/>
        <v/>
      </c>
      <c r="AS76" s="72" t="str">
        <f t="shared" si="54"/>
        <v/>
      </c>
      <c r="AT76" s="72" t="str">
        <f t="shared" si="55"/>
        <v/>
      </c>
      <c r="AX76" s="16"/>
      <c r="AZ76" s="16"/>
    </row>
    <row r="77" spans="2:52" ht="13.5" customHeight="1" thickBot="1" x14ac:dyDescent="0.2">
      <c r="B77" s="330"/>
      <c r="C77" s="52" t="s">
        <v>51</v>
      </c>
      <c r="D77" s="73"/>
      <c r="E77" s="95"/>
      <c r="F77" s="103"/>
      <c r="G77" s="103"/>
      <c r="H77" s="103"/>
      <c r="I77" s="103"/>
      <c r="J77" s="103"/>
      <c r="K77" s="104"/>
      <c r="L77" s="206"/>
      <c r="M77" s="206"/>
      <c r="N77" s="95"/>
      <c r="O77" s="53"/>
      <c r="P77" s="95"/>
      <c r="Q77" s="53"/>
      <c r="R77" s="225"/>
      <c r="S77" s="161"/>
      <c r="T77" s="330"/>
      <c r="U77" s="52" t="s">
        <v>51</v>
      </c>
      <c r="V77" s="73"/>
      <c r="W77" s="95"/>
      <c r="X77" s="103"/>
      <c r="Y77" s="103"/>
      <c r="Z77" s="103"/>
      <c r="AA77" s="103"/>
      <c r="AB77" s="103"/>
      <c r="AC77" s="104"/>
      <c r="AD77" s="104"/>
      <c r="AE77" s="104"/>
      <c r="AF77" s="95"/>
      <c r="AG77" s="53"/>
      <c r="AH77" s="95"/>
      <c r="AI77" s="53"/>
      <c r="AJ77" s="225"/>
      <c r="AK77" s="169"/>
      <c r="AL77" s="330"/>
      <c r="AM77" s="213" t="str">
        <f t="shared" si="61"/>
        <v/>
      </c>
      <c r="AN77" s="214" t="str">
        <f t="shared" si="62"/>
        <v/>
      </c>
      <c r="AO77" s="214" t="str">
        <f t="shared" si="63"/>
        <v/>
      </c>
      <c r="AP77" s="214" t="str">
        <f t="shared" si="64"/>
        <v/>
      </c>
      <c r="AQ77" s="215" t="str">
        <f t="shared" si="65"/>
        <v/>
      </c>
      <c r="AR77" s="72" t="str">
        <f t="shared" si="33"/>
        <v/>
      </c>
      <c r="AS77" s="72" t="str">
        <f t="shared" si="54"/>
        <v/>
      </c>
      <c r="AT77" s="72" t="str">
        <f t="shared" si="55"/>
        <v/>
      </c>
      <c r="AX77" s="16"/>
      <c r="AZ77" s="16"/>
    </row>
    <row r="78" spans="2:52" x14ac:dyDescent="0.15">
      <c r="B78" s="326" t="s">
        <v>100</v>
      </c>
      <c r="C78" s="50" t="s">
        <v>46</v>
      </c>
      <c r="D78" s="71"/>
      <c r="E78" s="93"/>
      <c r="F78" s="101"/>
      <c r="G78" s="101"/>
      <c r="H78" s="101"/>
      <c r="I78" s="101"/>
      <c r="J78" s="101"/>
      <c r="K78" s="102"/>
      <c r="L78" s="205"/>
      <c r="M78" s="205"/>
      <c r="N78" s="93"/>
      <c r="O78" s="51"/>
      <c r="P78" s="93"/>
      <c r="Q78" s="51"/>
      <c r="R78" s="224"/>
      <c r="S78" s="161"/>
      <c r="T78" s="326" t="s">
        <v>100</v>
      </c>
      <c r="U78" s="50" t="s">
        <v>46</v>
      </c>
      <c r="V78" s="71"/>
      <c r="W78" s="93"/>
      <c r="X78" s="101"/>
      <c r="Y78" s="101"/>
      <c r="Z78" s="101"/>
      <c r="AA78" s="101"/>
      <c r="AB78" s="101"/>
      <c r="AC78" s="102"/>
      <c r="AD78" s="102"/>
      <c r="AE78" s="102"/>
      <c r="AF78" s="93"/>
      <c r="AG78" s="51"/>
      <c r="AH78" s="93"/>
      <c r="AI78" s="51"/>
      <c r="AJ78" s="224"/>
      <c r="AK78" s="169"/>
      <c r="AL78" s="326" t="s">
        <v>100</v>
      </c>
      <c r="AM78" s="210" t="str">
        <f>IF(OR(X78="",F78=""),"",X78-F78)</f>
        <v/>
      </c>
      <c r="AN78" s="171" t="str">
        <f>IF(OR(Y78="",G78=""),"",Y78-G78)</f>
        <v/>
      </c>
      <c r="AO78" s="171" t="str">
        <f>IF(OR(Z78="",H78=""),"",Z78-H78)</f>
        <v/>
      </c>
      <c r="AP78" s="171" t="str">
        <f>IF(OR(AA78="",I78=""),"",AA78-I78)</f>
        <v/>
      </c>
      <c r="AQ78" s="211" t="str">
        <f>IF(OR(AB78="",J78=""),"",AB78-J78)</f>
        <v/>
      </c>
      <c r="AR78" s="72" t="str">
        <f t="shared" si="33"/>
        <v/>
      </c>
      <c r="AS78" s="72" t="str">
        <f t="shared" si="54"/>
        <v/>
      </c>
      <c r="AT78" s="72" t="str">
        <f t="shared" si="55"/>
        <v/>
      </c>
      <c r="AX78" s="16"/>
      <c r="AZ78" s="16"/>
    </row>
    <row r="79" spans="2:52" ht="12.75" customHeight="1" x14ac:dyDescent="0.15">
      <c r="B79" s="327"/>
      <c r="C79" s="52" t="s">
        <v>47</v>
      </c>
      <c r="D79" s="73"/>
      <c r="E79" s="95"/>
      <c r="F79" s="103"/>
      <c r="G79" s="103"/>
      <c r="H79" s="103"/>
      <c r="I79" s="103"/>
      <c r="J79" s="103"/>
      <c r="K79" s="104"/>
      <c r="L79" s="206"/>
      <c r="M79" s="206"/>
      <c r="N79" s="95"/>
      <c r="O79" s="53"/>
      <c r="P79" s="95"/>
      <c r="Q79" s="53"/>
      <c r="R79" s="225"/>
      <c r="S79" s="161"/>
      <c r="T79" s="327"/>
      <c r="U79" s="52" t="s">
        <v>47</v>
      </c>
      <c r="V79" s="73"/>
      <c r="W79" s="95"/>
      <c r="X79" s="103"/>
      <c r="Y79" s="103"/>
      <c r="Z79" s="103"/>
      <c r="AA79" s="103"/>
      <c r="AB79" s="103"/>
      <c r="AC79" s="104"/>
      <c r="AD79" s="104"/>
      <c r="AE79" s="104"/>
      <c r="AF79" s="95"/>
      <c r="AG79" s="53"/>
      <c r="AH79" s="95"/>
      <c r="AI79" s="53"/>
      <c r="AJ79" s="225"/>
      <c r="AK79" s="169"/>
      <c r="AL79" s="327"/>
      <c r="AM79" s="150" t="str">
        <f t="shared" ref="AM79:AM82" si="66">IF(OR(X79="",F79=""),"",X79-F79)</f>
        <v/>
      </c>
      <c r="AN79" s="212" t="str">
        <f t="shared" ref="AN79:AN82" si="67">IF(OR(Y79="",G79=""),"",Y79-G79)</f>
        <v/>
      </c>
      <c r="AO79" s="212" t="str">
        <f t="shared" ref="AO79:AO82" si="68">IF(OR(Z79="",H79=""),"",Z79-H79)</f>
        <v/>
      </c>
      <c r="AP79" s="212" t="str">
        <f t="shared" ref="AP79:AP82" si="69">IF(OR(AA79="",I79=""),"",AA79-I79)</f>
        <v/>
      </c>
      <c r="AQ79" s="151" t="str">
        <f t="shared" ref="AQ79:AQ82" si="70">IF(OR(AB79="",J79=""),"",AB79-J79)</f>
        <v/>
      </c>
      <c r="AR79" s="72" t="str">
        <f t="shared" si="33"/>
        <v/>
      </c>
      <c r="AS79" s="72" t="str">
        <f t="shared" si="54"/>
        <v/>
      </c>
      <c r="AT79" s="72" t="str">
        <f t="shared" si="55"/>
        <v/>
      </c>
      <c r="AX79" s="16"/>
      <c r="AZ79" s="16"/>
    </row>
    <row r="80" spans="2:52" ht="12.75" customHeight="1" x14ac:dyDescent="0.15">
      <c r="B80" s="327"/>
      <c r="C80" s="52" t="s">
        <v>48</v>
      </c>
      <c r="D80" s="73"/>
      <c r="E80" s="95"/>
      <c r="F80" s="103"/>
      <c r="G80" s="103"/>
      <c r="H80" s="103"/>
      <c r="I80" s="103"/>
      <c r="J80" s="103"/>
      <c r="K80" s="104"/>
      <c r="L80" s="206"/>
      <c r="M80" s="206"/>
      <c r="N80" s="95"/>
      <c r="O80" s="53"/>
      <c r="P80" s="95"/>
      <c r="Q80" s="53"/>
      <c r="R80" s="225"/>
      <c r="S80" s="161"/>
      <c r="T80" s="327"/>
      <c r="U80" s="52" t="s">
        <v>48</v>
      </c>
      <c r="V80" s="73"/>
      <c r="W80" s="95"/>
      <c r="X80" s="103"/>
      <c r="Y80" s="103"/>
      <c r="Z80" s="103"/>
      <c r="AA80" s="103"/>
      <c r="AB80" s="103"/>
      <c r="AC80" s="104"/>
      <c r="AD80" s="104"/>
      <c r="AE80" s="104"/>
      <c r="AF80" s="95"/>
      <c r="AG80" s="53"/>
      <c r="AH80" s="95"/>
      <c r="AI80" s="53"/>
      <c r="AJ80" s="225"/>
      <c r="AK80" s="169"/>
      <c r="AL80" s="327"/>
      <c r="AM80" s="150" t="str">
        <f t="shared" si="66"/>
        <v/>
      </c>
      <c r="AN80" s="212" t="str">
        <f t="shared" si="67"/>
        <v/>
      </c>
      <c r="AO80" s="212" t="str">
        <f t="shared" si="68"/>
        <v/>
      </c>
      <c r="AP80" s="212" t="str">
        <f t="shared" si="69"/>
        <v/>
      </c>
      <c r="AQ80" s="151" t="str">
        <f t="shared" si="70"/>
        <v/>
      </c>
      <c r="AR80" s="72" t="str">
        <f t="shared" si="33"/>
        <v/>
      </c>
      <c r="AS80" s="72" t="str">
        <f t="shared" si="54"/>
        <v/>
      </c>
      <c r="AT80" s="72" t="str">
        <f t="shared" si="55"/>
        <v/>
      </c>
      <c r="AX80" s="16"/>
      <c r="AZ80" s="16"/>
    </row>
    <row r="81" spans="2:52" ht="12.75" customHeight="1" x14ac:dyDescent="0.15">
      <c r="B81" s="327"/>
      <c r="C81" s="52" t="s">
        <v>50</v>
      </c>
      <c r="D81" s="73"/>
      <c r="E81" s="95"/>
      <c r="F81" s="103"/>
      <c r="G81" s="103"/>
      <c r="H81" s="103"/>
      <c r="I81" s="103"/>
      <c r="J81" s="103"/>
      <c r="K81" s="104"/>
      <c r="L81" s="206"/>
      <c r="M81" s="206"/>
      <c r="N81" s="95"/>
      <c r="O81" s="53"/>
      <c r="P81" s="95"/>
      <c r="Q81" s="53"/>
      <c r="R81" s="225"/>
      <c r="S81" s="161"/>
      <c r="T81" s="327"/>
      <c r="U81" s="52" t="s">
        <v>50</v>
      </c>
      <c r="V81" s="73"/>
      <c r="W81" s="95"/>
      <c r="X81" s="103"/>
      <c r="Y81" s="103"/>
      <c r="Z81" s="103"/>
      <c r="AA81" s="103"/>
      <c r="AB81" s="103"/>
      <c r="AC81" s="104"/>
      <c r="AD81" s="104"/>
      <c r="AE81" s="104"/>
      <c r="AF81" s="95"/>
      <c r="AG81" s="53"/>
      <c r="AH81" s="95"/>
      <c r="AI81" s="53"/>
      <c r="AJ81" s="225"/>
      <c r="AK81" s="169"/>
      <c r="AL81" s="327"/>
      <c r="AM81" s="150" t="str">
        <f t="shared" si="66"/>
        <v/>
      </c>
      <c r="AN81" s="212" t="str">
        <f t="shared" si="67"/>
        <v/>
      </c>
      <c r="AO81" s="212" t="str">
        <f t="shared" si="68"/>
        <v/>
      </c>
      <c r="AP81" s="212" t="str">
        <f t="shared" si="69"/>
        <v/>
      </c>
      <c r="AQ81" s="151" t="str">
        <f t="shared" si="70"/>
        <v/>
      </c>
      <c r="AR81" s="72" t="str">
        <f t="shared" si="33"/>
        <v/>
      </c>
      <c r="AS81" s="72" t="str">
        <f t="shared" si="54"/>
        <v/>
      </c>
      <c r="AT81" s="72" t="str">
        <f t="shared" si="55"/>
        <v/>
      </c>
      <c r="AX81" s="16"/>
      <c r="AZ81" s="16"/>
    </row>
    <row r="82" spans="2:52" ht="13.5" customHeight="1" thickBot="1" x14ac:dyDescent="0.2">
      <c r="B82" s="327"/>
      <c r="C82" s="52" t="s">
        <v>51</v>
      </c>
      <c r="D82" s="73"/>
      <c r="E82" s="95"/>
      <c r="F82" s="103"/>
      <c r="G82" s="103"/>
      <c r="H82" s="103"/>
      <c r="I82" s="103"/>
      <c r="J82" s="103"/>
      <c r="K82" s="104"/>
      <c r="L82" s="206"/>
      <c r="M82" s="206"/>
      <c r="N82" s="95"/>
      <c r="O82" s="53"/>
      <c r="P82" s="95"/>
      <c r="Q82" s="53"/>
      <c r="R82" s="225"/>
      <c r="S82" s="161"/>
      <c r="T82" s="327"/>
      <c r="U82" s="52" t="s">
        <v>51</v>
      </c>
      <c r="V82" s="73"/>
      <c r="W82" s="95"/>
      <c r="X82" s="103"/>
      <c r="Y82" s="103"/>
      <c r="Z82" s="103"/>
      <c r="AA82" s="103"/>
      <c r="AB82" s="103"/>
      <c r="AC82" s="104"/>
      <c r="AD82" s="104"/>
      <c r="AE82" s="104"/>
      <c r="AF82" s="95"/>
      <c r="AG82" s="53"/>
      <c r="AH82" s="95"/>
      <c r="AI82" s="53"/>
      <c r="AJ82" s="225"/>
      <c r="AK82" s="169"/>
      <c r="AL82" s="327"/>
      <c r="AM82" s="213" t="str">
        <f t="shared" si="66"/>
        <v/>
      </c>
      <c r="AN82" s="214" t="str">
        <f t="shared" si="67"/>
        <v/>
      </c>
      <c r="AO82" s="214" t="str">
        <f t="shared" si="68"/>
        <v/>
      </c>
      <c r="AP82" s="214" t="str">
        <f t="shared" si="69"/>
        <v/>
      </c>
      <c r="AQ82" s="215" t="str">
        <f t="shared" si="70"/>
        <v/>
      </c>
      <c r="AR82" s="72" t="str">
        <f t="shared" si="33"/>
        <v/>
      </c>
      <c r="AS82" s="72" t="str">
        <f t="shared" si="54"/>
        <v/>
      </c>
      <c r="AT82" s="72" t="str">
        <f t="shared" si="55"/>
        <v/>
      </c>
      <c r="AX82" s="16"/>
      <c r="AZ82" s="16"/>
    </row>
    <row r="83" spans="2:52" x14ac:dyDescent="0.15">
      <c r="B83" s="329" t="s">
        <v>101</v>
      </c>
      <c r="C83" s="50" t="s">
        <v>46</v>
      </c>
      <c r="D83" s="71"/>
      <c r="E83" s="93"/>
      <c r="F83" s="101"/>
      <c r="G83" s="101"/>
      <c r="H83" s="101"/>
      <c r="I83" s="101"/>
      <c r="J83" s="101"/>
      <c r="K83" s="102"/>
      <c r="L83" s="205"/>
      <c r="M83" s="205"/>
      <c r="N83" s="93"/>
      <c r="O83" s="51"/>
      <c r="P83" s="93"/>
      <c r="Q83" s="51"/>
      <c r="R83" s="224"/>
      <c r="S83" s="161"/>
      <c r="T83" s="329" t="s">
        <v>101</v>
      </c>
      <c r="U83" s="50" t="s">
        <v>46</v>
      </c>
      <c r="V83" s="71"/>
      <c r="W83" s="93"/>
      <c r="X83" s="101"/>
      <c r="Y83" s="101"/>
      <c r="Z83" s="101"/>
      <c r="AA83" s="101"/>
      <c r="AB83" s="101"/>
      <c r="AC83" s="102"/>
      <c r="AD83" s="102"/>
      <c r="AE83" s="102"/>
      <c r="AF83" s="93"/>
      <c r="AG83" s="51"/>
      <c r="AH83" s="93"/>
      <c r="AI83" s="51"/>
      <c r="AJ83" s="224"/>
      <c r="AK83" s="169"/>
      <c r="AL83" s="329" t="s">
        <v>101</v>
      </c>
      <c r="AM83" s="210" t="str">
        <f>IF(OR(X83="",F83=""),"",X83-F83)</f>
        <v/>
      </c>
      <c r="AN83" s="171" t="str">
        <f>IF(OR(Y83="",G83=""),"",Y83-G83)</f>
        <v/>
      </c>
      <c r="AO83" s="171" t="str">
        <f>IF(OR(Z83="",H83=""),"",Z83-H83)</f>
        <v/>
      </c>
      <c r="AP83" s="171" t="str">
        <f>IF(OR(AA83="",I83=""),"",AA83-I83)</f>
        <v/>
      </c>
      <c r="AQ83" s="211" t="str">
        <f>IF(OR(AB83="",J83=""),"",AB83-J83)</f>
        <v/>
      </c>
      <c r="AR83" s="72" t="str">
        <f t="shared" si="33"/>
        <v/>
      </c>
      <c r="AS83" s="72" t="str">
        <f t="shared" si="54"/>
        <v/>
      </c>
      <c r="AT83" s="72" t="str">
        <f t="shared" si="55"/>
        <v/>
      </c>
      <c r="AX83" s="16"/>
      <c r="AZ83" s="16"/>
    </row>
    <row r="84" spans="2:52" ht="12.75" customHeight="1" x14ac:dyDescent="0.15">
      <c r="B84" s="330"/>
      <c r="C84" s="52" t="s">
        <v>47</v>
      </c>
      <c r="D84" s="73"/>
      <c r="E84" s="95"/>
      <c r="F84" s="103"/>
      <c r="G84" s="103"/>
      <c r="H84" s="103"/>
      <c r="I84" s="103"/>
      <c r="J84" s="103"/>
      <c r="K84" s="104"/>
      <c r="L84" s="206"/>
      <c r="M84" s="206"/>
      <c r="N84" s="95"/>
      <c r="O84" s="53"/>
      <c r="P84" s="95"/>
      <c r="Q84" s="53"/>
      <c r="R84" s="225"/>
      <c r="S84" s="161"/>
      <c r="T84" s="330"/>
      <c r="U84" s="52" t="s">
        <v>47</v>
      </c>
      <c r="V84" s="73"/>
      <c r="W84" s="95"/>
      <c r="X84" s="103"/>
      <c r="Y84" s="103"/>
      <c r="Z84" s="103"/>
      <c r="AA84" s="103"/>
      <c r="AB84" s="103"/>
      <c r="AC84" s="104"/>
      <c r="AD84" s="104"/>
      <c r="AE84" s="104"/>
      <c r="AF84" s="95"/>
      <c r="AG84" s="53"/>
      <c r="AH84" s="95"/>
      <c r="AI84" s="53"/>
      <c r="AJ84" s="225"/>
      <c r="AK84" s="169"/>
      <c r="AL84" s="330"/>
      <c r="AM84" s="150" t="str">
        <f t="shared" ref="AM84:AM87" si="71">IF(OR(X84="",F84=""),"",X84-F84)</f>
        <v/>
      </c>
      <c r="AN84" s="212" t="str">
        <f t="shared" ref="AN84:AN87" si="72">IF(OR(Y84="",G84=""),"",Y84-G84)</f>
        <v/>
      </c>
      <c r="AO84" s="212" t="str">
        <f t="shared" ref="AO84:AO87" si="73">IF(OR(Z84="",H84=""),"",Z84-H84)</f>
        <v/>
      </c>
      <c r="AP84" s="212" t="str">
        <f t="shared" ref="AP84:AP87" si="74">IF(OR(AA84="",I84=""),"",AA84-I84)</f>
        <v/>
      </c>
      <c r="AQ84" s="151" t="str">
        <f t="shared" ref="AQ84:AQ87" si="75">IF(OR(AB84="",J84=""),"",AB84-J84)</f>
        <v/>
      </c>
      <c r="AR84" s="72" t="str">
        <f t="shared" si="33"/>
        <v/>
      </c>
      <c r="AS84" s="72" t="str">
        <f t="shared" si="54"/>
        <v/>
      </c>
      <c r="AT84" s="72" t="str">
        <f t="shared" si="55"/>
        <v/>
      </c>
      <c r="AX84" s="16"/>
      <c r="AZ84" s="16"/>
    </row>
    <row r="85" spans="2:52" ht="12.75" customHeight="1" x14ac:dyDescent="0.15">
      <c r="B85" s="330"/>
      <c r="C85" s="52" t="s">
        <v>48</v>
      </c>
      <c r="D85" s="73"/>
      <c r="E85" s="95"/>
      <c r="F85" s="103"/>
      <c r="G85" s="103"/>
      <c r="H85" s="103"/>
      <c r="I85" s="103"/>
      <c r="J85" s="103"/>
      <c r="K85" s="104"/>
      <c r="L85" s="206"/>
      <c r="M85" s="206"/>
      <c r="N85" s="95"/>
      <c r="O85" s="53"/>
      <c r="P85" s="95"/>
      <c r="Q85" s="53"/>
      <c r="R85" s="225"/>
      <c r="S85" s="161"/>
      <c r="T85" s="330"/>
      <c r="U85" s="52" t="s">
        <v>48</v>
      </c>
      <c r="V85" s="73"/>
      <c r="W85" s="95"/>
      <c r="X85" s="103"/>
      <c r="Y85" s="103"/>
      <c r="Z85" s="103"/>
      <c r="AA85" s="103"/>
      <c r="AB85" s="103"/>
      <c r="AC85" s="104"/>
      <c r="AD85" s="104"/>
      <c r="AE85" s="104"/>
      <c r="AF85" s="95"/>
      <c r="AG85" s="53"/>
      <c r="AH85" s="95"/>
      <c r="AI85" s="53"/>
      <c r="AJ85" s="225"/>
      <c r="AK85" s="169"/>
      <c r="AL85" s="330"/>
      <c r="AM85" s="150" t="str">
        <f t="shared" si="71"/>
        <v/>
      </c>
      <c r="AN85" s="212" t="str">
        <f t="shared" si="72"/>
        <v/>
      </c>
      <c r="AO85" s="212" t="str">
        <f t="shared" si="73"/>
        <v/>
      </c>
      <c r="AP85" s="212" t="str">
        <f t="shared" si="74"/>
        <v/>
      </c>
      <c r="AQ85" s="151" t="str">
        <f t="shared" si="75"/>
        <v/>
      </c>
      <c r="AR85" s="72" t="str">
        <f t="shared" si="33"/>
        <v/>
      </c>
      <c r="AS85" s="72" t="str">
        <f t="shared" si="54"/>
        <v/>
      </c>
      <c r="AT85" s="72" t="str">
        <f t="shared" si="55"/>
        <v/>
      </c>
      <c r="AX85" s="16"/>
      <c r="AZ85" s="16"/>
    </row>
    <row r="86" spans="2:52" ht="12.75" customHeight="1" x14ac:dyDescent="0.15">
      <c r="B86" s="330"/>
      <c r="C86" s="52" t="s">
        <v>50</v>
      </c>
      <c r="D86" s="73"/>
      <c r="E86" s="95"/>
      <c r="F86" s="103"/>
      <c r="G86" s="103"/>
      <c r="H86" s="103"/>
      <c r="I86" s="103"/>
      <c r="J86" s="103"/>
      <c r="K86" s="104"/>
      <c r="L86" s="206"/>
      <c r="M86" s="206"/>
      <c r="N86" s="95"/>
      <c r="O86" s="53"/>
      <c r="P86" s="95"/>
      <c r="Q86" s="53"/>
      <c r="R86" s="225"/>
      <c r="S86" s="161"/>
      <c r="T86" s="330"/>
      <c r="U86" s="52" t="s">
        <v>50</v>
      </c>
      <c r="V86" s="73"/>
      <c r="W86" s="95"/>
      <c r="X86" s="103"/>
      <c r="Y86" s="103"/>
      <c r="Z86" s="103"/>
      <c r="AA86" s="103"/>
      <c r="AB86" s="103"/>
      <c r="AC86" s="104"/>
      <c r="AD86" s="104"/>
      <c r="AE86" s="104"/>
      <c r="AF86" s="95"/>
      <c r="AG86" s="53"/>
      <c r="AH86" s="95"/>
      <c r="AI86" s="53"/>
      <c r="AJ86" s="225"/>
      <c r="AK86" s="169"/>
      <c r="AL86" s="330"/>
      <c r="AM86" s="150" t="str">
        <f t="shared" si="71"/>
        <v/>
      </c>
      <c r="AN86" s="212" t="str">
        <f t="shared" si="72"/>
        <v/>
      </c>
      <c r="AO86" s="212" t="str">
        <f t="shared" si="73"/>
        <v/>
      </c>
      <c r="AP86" s="212" t="str">
        <f t="shared" si="74"/>
        <v/>
      </c>
      <c r="AQ86" s="151" t="str">
        <f t="shared" si="75"/>
        <v/>
      </c>
      <c r="AR86" s="72" t="str">
        <f t="shared" si="33"/>
        <v/>
      </c>
      <c r="AS86" s="72" t="str">
        <f t="shared" si="54"/>
        <v/>
      </c>
      <c r="AT86" s="72" t="str">
        <f t="shared" si="55"/>
        <v/>
      </c>
      <c r="AX86" s="16"/>
      <c r="AZ86" s="16"/>
    </row>
    <row r="87" spans="2:52" ht="13.5" customHeight="1" thickBot="1" x14ac:dyDescent="0.2">
      <c r="B87" s="331"/>
      <c r="C87" s="52" t="s">
        <v>51</v>
      </c>
      <c r="D87" s="74"/>
      <c r="E87" s="98"/>
      <c r="F87" s="105"/>
      <c r="G87" s="105"/>
      <c r="H87" s="105"/>
      <c r="I87" s="105"/>
      <c r="J87" s="105"/>
      <c r="K87" s="106"/>
      <c r="L87" s="207"/>
      <c r="M87" s="207"/>
      <c r="N87" s="98"/>
      <c r="O87" s="66"/>
      <c r="P87" s="98"/>
      <c r="Q87" s="66"/>
      <c r="R87" s="225"/>
      <c r="S87" s="161"/>
      <c r="T87" s="331"/>
      <c r="U87" s="52" t="s">
        <v>51</v>
      </c>
      <c r="V87" s="74"/>
      <c r="W87" s="98"/>
      <c r="X87" s="105"/>
      <c r="Y87" s="105"/>
      <c r="Z87" s="105"/>
      <c r="AA87" s="105"/>
      <c r="AB87" s="105"/>
      <c r="AC87" s="106"/>
      <c r="AD87" s="106"/>
      <c r="AE87" s="106"/>
      <c r="AF87" s="98"/>
      <c r="AG87" s="66"/>
      <c r="AH87" s="98"/>
      <c r="AI87" s="66"/>
      <c r="AJ87" s="225"/>
      <c r="AK87" s="169"/>
      <c r="AL87" s="331"/>
      <c r="AM87" s="213" t="str">
        <f t="shared" si="71"/>
        <v/>
      </c>
      <c r="AN87" s="214" t="str">
        <f t="shared" si="72"/>
        <v/>
      </c>
      <c r="AO87" s="214" t="str">
        <f t="shared" si="73"/>
        <v/>
      </c>
      <c r="AP87" s="214" t="str">
        <f t="shared" si="74"/>
        <v/>
      </c>
      <c r="AQ87" s="215" t="str">
        <f t="shared" si="75"/>
        <v/>
      </c>
      <c r="AR87" s="72" t="str">
        <f t="shared" si="33"/>
        <v/>
      </c>
      <c r="AS87" s="72" t="str">
        <f t="shared" si="54"/>
        <v/>
      </c>
      <c r="AT87" s="72" t="str">
        <f t="shared" si="55"/>
        <v/>
      </c>
      <c r="AX87" s="16"/>
      <c r="AZ87" s="16"/>
    </row>
    <row r="88" spans="2:52" ht="13.5" customHeight="1" x14ac:dyDescent="0.15">
      <c r="B88" s="326" t="s">
        <v>102</v>
      </c>
      <c r="C88" s="50" t="s">
        <v>46</v>
      </c>
      <c r="D88" s="71"/>
      <c r="E88" s="93"/>
      <c r="F88" s="101"/>
      <c r="G88" s="101"/>
      <c r="H88" s="101"/>
      <c r="I88" s="101"/>
      <c r="J88" s="101"/>
      <c r="K88" s="102"/>
      <c r="L88" s="205"/>
      <c r="M88" s="205"/>
      <c r="N88" s="93"/>
      <c r="O88" s="51"/>
      <c r="P88" s="93"/>
      <c r="Q88" s="51"/>
      <c r="R88" s="224"/>
      <c r="S88" s="161"/>
      <c r="T88" s="326" t="s">
        <v>102</v>
      </c>
      <c r="U88" s="50" t="s">
        <v>46</v>
      </c>
      <c r="V88" s="71"/>
      <c r="W88" s="93"/>
      <c r="X88" s="101"/>
      <c r="Y88" s="101"/>
      <c r="Z88" s="101"/>
      <c r="AA88" s="101"/>
      <c r="AB88" s="101"/>
      <c r="AC88" s="102"/>
      <c r="AD88" s="102"/>
      <c r="AE88" s="102"/>
      <c r="AF88" s="93"/>
      <c r="AG88" s="51"/>
      <c r="AH88" s="93"/>
      <c r="AI88" s="51"/>
      <c r="AJ88" s="224"/>
      <c r="AK88" s="169"/>
      <c r="AL88" s="326" t="s">
        <v>102</v>
      </c>
      <c r="AM88" s="210" t="str">
        <f>IF(OR(X88="",F88=""),"",X88-F88)</f>
        <v/>
      </c>
      <c r="AN88" s="171" t="str">
        <f>IF(OR(Y88="",G88=""),"",Y88-G88)</f>
        <v/>
      </c>
      <c r="AO88" s="171" t="str">
        <f>IF(OR(Z88="",H88=""),"",Z88-H88)</f>
        <v/>
      </c>
      <c r="AP88" s="171" t="str">
        <f>IF(OR(AA88="",I88=""),"",AA88-I88)</f>
        <v/>
      </c>
      <c r="AQ88" s="211" t="str">
        <f>IF(OR(AB88="",J88=""),"",AB88-J88)</f>
        <v/>
      </c>
      <c r="AR88" s="68"/>
      <c r="AS88" s="69"/>
      <c r="AT88" s="68"/>
    </row>
    <row r="89" spans="2:52" ht="13.5" customHeight="1" x14ac:dyDescent="0.15">
      <c r="B89" s="327"/>
      <c r="C89" s="52" t="s">
        <v>47</v>
      </c>
      <c r="D89" s="73"/>
      <c r="E89" s="95"/>
      <c r="F89" s="103"/>
      <c r="G89" s="103"/>
      <c r="H89" s="103"/>
      <c r="I89" s="103"/>
      <c r="J89" s="103"/>
      <c r="K89" s="104"/>
      <c r="L89" s="206"/>
      <c r="M89" s="206"/>
      <c r="N89" s="95"/>
      <c r="O89" s="53"/>
      <c r="P89" s="95"/>
      <c r="Q89" s="53"/>
      <c r="R89" s="225"/>
      <c r="S89" s="161"/>
      <c r="T89" s="327"/>
      <c r="U89" s="52" t="s">
        <v>47</v>
      </c>
      <c r="V89" s="73"/>
      <c r="W89" s="95"/>
      <c r="X89" s="103"/>
      <c r="Y89" s="103"/>
      <c r="Z89" s="103"/>
      <c r="AA89" s="103"/>
      <c r="AB89" s="103"/>
      <c r="AC89" s="104"/>
      <c r="AD89" s="104"/>
      <c r="AE89" s="104"/>
      <c r="AF89" s="95"/>
      <c r="AG89" s="53"/>
      <c r="AH89" s="95"/>
      <c r="AI89" s="53"/>
      <c r="AJ89" s="225"/>
      <c r="AK89" s="169"/>
      <c r="AL89" s="327"/>
      <c r="AM89" s="150" t="str">
        <f t="shared" ref="AM89:AM92" si="76">IF(OR(X89="",F89=""),"",X89-F89)</f>
        <v/>
      </c>
      <c r="AN89" s="212" t="str">
        <f t="shared" ref="AN89:AN92" si="77">IF(OR(Y89="",G89=""),"",Y89-G89)</f>
        <v/>
      </c>
      <c r="AO89" s="212" t="str">
        <f t="shared" ref="AO89:AO92" si="78">IF(OR(Z89="",H89=""),"",Z89-H89)</f>
        <v/>
      </c>
      <c r="AP89" s="212" t="str">
        <f t="shared" ref="AP89:AP92" si="79">IF(OR(AA89="",I89=""),"",AA89-I89)</f>
        <v/>
      </c>
      <c r="AQ89" s="151" t="str">
        <f t="shared" ref="AQ89:AQ92" si="80">IF(OR(AB89="",J89=""),"",AB89-J89)</f>
        <v/>
      </c>
      <c r="AR89" s="68"/>
      <c r="AS89" s="69"/>
      <c r="AT89" s="68"/>
    </row>
    <row r="90" spans="2:52" ht="13.5" customHeight="1" x14ac:dyDescent="0.15">
      <c r="B90" s="327"/>
      <c r="C90" s="52" t="s">
        <v>48</v>
      </c>
      <c r="D90" s="73"/>
      <c r="E90" s="95"/>
      <c r="F90" s="103"/>
      <c r="G90" s="103"/>
      <c r="H90" s="103"/>
      <c r="I90" s="103"/>
      <c r="J90" s="103"/>
      <c r="K90" s="104"/>
      <c r="L90" s="206"/>
      <c r="M90" s="206"/>
      <c r="N90" s="95"/>
      <c r="O90" s="53"/>
      <c r="P90" s="95"/>
      <c r="Q90" s="53"/>
      <c r="R90" s="225"/>
      <c r="S90" s="161"/>
      <c r="T90" s="327"/>
      <c r="U90" s="52" t="s">
        <v>48</v>
      </c>
      <c r="V90" s="73"/>
      <c r="W90" s="95"/>
      <c r="X90" s="103"/>
      <c r="Y90" s="103"/>
      <c r="Z90" s="103"/>
      <c r="AA90" s="103"/>
      <c r="AB90" s="103"/>
      <c r="AC90" s="104"/>
      <c r="AD90" s="104"/>
      <c r="AE90" s="104"/>
      <c r="AF90" s="95"/>
      <c r="AG90" s="53"/>
      <c r="AH90" s="95"/>
      <c r="AI90" s="53"/>
      <c r="AJ90" s="225"/>
      <c r="AK90" s="169"/>
      <c r="AL90" s="327"/>
      <c r="AM90" s="150" t="str">
        <f t="shared" si="76"/>
        <v/>
      </c>
      <c r="AN90" s="212" t="str">
        <f t="shared" si="77"/>
        <v/>
      </c>
      <c r="AO90" s="212" t="str">
        <f t="shared" si="78"/>
        <v/>
      </c>
      <c r="AP90" s="212" t="str">
        <f t="shared" si="79"/>
        <v/>
      </c>
      <c r="AQ90" s="151" t="str">
        <f t="shared" si="80"/>
        <v/>
      </c>
      <c r="AR90" s="68"/>
      <c r="AS90" s="69"/>
      <c r="AT90" s="68"/>
    </row>
    <row r="91" spans="2:52" ht="13.5" customHeight="1" x14ac:dyDescent="0.15">
      <c r="B91" s="327"/>
      <c r="C91" s="52" t="s">
        <v>50</v>
      </c>
      <c r="D91" s="73"/>
      <c r="E91" s="95"/>
      <c r="F91" s="103"/>
      <c r="G91" s="103"/>
      <c r="H91" s="103"/>
      <c r="I91" s="103"/>
      <c r="J91" s="103"/>
      <c r="K91" s="104"/>
      <c r="L91" s="206"/>
      <c r="M91" s="206"/>
      <c r="N91" s="95"/>
      <c r="O91" s="53"/>
      <c r="P91" s="95"/>
      <c r="Q91" s="53"/>
      <c r="R91" s="225"/>
      <c r="S91" s="161"/>
      <c r="T91" s="327"/>
      <c r="U91" s="52" t="s">
        <v>50</v>
      </c>
      <c r="V91" s="73"/>
      <c r="W91" s="95"/>
      <c r="X91" s="103"/>
      <c r="Y91" s="103"/>
      <c r="Z91" s="103"/>
      <c r="AA91" s="103"/>
      <c r="AB91" s="103"/>
      <c r="AC91" s="104"/>
      <c r="AD91" s="104"/>
      <c r="AE91" s="104"/>
      <c r="AF91" s="95"/>
      <c r="AG91" s="53"/>
      <c r="AH91" s="95"/>
      <c r="AI91" s="53"/>
      <c r="AJ91" s="225"/>
      <c r="AK91" s="169"/>
      <c r="AL91" s="327"/>
      <c r="AM91" s="150" t="str">
        <f t="shared" si="76"/>
        <v/>
      </c>
      <c r="AN91" s="212" t="str">
        <f t="shared" si="77"/>
        <v/>
      </c>
      <c r="AO91" s="212" t="str">
        <f t="shared" si="78"/>
        <v/>
      </c>
      <c r="AP91" s="212" t="str">
        <f t="shared" si="79"/>
        <v/>
      </c>
      <c r="AQ91" s="151" t="str">
        <f t="shared" si="80"/>
        <v/>
      </c>
      <c r="AR91" s="68"/>
      <c r="AS91" s="69"/>
      <c r="AT91" s="68"/>
    </row>
    <row r="92" spans="2:52" ht="13.5" customHeight="1" thickBot="1" x14ac:dyDescent="0.2">
      <c r="B92" s="328"/>
      <c r="C92" s="52" t="s">
        <v>51</v>
      </c>
      <c r="D92" s="74"/>
      <c r="E92" s="98"/>
      <c r="F92" s="105"/>
      <c r="G92" s="105"/>
      <c r="H92" s="105"/>
      <c r="I92" s="105"/>
      <c r="J92" s="105"/>
      <c r="K92" s="106"/>
      <c r="L92" s="207"/>
      <c r="M92" s="207"/>
      <c r="N92" s="98"/>
      <c r="O92" s="66"/>
      <c r="P92" s="98"/>
      <c r="Q92" s="66"/>
      <c r="R92" s="225"/>
      <c r="S92" s="161"/>
      <c r="T92" s="328"/>
      <c r="U92" s="52" t="s">
        <v>51</v>
      </c>
      <c r="V92" s="74"/>
      <c r="W92" s="98"/>
      <c r="X92" s="105"/>
      <c r="Y92" s="105"/>
      <c r="Z92" s="105"/>
      <c r="AA92" s="105"/>
      <c r="AB92" s="105"/>
      <c r="AC92" s="106"/>
      <c r="AD92" s="106"/>
      <c r="AE92" s="106"/>
      <c r="AF92" s="98"/>
      <c r="AG92" s="66"/>
      <c r="AH92" s="98"/>
      <c r="AI92" s="66"/>
      <c r="AJ92" s="225"/>
      <c r="AK92" s="169"/>
      <c r="AL92" s="328"/>
      <c r="AM92" s="213" t="str">
        <f t="shared" si="76"/>
        <v/>
      </c>
      <c r="AN92" s="214" t="str">
        <f t="shared" si="77"/>
        <v/>
      </c>
      <c r="AO92" s="214" t="str">
        <f t="shared" si="78"/>
        <v/>
      </c>
      <c r="AP92" s="214" t="str">
        <f t="shared" si="79"/>
        <v/>
      </c>
      <c r="AQ92" s="215" t="str">
        <f t="shared" si="80"/>
        <v/>
      </c>
      <c r="AR92" s="68"/>
      <c r="AS92" s="69"/>
      <c r="AT92" s="68"/>
    </row>
    <row r="93" spans="2:52" ht="13.5" customHeight="1" x14ac:dyDescent="0.15">
      <c r="B93" s="329" t="s">
        <v>103</v>
      </c>
      <c r="C93" s="50" t="s">
        <v>46</v>
      </c>
      <c r="D93" s="71"/>
      <c r="E93" s="93"/>
      <c r="F93" s="101"/>
      <c r="G93" s="101"/>
      <c r="H93" s="101"/>
      <c r="I93" s="101"/>
      <c r="J93" s="101"/>
      <c r="K93" s="102"/>
      <c r="L93" s="205"/>
      <c r="M93" s="205"/>
      <c r="N93" s="93"/>
      <c r="O93" s="51"/>
      <c r="P93" s="93"/>
      <c r="Q93" s="51"/>
      <c r="R93" s="224"/>
      <c r="S93" s="161"/>
      <c r="T93" s="329" t="s">
        <v>103</v>
      </c>
      <c r="U93" s="50" t="s">
        <v>46</v>
      </c>
      <c r="V93" s="71"/>
      <c r="W93" s="93"/>
      <c r="X93" s="101"/>
      <c r="Y93" s="101"/>
      <c r="Z93" s="101"/>
      <c r="AA93" s="101"/>
      <c r="AB93" s="101"/>
      <c r="AC93" s="102"/>
      <c r="AD93" s="102"/>
      <c r="AE93" s="102"/>
      <c r="AF93" s="93"/>
      <c r="AG93" s="51"/>
      <c r="AH93" s="93"/>
      <c r="AI93" s="51"/>
      <c r="AJ93" s="224"/>
      <c r="AK93" s="169"/>
      <c r="AL93" s="329" t="s">
        <v>103</v>
      </c>
      <c r="AM93" s="210" t="str">
        <f>IF(OR(X93="",F93=""),"",X93-F93)</f>
        <v/>
      </c>
      <c r="AN93" s="171" t="str">
        <f>IF(OR(Y93="",G93=""),"",Y93-G93)</f>
        <v/>
      </c>
      <c r="AO93" s="171" t="str">
        <f>IF(OR(Z93="",H93=""),"",Z93-H93)</f>
        <v/>
      </c>
      <c r="AP93" s="171" t="str">
        <f>IF(OR(AA93="",I93=""),"",AA93-I93)</f>
        <v/>
      </c>
      <c r="AQ93" s="211" t="str">
        <f>IF(OR(AB93="",J93=""),"",AB93-J93)</f>
        <v/>
      </c>
      <c r="AR93" s="68"/>
      <c r="AS93" s="69"/>
      <c r="AT93" s="68"/>
    </row>
    <row r="94" spans="2:52" ht="13.5" customHeight="1" x14ac:dyDescent="0.15">
      <c r="B94" s="330"/>
      <c r="C94" s="52" t="s">
        <v>47</v>
      </c>
      <c r="D94" s="73"/>
      <c r="E94" s="95"/>
      <c r="F94" s="103"/>
      <c r="G94" s="103"/>
      <c r="H94" s="103"/>
      <c r="I94" s="103"/>
      <c r="J94" s="103"/>
      <c r="K94" s="104"/>
      <c r="L94" s="206"/>
      <c r="M94" s="206"/>
      <c r="N94" s="95"/>
      <c r="O94" s="53"/>
      <c r="P94" s="95"/>
      <c r="Q94" s="53"/>
      <c r="R94" s="225"/>
      <c r="S94" s="161"/>
      <c r="T94" s="330"/>
      <c r="U94" s="52" t="s">
        <v>47</v>
      </c>
      <c r="V94" s="73"/>
      <c r="W94" s="95"/>
      <c r="X94" s="103"/>
      <c r="Y94" s="103"/>
      <c r="Z94" s="103"/>
      <c r="AA94" s="103"/>
      <c r="AB94" s="103"/>
      <c r="AC94" s="104"/>
      <c r="AD94" s="104"/>
      <c r="AE94" s="104"/>
      <c r="AF94" s="95"/>
      <c r="AG94" s="53"/>
      <c r="AH94" s="95"/>
      <c r="AI94" s="53"/>
      <c r="AJ94" s="225"/>
      <c r="AK94" s="169"/>
      <c r="AL94" s="330"/>
      <c r="AM94" s="150" t="str">
        <f t="shared" ref="AM94:AM97" si="81">IF(OR(X94="",F94=""),"",X94-F94)</f>
        <v/>
      </c>
      <c r="AN94" s="212" t="str">
        <f t="shared" ref="AN94:AN97" si="82">IF(OR(Y94="",G94=""),"",Y94-G94)</f>
        <v/>
      </c>
      <c r="AO94" s="212" t="str">
        <f t="shared" ref="AO94:AO97" si="83">IF(OR(Z94="",H94=""),"",Z94-H94)</f>
        <v/>
      </c>
      <c r="AP94" s="212" t="str">
        <f t="shared" ref="AP94:AP97" si="84">IF(OR(AA94="",I94=""),"",AA94-I94)</f>
        <v/>
      </c>
      <c r="AQ94" s="151" t="str">
        <f t="shared" ref="AQ94:AQ97" si="85">IF(OR(AB94="",J94=""),"",AB94-J94)</f>
        <v/>
      </c>
      <c r="AR94" s="68"/>
      <c r="AS94" s="69"/>
      <c r="AT94" s="68"/>
    </row>
    <row r="95" spans="2:52" ht="13.5" customHeight="1" x14ac:dyDescent="0.15">
      <c r="B95" s="330"/>
      <c r="C95" s="52" t="s">
        <v>48</v>
      </c>
      <c r="D95" s="73"/>
      <c r="E95" s="95"/>
      <c r="F95" s="103"/>
      <c r="G95" s="103"/>
      <c r="H95" s="103"/>
      <c r="I95" s="103"/>
      <c r="J95" s="103"/>
      <c r="K95" s="104"/>
      <c r="L95" s="206"/>
      <c r="M95" s="206"/>
      <c r="N95" s="95"/>
      <c r="O95" s="53"/>
      <c r="P95" s="95"/>
      <c r="Q95" s="53"/>
      <c r="R95" s="225"/>
      <c r="S95" s="161"/>
      <c r="T95" s="330"/>
      <c r="U95" s="52" t="s">
        <v>48</v>
      </c>
      <c r="V95" s="73"/>
      <c r="W95" s="95"/>
      <c r="X95" s="103"/>
      <c r="Y95" s="103"/>
      <c r="Z95" s="103"/>
      <c r="AA95" s="103"/>
      <c r="AB95" s="103"/>
      <c r="AC95" s="104"/>
      <c r="AD95" s="104"/>
      <c r="AE95" s="104"/>
      <c r="AF95" s="95"/>
      <c r="AG95" s="53"/>
      <c r="AH95" s="95"/>
      <c r="AI95" s="53"/>
      <c r="AJ95" s="225"/>
      <c r="AK95" s="169"/>
      <c r="AL95" s="330"/>
      <c r="AM95" s="150" t="str">
        <f t="shared" si="81"/>
        <v/>
      </c>
      <c r="AN95" s="212" t="str">
        <f t="shared" si="82"/>
        <v/>
      </c>
      <c r="AO95" s="212" t="str">
        <f t="shared" si="83"/>
        <v/>
      </c>
      <c r="AP95" s="212" t="str">
        <f t="shared" si="84"/>
        <v/>
      </c>
      <c r="AQ95" s="151" t="str">
        <f t="shared" si="85"/>
        <v/>
      </c>
      <c r="AR95" s="68"/>
      <c r="AS95" s="69"/>
      <c r="AT95" s="68"/>
    </row>
    <row r="96" spans="2:52" ht="13.5" customHeight="1" x14ac:dyDescent="0.15">
      <c r="B96" s="330"/>
      <c r="C96" s="52" t="s">
        <v>50</v>
      </c>
      <c r="D96" s="73"/>
      <c r="E96" s="95"/>
      <c r="F96" s="103"/>
      <c r="G96" s="103"/>
      <c r="H96" s="103"/>
      <c r="I96" s="103"/>
      <c r="J96" s="103"/>
      <c r="K96" s="104"/>
      <c r="L96" s="206"/>
      <c r="M96" s="206"/>
      <c r="N96" s="95"/>
      <c r="O96" s="53"/>
      <c r="P96" s="95"/>
      <c r="Q96" s="53"/>
      <c r="R96" s="225"/>
      <c r="S96" s="161"/>
      <c r="T96" s="330"/>
      <c r="U96" s="52" t="s">
        <v>50</v>
      </c>
      <c r="V96" s="73"/>
      <c r="W96" s="95"/>
      <c r="X96" s="103"/>
      <c r="Y96" s="103"/>
      <c r="Z96" s="103"/>
      <c r="AA96" s="103"/>
      <c r="AB96" s="103"/>
      <c r="AC96" s="104"/>
      <c r="AD96" s="104"/>
      <c r="AE96" s="104"/>
      <c r="AF96" s="95"/>
      <c r="AG96" s="53"/>
      <c r="AH96" s="95"/>
      <c r="AI96" s="53"/>
      <c r="AJ96" s="225"/>
      <c r="AK96" s="169"/>
      <c r="AL96" s="330"/>
      <c r="AM96" s="150" t="str">
        <f t="shared" si="81"/>
        <v/>
      </c>
      <c r="AN96" s="212" t="str">
        <f t="shared" si="82"/>
        <v/>
      </c>
      <c r="AO96" s="212" t="str">
        <f t="shared" si="83"/>
        <v/>
      </c>
      <c r="AP96" s="212" t="str">
        <f t="shared" si="84"/>
        <v/>
      </c>
      <c r="AQ96" s="151" t="str">
        <f t="shared" si="85"/>
        <v/>
      </c>
      <c r="AR96" s="68"/>
      <c r="AS96" s="69"/>
      <c r="AT96" s="68"/>
    </row>
    <row r="97" spans="2:46" ht="13.5" customHeight="1" thickBot="1" x14ac:dyDescent="0.2">
      <c r="B97" s="331"/>
      <c r="C97" s="52" t="s">
        <v>51</v>
      </c>
      <c r="D97" s="74"/>
      <c r="E97" s="98"/>
      <c r="F97" s="105"/>
      <c r="G97" s="105"/>
      <c r="H97" s="105"/>
      <c r="I97" s="105"/>
      <c r="J97" s="105"/>
      <c r="K97" s="106"/>
      <c r="L97" s="207"/>
      <c r="M97" s="207"/>
      <c r="N97" s="98"/>
      <c r="O97" s="66"/>
      <c r="P97" s="98"/>
      <c r="Q97" s="66"/>
      <c r="R97" s="225"/>
      <c r="S97" s="161"/>
      <c r="T97" s="331"/>
      <c r="U97" s="52" t="s">
        <v>51</v>
      </c>
      <c r="V97" s="74"/>
      <c r="W97" s="98"/>
      <c r="X97" s="105"/>
      <c r="Y97" s="105"/>
      <c r="Z97" s="105"/>
      <c r="AA97" s="105"/>
      <c r="AB97" s="105"/>
      <c r="AC97" s="106"/>
      <c r="AD97" s="106"/>
      <c r="AE97" s="106"/>
      <c r="AF97" s="98"/>
      <c r="AG97" s="66"/>
      <c r="AH97" s="98"/>
      <c r="AI97" s="66"/>
      <c r="AJ97" s="225"/>
      <c r="AK97" s="169"/>
      <c r="AL97" s="331"/>
      <c r="AM97" s="213" t="str">
        <f t="shared" si="81"/>
        <v/>
      </c>
      <c r="AN97" s="214" t="str">
        <f t="shared" si="82"/>
        <v/>
      </c>
      <c r="AO97" s="214" t="str">
        <f t="shared" si="83"/>
        <v/>
      </c>
      <c r="AP97" s="214" t="str">
        <f t="shared" si="84"/>
        <v/>
      </c>
      <c r="AQ97" s="215" t="str">
        <f t="shared" si="85"/>
        <v/>
      </c>
      <c r="AR97" s="68"/>
      <c r="AS97" s="69"/>
      <c r="AT97" s="68"/>
    </row>
    <row r="98" spans="2:46" ht="13.5" customHeight="1" x14ac:dyDescent="0.15">
      <c r="B98" s="326" t="s">
        <v>104</v>
      </c>
      <c r="C98" s="50" t="s">
        <v>46</v>
      </c>
      <c r="D98" s="71"/>
      <c r="E98" s="93"/>
      <c r="F98" s="101"/>
      <c r="G98" s="101"/>
      <c r="H98" s="101"/>
      <c r="I98" s="101"/>
      <c r="J98" s="101"/>
      <c r="K98" s="102"/>
      <c r="L98" s="205"/>
      <c r="M98" s="205"/>
      <c r="N98" s="93"/>
      <c r="O98" s="51"/>
      <c r="P98" s="93"/>
      <c r="Q98" s="51"/>
      <c r="R98" s="224"/>
      <c r="S98" s="161"/>
      <c r="T98" s="326" t="s">
        <v>104</v>
      </c>
      <c r="U98" s="50" t="s">
        <v>46</v>
      </c>
      <c r="V98" s="71"/>
      <c r="W98" s="93"/>
      <c r="X98" s="101"/>
      <c r="Y98" s="101"/>
      <c r="Z98" s="101"/>
      <c r="AA98" s="101"/>
      <c r="AB98" s="101"/>
      <c r="AC98" s="102"/>
      <c r="AD98" s="102"/>
      <c r="AE98" s="102"/>
      <c r="AF98" s="93"/>
      <c r="AG98" s="51"/>
      <c r="AH98" s="93"/>
      <c r="AI98" s="51"/>
      <c r="AJ98" s="224"/>
      <c r="AK98" s="169"/>
      <c r="AL98" s="326" t="s">
        <v>104</v>
      </c>
      <c r="AM98" s="210" t="str">
        <f>IF(OR(X98="",F98=""),"",X98-F98)</f>
        <v/>
      </c>
      <c r="AN98" s="171" t="str">
        <f>IF(OR(Y98="",G98=""),"",Y98-G98)</f>
        <v/>
      </c>
      <c r="AO98" s="171" t="str">
        <f>IF(OR(Z98="",H98=""),"",Z98-H98)</f>
        <v/>
      </c>
      <c r="AP98" s="171" t="str">
        <f>IF(OR(AA98="",I98=""),"",AA98-I98)</f>
        <v/>
      </c>
      <c r="AQ98" s="211" t="str">
        <f>IF(OR(AB98="",J98=""),"",AB98-J98)</f>
        <v/>
      </c>
      <c r="AR98" s="68"/>
      <c r="AS98" s="69"/>
      <c r="AT98" s="68"/>
    </row>
    <row r="99" spans="2:46" ht="13.5" customHeight="1" x14ac:dyDescent="0.15">
      <c r="B99" s="327"/>
      <c r="C99" s="52" t="s">
        <v>47</v>
      </c>
      <c r="D99" s="73"/>
      <c r="E99" s="95"/>
      <c r="F99" s="103"/>
      <c r="G99" s="103"/>
      <c r="H99" s="103"/>
      <c r="I99" s="103"/>
      <c r="J99" s="103"/>
      <c r="K99" s="104"/>
      <c r="L99" s="206"/>
      <c r="M99" s="206"/>
      <c r="N99" s="95"/>
      <c r="O99" s="53"/>
      <c r="P99" s="95"/>
      <c r="Q99" s="53"/>
      <c r="R99" s="225"/>
      <c r="S99" s="161"/>
      <c r="T99" s="327"/>
      <c r="U99" s="52" t="s">
        <v>47</v>
      </c>
      <c r="V99" s="73"/>
      <c r="W99" s="95"/>
      <c r="X99" s="103"/>
      <c r="Y99" s="103"/>
      <c r="Z99" s="103"/>
      <c r="AA99" s="103"/>
      <c r="AB99" s="103"/>
      <c r="AC99" s="104"/>
      <c r="AD99" s="104"/>
      <c r="AE99" s="104"/>
      <c r="AF99" s="95"/>
      <c r="AG99" s="53"/>
      <c r="AH99" s="95"/>
      <c r="AI99" s="53"/>
      <c r="AJ99" s="225"/>
      <c r="AK99" s="169"/>
      <c r="AL99" s="327"/>
      <c r="AM99" s="150" t="str">
        <f t="shared" ref="AM99:AM102" si="86">IF(OR(X99="",F99=""),"",X99-F99)</f>
        <v/>
      </c>
      <c r="AN99" s="212" t="str">
        <f t="shared" ref="AN99:AN102" si="87">IF(OR(Y99="",G99=""),"",Y99-G99)</f>
        <v/>
      </c>
      <c r="AO99" s="212" t="str">
        <f t="shared" ref="AO99:AO102" si="88">IF(OR(Z99="",H99=""),"",Z99-H99)</f>
        <v/>
      </c>
      <c r="AP99" s="212" t="str">
        <f t="shared" ref="AP99:AP102" si="89">IF(OR(AA99="",I99=""),"",AA99-I99)</f>
        <v/>
      </c>
      <c r="AQ99" s="151" t="str">
        <f t="shared" ref="AQ99:AQ102" si="90">IF(OR(AB99="",J99=""),"",AB99-J99)</f>
        <v/>
      </c>
      <c r="AR99" s="68"/>
      <c r="AS99" s="69"/>
      <c r="AT99" s="68"/>
    </row>
    <row r="100" spans="2:46" ht="13.5" customHeight="1" x14ac:dyDescent="0.15">
      <c r="B100" s="327"/>
      <c r="C100" s="52" t="s">
        <v>48</v>
      </c>
      <c r="D100" s="73"/>
      <c r="E100" s="95"/>
      <c r="F100" s="103"/>
      <c r="G100" s="103"/>
      <c r="H100" s="103"/>
      <c r="I100" s="103"/>
      <c r="J100" s="103"/>
      <c r="K100" s="104"/>
      <c r="L100" s="206"/>
      <c r="M100" s="206"/>
      <c r="N100" s="95"/>
      <c r="O100" s="53"/>
      <c r="P100" s="95"/>
      <c r="Q100" s="53"/>
      <c r="R100" s="225"/>
      <c r="S100" s="161"/>
      <c r="T100" s="327"/>
      <c r="U100" s="52" t="s">
        <v>48</v>
      </c>
      <c r="V100" s="73"/>
      <c r="W100" s="95"/>
      <c r="X100" s="103"/>
      <c r="Y100" s="103"/>
      <c r="Z100" s="103"/>
      <c r="AA100" s="103"/>
      <c r="AB100" s="103"/>
      <c r="AC100" s="104"/>
      <c r="AD100" s="104"/>
      <c r="AE100" s="104"/>
      <c r="AF100" s="95"/>
      <c r="AG100" s="53"/>
      <c r="AH100" s="95"/>
      <c r="AI100" s="53"/>
      <c r="AJ100" s="225"/>
      <c r="AK100" s="169"/>
      <c r="AL100" s="327"/>
      <c r="AM100" s="150" t="str">
        <f t="shared" si="86"/>
        <v/>
      </c>
      <c r="AN100" s="212" t="str">
        <f t="shared" si="87"/>
        <v/>
      </c>
      <c r="AO100" s="212" t="str">
        <f t="shared" si="88"/>
        <v/>
      </c>
      <c r="AP100" s="212" t="str">
        <f t="shared" si="89"/>
        <v/>
      </c>
      <c r="AQ100" s="151" t="str">
        <f t="shared" si="90"/>
        <v/>
      </c>
      <c r="AR100" s="68"/>
      <c r="AS100" s="69"/>
      <c r="AT100" s="68"/>
    </row>
    <row r="101" spans="2:46" ht="13.5" customHeight="1" x14ac:dyDescent="0.15">
      <c r="B101" s="327"/>
      <c r="C101" s="52" t="s">
        <v>50</v>
      </c>
      <c r="D101" s="73"/>
      <c r="E101" s="95"/>
      <c r="F101" s="103"/>
      <c r="G101" s="103"/>
      <c r="H101" s="103"/>
      <c r="I101" s="103"/>
      <c r="J101" s="103"/>
      <c r="K101" s="104"/>
      <c r="L101" s="206"/>
      <c r="M101" s="206"/>
      <c r="N101" s="95"/>
      <c r="O101" s="53"/>
      <c r="P101" s="95"/>
      <c r="Q101" s="53"/>
      <c r="R101" s="225"/>
      <c r="S101" s="161"/>
      <c r="T101" s="327"/>
      <c r="U101" s="52" t="s">
        <v>50</v>
      </c>
      <c r="V101" s="73"/>
      <c r="W101" s="95"/>
      <c r="X101" s="103"/>
      <c r="Y101" s="103"/>
      <c r="Z101" s="103"/>
      <c r="AA101" s="103"/>
      <c r="AB101" s="103"/>
      <c r="AC101" s="104"/>
      <c r="AD101" s="104"/>
      <c r="AE101" s="104"/>
      <c r="AF101" s="95"/>
      <c r="AG101" s="53"/>
      <c r="AH101" s="95"/>
      <c r="AI101" s="53"/>
      <c r="AJ101" s="225"/>
      <c r="AK101" s="169"/>
      <c r="AL101" s="327"/>
      <c r="AM101" s="150" t="str">
        <f t="shared" si="86"/>
        <v/>
      </c>
      <c r="AN101" s="212" t="str">
        <f t="shared" si="87"/>
        <v/>
      </c>
      <c r="AO101" s="212" t="str">
        <f t="shared" si="88"/>
        <v/>
      </c>
      <c r="AP101" s="212" t="str">
        <f t="shared" si="89"/>
        <v/>
      </c>
      <c r="AQ101" s="151" t="str">
        <f t="shared" si="90"/>
        <v/>
      </c>
      <c r="AR101" s="68"/>
      <c r="AS101" s="69"/>
      <c r="AT101" s="68"/>
    </row>
    <row r="102" spans="2:46" ht="13.5" customHeight="1" thickBot="1" x14ac:dyDescent="0.2">
      <c r="B102" s="328"/>
      <c r="C102" s="52" t="s">
        <v>51</v>
      </c>
      <c r="D102" s="74"/>
      <c r="E102" s="98"/>
      <c r="F102" s="105"/>
      <c r="G102" s="105"/>
      <c r="H102" s="105"/>
      <c r="I102" s="105"/>
      <c r="J102" s="105"/>
      <c r="K102" s="106"/>
      <c r="L102" s="207"/>
      <c r="M102" s="207"/>
      <c r="N102" s="98"/>
      <c r="O102" s="66"/>
      <c r="P102" s="98"/>
      <c r="Q102" s="66"/>
      <c r="R102" s="225"/>
      <c r="S102" s="161"/>
      <c r="T102" s="328"/>
      <c r="U102" s="52" t="s">
        <v>51</v>
      </c>
      <c r="V102" s="74"/>
      <c r="W102" s="98"/>
      <c r="X102" s="105"/>
      <c r="Y102" s="105"/>
      <c r="Z102" s="105"/>
      <c r="AA102" s="105"/>
      <c r="AB102" s="105"/>
      <c r="AC102" s="106"/>
      <c r="AD102" s="106"/>
      <c r="AE102" s="106"/>
      <c r="AF102" s="98"/>
      <c r="AG102" s="66"/>
      <c r="AH102" s="98"/>
      <c r="AI102" s="66"/>
      <c r="AJ102" s="225"/>
      <c r="AK102" s="169"/>
      <c r="AL102" s="328"/>
      <c r="AM102" s="213" t="str">
        <f t="shared" si="86"/>
        <v/>
      </c>
      <c r="AN102" s="214" t="str">
        <f t="shared" si="87"/>
        <v/>
      </c>
      <c r="AO102" s="214" t="str">
        <f t="shared" si="88"/>
        <v/>
      </c>
      <c r="AP102" s="214" t="str">
        <f t="shared" si="89"/>
        <v/>
      </c>
      <c r="AQ102" s="215" t="str">
        <f t="shared" si="90"/>
        <v/>
      </c>
      <c r="AR102" s="68"/>
      <c r="AS102" s="69"/>
      <c r="AT102" s="68"/>
    </row>
    <row r="103" spans="2:46" ht="13.5" customHeight="1" x14ac:dyDescent="0.15">
      <c r="B103" s="326" t="s">
        <v>105</v>
      </c>
      <c r="C103" s="50" t="s">
        <v>46</v>
      </c>
      <c r="D103" s="71"/>
      <c r="E103" s="93"/>
      <c r="F103" s="101"/>
      <c r="G103" s="101"/>
      <c r="H103" s="101"/>
      <c r="I103" s="101"/>
      <c r="J103" s="101"/>
      <c r="K103" s="102"/>
      <c r="L103" s="205"/>
      <c r="M103" s="205"/>
      <c r="N103" s="93"/>
      <c r="O103" s="51"/>
      <c r="P103" s="93"/>
      <c r="Q103" s="51"/>
      <c r="R103" s="224"/>
      <c r="S103" s="161"/>
      <c r="T103" s="326" t="s">
        <v>105</v>
      </c>
      <c r="U103" s="50" t="s">
        <v>46</v>
      </c>
      <c r="V103" s="71"/>
      <c r="W103" s="93"/>
      <c r="X103" s="101"/>
      <c r="Y103" s="101"/>
      <c r="Z103" s="101"/>
      <c r="AA103" s="101"/>
      <c r="AB103" s="101"/>
      <c r="AC103" s="102"/>
      <c r="AD103" s="102"/>
      <c r="AE103" s="102"/>
      <c r="AF103" s="93"/>
      <c r="AG103" s="51"/>
      <c r="AH103" s="93"/>
      <c r="AI103" s="51"/>
      <c r="AJ103" s="224"/>
      <c r="AK103" s="169"/>
      <c r="AL103" s="326" t="s">
        <v>105</v>
      </c>
      <c r="AM103" s="210" t="str">
        <f>IF(OR(X103="",F103=""),"",X103-F103)</f>
        <v/>
      </c>
      <c r="AN103" s="171" t="str">
        <f>IF(OR(Y103="",G103=""),"",Y103-G103)</f>
        <v/>
      </c>
      <c r="AO103" s="171" t="str">
        <f>IF(OR(Z103="",H103=""),"",Z103-H103)</f>
        <v/>
      </c>
      <c r="AP103" s="171" t="str">
        <f>IF(OR(AA103="",I103=""),"",AA103-I103)</f>
        <v/>
      </c>
      <c r="AQ103" s="211" t="str">
        <f>IF(OR(AB103="",J103=""),"",AB103-J103)</f>
        <v/>
      </c>
      <c r="AR103" s="68"/>
      <c r="AS103" s="69"/>
      <c r="AT103" s="68"/>
    </row>
    <row r="104" spans="2:46" ht="13.5" customHeight="1" x14ac:dyDescent="0.15">
      <c r="B104" s="327"/>
      <c r="C104" s="52" t="s">
        <v>47</v>
      </c>
      <c r="D104" s="73"/>
      <c r="E104" s="95"/>
      <c r="F104" s="103"/>
      <c r="G104" s="103"/>
      <c r="H104" s="103"/>
      <c r="I104" s="103"/>
      <c r="J104" s="103"/>
      <c r="K104" s="104"/>
      <c r="L104" s="206"/>
      <c r="M104" s="206"/>
      <c r="N104" s="95"/>
      <c r="O104" s="53"/>
      <c r="P104" s="95"/>
      <c r="Q104" s="53"/>
      <c r="R104" s="225"/>
      <c r="S104" s="161"/>
      <c r="T104" s="327"/>
      <c r="U104" s="52" t="s">
        <v>47</v>
      </c>
      <c r="V104" s="73"/>
      <c r="W104" s="95"/>
      <c r="X104" s="103"/>
      <c r="Y104" s="103"/>
      <c r="Z104" s="103"/>
      <c r="AA104" s="103"/>
      <c r="AB104" s="103"/>
      <c r="AC104" s="104"/>
      <c r="AD104" s="104"/>
      <c r="AE104" s="104"/>
      <c r="AF104" s="95"/>
      <c r="AG104" s="53"/>
      <c r="AH104" s="95"/>
      <c r="AI104" s="53"/>
      <c r="AJ104" s="225"/>
      <c r="AK104" s="169"/>
      <c r="AL104" s="327"/>
      <c r="AM104" s="150" t="str">
        <f t="shared" ref="AM104:AM107" si="91">IF(OR(X104="",F104=""),"",X104-F104)</f>
        <v/>
      </c>
      <c r="AN104" s="212" t="str">
        <f t="shared" ref="AN104:AN107" si="92">IF(OR(Y104="",G104=""),"",Y104-G104)</f>
        <v/>
      </c>
      <c r="AO104" s="212" t="str">
        <f t="shared" ref="AO104:AO107" si="93">IF(OR(Z104="",H104=""),"",Z104-H104)</f>
        <v/>
      </c>
      <c r="AP104" s="212" t="str">
        <f t="shared" ref="AP104:AP107" si="94">IF(OR(AA104="",I104=""),"",AA104-I104)</f>
        <v/>
      </c>
      <c r="AQ104" s="151" t="str">
        <f t="shared" ref="AQ104:AQ107" si="95">IF(OR(AB104="",J104=""),"",AB104-J104)</f>
        <v/>
      </c>
      <c r="AR104" s="68"/>
      <c r="AS104" s="69"/>
      <c r="AT104" s="68"/>
    </row>
    <row r="105" spans="2:46" ht="13.5" customHeight="1" x14ac:dyDescent="0.15">
      <c r="B105" s="327"/>
      <c r="C105" s="52" t="s">
        <v>48</v>
      </c>
      <c r="D105" s="73"/>
      <c r="E105" s="95"/>
      <c r="F105" s="103"/>
      <c r="G105" s="103"/>
      <c r="H105" s="103"/>
      <c r="I105" s="103"/>
      <c r="J105" s="103"/>
      <c r="K105" s="104"/>
      <c r="L105" s="206"/>
      <c r="M105" s="206"/>
      <c r="N105" s="95"/>
      <c r="O105" s="53"/>
      <c r="P105" s="95"/>
      <c r="Q105" s="53"/>
      <c r="R105" s="225"/>
      <c r="S105" s="161"/>
      <c r="T105" s="327"/>
      <c r="U105" s="52" t="s">
        <v>48</v>
      </c>
      <c r="V105" s="73"/>
      <c r="W105" s="95"/>
      <c r="X105" s="103"/>
      <c r="Y105" s="103"/>
      <c r="Z105" s="103"/>
      <c r="AA105" s="103"/>
      <c r="AB105" s="103"/>
      <c r="AC105" s="104"/>
      <c r="AD105" s="104"/>
      <c r="AE105" s="104"/>
      <c r="AF105" s="95"/>
      <c r="AG105" s="53"/>
      <c r="AH105" s="95"/>
      <c r="AI105" s="53"/>
      <c r="AJ105" s="225"/>
      <c r="AK105" s="169"/>
      <c r="AL105" s="327"/>
      <c r="AM105" s="150" t="str">
        <f t="shared" si="91"/>
        <v/>
      </c>
      <c r="AN105" s="212" t="str">
        <f t="shared" si="92"/>
        <v/>
      </c>
      <c r="AO105" s="212" t="str">
        <f t="shared" si="93"/>
        <v/>
      </c>
      <c r="AP105" s="212" t="str">
        <f t="shared" si="94"/>
        <v/>
      </c>
      <c r="AQ105" s="151" t="str">
        <f t="shared" si="95"/>
        <v/>
      </c>
      <c r="AR105" s="68"/>
      <c r="AS105" s="69"/>
      <c r="AT105" s="68"/>
    </row>
    <row r="106" spans="2:46" ht="13.5" customHeight="1" x14ac:dyDescent="0.15">
      <c r="B106" s="327"/>
      <c r="C106" s="52" t="s">
        <v>50</v>
      </c>
      <c r="D106" s="73"/>
      <c r="E106" s="95"/>
      <c r="F106" s="103"/>
      <c r="G106" s="103"/>
      <c r="H106" s="103"/>
      <c r="I106" s="103"/>
      <c r="J106" s="103"/>
      <c r="K106" s="104"/>
      <c r="L106" s="206"/>
      <c r="M106" s="206"/>
      <c r="N106" s="95"/>
      <c r="O106" s="53"/>
      <c r="P106" s="95"/>
      <c r="Q106" s="53"/>
      <c r="R106" s="225"/>
      <c r="S106" s="161"/>
      <c r="T106" s="327"/>
      <c r="U106" s="52" t="s">
        <v>50</v>
      </c>
      <c r="V106" s="73"/>
      <c r="W106" s="95"/>
      <c r="X106" s="103"/>
      <c r="Y106" s="103"/>
      <c r="Z106" s="103"/>
      <c r="AA106" s="103"/>
      <c r="AB106" s="103"/>
      <c r="AC106" s="104"/>
      <c r="AD106" s="104"/>
      <c r="AE106" s="104"/>
      <c r="AF106" s="95"/>
      <c r="AG106" s="53"/>
      <c r="AH106" s="95"/>
      <c r="AI106" s="53"/>
      <c r="AJ106" s="225"/>
      <c r="AK106" s="169"/>
      <c r="AL106" s="327"/>
      <c r="AM106" s="150" t="str">
        <f t="shared" si="91"/>
        <v/>
      </c>
      <c r="AN106" s="212" t="str">
        <f t="shared" si="92"/>
        <v/>
      </c>
      <c r="AO106" s="212" t="str">
        <f t="shared" si="93"/>
        <v/>
      </c>
      <c r="AP106" s="212" t="str">
        <f t="shared" si="94"/>
        <v/>
      </c>
      <c r="AQ106" s="151" t="str">
        <f t="shared" si="95"/>
        <v/>
      </c>
      <c r="AR106" s="68"/>
      <c r="AS106" s="69"/>
      <c r="AT106" s="68"/>
    </row>
    <row r="107" spans="2:46" ht="13.5" customHeight="1" thickBot="1" x14ac:dyDescent="0.2">
      <c r="B107" s="328"/>
      <c r="C107" s="52" t="s">
        <v>51</v>
      </c>
      <c r="D107" s="74"/>
      <c r="E107" s="98"/>
      <c r="F107" s="105"/>
      <c r="G107" s="105"/>
      <c r="H107" s="105"/>
      <c r="I107" s="105"/>
      <c r="J107" s="105"/>
      <c r="K107" s="106"/>
      <c r="L107" s="207"/>
      <c r="M107" s="207"/>
      <c r="N107" s="98"/>
      <c r="O107" s="66"/>
      <c r="P107" s="98"/>
      <c r="Q107" s="66"/>
      <c r="R107" s="225"/>
      <c r="S107" s="161"/>
      <c r="T107" s="328"/>
      <c r="U107" s="52" t="s">
        <v>51</v>
      </c>
      <c r="V107" s="74"/>
      <c r="W107" s="98"/>
      <c r="X107" s="105"/>
      <c r="Y107" s="105"/>
      <c r="Z107" s="105"/>
      <c r="AA107" s="105"/>
      <c r="AB107" s="105"/>
      <c r="AC107" s="106"/>
      <c r="AD107" s="106"/>
      <c r="AE107" s="106"/>
      <c r="AF107" s="98"/>
      <c r="AG107" s="66"/>
      <c r="AH107" s="98"/>
      <c r="AI107" s="66"/>
      <c r="AJ107" s="225"/>
      <c r="AK107" s="169"/>
      <c r="AL107" s="328"/>
      <c r="AM107" s="213" t="str">
        <f t="shared" si="91"/>
        <v/>
      </c>
      <c r="AN107" s="214" t="str">
        <f t="shared" si="92"/>
        <v/>
      </c>
      <c r="AO107" s="214" t="str">
        <f t="shared" si="93"/>
        <v/>
      </c>
      <c r="AP107" s="214" t="str">
        <f t="shared" si="94"/>
        <v/>
      </c>
      <c r="AQ107" s="215" t="str">
        <f t="shared" si="95"/>
        <v/>
      </c>
      <c r="AR107" s="68"/>
      <c r="AS107" s="69"/>
      <c r="AT107" s="68"/>
    </row>
    <row r="108" spans="2:46" ht="13.5" customHeight="1" x14ac:dyDescent="0.15">
      <c r="B108" s="326" t="s">
        <v>106</v>
      </c>
      <c r="C108" s="50" t="s">
        <v>46</v>
      </c>
      <c r="D108" s="71"/>
      <c r="E108" s="93"/>
      <c r="F108" s="101"/>
      <c r="G108" s="101"/>
      <c r="H108" s="101"/>
      <c r="I108" s="101"/>
      <c r="J108" s="101"/>
      <c r="K108" s="102"/>
      <c r="L108" s="205"/>
      <c r="M108" s="205"/>
      <c r="N108" s="93"/>
      <c r="O108" s="51"/>
      <c r="P108" s="93"/>
      <c r="Q108" s="51"/>
      <c r="R108" s="224"/>
      <c r="S108" s="161"/>
      <c r="T108" s="326" t="s">
        <v>106</v>
      </c>
      <c r="U108" s="50" t="s">
        <v>46</v>
      </c>
      <c r="V108" s="71"/>
      <c r="W108" s="93"/>
      <c r="X108" s="101"/>
      <c r="Y108" s="101"/>
      <c r="Z108" s="101"/>
      <c r="AA108" s="101"/>
      <c r="AB108" s="101"/>
      <c r="AC108" s="102"/>
      <c r="AD108" s="102"/>
      <c r="AE108" s="102"/>
      <c r="AF108" s="93"/>
      <c r="AG108" s="51"/>
      <c r="AH108" s="93"/>
      <c r="AI108" s="51"/>
      <c r="AJ108" s="224"/>
      <c r="AK108" s="169"/>
      <c r="AL108" s="326" t="s">
        <v>106</v>
      </c>
      <c r="AM108" s="210" t="str">
        <f>IF(OR(X108="",F108=""),"",X108-F108)</f>
        <v/>
      </c>
      <c r="AN108" s="171" t="str">
        <f>IF(OR(Y108="",G108=""),"",Y108-G108)</f>
        <v/>
      </c>
      <c r="AO108" s="171" t="str">
        <f>IF(OR(Z108="",H108=""),"",Z108-H108)</f>
        <v/>
      </c>
      <c r="AP108" s="171" t="str">
        <f>IF(OR(AA108="",I108=""),"",AA108-I108)</f>
        <v/>
      </c>
      <c r="AQ108" s="211" t="str">
        <f>IF(OR(AB108="",J108=""),"",AB108-J108)</f>
        <v/>
      </c>
      <c r="AR108" s="68"/>
      <c r="AS108" s="69"/>
      <c r="AT108" s="68"/>
    </row>
    <row r="109" spans="2:46" ht="13.5" customHeight="1" x14ac:dyDescent="0.15">
      <c r="B109" s="327"/>
      <c r="C109" s="52" t="s">
        <v>47</v>
      </c>
      <c r="D109" s="73"/>
      <c r="E109" s="95"/>
      <c r="F109" s="103"/>
      <c r="G109" s="103"/>
      <c r="H109" s="103"/>
      <c r="I109" s="103"/>
      <c r="J109" s="103"/>
      <c r="K109" s="104"/>
      <c r="L109" s="206"/>
      <c r="M109" s="206"/>
      <c r="N109" s="95"/>
      <c r="O109" s="53"/>
      <c r="P109" s="95"/>
      <c r="Q109" s="53"/>
      <c r="R109" s="225"/>
      <c r="S109" s="161"/>
      <c r="T109" s="327"/>
      <c r="U109" s="52" t="s">
        <v>47</v>
      </c>
      <c r="V109" s="73"/>
      <c r="W109" s="95"/>
      <c r="X109" s="103"/>
      <c r="Y109" s="103"/>
      <c r="Z109" s="103"/>
      <c r="AA109" s="103"/>
      <c r="AB109" s="103"/>
      <c r="AC109" s="104"/>
      <c r="AD109" s="104"/>
      <c r="AE109" s="104"/>
      <c r="AF109" s="95"/>
      <c r="AG109" s="53"/>
      <c r="AH109" s="95"/>
      <c r="AI109" s="53"/>
      <c r="AJ109" s="225"/>
      <c r="AK109" s="169"/>
      <c r="AL109" s="327"/>
      <c r="AM109" s="150" t="str">
        <f t="shared" ref="AM109:AM112" si="96">IF(OR(X109="",F109=""),"",X109-F109)</f>
        <v/>
      </c>
      <c r="AN109" s="212" t="str">
        <f t="shared" ref="AN109:AN112" si="97">IF(OR(Y109="",G109=""),"",Y109-G109)</f>
        <v/>
      </c>
      <c r="AO109" s="212" t="str">
        <f t="shared" ref="AO109:AO112" si="98">IF(OR(Z109="",H109=""),"",Z109-H109)</f>
        <v/>
      </c>
      <c r="AP109" s="212" t="str">
        <f t="shared" ref="AP109:AP112" si="99">IF(OR(AA109="",I109=""),"",AA109-I109)</f>
        <v/>
      </c>
      <c r="AQ109" s="151" t="str">
        <f t="shared" ref="AQ109:AQ112" si="100">IF(OR(AB109="",J109=""),"",AB109-J109)</f>
        <v/>
      </c>
      <c r="AR109" s="68"/>
      <c r="AS109" s="69"/>
      <c r="AT109" s="68"/>
    </row>
    <row r="110" spans="2:46" ht="13.5" customHeight="1" x14ac:dyDescent="0.15">
      <c r="B110" s="327"/>
      <c r="C110" s="52" t="s">
        <v>48</v>
      </c>
      <c r="D110" s="73"/>
      <c r="E110" s="95"/>
      <c r="F110" s="103"/>
      <c r="G110" s="103"/>
      <c r="H110" s="103"/>
      <c r="I110" s="103"/>
      <c r="J110" s="103"/>
      <c r="K110" s="104"/>
      <c r="L110" s="206"/>
      <c r="M110" s="206"/>
      <c r="N110" s="95"/>
      <c r="O110" s="53"/>
      <c r="P110" s="95"/>
      <c r="Q110" s="53"/>
      <c r="R110" s="225"/>
      <c r="S110" s="161"/>
      <c r="T110" s="327"/>
      <c r="U110" s="52" t="s">
        <v>48</v>
      </c>
      <c r="V110" s="73"/>
      <c r="W110" s="95"/>
      <c r="X110" s="103"/>
      <c r="Y110" s="103"/>
      <c r="Z110" s="103"/>
      <c r="AA110" s="103"/>
      <c r="AB110" s="103"/>
      <c r="AC110" s="104"/>
      <c r="AD110" s="104"/>
      <c r="AE110" s="104"/>
      <c r="AF110" s="95"/>
      <c r="AG110" s="53"/>
      <c r="AH110" s="95"/>
      <c r="AI110" s="53"/>
      <c r="AJ110" s="225"/>
      <c r="AK110" s="169"/>
      <c r="AL110" s="327"/>
      <c r="AM110" s="150" t="str">
        <f t="shared" si="96"/>
        <v/>
      </c>
      <c r="AN110" s="212" t="str">
        <f t="shared" si="97"/>
        <v/>
      </c>
      <c r="AO110" s="212" t="str">
        <f t="shared" si="98"/>
        <v/>
      </c>
      <c r="AP110" s="212" t="str">
        <f t="shared" si="99"/>
        <v/>
      </c>
      <c r="AQ110" s="151" t="str">
        <f t="shared" si="100"/>
        <v/>
      </c>
      <c r="AR110" s="68"/>
      <c r="AS110" s="69"/>
      <c r="AT110" s="68"/>
    </row>
    <row r="111" spans="2:46" ht="13.5" customHeight="1" x14ac:dyDescent="0.15">
      <c r="B111" s="327"/>
      <c r="C111" s="52" t="s">
        <v>50</v>
      </c>
      <c r="D111" s="73"/>
      <c r="E111" s="95"/>
      <c r="F111" s="103"/>
      <c r="G111" s="103"/>
      <c r="H111" s="103"/>
      <c r="I111" s="103"/>
      <c r="J111" s="103"/>
      <c r="K111" s="104"/>
      <c r="L111" s="206"/>
      <c r="M111" s="206"/>
      <c r="N111" s="95"/>
      <c r="O111" s="53"/>
      <c r="P111" s="95"/>
      <c r="Q111" s="53"/>
      <c r="R111" s="225"/>
      <c r="S111" s="161"/>
      <c r="T111" s="327"/>
      <c r="U111" s="52" t="s">
        <v>50</v>
      </c>
      <c r="V111" s="73"/>
      <c r="W111" s="95"/>
      <c r="X111" s="103"/>
      <c r="Y111" s="103"/>
      <c r="Z111" s="103"/>
      <c r="AA111" s="103"/>
      <c r="AB111" s="103"/>
      <c r="AC111" s="104"/>
      <c r="AD111" s="104"/>
      <c r="AE111" s="104"/>
      <c r="AF111" s="95"/>
      <c r="AG111" s="53"/>
      <c r="AH111" s="95"/>
      <c r="AI111" s="53"/>
      <c r="AJ111" s="225"/>
      <c r="AK111" s="169"/>
      <c r="AL111" s="327"/>
      <c r="AM111" s="150" t="str">
        <f t="shared" si="96"/>
        <v/>
      </c>
      <c r="AN111" s="212" t="str">
        <f t="shared" si="97"/>
        <v/>
      </c>
      <c r="AO111" s="212" t="str">
        <f t="shared" si="98"/>
        <v/>
      </c>
      <c r="AP111" s="212" t="str">
        <f t="shared" si="99"/>
        <v/>
      </c>
      <c r="AQ111" s="151" t="str">
        <f t="shared" si="100"/>
        <v/>
      </c>
      <c r="AR111" s="68"/>
      <c r="AS111" s="69"/>
      <c r="AT111" s="68"/>
    </row>
    <row r="112" spans="2:46" ht="13.5" customHeight="1" thickBot="1" x14ac:dyDescent="0.2">
      <c r="B112" s="328"/>
      <c r="C112" s="52" t="s">
        <v>51</v>
      </c>
      <c r="D112" s="74"/>
      <c r="E112" s="98"/>
      <c r="F112" s="105"/>
      <c r="G112" s="105"/>
      <c r="H112" s="105"/>
      <c r="I112" s="105"/>
      <c r="J112" s="105"/>
      <c r="K112" s="106"/>
      <c r="L112" s="207"/>
      <c r="M112" s="207"/>
      <c r="N112" s="98"/>
      <c r="O112" s="66"/>
      <c r="P112" s="98"/>
      <c r="Q112" s="66"/>
      <c r="R112" s="225"/>
      <c r="S112" s="161"/>
      <c r="T112" s="328"/>
      <c r="U112" s="52" t="s">
        <v>51</v>
      </c>
      <c r="V112" s="74"/>
      <c r="W112" s="98"/>
      <c r="X112" s="105"/>
      <c r="Y112" s="105"/>
      <c r="Z112" s="105"/>
      <c r="AA112" s="105"/>
      <c r="AB112" s="105"/>
      <c r="AC112" s="106"/>
      <c r="AD112" s="106"/>
      <c r="AE112" s="106"/>
      <c r="AF112" s="98"/>
      <c r="AG112" s="66"/>
      <c r="AH112" s="98"/>
      <c r="AI112" s="66"/>
      <c r="AJ112" s="225"/>
      <c r="AK112" s="169"/>
      <c r="AL112" s="328"/>
      <c r="AM112" s="213" t="str">
        <f t="shared" si="96"/>
        <v/>
      </c>
      <c r="AN112" s="214" t="str">
        <f t="shared" si="97"/>
        <v/>
      </c>
      <c r="AO112" s="214" t="str">
        <f t="shared" si="98"/>
        <v/>
      </c>
      <c r="AP112" s="214" t="str">
        <f t="shared" si="99"/>
        <v/>
      </c>
      <c r="AQ112" s="215" t="str">
        <f t="shared" si="100"/>
        <v/>
      </c>
      <c r="AR112" s="68"/>
      <c r="AS112" s="69"/>
      <c r="AT112" s="68"/>
    </row>
    <row r="113" spans="2:46" ht="13.5" customHeight="1" x14ac:dyDescent="0.15">
      <c r="B113" s="326" t="s">
        <v>107</v>
      </c>
      <c r="C113" s="50" t="s">
        <v>46</v>
      </c>
      <c r="D113" s="71"/>
      <c r="E113" s="93"/>
      <c r="F113" s="101"/>
      <c r="G113" s="101"/>
      <c r="H113" s="101"/>
      <c r="I113" s="101"/>
      <c r="J113" s="101"/>
      <c r="K113" s="102"/>
      <c r="L113" s="205"/>
      <c r="M113" s="205"/>
      <c r="N113" s="93"/>
      <c r="O113" s="51"/>
      <c r="P113" s="93"/>
      <c r="Q113" s="51"/>
      <c r="R113" s="224"/>
      <c r="S113" s="161"/>
      <c r="T113" s="326" t="s">
        <v>107</v>
      </c>
      <c r="U113" s="50" t="s">
        <v>46</v>
      </c>
      <c r="V113" s="71"/>
      <c r="W113" s="93"/>
      <c r="X113" s="101"/>
      <c r="Y113" s="101"/>
      <c r="Z113" s="101"/>
      <c r="AA113" s="101"/>
      <c r="AB113" s="101"/>
      <c r="AC113" s="102"/>
      <c r="AD113" s="102"/>
      <c r="AE113" s="102"/>
      <c r="AF113" s="93"/>
      <c r="AG113" s="51"/>
      <c r="AH113" s="93"/>
      <c r="AI113" s="51"/>
      <c r="AJ113" s="224"/>
      <c r="AK113" s="169"/>
      <c r="AL113" s="326" t="s">
        <v>107</v>
      </c>
      <c r="AM113" s="210" t="str">
        <f>IF(OR(X113="",F113=""),"",X113-F113)</f>
        <v/>
      </c>
      <c r="AN113" s="171" t="str">
        <f>IF(OR(Y113="",G113=""),"",Y113-G113)</f>
        <v/>
      </c>
      <c r="AO113" s="171" t="str">
        <f>IF(OR(Z113="",H113=""),"",Z113-H113)</f>
        <v/>
      </c>
      <c r="AP113" s="171" t="str">
        <f>IF(OR(AA113="",I113=""),"",AA113-I113)</f>
        <v/>
      </c>
      <c r="AQ113" s="211" t="str">
        <f>IF(OR(AB113="",J113=""),"",AB113-J113)</f>
        <v/>
      </c>
      <c r="AR113" s="68"/>
      <c r="AS113" s="69"/>
      <c r="AT113" s="68"/>
    </row>
    <row r="114" spans="2:46" ht="13.5" customHeight="1" x14ac:dyDescent="0.15">
      <c r="B114" s="327"/>
      <c r="C114" s="52" t="s">
        <v>47</v>
      </c>
      <c r="D114" s="73"/>
      <c r="E114" s="95"/>
      <c r="F114" s="103"/>
      <c r="G114" s="103"/>
      <c r="H114" s="103"/>
      <c r="I114" s="103"/>
      <c r="J114" s="103"/>
      <c r="K114" s="104"/>
      <c r="L114" s="206"/>
      <c r="M114" s="206"/>
      <c r="N114" s="95"/>
      <c r="O114" s="53"/>
      <c r="P114" s="95"/>
      <c r="Q114" s="53"/>
      <c r="R114" s="225"/>
      <c r="S114" s="161"/>
      <c r="T114" s="327"/>
      <c r="U114" s="52" t="s">
        <v>47</v>
      </c>
      <c r="V114" s="73"/>
      <c r="W114" s="95"/>
      <c r="X114" s="103"/>
      <c r="Y114" s="103"/>
      <c r="Z114" s="103"/>
      <c r="AA114" s="103"/>
      <c r="AB114" s="103"/>
      <c r="AC114" s="104"/>
      <c r="AD114" s="104"/>
      <c r="AE114" s="104"/>
      <c r="AF114" s="95"/>
      <c r="AG114" s="53"/>
      <c r="AH114" s="95"/>
      <c r="AI114" s="53"/>
      <c r="AJ114" s="225"/>
      <c r="AK114" s="169"/>
      <c r="AL114" s="327"/>
      <c r="AM114" s="150" t="str">
        <f t="shared" ref="AM114:AM117" si="101">IF(OR(X114="",F114=""),"",X114-F114)</f>
        <v/>
      </c>
      <c r="AN114" s="212" t="str">
        <f t="shared" ref="AN114:AN117" si="102">IF(OR(Y114="",G114=""),"",Y114-G114)</f>
        <v/>
      </c>
      <c r="AO114" s="212" t="str">
        <f t="shared" ref="AO114:AO117" si="103">IF(OR(Z114="",H114=""),"",Z114-H114)</f>
        <v/>
      </c>
      <c r="AP114" s="212" t="str">
        <f t="shared" ref="AP114:AP117" si="104">IF(OR(AA114="",I114=""),"",AA114-I114)</f>
        <v/>
      </c>
      <c r="AQ114" s="151" t="str">
        <f t="shared" ref="AQ114:AQ117" si="105">IF(OR(AB114="",J114=""),"",AB114-J114)</f>
        <v/>
      </c>
      <c r="AR114" s="68"/>
      <c r="AS114" s="69"/>
      <c r="AT114" s="68"/>
    </row>
    <row r="115" spans="2:46" ht="13.5" customHeight="1" x14ac:dyDescent="0.15">
      <c r="B115" s="327"/>
      <c r="C115" s="52" t="s">
        <v>48</v>
      </c>
      <c r="D115" s="73"/>
      <c r="E115" s="95"/>
      <c r="F115" s="103"/>
      <c r="G115" s="103"/>
      <c r="H115" s="103"/>
      <c r="I115" s="103"/>
      <c r="J115" s="103"/>
      <c r="K115" s="104"/>
      <c r="L115" s="206"/>
      <c r="M115" s="206"/>
      <c r="N115" s="95"/>
      <c r="O115" s="53"/>
      <c r="P115" s="95"/>
      <c r="Q115" s="53"/>
      <c r="R115" s="225"/>
      <c r="S115" s="161"/>
      <c r="T115" s="327"/>
      <c r="U115" s="52" t="s">
        <v>48</v>
      </c>
      <c r="V115" s="73"/>
      <c r="W115" s="95"/>
      <c r="X115" s="103"/>
      <c r="Y115" s="103"/>
      <c r="Z115" s="103"/>
      <c r="AA115" s="103"/>
      <c r="AB115" s="103"/>
      <c r="AC115" s="104"/>
      <c r="AD115" s="104"/>
      <c r="AE115" s="104"/>
      <c r="AF115" s="95"/>
      <c r="AG115" s="53"/>
      <c r="AH115" s="95"/>
      <c r="AI115" s="53"/>
      <c r="AJ115" s="225"/>
      <c r="AK115" s="169"/>
      <c r="AL115" s="327"/>
      <c r="AM115" s="150" t="str">
        <f t="shared" si="101"/>
        <v/>
      </c>
      <c r="AN115" s="212" t="str">
        <f t="shared" si="102"/>
        <v/>
      </c>
      <c r="AO115" s="212" t="str">
        <f t="shared" si="103"/>
        <v/>
      </c>
      <c r="AP115" s="212" t="str">
        <f t="shared" si="104"/>
        <v/>
      </c>
      <c r="AQ115" s="151" t="str">
        <f t="shared" si="105"/>
        <v/>
      </c>
      <c r="AR115" s="68"/>
      <c r="AS115" s="69"/>
      <c r="AT115" s="68"/>
    </row>
    <row r="116" spans="2:46" ht="13.5" customHeight="1" x14ac:dyDescent="0.15">
      <c r="B116" s="327"/>
      <c r="C116" s="52" t="s">
        <v>50</v>
      </c>
      <c r="D116" s="73"/>
      <c r="E116" s="95"/>
      <c r="F116" s="103"/>
      <c r="G116" s="103"/>
      <c r="H116" s="103"/>
      <c r="I116" s="103"/>
      <c r="J116" s="103"/>
      <c r="K116" s="104"/>
      <c r="L116" s="206"/>
      <c r="M116" s="206"/>
      <c r="N116" s="95"/>
      <c r="O116" s="53"/>
      <c r="P116" s="95"/>
      <c r="Q116" s="53"/>
      <c r="R116" s="225"/>
      <c r="S116" s="161"/>
      <c r="T116" s="327"/>
      <c r="U116" s="52" t="s">
        <v>50</v>
      </c>
      <c r="V116" s="73"/>
      <c r="W116" s="95"/>
      <c r="X116" s="103"/>
      <c r="Y116" s="103"/>
      <c r="Z116" s="103"/>
      <c r="AA116" s="103"/>
      <c r="AB116" s="103"/>
      <c r="AC116" s="104"/>
      <c r="AD116" s="104"/>
      <c r="AE116" s="104"/>
      <c r="AF116" s="95"/>
      <c r="AG116" s="53"/>
      <c r="AH116" s="95"/>
      <c r="AI116" s="53"/>
      <c r="AJ116" s="225"/>
      <c r="AK116" s="169"/>
      <c r="AL116" s="327"/>
      <c r="AM116" s="150" t="str">
        <f t="shared" si="101"/>
        <v/>
      </c>
      <c r="AN116" s="212" t="str">
        <f t="shared" si="102"/>
        <v/>
      </c>
      <c r="AO116" s="212" t="str">
        <f t="shared" si="103"/>
        <v/>
      </c>
      <c r="AP116" s="212" t="str">
        <f t="shared" si="104"/>
        <v/>
      </c>
      <c r="AQ116" s="151" t="str">
        <f t="shared" si="105"/>
        <v/>
      </c>
      <c r="AR116" s="68"/>
      <c r="AS116" s="69"/>
      <c r="AT116" s="68"/>
    </row>
    <row r="117" spans="2:46" ht="13.5" customHeight="1" thickBot="1" x14ac:dyDescent="0.2">
      <c r="B117" s="328"/>
      <c r="C117" s="52" t="s">
        <v>51</v>
      </c>
      <c r="D117" s="74"/>
      <c r="E117" s="98"/>
      <c r="F117" s="105"/>
      <c r="G117" s="105"/>
      <c r="H117" s="105"/>
      <c r="I117" s="105"/>
      <c r="J117" s="105"/>
      <c r="K117" s="106"/>
      <c r="L117" s="207"/>
      <c r="M117" s="207"/>
      <c r="N117" s="98"/>
      <c r="O117" s="66"/>
      <c r="P117" s="98"/>
      <c r="Q117" s="66"/>
      <c r="R117" s="225"/>
      <c r="S117" s="161"/>
      <c r="T117" s="328"/>
      <c r="U117" s="52" t="s">
        <v>51</v>
      </c>
      <c r="V117" s="74"/>
      <c r="W117" s="98"/>
      <c r="X117" s="105"/>
      <c r="Y117" s="105"/>
      <c r="Z117" s="105"/>
      <c r="AA117" s="105"/>
      <c r="AB117" s="105"/>
      <c r="AC117" s="106"/>
      <c r="AD117" s="106"/>
      <c r="AE117" s="106"/>
      <c r="AF117" s="98"/>
      <c r="AG117" s="66"/>
      <c r="AH117" s="98"/>
      <c r="AI117" s="66"/>
      <c r="AJ117" s="225"/>
      <c r="AK117" s="169"/>
      <c r="AL117" s="328"/>
      <c r="AM117" s="213" t="str">
        <f t="shared" si="101"/>
        <v/>
      </c>
      <c r="AN117" s="214" t="str">
        <f t="shared" si="102"/>
        <v/>
      </c>
      <c r="AO117" s="214" t="str">
        <f t="shared" si="103"/>
        <v/>
      </c>
      <c r="AP117" s="214" t="str">
        <f t="shared" si="104"/>
        <v/>
      </c>
      <c r="AQ117" s="215" t="str">
        <f t="shared" si="105"/>
        <v/>
      </c>
      <c r="AR117" s="68"/>
      <c r="AS117" s="69"/>
      <c r="AT117" s="68"/>
    </row>
    <row r="118" spans="2:46" ht="13.5" customHeight="1" x14ac:dyDescent="0.15">
      <c r="B118" s="326" t="s">
        <v>108</v>
      </c>
      <c r="C118" s="50" t="s">
        <v>46</v>
      </c>
      <c r="D118" s="71"/>
      <c r="E118" s="93"/>
      <c r="F118" s="101"/>
      <c r="G118" s="101"/>
      <c r="H118" s="101"/>
      <c r="I118" s="101"/>
      <c r="J118" s="101"/>
      <c r="K118" s="102"/>
      <c r="L118" s="205"/>
      <c r="M118" s="205"/>
      <c r="N118" s="93"/>
      <c r="O118" s="51"/>
      <c r="P118" s="93"/>
      <c r="Q118" s="51"/>
      <c r="R118" s="224"/>
      <c r="S118" s="161"/>
      <c r="T118" s="326" t="s">
        <v>108</v>
      </c>
      <c r="U118" s="50" t="s">
        <v>46</v>
      </c>
      <c r="V118" s="71"/>
      <c r="W118" s="93"/>
      <c r="X118" s="101"/>
      <c r="Y118" s="101"/>
      <c r="Z118" s="101"/>
      <c r="AA118" s="101"/>
      <c r="AB118" s="101"/>
      <c r="AC118" s="102"/>
      <c r="AD118" s="102"/>
      <c r="AE118" s="102"/>
      <c r="AF118" s="93"/>
      <c r="AG118" s="51"/>
      <c r="AH118" s="93"/>
      <c r="AI118" s="51"/>
      <c r="AJ118" s="224"/>
      <c r="AK118" s="169"/>
      <c r="AL118" s="326" t="s">
        <v>108</v>
      </c>
      <c r="AM118" s="210" t="str">
        <f>IF(OR(X118="",F118=""),"",X118-F118)</f>
        <v/>
      </c>
      <c r="AN118" s="171" t="str">
        <f>IF(OR(Y118="",G118=""),"",Y118-G118)</f>
        <v/>
      </c>
      <c r="AO118" s="171" t="str">
        <f>IF(OR(Z118="",H118=""),"",Z118-H118)</f>
        <v/>
      </c>
      <c r="AP118" s="171" t="str">
        <f>IF(OR(AA118="",I118=""),"",AA118-I118)</f>
        <v/>
      </c>
      <c r="AQ118" s="211" t="str">
        <f>IF(OR(AB118="",J118=""),"",AB118-J118)</f>
        <v/>
      </c>
      <c r="AR118" s="68"/>
      <c r="AS118" s="69"/>
      <c r="AT118" s="68"/>
    </row>
    <row r="119" spans="2:46" ht="13.5" customHeight="1" x14ac:dyDescent="0.15">
      <c r="B119" s="327"/>
      <c r="C119" s="52" t="s">
        <v>47</v>
      </c>
      <c r="D119" s="73"/>
      <c r="E119" s="95"/>
      <c r="F119" s="103"/>
      <c r="G119" s="103"/>
      <c r="H119" s="103"/>
      <c r="I119" s="103"/>
      <c r="J119" s="103"/>
      <c r="K119" s="104"/>
      <c r="L119" s="206"/>
      <c r="M119" s="206"/>
      <c r="N119" s="95"/>
      <c r="O119" s="53"/>
      <c r="P119" s="95"/>
      <c r="Q119" s="53"/>
      <c r="R119" s="225"/>
      <c r="S119" s="161"/>
      <c r="T119" s="327"/>
      <c r="U119" s="52" t="s">
        <v>47</v>
      </c>
      <c r="V119" s="73"/>
      <c r="W119" s="95"/>
      <c r="X119" s="103"/>
      <c r="Y119" s="103"/>
      <c r="Z119" s="103"/>
      <c r="AA119" s="103"/>
      <c r="AB119" s="103"/>
      <c r="AC119" s="104"/>
      <c r="AD119" s="104"/>
      <c r="AE119" s="104"/>
      <c r="AF119" s="95"/>
      <c r="AG119" s="53"/>
      <c r="AH119" s="95"/>
      <c r="AI119" s="53"/>
      <c r="AJ119" s="225"/>
      <c r="AK119" s="169"/>
      <c r="AL119" s="327"/>
      <c r="AM119" s="150" t="str">
        <f t="shared" ref="AM119:AM122" si="106">IF(OR(X119="",F119=""),"",X119-F119)</f>
        <v/>
      </c>
      <c r="AN119" s="212" t="str">
        <f t="shared" ref="AN119:AN122" si="107">IF(OR(Y119="",G119=""),"",Y119-G119)</f>
        <v/>
      </c>
      <c r="AO119" s="212" t="str">
        <f t="shared" ref="AO119:AO122" si="108">IF(OR(Z119="",H119=""),"",Z119-H119)</f>
        <v/>
      </c>
      <c r="AP119" s="212" t="str">
        <f t="shared" ref="AP119:AP122" si="109">IF(OR(AA119="",I119=""),"",AA119-I119)</f>
        <v/>
      </c>
      <c r="AQ119" s="151" t="str">
        <f t="shared" ref="AQ119:AQ122" si="110">IF(OR(AB119="",J119=""),"",AB119-J119)</f>
        <v/>
      </c>
      <c r="AR119" s="68"/>
      <c r="AS119" s="69"/>
      <c r="AT119" s="68"/>
    </row>
    <row r="120" spans="2:46" ht="13.5" customHeight="1" x14ac:dyDescent="0.15">
      <c r="B120" s="327"/>
      <c r="C120" s="52" t="s">
        <v>48</v>
      </c>
      <c r="D120" s="73"/>
      <c r="E120" s="95"/>
      <c r="F120" s="103"/>
      <c r="G120" s="103"/>
      <c r="H120" s="103"/>
      <c r="I120" s="103"/>
      <c r="J120" s="103"/>
      <c r="K120" s="104"/>
      <c r="L120" s="206"/>
      <c r="M120" s="206"/>
      <c r="N120" s="95"/>
      <c r="O120" s="53"/>
      <c r="P120" s="95"/>
      <c r="Q120" s="53"/>
      <c r="R120" s="225"/>
      <c r="S120" s="161"/>
      <c r="T120" s="327"/>
      <c r="U120" s="52" t="s">
        <v>48</v>
      </c>
      <c r="V120" s="73"/>
      <c r="W120" s="95"/>
      <c r="X120" s="103"/>
      <c r="Y120" s="103"/>
      <c r="Z120" s="103"/>
      <c r="AA120" s="103"/>
      <c r="AB120" s="103"/>
      <c r="AC120" s="104"/>
      <c r="AD120" s="104"/>
      <c r="AE120" s="104"/>
      <c r="AF120" s="95"/>
      <c r="AG120" s="53"/>
      <c r="AH120" s="95"/>
      <c r="AI120" s="53"/>
      <c r="AJ120" s="225"/>
      <c r="AK120" s="169"/>
      <c r="AL120" s="327"/>
      <c r="AM120" s="150" t="str">
        <f t="shared" si="106"/>
        <v/>
      </c>
      <c r="AN120" s="212" t="str">
        <f t="shared" si="107"/>
        <v/>
      </c>
      <c r="AO120" s="212" t="str">
        <f t="shared" si="108"/>
        <v/>
      </c>
      <c r="AP120" s="212" t="str">
        <f t="shared" si="109"/>
        <v/>
      </c>
      <c r="AQ120" s="151" t="str">
        <f t="shared" si="110"/>
        <v/>
      </c>
      <c r="AR120" s="68"/>
      <c r="AS120" s="69"/>
      <c r="AT120" s="68"/>
    </row>
    <row r="121" spans="2:46" ht="13.5" customHeight="1" x14ac:dyDescent="0.15">
      <c r="B121" s="327"/>
      <c r="C121" s="52" t="s">
        <v>50</v>
      </c>
      <c r="D121" s="73"/>
      <c r="E121" s="95"/>
      <c r="F121" s="103"/>
      <c r="G121" s="103"/>
      <c r="H121" s="103"/>
      <c r="I121" s="103"/>
      <c r="J121" s="103"/>
      <c r="K121" s="104"/>
      <c r="L121" s="206"/>
      <c r="M121" s="206"/>
      <c r="N121" s="95"/>
      <c r="O121" s="53"/>
      <c r="P121" s="95"/>
      <c r="Q121" s="53"/>
      <c r="R121" s="225"/>
      <c r="S121" s="161"/>
      <c r="T121" s="327"/>
      <c r="U121" s="52" t="s">
        <v>50</v>
      </c>
      <c r="V121" s="73"/>
      <c r="W121" s="95"/>
      <c r="X121" s="103"/>
      <c r="Y121" s="103"/>
      <c r="Z121" s="103"/>
      <c r="AA121" s="103"/>
      <c r="AB121" s="103"/>
      <c r="AC121" s="104"/>
      <c r="AD121" s="104"/>
      <c r="AE121" s="104"/>
      <c r="AF121" s="95"/>
      <c r="AG121" s="53"/>
      <c r="AH121" s="95"/>
      <c r="AI121" s="53"/>
      <c r="AJ121" s="225"/>
      <c r="AK121" s="169"/>
      <c r="AL121" s="327"/>
      <c r="AM121" s="150" t="str">
        <f t="shared" si="106"/>
        <v/>
      </c>
      <c r="AN121" s="212" t="str">
        <f t="shared" si="107"/>
        <v/>
      </c>
      <c r="AO121" s="212" t="str">
        <f t="shared" si="108"/>
        <v/>
      </c>
      <c r="AP121" s="212" t="str">
        <f t="shared" si="109"/>
        <v/>
      </c>
      <c r="AQ121" s="151" t="str">
        <f t="shared" si="110"/>
        <v/>
      </c>
      <c r="AR121" s="68"/>
      <c r="AS121" s="69"/>
      <c r="AT121" s="68"/>
    </row>
    <row r="122" spans="2:46" ht="13.5" customHeight="1" thickBot="1" x14ac:dyDescent="0.2">
      <c r="B122" s="328"/>
      <c r="C122" s="52" t="s">
        <v>51</v>
      </c>
      <c r="D122" s="74"/>
      <c r="E122" s="98"/>
      <c r="F122" s="105"/>
      <c r="G122" s="105"/>
      <c r="H122" s="105"/>
      <c r="I122" s="105"/>
      <c r="J122" s="105"/>
      <c r="K122" s="106"/>
      <c r="L122" s="207"/>
      <c r="M122" s="207"/>
      <c r="N122" s="98"/>
      <c r="O122" s="66"/>
      <c r="P122" s="98"/>
      <c r="Q122" s="66"/>
      <c r="R122" s="225"/>
      <c r="S122" s="161"/>
      <c r="T122" s="328"/>
      <c r="U122" s="52" t="s">
        <v>51</v>
      </c>
      <c r="V122" s="74"/>
      <c r="W122" s="98"/>
      <c r="X122" s="105"/>
      <c r="Y122" s="105"/>
      <c r="Z122" s="105"/>
      <c r="AA122" s="105"/>
      <c r="AB122" s="105"/>
      <c r="AC122" s="106"/>
      <c r="AD122" s="106"/>
      <c r="AE122" s="106"/>
      <c r="AF122" s="98"/>
      <c r="AG122" s="66"/>
      <c r="AH122" s="98"/>
      <c r="AI122" s="66"/>
      <c r="AJ122" s="225"/>
      <c r="AK122" s="169"/>
      <c r="AL122" s="328"/>
      <c r="AM122" s="213" t="str">
        <f t="shared" si="106"/>
        <v/>
      </c>
      <c r="AN122" s="214" t="str">
        <f t="shared" si="107"/>
        <v/>
      </c>
      <c r="AO122" s="214" t="str">
        <f t="shared" si="108"/>
        <v/>
      </c>
      <c r="AP122" s="214" t="str">
        <f t="shared" si="109"/>
        <v/>
      </c>
      <c r="AQ122" s="215" t="str">
        <f t="shared" si="110"/>
        <v/>
      </c>
      <c r="AR122" s="68"/>
      <c r="AS122" s="69"/>
      <c r="AT122" s="68"/>
    </row>
    <row r="123" spans="2:46" ht="13.5" customHeight="1" x14ac:dyDescent="0.15">
      <c r="B123" s="326" t="s">
        <v>109</v>
      </c>
      <c r="C123" s="50" t="s">
        <v>46</v>
      </c>
      <c r="D123" s="71"/>
      <c r="E123" s="93"/>
      <c r="F123" s="101"/>
      <c r="G123" s="101"/>
      <c r="H123" s="101"/>
      <c r="I123" s="101"/>
      <c r="J123" s="101"/>
      <c r="K123" s="102"/>
      <c r="L123" s="205"/>
      <c r="M123" s="205"/>
      <c r="N123" s="93"/>
      <c r="O123" s="51"/>
      <c r="P123" s="93"/>
      <c r="Q123" s="51"/>
      <c r="R123" s="224"/>
      <c r="S123" s="161"/>
      <c r="T123" s="326" t="s">
        <v>109</v>
      </c>
      <c r="U123" s="50" t="s">
        <v>46</v>
      </c>
      <c r="V123" s="71"/>
      <c r="W123" s="93"/>
      <c r="X123" s="101"/>
      <c r="Y123" s="101"/>
      <c r="Z123" s="101"/>
      <c r="AA123" s="101"/>
      <c r="AB123" s="101"/>
      <c r="AC123" s="102"/>
      <c r="AD123" s="102"/>
      <c r="AE123" s="102"/>
      <c r="AF123" s="93"/>
      <c r="AG123" s="51"/>
      <c r="AH123" s="93"/>
      <c r="AI123" s="51"/>
      <c r="AJ123" s="224"/>
      <c r="AK123" s="169"/>
      <c r="AL123" s="326" t="s">
        <v>109</v>
      </c>
      <c r="AM123" s="210" t="str">
        <f>IF(OR(X123="",F123=""),"",X123-F123)</f>
        <v/>
      </c>
      <c r="AN123" s="171" t="str">
        <f>IF(OR(Y123="",G123=""),"",Y123-G123)</f>
        <v/>
      </c>
      <c r="AO123" s="171" t="str">
        <f>IF(OR(Z123="",H123=""),"",Z123-H123)</f>
        <v/>
      </c>
      <c r="AP123" s="171" t="str">
        <f>IF(OR(AA123="",I123=""),"",AA123-I123)</f>
        <v/>
      </c>
      <c r="AQ123" s="211" t="str">
        <f>IF(OR(AB123="",J123=""),"",AB123-J123)</f>
        <v/>
      </c>
      <c r="AR123" s="68"/>
      <c r="AS123" s="69"/>
      <c r="AT123" s="68"/>
    </row>
    <row r="124" spans="2:46" ht="13.5" customHeight="1" x14ac:dyDescent="0.15">
      <c r="B124" s="327"/>
      <c r="C124" s="52" t="s">
        <v>47</v>
      </c>
      <c r="D124" s="73"/>
      <c r="E124" s="95"/>
      <c r="F124" s="103"/>
      <c r="G124" s="103"/>
      <c r="H124" s="103"/>
      <c r="I124" s="103"/>
      <c r="J124" s="103"/>
      <c r="K124" s="104"/>
      <c r="L124" s="206"/>
      <c r="M124" s="206"/>
      <c r="N124" s="95"/>
      <c r="O124" s="53"/>
      <c r="P124" s="95"/>
      <c r="Q124" s="53"/>
      <c r="R124" s="225"/>
      <c r="S124" s="161"/>
      <c r="T124" s="327"/>
      <c r="U124" s="52" t="s">
        <v>47</v>
      </c>
      <c r="V124" s="73"/>
      <c r="W124" s="95"/>
      <c r="X124" s="103"/>
      <c r="Y124" s="103"/>
      <c r="Z124" s="103"/>
      <c r="AA124" s="103"/>
      <c r="AB124" s="103"/>
      <c r="AC124" s="104"/>
      <c r="AD124" s="104"/>
      <c r="AE124" s="104"/>
      <c r="AF124" s="95"/>
      <c r="AG124" s="53"/>
      <c r="AH124" s="95"/>
      <c r="AI124" s="53"/>
      <c r="AJ124" s="225"/>
      <c r="AK124" s="169"/>
      <c r="AL124" s="327"/>
      <c r="AM124" s="150" t="str">
        <f t="shared" ref="AM124:AM127" si="111">IF(OR(X124="",F124=""),"",X124-F124)</f>
        <v/>
      </c>
      <c r="AN124" s="212" t="str">
        <f t="shared" ref="AN124:AN127" si="112">IF(OR(Y124="",G124=""),"",Y124-G124)</f>
        <v/>
      </c>
      <c r="AO124" s="212" t="str">
        <f t="shared" ref="AO124:AO127" si="113">IF(OR(Z124="",H124=""),"",Z124-H124)</f>
        <v/>
      </c>
      <c r="AP124" s="212" t="str">
        <f t="shared" ref="AP124:AP127" si="114">IF(OR(AA124="",I124=""),"",AA124-I124)</f>
        <v/>
      </c>
      <c r="AQ124" s="151" t="str">
        <f t="shared" ref="AQ124:AQ127" si="115">IF(OR(AB124="",J124=""),"",AB124-J124)</f>
        <v/>
      </c>
      <c r="AR124" s="68"/>
      <c r="AS124" s="69"/>
      <c r="AT124" s="68"/>
    </row>
    <row r="125" spans="2:46" ht="13.5" customHeight="1" x14ac:dyDescent="0.15">
      <c r="B125" s="327"/>
      <c r="C125" s="52" t="s">
        <v>48</v>
      </c>
      <c r="D125" s="73"/>
      <c r="E125" s="95"/>
      <c r="F125" s="103"/>
      <c r="G125" s="103"/>
      <c r="H125" s="103"/>
      <c r="I125" s="103"/>
      <c r="J125" s="103"/>
      <c r="K125" s="104"/>
      <c r="L125" s="206"/>
      <c r="M125" s="206"/>
      <c r="N125" s="95"/>
      <c r="O125" s="53"/>
      <c r="P125" s="95"/>
      <c r="Q125" s="53"/>
      <c r="R125" s="225"/>
      <c r="S125" s="161"/>
      <c r="T125" s="327"/>
      <c r="U125" s="52" t="s">
        <v>48</v>
      </c>
      <c r="V125" s="73"/>
      <c r="W125" s="95"/>
      <c r="X125" s="103"/>
      <c r="Y125" s="103"/>
      <c r="Z125" s="103"/>
      <c r="AA125" s="103"/>
      <c r="AB125" s="103"/>
      <c r="AC125" s="104"/>
      <c r="AD125" s="104"/>
      <c r="AE125" s="104"/>
      <c r="AF125" s="95"/>
      <c r="AG125" s="53"/>
      <c r="AH125" s="95"/>
      <c r="AI125" s="53"/>
      <c r="AJ125" s="225"/>
      <c r="AK125" s="169"/>
      <c r="AL125" s="327"/>
      <c r="AM125" s="150" t="str">
        <f t="shared" si="111"/>
        <v/>
      </c>
      <c r="AN125" s="212" t="str">
        <f t="shared" si="112"/>
        <v/>
      </c>
      <c r="AO125" s="212" t="str">
        <f t="shared" si="113"/>
        <v/>
      </c>
      <c r="AP125" s="212" t="str">
        <f t="shared" si="114"/>
        <v/>
      </c>
      <c r="AQ125" s="151" t="str">
        <f t="shared" si="115"/>
        <v/>
      </c>
      <c r="AR125" s="68"/>
      <c r="AS125" s="69"/>
      <c r="AT125" s="68"/>
    </row>
    <row r="126" spans="2:46" ht="13.5" customHeight="1" x14ac:dyDescent="0.15">
      <c r="B126" s="327"/>
      <c r="C126" s="52" t="s">
        <v>50</v>
      </c>
      <c r="D126" s="73"/>
      <c r="E126" s="95"/>
      <c r="F126" s="103"/>
      <c r="G126" s="103"/>
      <c r="H126" s="103"/>
      <c r="I126" s="103"/>
      <c r="J126" s="103"/>
      <c r="K126" s="104"/>
      <c r="L126" s="206"/>
      <c r="M126" s="206"/>
      <c r="N126" s="95"/>
      <c r="O126" s="53"/>
      <c r="P126" s="95"/>
      <c r="Q126" s="53"/>
      <c r="R126" s="225"/>
      <c r="S126" s="161"/>
      <c r="T126" s="327"/>
      <c r="U126" s="52" t="s">
        <v>50</v>
      </c>
      <c r="V126" s="73"/>
      <c r="W126" s="95"/>
      <c r="X126" s="103"/>
      <c r="Y126" s="103"/>
      <c r="Z126" s="103"/>
      <c r="AA126" s="103"/>
      <c r="AB126" s="103"/>
      <c r="AC126" s="104"/>
      <c r="AD126" s="104"/>
      <c r="AE126" s="104"/>
      <c r="AF126" s="95"/>
      <c r="AG126" s="53"/>
      <c r="AH126" s="95"/>
      <c r="AI126" s="53"/>
      <c r="AJ126" s="225"/>
      <c r="AK126" s="169"/>
      <c r="AL126" s="327"/>
      <c r="AM126" s="150" t="str">
        <f t="shared" si="111"/>
        <v/>
      </c>
      <c r="AN126" s="212" t="str">
        <f t="shared" si="112"/>
        <v/>
      </c>
      <c r="AO126" s="212" t="str">
        <f t="shared" si="113"/>
        <v/>
      </c>
      <c r="AP126" s="212" t="str">
        <f t="shared" si="114"/>
        <v/>
      </c>
      <c r="AQ126" s="151" t="str">
        <f t="shared" si="115"/>
        <v/>
      </c>
      <c r="AR126" s="68"/>
      <c r="AS126" s="69"/>
      <c r="AT126" s="68"/>
    </row>
    <row r="127" spans="2:46" ht="13.5" customHeight="1" thickBot="1" x14ac:dyDescent="0.2">
      <c r="B127" s="328"/>
      <c r="C127" s="52" t="s">
        <v>51</v>
      </c>
      <c r="D127" s="74"/>
      <c r="E127" s="98"/>
      <c r="F127" s="105"/>
      <c r="G127" s="105"/>
      <c r="H127" s="105"/>
      <c r="I127" s="105"/>
      <c r="J127" s="105"/>
      <c r="K127" s="106"/>
      <c r="L127" s="207"/>
      <c r="M127" s="207"/>
      <c r="N127" s="98"/>
      <c r="O127" s="66"/>
      <c r="P127" s="98"/>
      <c r="Q127" s="66"/>
      <c r="R127" s="225"/>
      <c r="S127" s="161"/>
      <c r="T127" s="328"/>
      <c r="U127" s="52" t="s">
        <v>51</v>
      </c>
      <c r="V127" s="74"/>
      <c r="W127" s="98"/>
      <c r="X127" s="105"/>
      <c r="Y127" s="105"/>
      <c r="Z127" s="105"/>
      <c r="AA127" s="105"/>
      <c r="AB127" s="105"/>
      <c r="AC127" s="106"/>
      <c r="AD127" s="106"/>
      <c r="AE127" s="106"/>
      <c r="AF127" s="98"/>
      <c r="AG127" s="66"/>
      <c r="AH127" s="98"/>
      <c r="AI127" s="66"/>
      <c r="AJ127" s="225"/>
      <c r="AK127" s="169"/>
      <c r="AL127" s="328"/>
      <c r="AM127" s="213" t="str">
        <f t="shared" si="111"/>
        <v/>
      </c>
      <c r="AN127" s="214" t="str">
        <f t="shared" si="112"/>
        <v/>
      </c>
      <c r="AO127" s="214" t="str">
        <f t="shared" si="113"/>
        <v/>
      </c>
      <c r="AP127" s="214" t="str">
        <f t="shared" si="114"/>
        <v/>
      </c>
      <c r="AQ127" s="215" t="str">
        <f t="shared" si="115"/>
        <v/>
      </c>
      <c r="AR127" s="68"/>
      <c r="AS127" s="69"/>
      <c r="AT127" s="68"/>
    </row>
    <row r="128" spans="2:46" ht="13.5" customHeight="1" x14ac:dyDescent="0.15">
      <c r="B128" s="326" t="s">
        <v>110</v>
      </c>
      <c r="C128" s="50" t="s">
        <v>46</v>
      </c>
      <c r="D128" s="71"/>
      <c r="E128" s="93"/>
      <c r="F128" s="101"/>
      <c r="G128" s="101"/>
      <c r="H128" s="101"/>
      <c r="I128" s="101"/>
      <c r="J128" s="101"/>
      <c r="K128" s="102"/>
      <c r="L128" s="205"/>
      <c r="M128" s="205"/>
      <c r="N128" s="93"/>
      <c r="O128" s="51"/>
      <c r="P128" s="93"/>
      <c r="Q128" s="51"/>
      <c r="R128" s="224"/>
      <c r="S128" s="161"/>
      <c r="T128" s="326" t="s">
        <v>110</v>
      </c>
      <c r="U128" s="50" t="s">
        <v>46</v>
      </c>
      <c r="V128" s="71"/>
      <c r="W128" s="93"/>
      <c r="X128" s="101"/>
      <c r="Y128" s="101"/>
      <c r="Z128" s="101"/>
      <c r="AA128" s="101"/>
      <c r="AB128" s="101"/>
      <c r="AC128" s="102"/>
      <c r="AD128" s="102"/>
      <c r="AE128" s="102"/>
      <c r="AF128" s="93"/>
      <c r="AG128" s="51"/>
      <c r="AH128" s="93"/>
      <c r="AI128" s="51"/>
      <c r="AJ128" s="224"/>
      <c r="AK128" s="169"/>
      <c r="AL128" s="326" t="s">
        <v>110</v>
      </c>
      <c r="AM128" s="210" t="str">
        <f>IF(OR(X128="",F128=""),"",X128-F128)</f>
        <v/>
      </c>
      <c r="AN128" s="171" t="str">
        <f>IF(OR(Y128="",G128=""),"",Y128-G128)</f>
        <v/>
      </c>
      <c r="AO128" s="171" t="str">
        <f>IF(OR(Z128="",H128=""),"",Z128-H128)</f>
        <v/>
      </c>
      <c r="AP128" s="171" t="str">
        <f>IF(OR(AA128="",I128=""),"",AA128-I128)</f>
        <v/>
      </c>
      <c r="AQ128" s="211" t="str">
        <f>IF(OR(AB128="",J128=""),"",AB128-J128)</f>
        <v/>
      </c>
      <c r="AR128" s="68"/>
      <c r="AS128" s="69"/>
      <c r="AT128" s="68"/>
    </row>
    <row r="129" spans="2:46" ht="13.5" customHeight="1" x14ac:dyDescent="0.15">
      <c r="B129" s="327"/>
      <c r="C129" s="52" t="s">
        <v>47</v>
      </c>
      <c r="D129" s="73"/>
      <c r="E129" s="95"/>
      <c r="F129" s="103"/>
      <c r="G129" s="103"/>
      <c r="H129" s="103"/>
      <c r="I129" s="103"/>
      <c r="J129" s="103"/>
      <c r="K129" s="104"/>
      <c r="L129" s="206"/>
      <c r="M129" s="206"/>
      <c r="N129" s="95"/>
      <c r="O129" s="53"/>
      <c r="P129" s="95"/>
      <c r="Q129" s="53"/>
      <c r="R129" s="225"/>
      <c r="S129" s="161"/>
      <c r="T129" s="327"/>
      <c r="U129" s="52" t="s">
        <v>47</v>
      </c>
      <c r="V129" s="73"/>
      <c r="W129" s="95"/>
      <c r="X129" s="103"/>
      <c r="Y129" s="103"/>
      <c r="Z129" s="103"/>
      <c r="AA129" s="103"/>
      <c r="AB129" s="103"/>
      <c r="AC129" s="104"/>
      <c r="AD129" s="104"/>
      <c r="AE129" s="104"/>
      <c r="AF129" s="95"/>
      <c r="AG129" s="53"/>
      <c r="AH129" s="95"/>
      <c r="AI129" s="53"/>
      <c r="AJ129" s="225"/>
      <c r="AK129" s="169"/>
      <c r="AL129" s="327"/>
      <c r="AM129" s="150" t="str">
        <f t="shared" ref="AM129:AM132" si="116">IF(OR(X129="",F129=""),"",X129-F129)</f>
        <v/>
      </c>
      <c r="AN129" s="212" t="str">
        <f t="shared" ref="AN129:AN132" si="117">IF(OR(Y129="",G129=""),"",Y129-G129)</f>
        <v/>
      </c>
      <c r="AO129" s="212" t="str">
        <f t="shared" ref="AO129:AO132" si="118">IF(OR(Z129="",H129=""),"",Z129-H129)</f>
        <v/>
      </c>
      <c r="AP129" s="212" t="str">
        <f t="shared" ref="AP129:AP132" si="119">IF(OR(AA129="",I129=""),"",AA129-I129)</f>
        <v/>
      </c>
      <c r="AQ129" s="151" t="str">
        <f t="shared" ref="AQ129:AQ132" si="120">IF(OR(AB129="",J129=""),"",AB129-J129)</f>
        <v/>
      </c>
      <c r="AR129" s="68"/>
      <c r="AS129" s="69"/>
      <c r="AT129" s="68"/>
    </row>
    <row r="130" spans="2:46" ht="13.5" customHeight="1" x14ac:dyDescent="0.15">
      <c r="B130" s="327"/>
      <c r="C130" s="52" t="s">
        <v>48</v>
      </c>
      <c r="D130" s="73"/>
      <c r="E130" s="95"/>
      <c r="F130" s="103"/>
      <c r="G130" s="103"/>
      <c r="H130" s="103"/>
      <c r="I130" s="103"/>
      <c r="J130" s="103"/>
      <c r="K130" s="104"/>
      <c r="L130" s="206"/>
      <c r="M130" s="206"/>
      <c r="N130" s="95"/>
      <c r="O130" s="53"/>
      <c r="P130" s="95"/>
      <c r="Q130" s="53"/>
      <c r="R130" s="225"/>
      <c r="S130" s="161"/>
      <c r="T130" s="327"/>
      <c r="U130" s="52" t="s">
        <v>48</v>
      </c>
      <c r="V130" s="73"/>
      <c r="W130" s="95"/>
      <c r="X130" s="103"/>
      <c r="Y130" s="103"/>
      <c r="Z130" s="103"/>
      <c r="AA130" s="103"/>
      <c r="AB130" s="103"/>
      <c r="AC130" s="104"/>
      <c r="AD130" s="104"/>
      <c r="AE130" s="104"/>
      <c r="AF130" s="95"/>
      <c r="AG130" s="53"/>
      <c r="AH130" s="95"/>
      <c r="AI130" s="53"/>
      <c r="AJ130" s="225"/>
      <c r="AK130" s="169"/>
      <c r="AL130" s="327"/>
      <c r="AM130" s="150" t="str">
        <f t="shared" si="116"/>
        <v/>
      </c>
      <c r="AN130" s="212" t="str">
        <f t="shared" si="117"/>
        <v/>
      </c>
      <c r="AO130" s="212" t="str">
        <f t="shared" si="118"/>
        <v/>
      </c>
      <c r="AP130" s="212" t="str">
        <f t="shared" si="119"/>
        <v/>
      </c>
      <c r="AQ130" s="151" t="str">
        <f t="shared" si="120"/>
        <v/>
      </c>
      <c r="AR130" s="68"/>
      <c r="AS130" s="69"/>
      <c r="AT130" s="68"/>
    </row>
    <row r="131" spans="2:46" ht="13.5" customHeight="1" x14ac:dyDescent="0.15">
      <c r="B131" s="327"/>
      <c r="C131" s="52" t="s">
        <v>50</v>
      </c>
      <c r="D131" s="73"/>
      <c r="E131" s="95"/>
      <c r="F131" s="103"/>
      <c r="G131" s="103"/>
      <c r="H131" s="103"/>
      <c r="I131" s="103"/>
      <c r="J131" s="103"/>
      <c r="K131" s="104"/>
      <c r="L131" s="206"/>
      <c r="M131" s="206"/>
      <c r="N131" s="95"/>
      <c r="O131" s="53"/>
      <c r="P131" s="95"/>
      <c r="Q131" s="53"/>
      <c r="R131" s="225"/>
      <c r="S131" s="161"/>
      <c r="T131" s="327"/>
      <c r="U131" s="52" t="s">
        <v>50</v>
      </c>
      <c r="V131" s="73"/>
      <c r="W131" s="95"/>
      <c r="X131" s="103"/>
      <c r="Y131" s="103"/>
      <c r="Z131" s="103"/>
      <c r="AA131" s="103"/>
      <c r="AB131" s="103"/>
      <c r="AC131" s="104"/>
      <c r="AD131" s="104"/>
      <c r="AE131" s="104"/>
      <c r="AF131" s="95"/>
      <c r="AG131" s="53"/>
      <c r="AH131" s="95"/>
      <c r="AI131" s="53"/>
      <c r="AJ131" s="225"/>
      <c r="AK131" s="169"/>
      <c r="AL131" s="327"/>
      <c r="AM131" s="150" t="str">
        <f t="shared" si="116"/>
        <v/>
      </c>
      <c r="AN131" s="212" t="str">
        <f t="shared" si="117"/>
        <v/>
      </c>
      <c r="AO131" s="212" t="str">
        <f t="shared" si="118"/>
        <v/>
      </c>
      <c r="AP131" s="212" t="str">
        <f t="shared" si="119"/>
        <v/>
      </c>
      <c r="AQ131" s="151" t="str">
        <f t="shared" si="120"/>
        <v/>
      </c>
      <c r="AR131" s="68"/>
      <c r="AS131" s="69"/>
      <c r="AT131" s="68"/>
    </row>
    <row r="132" spans="2:46" ht="13.5" customHeight="1" thickBot="1" x14ac:dyDescent="0.2">
      <c r="B132" s="328"/>
      <c r="C132" s="52" t="s">
        <v>51</v>
      </c>
      <c r="D132" s="74"/>
      <c r="E132" s="98"/>
      <c r="F132" s="105"/>
      <c r="G132" s="105"/>
      <c r="H132" s="105"/>
      <c r="I132" s="105"/>
      <c r="J132" s="105"/>
      <c r="K132" s="106"/>
      <c r="L132" s="207"/>
      <c r="M132" s="207"/>
      <c r="N132" s="98"/>
      <c r="O132" s="66"/>
      <c r="P132" s="98"/>
      <c r="Q132" s="66"/>
      <c r="R132" s="225"/>
      <c r="S132" s="161"/>
      <c r="T132" s="328"/>
      <c r="U132" s="52" t="s">
        <v>51</v>
      </c>
      <c r="V132" s="74"/>
      <c r="W132" s="98"/>
      <c r="X132" s="105"/>
      <c r="Y132" s="105"/>
      <c r="Z132" s="105"/>
      <c r="AA132" s="105"/>
      <c r="AB132" s="105"/>
      <c r="AC132" s="106"/>
      <c r="AD132" s="106"/>
      <c r="AE132" s="106"/>
      <c r="AF132" s="98"/>
      <c r="AG132" s="66"/>
      <c r="AH132" s="98"/>
      <c r="AI132" s="66"/>
      <c r="AJ132" s="225"/>
      <c r="AK132" s="169"/>
      <c r="AL132" s="328"/>
      <c r="AM132" s="213" t="str">
        <f t="shared" si="116"/>
        <v/>
      </c>
      <c r="AN132" s="214" t="str">
        <f t="shared" si="117"/>
        <v/>
      </c>
      <c r="AO132" s="214" t="str">
        <f t="shared" si="118"/>
        <v/>
      </c>
      <c r="AP132" s="214" t="str">
        <f t="shared" si="119"/>
        <v/>
      </c>
      <c r="AQ132" s="215" t="str">
        <f t="shared" si="120"/>
        <v/>
      </c>
      <c r="AR132" s="68"/>
      <c r="AS132" s="69"/>
      <c r="AT132" s="68"/>
    </row>
    <row r="133" spans="2:46" ht="13.5" customHeight="1" x14ac:dyDescent="0.15">
      <c r="B133" s="326" t="s">
        <v>111</v>
      </c>
      <c r="C133" s="50" t="s">
        <v>46</v>
      </c>
      <c r="D133" s="71"/>
      <c r="E133" s="93"/>
      <c r="F133" s="101"/>
      <c r="G133" s="101"/>
      <c r="H133" s="101"/>
      <c r="I133" s="101"/>
      <c r="J133" s="101"/>
      <c r="K133" s="102"/>
      <c r="L133" s="205"/>
      <c r="M133" s="205"/>
      <c r="N133" s="93"/>
      <c r="O133" s="51"/>
      <c r="P133" s="93"/>
      <c r="Q133" s="51"/>
      <c r="R133" s="224"/>
      <c r="S133" s="161"/>
      <c r="T133" s="326" t="s">
        <v>111</v>
      </c>
      <c r="U133" s="50" t="s">
        <v>46</v>
      </c>
      <c r="V133" s="71"/>
      <c r="W133" s="93"/>
      <c r="X133" s="101"/>
      <c r="Y133" s="101"/>
      <c r="Z133" s="101"/>
      <c r="AA133" s="101"/>
      <c r="AB133" s="101"/>
      <c r="AC133" s="102"/>
      <c r="AD133" s="102"/>
      <c r="AE133" s="102"/>
      <c r="AF133" s="93"/>
      <c r="AG133" s="51"/>
      <c r="AH133" s="93"/>
      <c r="AI133" s="51"/>
      <c r="AJ133" s="224"/>
      <c r="AK133" s="169"/>
      <c r="AL133" s="326" t="s">
        <v>111</v>
      </c>
      <c r="AM133" s="210" t="str">
        <f>IF(OR(X133="",F133=""),"",X133-F133)</f>
        <v/>
      </c>
      <c r="AN133" s="171" t="str">
        <f>IF(OR(Y133="",G133=""),"",Y133-G133)</f>
        <v/>
      </c>
      <c r="AO133" s="171" t="str">
        <f>IF(OR(Z133="",H133=""),"",Z133-H133)</f>
        <v/>
      </c>
      <c r="AP133" s="171" t="str">
        <f>IF(OR(AA133="",I133=""),"",AA133-I133)</f>
        <v/>
      </c>
      <c r="AQ133" s="211" t="str">
        <f>IF(OR(AB133="",J133=""),"",AB133-J133)</f>
        <v/>
      </c>
      <c r="AR133" s="68"/>
      <c r="AS133" s="69"/>
      <c r="AT133" s="68"/>
    </row>
    <row r="134" spans="2:46" ht="13.5" customHeight="1" x14ac:dyDescent="0.15">
      <c r="B134" s="327"/>
      <c r="C134" s="52" t="s">
        <v>47</v>
      </c>
      <c r="D134" s="73"/>
      <c r="E134" s="95"/>
      <c r="F134" s="103"/>
      <c r="G134" s="103"/>
      <c r="H134" s="103"/>
      <c r="I134" s="103"/>
      <c r="J134" s="103"/>
      <c r="K134" s="104"/>
      <c r="L134" s="206"/>
      <c r="M134" s="206"/>
      <c r="N134" s="95"/>
      <c r="O134" s="53"/>
      <c r="P134" s="95"/>
      <c r="Q134" s="53"/>
      <c r="R134" s="225"/>
      <c r="S134" s="161"/>
      <c r="T134" s="327"/>
      <c r="U134" s="52" t="s">
        <v>47</v>
      </c>
      <c r="V134" s="73"/>
      <c r="W134" s="95"/>
      <c r="X134" s="103"/>
      <c r="Y134" s="103"/>
      <c r="Z134" s="103"/>
      <c r="AA134" s="103"/>
      <c r="AB134" s="103"/>
      <c r="AC134" s="104"/>
      <c r="AD134" s="104"/>
      <c r="AE134" s="104"/>
      <c r="AF134" s="95"/>
      <c r="AG134" s="53"/>
      <c r="AH134" s="95"/>
      <c r="AI134" s="53"/>
      <c r="AJ134" s="225"/>
      <c r="AK134" s="169"/>
      <c r="AL134" s="327"/>
      <c r="AM134" s="150" t="str">
        <f t="shared" ref="AM134:AM137" si="121">IF(OR(X134="",F134=""),"",X134-F134)</f>
        <v/>
      </c>
      <c r="AN134" s="212" t="str">
        <f t="shared" ref="AN134:AN137" si="122">IF(OR(Y134="",G134=""),"",Y134-G134)</f>
        <v/>
      </c>
      <c r="AO134" s="212" t="str">
        <f t="shared" ref="AO134:AO137" si="123">IF(OR(Z134="",H134=""),"",Z134-H134)</f>
        <v/>
      </c>
      <c r="AP134" s="212" t="str">
        <f t="shared" ref="AP134:AP137" si="124">IF(OR(AA134="",I134=""),"",AA134-I134)</f>
        <v/>
      </c>
      <c r="AQ134" s="151" t="str">
        <f t="shared" ref="AQ134:AQ137" si="125">IF(OR(AB134="",J134=""),"",AB134-J134)</f>
        <v/>
      </c>
      <c r="AR134" s="68"/>
      <c r="AS134" s="69"/>
      <c r="AT134" s="68"/>
    </row>
    <row r="135" spans="2:46" ht="13.5" customHeight="1" x14ac:dyDescent="0.15">
      <c r="B135" s="327"/>
      <c r="C135" s="52" t="s">
        <v>48</v>
      </c>
      <c r="D135" s="73"/>
      <c r="E135" s="95"/>
      <c r="F135" s="103"/>
      <c r="G135" s="103"/>
      <c r="H135" s="103"/>
      <c r="I135" s="103"/>
      <c r="J135" s="103"/>
      <c r="K135" s="104"/>
      <c r="L135" s="206"/>
      <c r="M135" s="206"/>
      <c r="N135" s="95"/>
      <c r="O135" s="53"/>
      <c r="P135" s="95"/>
      <c r="Q135" s="53"/>
      <c r="R135" s="225"/>
      <c r="S135" s="161"/>
      <c r="T135" s="327"/>
      <c r="U135" s="52" t="s">
        <v>48</v>
      </c>
      <c r="V135" s="73"/>
      <c r="W135" s="95"/>
      <c r="X135" s="103"/>
      <c r="Y135" s="103"/>
      <c r="Z135" s="103"/>
      <c r="AA135" s="103"/>
      <c r="AB135" s="103"/>
      <c r="AC135" s="104"/>
      <c r="AD135" s="104"/>
      <c r="AE135" s="104"/>
      <c r="AF135" s="95"/>
      <c r="AG135" s="53"/>
      <c r="AH135" s="95"/>
      <c r="AI135" s="53"/>
      <c r="AJ135" s="225"/>
      <c r="AK135" s="169"/>
      <c r="AL135" s="327"/>
      <c r="AM135" s="150" t="str">
        <f t="shared" si="121"/>
        <v/>
      </c>
      <c r="AN135" s="212" t="str">
        <f t="shared" si="122"/>
        <v/>
      </c>
      <c r="AO135" s="212" t="str">
        <f t="shared" si="123"/>
        <v/>
      </c>
      <c r="AP135" s="212" t="str">
        <f t="shared" si="124"/>
        <v/>
      </c>
      <c r="AQ135" s="151" t="str">
        <f t="shared" si="125"/>
        <v/>
      </c>
      <c r="AR135" s="68"/>
      <c r="AS135" s="69"/>
      <c r="AT135" s="68"/>
    </row>
    <row r="136" spans="2:46" ht="13.5" customHeight="1" x14ac:dyDescent="0.15">
      <c r="B136" s="327"/>
      <c r="C136" s="52" t="s">
        <v>50</v>
      </c>
      <c r="D136" s="73"/>
      <c r="E136" s="95"/>
      <c r="F136" s="103"/>
      <c r="G136" s="103"/>
      <c r="H136" s="103"/>
      <c r="I136" s="103"/>
      <c r="J136" s="103"/>
      <c r="K136" s="104"/>
      <c r="L136" s="206"/>
      <c r="M136" s="206"/>
      <c r="N136" s="95"/>
      <c r="O136" s="53"/>
      <c r="P136" s="95"/>
      <c r="Q136" s="53"/>
      <c r="R136" s="225"/>
      <c r="S136" s="161"/>
      <c r="T136" s="327"/>
      <c r="U136" s="52" t="s">
        <v>50</v>
      </c>
      <c r="V136" s="73"/>
      <c r="W136" s="95"/>
      <c r="X136" s="103"/>
      <c r="Y136" s="103"/>
      <c r="Z136" s="103"/>
      <c r="AA136" s="103"/>
      <c r="AB136" s="103"/>
      <c r="AC136" s="104"/>
      <c r="AD136" s="104"/>
      <c r="AE136" s="104"/>
      <c r="AF136" s="95"/>
      <c r="AG136" s="53"/>
      <c r="AH136" s="95"/>
      <c r="AI136" s="53"/>
      <c r="AJ136" s="225"/>
      <c r="AK136" s="169"/>
      <c r="AL136" s="327"/>
      <c r="AM136" s="150" t="str">
        <f t="shared" si="121"/>
        <v/>
      </c>
      <c r="AN136" s="212" t="str">
        <f t="shared" si="122"/>
        <v/>
      </c>
      <c r="AO136" s="212" t="str">
        <f t="shared" si="123"/>
        <v/>
      </c>
      <c r="AP136" s="212" t="str">
        <f t="shared" si="124"/>
        <v/>
      </c>
      <c r="AQ136" s="151" t="str">
        <f t="shared" si="125"/>
        <v/>
      </c>
      <c r="AR136" s="68"/>
      <c r="AS136" s="69"/>
      <c r="AT136" s="68"/>
    </row>
    <row r="137" spans="2:46" ht="13.5" customHeight="1" thickBot="1" x14ac:dyDescent="0.2">
      <c r="B137" s="328"/>
      <c r="C137" s="54" t="s">
        <v>51</v>
      </c>
      <c r="D137" s="74"/>
      <c r="E137" s="98"/>
      <c r="F137" s="105"/>
      <c r="G137" s="105"/>
      <c r="H137" s="105"/>
      <c r="I137" s="105"/>
      <c r="J137" s="105"/>
      <c r="K137" s="106"/>
      <c r="L137" s="207"/>
      <c r="M137" s="207"/>
      <c r="N137" s="98"/>
      <c r="O137" s="66"/>
      <c r="P137" s="98"/>
      <c r="Q137" s="66"/>
      <c r="R137" s="226"/>
      <c r="S137" s="161"/>
      <c r="T137" s="328"/>
      <c r="U137" s="54" t="s">
        <v>51</v>
      </c>
      <c r="V137" s="74"/>
      <c r="W137" s="98"/>
      <c r="X137" s="105"/>
      <c r="Y137" s="105"/>
      <c r="Z137" s="105"/>
      <c r="AA137" s="105"/>
      <c r="AB137" s="105"/>
      <c r="AC137" s="106"/>
      <c r="AD137" s="106"/>
      <c r="AE137" s="106"/>
      <c r="AF137" s="98"/>
      <c r="AG137" s="66"/>
      <c r="AH137" s="98"/>
      <c r="AI137" s="66"/>
      <c r="AJ137" s="226"/>
      <c r="AK137" s="169"/>
      <c r="AL137" s="328"/>
      <c r="AM137" s="213" t="str">
        <f t="shared" si="121"/>
        <v/>
      </c>
      <c r="AN137" s="214" t="str">
        <f t="shared" si="122"/>
        <v/>
      </c>
      <c r="AO137" s="214" t="str">
        <f t="shared" si="123"/>
        <v/>
      </c>
      <c r="AP137" s="214" t="str">
        <f t="shared" si="124"/>
        <v/>
      </c>
      <c r="AQ137" s="215" t="str">
        <f t="shared" si="125"/>
        <v/>
      </c>
      <c r="AR137" s="68"/>
      <c r="AS137" s="69"/>
      <c r="AT137" s="68"/>
    </row>
    <row r="138" spans="2:46" ht="13.5" customHeight="1" x14ac:dyDescent="0.15">
      <c r="B138" s="326" t="s">
        <v>112</v>
      </c>
      <c r="C138" s="50" t="s">
        <v>46</v>
      </c>
      <c r="D138" s="71"/>
      <c r="E138" s="93"/>
      <c r="F138" s="101"/>
      <c r="G138" s="101"/>
      <c r="H138" s="101"/>
      <c r="I138" s="101"/>
      <c r="J138" s="101"/>
      <c r="K138" s="102"/>
      <c r="L138" s="205"/>
      <c r="M138" s="205"/>
      <c r="N138" s="93"/>
      <c r="O138" s="51"/>
      <c r="P138" s="93"/>
      <c r="Q138" s="51"/>
      <c r="R138" s="224"/>
      <c r="S138" s="161"/>
      <c r="T138" s="326" t="s">
        <v>112</v>
      </c>
      <c r="U138" s="50" t="s">
        <v>46</v>
      </c>
      <c r="V138" s="71"/>
      <c r="W138" s="93"/>
      <c r="X138" s="101"/>
      <c r="Y138" s="101"/>
      <c r="Z138" s="101"/>
      <c r="AA138" s="101"/>
      <c r="AB138" s="101"/>
      <c r="AC138" s="102"/>
      <c r="AD138" s="102"/>
      <c r="AE138" s="102"/>
      <c r="AF138" s="93"/>
      <c r="AG138" s="51"/>
      <c r="AH138" s="93"/>
      <c r="AI138" s="51"/>
      <c r="AJ138" s="224"/>
      <c r="AK138" s="169"/>
      <c r="AL138" s="326" t="s">
        <v>112</v>
      </c>
      <c r="AM138" s="210" t="str">
        <f>IF(OR(X138="",F138=""),"",X138-F138)</f>
        <v/>
      </c>
      <c r="AN138" s="171" t="str">
        <f>IF(OR(Y138="",G138=""),"",Y138-G138)</f>
        <v/>
      </c>
      <c r="AO138" s="171" t="str">
        <f>IF(OR(Z138="",H138=""),"",Z138-H138)</f>
        <v/>
      </c>
      <c r="AP138" s="171" t="str">
        <f>IF(OR(AA138="",I138=""),"",AA138-I138)</f>
        <v/>
      </c>
      <c r="AQ138" s="211" t="str">
        <f>IF(OR(AB138="",J138=""),"",AB138-J138)</f>
        <v/>
      </c>
      <c r="AR138" s="68"/>
      <c r="AS138" s="69"/>
      <c r="AT138" s="68"/>
    </row>
    <row r="139" spans="2:46" ht="13.5" customHeight="1" x14ac:dyDescent="0.15">
      <c r="B139" s="327"/>
      <c r="C139" s="52" t="s">
        <v>47</v>
      </c>
      <c r="D139" s="73"/>
      <c r="E139" s="95"/>
      <c r="F139" s="103"/>
      <c r="G139" s="103"/>
      <c r="H139" s="103"/>
      <c r="I139" s="103"/>
      <c r="J139" s="103"/>
      <c r="K139" s="104"/>
      <c r="L139" s="206"/>
      <c r="M139" s="206"/>
      <c r="N139" s="95"/>
      <c r="O139" s="53"/>
      <c r="P139" s="95"/>
      <c r="Q139" s="53"/>
      <c r="R139" s="225"/>
      <c r="S139" s="161"/>
      <c r="T139" s="327"/>
      <c r="U139" s="52" t="s">
        <v>47</v>
      </c>
      <c r="V139" s="73"/>
      <c r="W139" s="95"/>
      <c r="X139" s="103"/>
      <c r="Y139" s="103"/>
      <c r="Z139" s="103"/>
      <c r="AA139" s="103"/>
      <c r="AB139" s="103"/>
      <c r="AC139" s="104"/>
      <c r="AD139" s="104"/>
      <c r="AE139" s="104"/>
      <c r="AF139" s="95"/>
      <c r="AG139" s="53"/>
      <c r="AH139" s="95"/>
      <c r="AI139" s="53"/>
      <c r="AJ139" s="225"/>
      <c r="AK139" s="169"/>
      <c r="AL139" s="327"/>
      <c r="AM139" s="150" t="str">
        <f t="shared" ref="AM139:AM142" si="126">IF(OR(X139="",F139=""),"",X139-F139)</f>
        <v/>
      </c>
      <c r="AN139" s="212" t="str">
        <f t="shared" ref="AN139:AN142" si="127">IF(OR(Y139="",G139=""),"",Y139-G139)</f>
        <v/>
      </c>
      <c r="AO139" s="212" t="str">
        <f t="shared" ref="AO139:AO142" si="128">IF(OR(Z139="",H139=""),"",Z139-H139)</f>
        <v/>
      </c>
      <c r="AP139" s="212" t="str">
        <f t="shared" ref="AP139:AP142" si="129">IF(OR(AA139="",I139=""),"",AA139-I139)</f>
        <v/>
      </c>
      <c r="AQ139" s="151" t="str">
        <f t="shared" ref="AQ139:AQ142" si="130">IF(OR(AB139="",J139=""),"",AB139-J139)</f>
        <v/>
      </c>
      <c r="AR139" s="68"/>
      <c r="AS139" s="69"/>
      <c r="AT139" s="68"/>
    </row>
    <row r="140" spans="2:46" ht="13.5" customHeight="1" x14ac:dyDescent="0.15">
      <c r="B140" s="327"/>
      <c r="C140" s="52" t="s">
        <v>48</v>
      </c>
      <c r="D140" s="73"/>
      <c r="E140" s="95"/>
      <c r="F140" s="103"/>
      <c r="G140" s="103"/>
      <c r="H140" s="103"/>
      <c r="I140" s="103"/>
      <c r="J140" s="103"/>
      <c r="K140" s="104"/>
      <c r="L140" s="206"/>
      <c r="M140" s="206"/>
      <c r="N140" s="95"/>
      <c r="O140" s="53"/>
      <c r="P140" s="95"/>
      <c r="Q140" s="53"/>
      <c r="R140" s="225"/>
      <c r="S140" s="161"/>
      <c r="T140" s="327"/>
      <c r="U140" s="52" t="s">
        <v>48</v>
      </c>
      <c r="V140" s="73"/>
      <c r="W140" s="95"/>
      <c r="X140" s="103"/>
      <c r="Y140" s="103"/>
      <c r="Z140" s="103"/>
      <c r="AA140" s="103"/>
      <c r="AB140" s="103"/>
      <c r="AC140" s="104"/>
      <c r="AD140" s="104"/>
      <c r="AE140" s="104"/>
      <c r="AF140" s="95"/>
      <c r="AG140" s="53"/>
      <c r="AH140" s="95"/>
      <c r="AI140" s="53"/>
      <c r="AJ140" s="225"/>
      <c r="AK140" s="169"/>
      <c r="AL140" s="327"/>
      <c r="AM140" s="150" t="str">
        <f t="shared" si="126"/>
        <v/>
      </c>
      <c r="AN140" s="212" t="str">
        <f t="shared" si="127"/>
        <v/>
      </c>
      <c r="AO140" s="212" t="str">
        <f t="shared" si="128"/>
        <v/>
      </c>
      <c r="AP140" s="212" t="str">
        <f t="shared" si="129"/>
        <v/>
      </c>
      <c r="AQ140" s="151" t="str">
        <f t="shared" si="130"/>
        <v/>
      </c>
      <c r="AR140" s="68"/>
      <c r="AS140" s="69"/>
      <c r="AT140" s="68"/>
    </row>
    <row r="141" spans="2:46" ht="13.5" customHeight="1" x14ac:dyDescent="0.15">
      <c r="B141" s="327"/>
      <c r="C141" s="52" t="s">
        <v>50</v>
      </c>
      <c r="D141" s="73"/>
      <c r="E141" s="95"/>
      <c r="F141" s="103"/>
      <c r="G141" s="103"/>
      <c r="H141" s="103"/>
      <c r="I141" s="103"/>
      <c r="J141" s="103"/>
      <c r="K141" s="104"/>
      <c r="L141" s="206"/>
      <c r="M141" s="206"/>
      <c r="N141" s="95"/>
      <c r="O141" s="53"/>
      <c r="P141" s="95"/>
      <c r="Q141" s="53"/>
      <c r="R141" s="225"/>
      <c r="S141" s="161"/>
      <c r="T141" s="327"/>
      <c r="U141" s="52" t="s">
        <v>50</v>
      </c>
      <c r="V141" s="73"/>
      <c r="W141" s="95"/>
      <c r="X141" s="103"/>
      <c r="Y141" s="103"/>
      <c r="Z141" s="103"/>
      <c r="AA141" s="103"/>
      <c r="AB141" s="103"/>
      <c r="AC141" s="104"/>
      <c r="AD141" s="104"/>
      <c r="AE141" s="104"/>
      <c r="AF141" s="95"/>
      <c r="AG141" s="53"/>
      <c r="AH141" s="95"/>
      <c r="AI141" s="53"/>
      <c r="AJ141" s="225"/>
      <c r="AK141" s="169"/>
      <c r="AL141" s="327"/>
      <c r="AM141" s="150" t="str">
        <f t="shared" si="126"/>
        <v/>
      </c>
      <c r="AN141" s="212" t="str">
        <f t="shared" si="127"/>
        <v/>
      </c>
      <c r="AO141" s="212" t="str">
        <f t="shared" si="128"/>
        <v/>
      </c>
      <c r="AP141" s="212" t="str">
        <f t="shared" si="129"/>
        <v/>
      </c>
      <c r="AQ141" s="151" t="str">
        <f t="shared" si="130"/>
        <v/>
      </c>
      <c r="AR141" s="68"/>
      <c r="AS141" s="69"/>
      <c r="AT141" s="68"/>
    </row>
    <row r="142" spans="2:46" ht="13.5" customHeight="1" thickBot="1" x14ac:dyDescent="0.2">
      <c r="B142" s="328"/>
      <c r="C142" s="52" t="s">
        <v>51</v>
      </c>
      <c r="D142" s="74"/>
      <c r="E142" s="98"/>
      <c r="F142" s="105"/>
      <c r="G142" s="105"/>
      <c r="H142" s="105"/>
      <c r="I142" s="105"/>
      <c r="J142" s="105"/>
      <c r="K142" s="106"/>
      <c r="L142" s="207"/>
      <c r="M142" s="207"/>
      <c r="N142" s="98"/>
      <c r="O142" s="66"/>
      <c r="P142" s="98"/>
      <c r="Q142" s="66"/>
      <c r="R142" s="225"/>
      <c r="S142" s="161"/>
      <c r="T142" s="328"/>
      <c r="U142" s="52" t="s">
        <v>51</v>
      </c>
      <c r="V142" s="74"/>
      <c r="W142" s="98"/>
      <c r="X142" s="105"/>
      <c r="Y142" s="105"/>
      <c r="Z142" s="105"/>
      <c r="AA142" s="105"/>
      <c r="AB142" s="105"/>
      <c r="AC142" s="106"/>
      <c r="AD142" s="106"/>
      <c r="AE142" s="106"/>
      <c r="AF142" s="98"/>
      <c r="AG142" s="66"/>
      <c r="AH142" s="98"/>
      <c r="AI142" s="66"/>
      <c r="AJ142" s="225"/>
      <c r="AK142" s="169"/>
      <c r="AL142" s="328"/>
      <c r="AM142" s="213" t="str">
        <f t="shared" si="126"/>
        <v/>
      </c>
      <c r="AN142" s="214" t="str">
        <f t="shared" si="127"/>
        <v/>
      </c>
      <c r="AO142" s="214" t="str">
        <f t="shared" si="128"/>
        <v/>
      </c>
      <c r="AP142" s="214" t="str">
        <f t="shared" si="129"/>
        <v/>
      </c>
      <c r="AQ142" s="215" t="str">
        <f t="shared" si="130"/>
        <v/>
      </c>
      <c r="AR142" s="68"/>
      <c r="AS142" s="69"/>
      <c r="AT142" s="68"/>
    </row>
    <row r="143" spans="2:46" ht="13.5" customHeight="1" x14ac:dyDescent="0.15">
      <c r="B143" s="326" t="s">
        <v>113</v>
      </c>
      <c r="C143" s="50" t="s">
        <v>46</v>
      </c>
      <c r="D143" s="71"/>
      <c r="E143" s="93"/>
      <c r="F143" s="101"/>
      <c r="G143" s="101"/>
      <c r="H143" s="101"/>
      <c r="I143" s="101"/>
      <c r="J143" s="101"/>
      <c r="K143" s="102"/>
      <c r="L143" s="205"/>
      <c r="M143" s="205"/>
      <c r="N143" s="93"/>
      <c r="O143" s="51"/>
      <c r="P143" s="93"/>
      <c r="Q143" s="51"/>
      <c r="R143" s="224"/>
      <c r="S143" s="161"/>
      <c r="T143" s="326" t="s">
        <v>113</v>
      </c>
      <c r="U143" s="50" t="s">
        <v>46</v>
      </c>
      <c r="V143" s="71"/>
      <c r="W143" s="93"/>
      <c r="X143" s="101"/>
      <c r="Y143" s="101"/>
      <c r="Z143" s="101"/>
      <c r="AA143" s="101"/>
      <c r="AB143" s="101"/>
      <c r="AC143" s="102"/>
      <c r="AD143" s="102"/>
      <c r="AE143" s="102"/>
      <c r="AF143" s="93"/>
      <c r="AG143" s="51"/>
      <c r="AH143" s="93"/>
      <c r="AI143" s="51"/>
      <c r="AJ143" s="224"/>
      <c r="AK143" s="169"/>
      <c r="AL143" s="326" t="s">
        <v>113</v>
      </c>
      <c r="AM143" s="210" t="str">
        <f>IF(OR(X143="",F143=""),"",X143-F143)</f>
        <v/>
      </c>
      <c r="AN143" s="171" t="str">
        <f>IF(OR(Y143="",G143=""),"",Y143-G143)</f>
        <v/>
      </c>
      <c r="AO143" s="171" t="str">
        <f>IF(OR(Z143="",H143=""),"",Z143-H143)</f>
        <v/>
      </c>
      <c r="AP143" s="171" t="str">
        <f>IF(OR(AA143="",I143=""),"",AA143-I143)</f>
        <v/>
      </c>
      <c r="AQ143" s="211" t="str">
        <f>IF(OR(AB143="",J143=""),"",AB143-J143)</f>
        <v/>
      </c>
      <c r="AR143" s="68"/>
      <c r="AS143" s="69"/>
      <c r="AT143" s="68"/>
    </row>
    <row r="144" spans="2:46" ht="13.5" customHeight="1" x14ac:dyDescent="0.15">
      <c r="B144" s="327"/>
      <c r="C144" s="52" t="s">
        <v>47</v>
      </c>
      <c r="D144" s="73"/>
      <c r="E144" s="95"/>
      <c r="F144" s="103"/>
      <c r="G144" s="103"/>
      <c r="H144" s="103"/>
      <c r="I144" s="103"/>
      <c r="J144" s="103"/>
      <c r="K144" s="104"/>
      <c r="L144" s="206"/>
      <c r="M144" s="206"/>
      <c r="N144" s="95"/>
      <c r="O144" s="53"/>
      <c r="P144" s="95"/>
      <c r="Q144" s="53"/>
      <c r="R144" s="225"/>
      <c r="S144" s="161"/>
      <c r="T144" s="327"/>
      <c r="U144" s="52" t="s">
        <v>47</v>
      </c>
      <c r="V144" s="73"/>
      <c r="W144" s="95"/>
      <c r="X144" s="103"/>
      <c r="Y144" s="103"/>
      <c r="Z144" s="103"/>
      <c r="AA144" s="103"/>
      <c r="AB144" s="103"/>
      <c r="AC144" s="104"/>
      <c r="AD144" s="104"/>
      <c r="AE144" s="104"/>
      <c r="AF144" s="95"/>
      <c r="AG144" s="53"/>
      <c r="AH144" s="95"/>
      <c r="AI144" s="53"/>
      <c r="AJ144" s="225"/>
      <c r="AK144" s="169"/>
      <c r="AL144" s="327"/>
      <c r="AM144" s="150" t="str">
        <f t="shared" ref="AM144:AM147" si="131">IF(OR(X144="",F144=""),"",X144-F144)</f>
        <v/>
      </c>
      <c r="AN144" s="212" t="str">
        <f t="shared" ref="AN144:AN147" si="132">IF(OR(Y144="",G144=""),"",Y144-G144)</f>
        <v/>
      </c>
      <c r="AO144" s="212" t="str">
        <f t="shared" ref="AO144:AO147" si="133">IF(OR(Z144="",H144=""),"",Z144-H144)</f>
        <v/>
      </c>
      <c r="AP144" s="212" t="str">
        <f t="shared" ref="AP144:AP147" si="134">IF(OR(AA144="",I144=""),"",AA144-I144)</f>
        <v/>
      </c>
      <c r="AQ144" s="151" t="str">
        <f t="shared" ref="AQ144:AQ147" si="135">IF(OR(AB144="",J144=""),"",AB144-J144)</f>
        <v/>
      </c>
      <c r="AR144" s="68"/>
      <c r="AS144" s="69"/>
      <c r="AT144" s="68"/>
    </row>
    <row r="145" spans="2:46" ht="13.5" customHeight="1" x14ac:dyDescent="0.15">
      <c r="B145" s="327"/>
      <c r="C145" s="52" t="s">
        <v>48</v>
      </c>
      <c r="D145" s="73"/>
      <c r="E145" s="95"/>
      <c r="F145" s="103"/>
      <c r="G145" s="103"/>
      <c r="H145" s="103"/>
      <c r="I145" s="103"/>
      <c r="J145" s="103"/>
      <c r="K145" s="104"/>
      <c r="L145" s="206"/>
      <c r="M145" s="206"/>
      <c r="N145" s="95"/>
      <c r="O145" s="53"/>
      <c r="P145" s="95"/>
      <c r="Q145" s="53"/>
      <c r="R145" s="225"/>
      <c r="S145" s="161"/>
      <c r="T145" s="327"/>
      <c r="U145" s="52" t="s">
        <v>48</v>
      </c>
      <c r="V145" s="73"/>
      <c r="W145" s="95"/>
      <c r="X145" s="103"/>
      <c r="Y145" s="103"/>
      <c r="Z145" s="103"/>
      <c r="AA145" s="103"/>
      <c r="AB145" s="103"/>
      <c r="AC145" s="104"/>
      <c r="AD145" s="104"/>
      <c r="AE145" s="104"/>
      <c r="AF145" s="95"/>
      <c r="AG145" s="53"/>
      <c r="AH145" s="95"/>
      <c r="AI145" s="53"/>
      <c r="AJ145" s="225"/>
      <c r="AK145" s="169"/>
      <c r="AL145" s="327"/>
      <c r="AM145" s="150" t="str">
        <f t="shared" si="131"/>
        <v/>
      </c>
      <c r="AN145" s="212" t="str">
        <f t="shared" si="132"/>
        <v/>
      </c>
      <c r="AO145" s="212" t="str">
        <f t="shared" si="133"/>
        <v/>
      </c>
      <c r="AP145" s="212" t="str">
        <f t="shared" si="134"/>
        <v/>
      </c>
      <c r="AQ145" s="151" t="str">
        <f t="shared" si="135"/>
        <v/>
      </c>
      <c r="AR145" s="68"/>
      <c r="AS145" s="69"/>
      <c r="AT145" s="68"/>
    </row>
    <row r="146" spans="2:46" ht="13.5" customHeight="1" x14ac:dyDescent="0.15">
      <c r="B146" s="327"/>
      <c r="C146" s="52" t="s">
        <v>50</v>
      </c>
      <c r="D146" s="73"/>
      <c r="E146" s="95"/>
      <c r="F146" s="103"/>
      <c r="G146" s="103"/>
      <c r="H146" s="103"/>
      <c r="I146" s="103"/>
      <c r="J146" s="103"/>
      <c r="K146" s="104"/>
      <c r="L146" s="206"/>
      <c r="M146" s="206"/>
      <c r="N146" s="95"/>
      <c r="O146" s="53"/>
      <c r="P146" s="95"/>
      <c r="Q146" s="53"/>
      <c r="R146" s="225"/>
      <c r="S146" s="161"/>
      <c r="T146" s="327"/>
      <c r="U146" s="52" t="s">
        <v>50</v>
      </c>
      <c r="V146" s="73"/>
      <c r="W146" s="95"/>
      <c r="X146" s="103"/>
      <c r="Y146" s="103"/>
      <c r="Z146" s="103"/>
      <c r="AA146" s="103"/>
      <c r="AB146" s="103"/>
      <c r="AC146" s="104"/>
      <c r="AD146" s="104"/>
      <c r="AE146" s="104"/>
      <c r="AF146" s="95"/>
      <c r="AG146" s="53"/>
      <c r="AH146" s="95"/>
      <c r="AI146" s="53"/>
      <c r="AJ146" s="225"/>
      <c r="AK146" s="169"/>
      <c r="AL146" s="327"/>
      <c r="AM146" s="150" t="str">
        <f t="shared" si="131"/>
        <v/>
      </c>
      <c r="AN146" s="212" t="str">
        <f t="shared" si="132"/>
        <v/>
      </c>
      <c r="AO146" s="212" t="str">
        <f t="shared" si="133"/>
        <v/>
      </c>
      <c r="AP146" s="212" t="str">
        <f t="shared" si="134"/>
        <v/>
      </c>
      <c r="AQ146" s="151" t="str">
        <f t="shared" si="135"/>
        <v/>
      </c>
      <c r="AR146" s="68"/>
      <c r="AS146" s="69"/>
      <c r="AT146" s="68"/>
    </row>
    <row r="147" spans="2:46" ht="13.5" customHeight="1" thickBot="1" x14ac:dyDescent="0.2">
      <c r="B147" s="328"/>
      <c r="C147" s="52" t="s">
        <v>51</v>
      </c>
      <c r="D147" s="74"/>
      <c r="E147" s="98"/>
      <c r="F147" s="105"/>
      <c r="G147" s="105"/>
      <c r="H147" s="105"/>
      <c r="I147" s="105"/>
      <c r="J147" s="105"/>
      <c r="K147" s="106"/>
      <c r="L147" s="207"/>
      <c r="M147" s="207"/>
      <c r="N147" s="98"/>
      <c r="O147" s="66"/>
      <c r="P147" s="98"/>
      <c r="Q147" s="66"/>
      <c r="R147" s="225"/>
      <c r="S147" s="161"/>
      <c r="T147" s="328"/>
      <c r="U147" s="52" t="s">
        <v>51</v>
      </c>
      <c r="V147" s="74"/>
      <c r="W147" s="98"/>
      <c r="X147" s="105"/>
      <c r="Y147" s="105"/>
      <c r="Z147" s="105"/>
      <c r="AA147" s="105"/>
      <c r="AB147" s="105"/>
      <c r="AC147" s="106"/>
      <c r="AD147" s="106"/>
      <c r="AE147" s="106"/>
      <c r="AF147" s="98"/>
      <c r="AG147" s="66"/>
      <c r="AH147" s="98"/>
      <c r="AI147" s="66"/>
      <c r="AJ147" s="225"/>
      <c r="AK147" s="169"/>
      <c r="AL147" s="328"/>
      <c r="AM147" s="213" t="str">
        <f t="shared" si="131"/>
        <v/>
      </c>
      <c r="AN147" s="214" t="str">
        <f t="shared" si="132"/>
        <v/>
      </c>
      <c r="AO147" s="214" t="str">
        <f t="shared" si="133"/>
        <v/>
      </c>
      <c r="AP147" s="214" t="str">
        <f t="shared" si="134"/>
        <v/>
      </c>
      <c r="AQ147" s="215" t="str">
        <f t="shared" si="135"/>
        <v/>
      </c>
      <c r="AR147" s="68"/>
      <c r="AS147" s="69"/>
      <c r="AT147" s="68"/>
    </row>
    <row r="148" spans="2:46" ht="13.5" customHeight="1" x14ac:dyDescent="0.15">
      <c r="B148" s="326" t="s">
        <v>114</v>
      </c>
      <c r="C148" s="50" t="s">
        <v>46</v>
      </c>
      <c r="D148" s="71"/>
      <c r="E148" s="93"/>
      <c r="F148" s="101"/>
      <c r="G148" s="101"/>
      <c r="H148" s="101"/>
      <c r="I148" s="101"/>
      <c r="J148" s="101"/>
      <c r="K148" s="102"/>
      <c r="L148" s="205"/>
      <c r="M148" s="205"/>
      <c r="N148" s="93"/>
      <c r="O148" s="51"/>
      <c r="P148" s="93"/>
      <c r="Q148" s="51"/>
      <c r="R148" s="224"/>
      <c r="S148" s="161"/>
      <c r="T148" s="326" t="s">
        <v>114</v>
      </c>
      <c r="U148" s="50" t="s">
        <v>46</v>
      </c>
      <c r="V148" s="71"/>
      <c r="W148" s="93"/>
      <c r="X148" s="101"/>
      <c r="Y148" s="101"/>
      <c r="Z148" s="101"/>
      <c r="AA148" s="101"/>
      <c r="AB148" s="101"/>
      <c r="AC148" s="102"/>
      <c r="AD148" s="102"/>
      <c r="AE148" s="102"/>
      <c r="AF148" s="93"/>
      <c r="AG148" s="51"/>
      <c r="AH148" s="93"/>
      <c r="AI148" s="51"/>
      <c r="AJ148" s="224"/>
      <c r="AK148" s="169"/>
      <c r="AL148" s="326" t="s">
        <v>114</v>
      </c>
      <c r="AM148" s="210" t="str">
        <f>IF(OR(X148="",F148=""),"",X148-F148)</f>
        <v/>
      </c>
      <c r="AN148" s="171" t="str">
        <f>IF(OR(Y148="",G148=""),"",Y148-G148)</f>
        <v/>
      </c>
      <c r="AO148" s="171" t="str">
        <f>IF(OR(Z148="",H148=""),"",Z148-H148)</f>
        <v/>
      </c>
      <c r="AP148" s="171" t="str">
        <f>IF(OR(AA148="",I148=""),"",AA148-I148)</f>
        <v/>
      </c>
      <c r="AQ148" s="211" t="str">
        <f>IF(OR(AB148="",J148=""),"",AB148-J148)</f>
        <v/>
      </c>
      <c r="AR148" s="68"/>
      <c r="AS148" s="69"/>
      <c r="AT148" s="68"/>
    </row>
    <row r="149" spans="2:46" ht="13.5" customHeight="1" x14ac:dyDescent="0.15">
      <c r="B149" s="327"/>
      <c r="C149" s="52" t="s">
        <v>47</v>
      </c>
      <c r="D149" s="73"/>
      <c r="E149" s="95"/>
      <c r="F149" s="103"/>
      <c r="G149" s="103"/>
      <c r="H149" s="103"/>
      <c r="I149" s="103"/>
      <c r="J149" s="103"/>
      <c r="K149" s="104"/>
      <c r="L149" s="206"/>
      <c r="M149" s="206"/>
      <c r="N149" s="95"/>
      <c r="O149" s="53"/>
      <c r="P149" s="95"/>
      <c r="Q149" s="53"/>
      <c r="R149" s="225"/>
      <c r="S149" s="161"/>
      <c r="T149" s="327"/>
      <c r="U149" s="52" t="s">
        <v>47</v>
      </c>
      <c r="V149" s="73"/>
      <c r="W149" s="95"/>
      <c r="X149" s="103"/>
      <c r="Y149" s="103"/>
      <c r="Z149" s="103"/>
      <c r="AA149" s="103"/>
      <c r="AB149" s="103"/>
      <c r="AC149" s="104"/>
      <c r="AD149" s="104"/>
      <c r="AE149" s="104"/>
      <c r="AF149" s="95"/>
      <c r="AG149" s="53"/>
      <c r="AH149" s="95"/>
      <c r="AI149" s="53"/>
      <c r="AJ149" s="225"/>
      <c r="AK149" s="169"/>
      <c r="AL149" s="327"/>
      <c r="AM149" s="150" t="str">
        <f t="shared" ref="AM149:AM152" si="136">IF(OR(X149="",F149=""),"",X149-F149)</f>
        <v/>
      </c>
      <c r="AN149" s="212" t="str">
        <f t="shared" ref="AN149:AN152" si="137">IF(OR(Y149="",G149=""),"",Y149-G149)</f>
        <v/>
      </c>
      <c r="AO149" s="212" t="str">
        <f t="shared" ref="AO149:AO152" si="138">IF(OR(Z149="",H149=""),"",Z149-H149)</f>
        <v/>
      </c>
      <c r="AP149" s="212" t="str">
        <f t="shared" ref="AP149:AP152" si="139">IF(OR(AA149="",I149=""),"",AA149-I149)</f>
        <v/>
      </c>
      <c r="AQ149" s="151" t="str">
        <f t="shared" ref="AQ149:AQ152" si="140">IF(OR(AB149="",J149=""),"",AB149-J149)</f>
        <v/>
      </c>
      <c r="AR149" s="68"/>
      <c r="AS149" s="69"/>
      <c r="AT149" s="68"/>
    </row>
    <row r="150" spans="2:46" ht="13.5" customHeight="1" x14ac:dyDescent="0.15">
      <c r="B150" s="327"/>
      <c r="C150" s="52" t="s">
        <v>48</v>
      </c>
      <c r="D150" s="73"/>
      <c r="E150" s="95"/>
      <c r="F150" s="103"/>
      <c r="G150" s="103"/>
      <c r="H150" s="103"/>
      <c r="I150" s="103"/>
      <c r="J150" s="103"/>
      <c r="K150" s="104"/>
      <c r="L150" s="206"/>
      <c r="M150" s="206"/>
      <c r="N150" s="95"/>
      <c r="O150" s="53"/>
      <c r="P150" s="95"/>
      <c r="Q150" s="53"/>
      <c r="R150" s="225"/>
      <c r="S150" s="161"/>
      <c r="T150" s="327"/>
      <c r="U150" s="52" t="s">
        <v>48</v>
      </c>
      <c r="V150" s="73"/>
      <c r="W150" s="95"/>
      <c r="X150" s="103"/>
      <c r="Y150" s="103"/>
      <c r="Z150" s="103"/>
      <c r="AA150" s="103"/>
      <c r="AB150" s="103"/>
      <c r="AC150" s="104"/>
      <c r="AD150" s="104"/>
      <c r="AE150" s="104"/>
      <c r="AF150" s="95"/>
      <c r="AG150" s="53"/>
      <c r="AH150" s="95"/>
      <c r="AI150" s="53"/>
      <c r="AJ150" s="225"/>
      <c r="AK150" s="169"/>
      <c r="AL150" s="327"/>
      <c r="AM150" s="150" t="str">
        <f t="shared" si="136"/>
        <v/>
      </c>
      <c r="AN150" s="212" t="str">
        <f t="shared" si="137"/>
        <v/>
      </c>
      <c r="AO150" s="212" t="str">
        <f t="shared" si="138"/>
        <v/>
      </c>
      <c r="AP150" s="212" t="str">
        <f t="shared" si="139"/>
        <v/>
      </c>
      <c r="AQ150" s="151" t="str">
        <f t="shared" si="140"/>
        <v/>
      </c>
      <c r="AR150" s="68"/>
      <c r="AS150" s="69"/>
      <c r="AT150" s="68"/>
    </row>
    <row r="151" spans="2:46" ht="13.5" customHeight="1" x14ac:dyDescent="0.15">
      <c r="B151" s="327"/>
      <c r="C151" s="52" t="s">
        <v>50</v>
      </c>
      <c r="D151" s="73"/>
      <c r="E151" s="95"/>
      <c r="F151" s="103"/>
      <c r="G151" s="103"/>
      <c r="H151" s="103"/>
      <c r="I151" s="103"/>
      <c r="J151" s="103"/>
      <c r="K151" s="104"/>
      <c r="L151" s="206"/>
      <c r="M151" s="206"/>
      <c r="N151" s="95"/>
      <c r="O151" s="53"/>
      <c r="P151" s="95"/>
      <c r="Q151" s="53"/>
      <c r="R151" s="225"/>
      <c r="S151" s="161"/>
      <c r="T151" s="327"/>
      <c r="U151" s="52" t="s">
        <v>50</v>
      </c>
      <c r="V151" s="73"/>
      <c r="W151" s="95"/>
      <c r="X151" s="103"/>
      <c r="Y151" s="103"/>
      <c r="Z151" s="103"/>
      <c r="AA151" s="103"/>
      <c r="AB151" s="103"/>
      <c r="AC151" s="104"/>
      <c r="AD151" s="104"/>
      <c r="AE151" s="104"/>
      <c r="AF151" s="95"/>
      <c r="AG151" s="53"/>
      <c r="AH151" s="95"/>
      <c r="AI151" s="53"/>
      <c r="AJ151" s="225"/>
      <c r="AK151" s="169"/>
      <c r="AL151" s="327"/>
      <c r="AM151" s="150" t="str">
        <f t="shared" si="136"/>
        <v/>
      </c>
      <c r="AN151" s="212" t="str">
        <f t="shared" si="137"/>
        <v/>
      </c>
      <c r="AO151" s="212" t="str">
        <f t="shared" si="138"/>
        <v/>
      </c>
      <c r="AP151" s="212" t="str">
        <f t="shared" si="139"/>
        <v/>
      </c>
      <c r="AQ151" s="151" t="str">
        <f t="shared" si="140"/>
        <v/>
      </c>
      <c r="AR151" s="68"/>
      <c r="AS151" s="69"/>
      <c r="AT151" s="68"/>
    </row>
    <row r="152" spans="2:46" ht="13.5" customHeight="1" thickBot="1" x14ac:dyDescent="0.2">
      <c r="B152" s="328"/>
      <c r="C152" s="52" t="s">
        <v>51</v>
      </c>
      <c r="D152" s="74"/>
      <c r="E152" s="98"/>
      <c r="F152" s="105"/>
      <c r="G152" s="105"/>
      <c r="H152" s="105"/>
      <c r="I152" s="105"/>
      <c r="J152" s="105"/>
      <c r="K152" s="106"/>
      <c r="L152" s="207"/>
      <c r="M152" s="207"/>
      <c r="N152" s="98"/>
      <c r="O152" s="66"/>
      <c r="P152" s="98"/>
      <c r="Q152" s="66"/>
      <c r="R152" s="225"/>
      <c r="S152" s="161"/>
      <c r="T152" s="328"/>
      <c r="U152" s="52" t="s">
        <v>51</v>
      </c>
      <c r="V152" s="74"/>
      <c r="W152" s="98"/>
      <c r="X152" s="105"/>
      <c r="Y152" s="105"/>
      <c r="Z152" s="105"/>
      <c r="AA152" s="105"/>
      <c r="AB152" s="105"/>
      <c r="AC152" s="106"/>
      <c r="AD152" s="106"/>
      <c r="AE152" s="106"/>
      <c r="AF152" s="98"/>
      <c r="AG152" s="66"/>
      <c r="AH152" s="98"/>
      <c r="AI152" s="66"/>
      <c r="AJ152" s="225"/>
      <c r="AK152" s="169"/>
      <c r="AL152" s="328"/>
      <c r="AM152" s="213" t="str">
        <f t="shared" si="136"/>
        <v/>
      </c>
      <c r="AN152" s="214" t="str">
        <f t="shared" si="137"/>
        <v/>
      </c>
      <c r="AO152" s="214" t="str">
        <f t="shared" si="138"/>
        <v/>
      </c>
      <c r="AP152" s="214" t="str">
        <f t="shared" si="139"/>
        <v/>
      </c>
      <c r="AQ152" s="215" t="str">
        <f t="shared" si="140"/>
        <v/>
      </c>
      <c r="AR152" s="68"/>
      <c r="AS152" s="69"/>
      <c r="AT152" s="68"/>
    </row>
    <row r="153" spans="2:46" ht="13.5" customHeight="1" x14ac:dyDescent="0.15">
      <c r="B153" s="326" t="s">
        <v>115</v>
      </c>
      <c r="C153" s="50" t="s">
        <v>46</v>
      </c>
      <c r="D153" s="71"/>
      <c r="E153" s="93"/>
      <c r="F153" s="101"/>
      <c r="G153" s="101"/>
      <c r="H153" s="101"/>
      <c r="I153" s="101"/>
      <c r="J153" s="101"/>
      <c r="K153" s="102"/>
      <c r="L153" s="205"/>
      <c r="M153" s="205"/>
      <c r="N153" s="93"/>
      <c r="O153" s="51"/>
      <c r="P153" s="93"/>
      <c r="Q153" s="51"/>
      <c r="R153" s="224"/>
      <c r="S153" s="161"/>
      <c r="T153" s="326" t="s">
        <v>115</v>
      </c>
      <c r="U153" s="50" t="s">
        <v>46</v>
      </c>
      <c r="V153" s="71"/>
      <c r="W153" s="93"/>
      <c r="X153" s="101"/>
      <c r="Y153" s="101"/>
      <c r="Z153" s="101"/>
      <c r="AA153" s="101"/>
      <c r="AB153" s="101"/>
      <c r="AC153" s="102"/>
      <c r="AD153" s="102"/>
      <c r="AE153" s="102"/>
      <c r="AF153" s="93"/>
      <c r="AG153" s="51"/>
      <c r="AH153" s="93"/>
      <c r="AI153" s="51"/>
      <c r="AJ153" s="224"/>
      <c r="AK153" s="169"/>
      <c r="AL153" s="326" t="s">
        <v>115</v>
      </c>
      <c r="AM153" s="210" t="str">
        <f>IF(OR(X153="",F153=""),"",X153-F153)</f>
        <v/>
      </c>
      <c r="AN153" s="171" t="str">
        <f>IF(OR(Y153="",G153=""),"",Y153-G153)</f>
        <v/>
      </c>
      <c r="AO153" s="171" t="str">
        <f>IF(OR(Z153="",H153=""),"",Z153-H153)</f>
        <v/>
      </c>
      <c r="AP153" s="171" t="str">
        <f>IF(OR(AA153="",I153=""),"",AA153-I153)</f>
        <v/>
      </c>
      <c r="AQ153" s="211" t="str">
        <f>IF(OR(AB153="",J153=""),"",AB153-J153)</f>
        <v/>
      </c>
      <c r="AR153" s="68"/>
      <c r="AS153" s="69"/>
      <c r="AT153" s="68"/>
    </row>
    <row r="154" spans="2:46" ht="13.5" customHeight="1" x14ac:dyDescent="0.15">
      <c r="B154" s="327"/>
      <c r="C154" s="52" t="s">
        <v>47</v>
      </c>
      <c r="D154" s="73"/>
      <c r="E154" s="95"/>
      <c r="F154" s="103"/>
      <c r="G154" s="103"/>
      <c r="H154" s="103"/>
      <c r="I154" s="103"/>
      <c r="J154" s="103"/>
      <c r="K154" s="104"/>
      <c r="L154" s="206"/>
      <c r="M154" s="206"/>
      <c r="N154" s="95"/>
      <c r="O154" s="53"/>
      <c r="P154" s="95"/>
      <c r="Q154" s="53"/>
      <c r="R154" s="225"/>
      <c r="S154" s="161"/>
      <c r="T154" s="327"/>
      <c r="U154" s="52" t="s">
        <v>47</v>
      </c>
      <c r="V154" s="73"/>
      <c r="W154" s="95"/>
      <c r="X154" s="103"/>
      <c r="Y154" s="103"/>
      <c r="Z154" s="103"/>
      <c r="AA154" s="103"/>
      <c r="AB154" s="103"/>
      <c r="AC154" s="104"/>
      <c r="AD154" s="104"/>
      <c r="AE154" s="104"/>
      <c r="AF154" s="95"/>
      <c r="AG154" s="53"/>
      <c r="AH154" s="95"/>
      <c r="AI154" s="53"/>
      <c r="AJ154" s="225"/>
      <c r="AK154" s="169"/>
      <c r="AL154" s="327"/>
      <c r="AM154" s="150" t="str">
        <f t="shared" ref="AM154:AM157" si="141">IF(OR(X154="",F154=""),"",X154-F154)</f>
        <v/>
      </c>
      <c r="AN154" s="212" t="str">
        <f t="shared" ref="AN154:AN157" si="142">IF(OR(Y154="",G154=""),"",Y154-G154)</f>
        <v/>
      </c>
      <c r="AO154" s="212" t="str">
        <f t="shared" ref="AO154:AO157" si="143">IF(OR(Z154="",H154=""),"",Z154-H154)</f>
        <v/>
      </c>
      <c r="AP154" s="212" t="str">
        <f t="shared" ref="AP154:AP157" si="144">IF(OR(AA154="",I154=""),"",AA154-I154)</f>
        <v/>
      </c>
      <c r="AQ154" s="151" t="str">
        <f t="shared" ref="AQ154:AQ157" si="145">IF(OR(AB154="",J154=""),"",AB154-J154)</f>
        <v/>
      </c>
      <c r="AR154" s="68"/>
      <c r="AS154" s="69"/>
      <c r="AT154" s="68"/>
    </row>
    <row r="155" spans="2:46" ht="13.5" customHeight="1" x14ac:dyDescent="0.15">
      <c r="B155" s="327"/>
      <c r="C155" s="52" t="s">
        <v>48</v>
      </c>
      <c r="D155" s="73"/>
      <c r="E155" s="95"/>
      <c r="F155" s="103"/>
      <c r="G155" s="103"/>
      <c r="H155" s="103"/>
      <c r="I155" s="103"/>
      <c r="J155" s="103"/>
      <c r="K155" s="104"/>
      <c r="L155" s="206"/>
      <c r="M155" s="206"/>
      <c r="N155" s="95"/>
      <c r="O155" s="53"/>
      <c r="P155" s="95"/>
      <c r="Q155" s="53"/>
      <c r="R155" s="225"/>
      <c r="S155" s="161"/>
      <c r="T155" s="327"/>
      <c r="U155" s="52" t="s">
        <v>48</v>
      </c>
      <c r="V155" s="73"/>
      <c r="W155" s="95"/>
      <c r="X155" s="103"/>
      <c r="Y155" s="103"/>
      <c r="Z155" s="103"/>
      <c r="AA155" s="103"/>
      <c r="AB155" s="103"/>
      <c r="AC155" s="104"/>
      <c r="AD155" s="104"/>
      <c r="AE155" s="104"/>
      <c r="AF155" s="95"/>
      <c r="AG155" s="53"/>
      <c r="AH155" s="95"/>
      <c r="AI155" s="53"/>
      <c r="AJ155" s="225"/>
      <c r="AK155" s="169"/>
      <c r="AL155" s="327"/>
      <c r="AM155" s="150" t="str">
        <f t="shared" si="141"/>
        <v/>
      </c>
      <c r="AN155" s="212" t="str">
        <f t="shared" si="142"/>
        <v/>
      </c>
      <c r="AO155" s="212" t="str">
        <f t="shared" si="143"/>
        <v/>
      </c>
      <c r="AP155" s="212" t="str">
        <f t="shared" si="144"/>
        <v/>
      </c>
      <c r="AQ155" s="151" t="str">
        <f t="shared" si="145"/>
        <v/>
      </c>
      <c r="AR155" s="68"/>
      <c r="AS155" s="69"/>
      <c r="AT155" s="68"/>
    </row>
    <row r="156" spans="2:46" ht="13.5" customHeight="1" x14ac:dyDescent="0.15">
      <c r="B156" s="327"/>
      <c r="C156" s="52" t="s">
        <v>50</v>
      </c>
      <c r="D156" s="73"/>
      <c r="E156" s="95"/>
      <c r="F156" s="103"/>
      <c r="G156" s="103"/>
      <c r="H156" s="103"/>
      <c r="I156" s="103"/>
      <c r="J156" s="103"/>
      <c r="K156" s="104"/>
      <c r="L156" s="206"/>
      <c r="M156" s="206"/>
      <c r="N156" s="95"/>
      <c r="O156" s="53"/>
      <c r="P156" s="95"/>
      <c r="Q156" s="53"/>
      <c r="R156" s="225"/>
      <c r="S156" s="161"/>
      <c r="T156" s="327"/>
      <c r="U156" s="52" t="s">
        <v>50</v>
      </c>
      <c r="V156" s="73"/>
      <c r="W156" s="95"/>
      <c r="X156" s="103"/>
      <c r="Y156" s="103"/>
      <c r="Z156" s="103"/>
      <c r="AA156" s="103"/>
      <c r="AB156" s="103"/>
      <c r="AC156" s="104"/>
      <c r="AD156" s="104"/>
      <c r="AE156" s="104"/>
      <c r="AF156" s="95"/>
      <c r="AG156" s="53"/>
      <c r="AH156" s="95"/>
      <c r="AI156" s="53"/>
      <c r="AJ156" s="225"/>
      <c r="AK156" s="169"/>
      <c r="AL156" s="327"/>
      <c r="AM156" s="150" t="str">
        <f t="shared" si="141"/>
        <v/>
      </c>
      <c r="AN156" s="212" t="str">
        <f t="shared" si="142"/>
        <v/>
      </c>
      <c r="AO156" s="212" t="str">
        <f t="shared" si="143"/>
        <v/>
      </c>
      <c r="AP156" s="212" t="str">
        <f t="shared" si="144"/>
        <v/>
      </c>
      <c r="AQ156" s="151" t="str">
        <f t="shared" si="145"/>
        <v/>
      </c>
      <c r="AR156" s="68"/>
      <c r="AS156" s="69"/>
      <c r="AT156" s="68"/>
    </row>
    <row r="157" spans="2:46" ht="13.5" customHeight="1" thickBot="1" x14ac:dyDescent="0.2">
      <c r="B157" s="328"/>
      <c r="C157" s="52" t="s">
        <v>51</v>
      </c>
      <c r="D157" s="74"/>
      <c r="E157" s="98"/>
      <c r="F157" s="105"/>
      <c r="G157" s="105"/>
      <c r="H157" s="105"/>
      <c r="I157" s="105"/>
      <c r="J157" s="105"/>
      <c r="K157" s="106"/>
      <c r="L157" s="207"/>
      <c r="M157" s="207"/>
      <c r="N157" s="98"/>
      <c r="O157" s="66"/>
      <c r="P157" s="98"/>
      <c r="Q157" s="66"/>
      <c r="R157" s="225"/>
      <c r="S157" s="161"/>
      <c r="T157" s="328"/>
      <c r="U157" s="52" t="s">
        <v>51</v>
      </c>
      <c r="V157" s="74"/>
      <c r="W157" s="98"/>
      <c r="X157" s="105"/>
      <c r="Y157" s="105"/>
      <c r="Z157" s="105"/>
      <c r="AA157" s="105"/>
      <c r="AB157" s="105"/>
      <c r="AC157" s="106"/>
      <c r="AD157" s="106"/>
      <c r="AE157" s="106"/>
      <c r="AF157" s="98"/>
      <c r="AG157" s="66"/>
      <c r="AH157" s="98"/>
      <c r="AI157" s="66"/>
      <c r="AJ157" s="225"/>
      <c r="AK157" s="169"/>
      <c r="AL157" s="328"/>
      <c r="AM157" s="213" t="str">
        <f t="shared" si="141"/>
        <v/>
      </c>
      <c r="AN157" s="214" t="str">
        <f t="shared" si="142"/>
        <v/>
      </c>
      <c r="AO157" s="214" t="str">
        <f t="shared" si="143"/>
        <v/>
      </c>
      <c r="AP157" s="214" t="str">
        <f t="shared" si="144"/>
        <v/>
      </c>
      <c r="AQ157" s="215" t="str">
        <f t="shared" si="145"/>
        <v/>
      </c>
      <c r="AR157" s="68"/>
      <c r="AS157" s="69"/>
      <c r="AT157" s="68"/>
    </row>
    <row r="158" spans="2:46" ht="13.5" customHeight="1" x14ac:dyDescent="0.15">
      <c r="B158" s="326" t="s">
        <v>116</v>
      </c>
      <c r="C158" s="50" t="s">
        <v>46</v>
      </c>
      <c r="D158" s="71"/>
      <c r="E158" s="93"/>
      <c r="F158" s="101"/>
      <c r="G158" s="101"/>
      <c r="H158" s="101"/>
      <c r="I158" s="101"/>
      <c r="J158" s="101"/>
      <c r="K158" s="102"/>
      <c r="L158" s="205"/>
      <c r="M158" s="205"/>
      <c r="N158" s="93"/>
      <c r="O158" s="51"/>
      <c r="P158" s="93"/>
      <c r="Q158" s="51"/>
      <c r="R158" s="224"/>
      <c r="S158" s="161"/>
      <c r="T158" s="326" t="s">
        <v>116</v>
      </c>
      <c r="U158" s="50" t="s">
        <v>46</v>
      </c>
      <c r="V158" s="71"/>
      <c r="W158" s="93"/>
      <c r="X158" s="101"/>
      <c r="Y158" s="101"/>
      <c r="Z158" s="101"/>
      <c r="AA158" s="101"/>
      <c r="AB158" s="101"/>
      <c r="AC158" s="102"/>
      <c r="AD158" s="102"/>
      <c r="AE158" s="102"/>
      <c r="AF158" s="93"/>
      <c r="AG158" s="51"/>
      <c r="AH158" s="93"/>
      <c r="AI158" s="51"/>
      <c r="AJ158" s="224"/>
      <c r="AK158" s="169"/>
      <c r="AL158" s="326" t="s">
        <v>116</v>
      </c>
      <c r="AM158" s="210" t="str">
        <f>IF(OR(X158="",F158=""),"",X158-F158)</f>
        <v/>
      </c>
      <c r="AN158" s="171" t="str">
        <f>IF(OR(Y158="",G158=""),"",Y158-G158)</f>
        <v/>
      </c>
      <c r="AO158" s="171" t="str">
        <f>IF(OR(Z158="",H158=""),"",Z158-H158)</f>
        <v/>
      </c>
      <c r="AP158" s="171" t="str">
        <f>IF(OR(AA158="",I158=""),"",AA158-I158)</f>
        <v/>
      </c>
      <c r="AQ158" s="211" t="str">
        <f>IF(OR(AB158="",J158=""),"",AB158-J158)</f>
        <v/>
      </c>
      <c r="AR158" s="68"/>
      <c r="AS158" s="69"/>
      <c r="AT158" s="68"/>
    </row>
    <row r="159" spans="2:46" ht="13.5" customHeight="1" x14ac:dyDescent="0.15">
      <c r="B159" s="327"/>
      <c r="C159" s="52" t="s">
        <v>47</v>
      </c>
      <c r="D159" s="73"/>
      <c r="E159" s="95"/>
      <c r="F159" s="103"/>
      <c r="G159" s="103"/>
      <c r="H159" s="103"/>
      <c r="I159" s="103"/>
      <c r="J159" s="103"/>
      <c r="K159" s="104"/>
      <c r="L159" s="206"/>
      <c r="M159" s="206"/>
      <c r="N159" s="95"/>
      <c r="O159" s="53"/>
      <c r="P159" s="95"/>
      <c r="Q159" s="53"/>
      <c r="R159" s="225"/>
      <c r="S159" s="161"/>
      <c r="T159" s="327"/>
      <c r="U159" s="52" t="s">
        <v>47</v>
      </c>
      <c r="V159" s="73"/>
      <c r="W159" s="95"/>
      <c r="X159" s="103"/>
      <c r="Y159" s="103"/>
      <c r="Z159" s="103"/>
      <c r="AA159" s="103"/>
      <c r="AB159" s="103"/>
      <c r="AC159" s="104"/>
      <c r="AD159" s="104"/>
      <c r="AE159" s="104"/>
      <c r="AF159" s="95"/>
      <c r="AG159" s="53"/>
      <c r="AH159" s="95"/>
      <c r="AI159" s="53"/>
      <c r="AJ159" s="225"/>
      <c r="AK159" s="169"/>
      <c r="AL159" s="327"/>
      <c r="AM159" s="150" t="str">
        <f t="shared" ref="AM159:AM162" si="146">IF(OR(X159="",F159=""),"",X159-F159)</f>
        <v/>
      </c>
      <c r="AN159" s="212" t="str">
        <f t="shared" ref="AN159:AN162" si="147">IF(OR(Y159="",G159=""),"",Y159-G159)</f>
        <v/>
      </c>
      <c r="AO159" s="212" t="str">
        <f t="shared" ref="AO159:AO162" si="148">IF(OR(Z159="",H159=""),"",Z159-H159)</f>
        <v/>
      </c>
      <c r="AP159" s="212" t="str">
        <f t="shared" ref="AP159:AP162" si="149">IF(OR(AA159="",I159=""),"",AA159-I159)</f>
        <v/>
      </c>
      <c r="AQ159" s="151" t="str">
        <f t="shared" ref="AQ159:AQ162" si="150">IF(OR(AB159="",J159=""),"",AB159-J159)</f>
        <v/>
      </c>
      <c r="AR159" s="68"/>
      <c r="AS159" s="69"/>
      <c r="AT159" s="68"/>
    </row>
    <row r="160" spans="2:46" ht="13.5" customHeight="1" x14ac:dyDescent="0.15">
      <c r="B160" s="327"/>
      <c r="C160" s="52" t="s">
        <v>48</v>
      </c>
      <c r="D160" s="73"/>
      <c r="E160" s="95"/>
      <c r="F160" s="103"/>
      <c r="G160" s="103"/>
      <c r="H160" s="103"/>
      <c r="I160" s="103"/>
      <c r="J160" s="103"/>
      <c r="K160" s="104"/>
      <c r="L160" s="206"/>
      <c r="M160" s="206"/>
      <c r="N160" s="95"/>
      <c r="O160" s="53"/>
      <c r="P160" s="95"/>
      <c r="Q160" s="53"/>
      <c r="R160" s="225"/>
      <c r="S160" s="161"/>
      <c r="T160" s="327"/>
      <c r="U160" s="52" t="s">
        <v>48</v>
      </c>
      <c r="V160" s="73"/>
      <c r="W160" s="95"/>
      <c r="X160" s="103"/>
      <c r="Y160" s="103"/>
      <c r="Z160" s="103"/>
      <c r="AA160" s="103"/>
      <c r="AB160" s="103"/>
      <c r="AC160" s="104"/>
      <c r="AD160" s="104"/>
      <c r="AE160" s="104"/>
      <c r="AF160" s="95"/>
      <c r="AG160" s="53"/>
      <c r="AH160" s="95"/>
      <c r="AI160" s="53"/>
      <c r="AJ160" s="225"/>
      <c r="AK160" s="169"/>
      <c r="AL160" s="327"/>
      <c r="AM160" s="150" t="str">
        <f t="shared" si="146"/>
        <v/>
      </c>
      <c r="AN160" s="212" t="str">
        <f t="shared" si="147"/>
        <v/>
      </c>
      <c r="AO160" s="212" t="str">
        <f t="shared" si="148"/>
        <v/>
      </c>
      <c r="AP160" s="212" t="str">
        <f t="shared" si="149"/>
        <v/>
      </c>
      <c r="AQ160" s="151" t="str">
        <f t="shared" si="150"/>
        <v/>
      </c>
      <c r="AR160" s="68"/>
      <c r="AS160" s="69"/>
      <c r="AT160" s="68"/>
    </row>
    <row r="161" spans="2:46" ht="13.5" customHeight="1" x14ac:dyDescent="0.15">
      <c r="B161" s="327"/>
      <c r="C161" s="52" t="s">
        <v>50</v>
      </c>
      <c r="D161" s="73"/>
      <c r="E161" s="95"/>
      <c r="F161" s="103"/>
      <c r="G161" s="103"/>
      <c r="H161" s="103"/>
      <c r="I161" s="103"/>
      <c r="J161" s="103"/>
      <c r="K161" s="104"/>
      <c r="L161" s="206"/>
      <c r="M161" s="206"/>
      <c r="N161" s="95"/>
      <c r="O161" s="53"/>
      <c r="P161" s="95"/>
      <c r="Q161" s="53"/>
      <c r="R161" s="225"/>
      <c r="S161" s="161"/>
      <c r="T161" s="327"/>
      <c r="U161" s="52" t="s">
        <v>50</v>
      </c>
      <c r="V161" s="73"/>
      <c r="W161" s="95"/>
      <c r="X161" s="103"/>
      <c r="Y161" s="103"/>
      <c r="Z161" s="103"/>
      <c r="AA161" s="103"/>
      <c r="AB161" s="103"/>
      <c r="AC161" s="104"/>
      <c r="AD161" s="104"/>
      <c r="AE161" s="104"/>
      <c r="AF161" s="95"/>
      <c r="AG161" s="53"/>
      <c r="AH161" s="95"/>
      <c r="AI161" s="53"/>
      <c r="AJ161" s="225"/>
      <c r="AK161" s="169"/>
      <c r="AL161" s="327"/>
      <c r="AM161" s="150" t="str">
        <f t="shared" si="146"/>
        <v/>
      </c>
      <c r="AN161" s="212" t="str">
        <f t="shared" si="147"/>
        <v/>
      </c>
      <c r="AO161" s="212" t="str">
        <f t="shared" si="148"/>
        <v/>
      </c>
      <c r="AP161" s="212" t="str">
        <f t="shared" si="149"/>
        <v/>
      </c>
      <c r="AQ161" s="151" t="str">
        <f t="shared" si="150"/>
        <v/>
      </c>
      <c r="AR161" s="68"/>
      <c r="AS161" s="69"/>
      <c r="AT161" s="68"/>
    </row>
    <row r="162" spans="2:46" ht="13.5" customHeight="1" thickBot="1" x14ac:dyDescent="0.2">
      <c r="B162" s="328"/>
      <c r="C162" s="54" t="s">
        <v>51</v>
      </c>
      <c r="D162" s="74"/>
      <c r="E162" s="98"/>
      <c r="F162" s="105"/>
      <c r="G162" s="105"/>
      <c r="H162" s="105"/>
      <c r="I162" s="105"/>
      <c r="J162" s="105"/>
      <c r="K162" s="106"/>
      <c r="L162" s="207"/>
      <c r="M162" s="207"/>
      <c r="N162" s="98"/>
      <c r="O162" s="66"/>
      <c r="P162" s="98"/>
      <c r="Q162" s="66"/>
      <c r="R162" s="226"/>
      <c r="S162" s="161"/>
      <c r="T162" s="328"/>
      <c r="U162" s="54" t="s">
        <v>51</v>
      </c>
      <c r="V162" s="74"/>
      <c r="W162" s="98"/>
      <c r="X162" s="105"/>
      <c r="Y162" s="105"/>
      <c r="Z162" s="105"/>
      <c r="AA162" s="105"/>
      <c r="AB162" s="105"/>
      <c r="AC162" s="106"/>
      <c r="AD162" s="106"/>
      <c r="AE162" s="106"/>
      <c r="AF162" s="98"/>
      <c r="AG162" s="66"/>
      <c r="AH162" s="98"/>
      <c r="AI162" s="66"/>
      <c r="AJ162" s="226"/>
      <c r="AK162" s="169"/>
      <c r="AL162" s="328"/>
      <c r="AM162" s="213" t="str">
        <f t="shared" si="146"/>
        <v/>
      </c>
      <c r="AN162" s="214" t="str">
        <f t="shared" si="147"/>
        <v/>
      </c>
      <c r="AO162" s="214" t="str">
        <f t="shared" si="148"/>
        <v/>
      </c>
      <c r="AP162" s="214" t="str">
        <f t="shared" si="149"/>
        <v/>
      </c>
      <c r="AQ162" s="215" t="str">
        <f t="shared" si="150"/>
        <v/>
      </c>
      <c r="AR162" s="68"/>
      <c r="AS162" s="69"/>
      <c r="AT162" s="68"/>
    </row>
    <row r="163" spans="2:46" ht="13.5" customHeight="1" x14ac:dyDescent="0.15">
      <c r="B163" s="326" t="s">
        <v>117</v>
      </c>
      <c r="C163" s="50" t="s">
        <v>46</v>
      </c>
      <c r="D163" s="71"/>
      <c r="E163" s="93"/>
      <c r="F163" s="101"/>
      <c r="G163" s="101"/>
      <c r="H163" s="101"/>
      <c r="I163" s="101"/>
      <c r="J163" s="101"/>
      <c r="K163" s="102"/>
      <c r="L163" s="205"/>
      <c r="M163" s="205"/>
      <c r="N163" s="93"/>
      <c r="O163" s="51"/>
      <c r="P163" s="93"/>
      <c r="Q163" s="51"/>
      <c r="R163" s="224"/>
      <c r="S163" s="161"/>
      <c r="T163" s="326" t="s">
        <v>117</v>
      </c>
      <c r="U163" s="50" t="s">
        <v>46</v>
      </c>
      <c r="V163" s="71"/>
      <c r="W163" s="93"/>
      <c r="X163" s="101"/>
      <c r="Y163" s="101"/>
      <c r="Z163" s="101"/>
      <c r="AA163" s="101"/>
      <c r="AB163" s="101"/>
      <c r="AC163" s="102"/>
      <c r="AD163" s="102"/>
      <c r="AE163" s="102"/>
      <c r="AF163" s="93"/>
      <c r="AG163" s="51"/>
      <c r="AH163" s="93"/>
      <c r="AI163" s="51"/>
      <c r="AJ163" s="224"/>
      <c r="AK163" s="169"/>
      <c r="AL163" s="326" t="s">
        <v>117</v>
      </c>
      <c r="AM163" s="210" t="str">
        <f>IF(OR(X163="",F163=""),"",X163-F163)</f>
        <v/>
      </c>
      <c r="AN163" s="171" t="str">
        <f>IF(OR(Y163="",G163=""),"",Y163-G163)</f>
        <v/>
      </c>
      <c r="AO163" s="171" t="str">
        <f>IF(OR(Z163="",H163=""),"",Z163-H163)</f>
        <v/>
      </c>
      <c r="AP163" s="171" t="str">
        <f>IF(OR(AA163="",I163=""),"",AA163-I163)</f>
        <v/>
      </c>
      <c r="AQ163" s="211" t="str">
        <f>IF(OR(AB163="",J163=""),"",AB163-J163)</f>
        <v/>
      </c>
      <c r="AR163" s="68"/>
      <c r="AS163" s="69"/>
      <c r="AT163" s="68"/>
    </row>
    <row r="164" spans="2:46" ht="13.5" customHeight="1" x14ac:dyDescent="0.15">
      <c r="B164" s="327"/>
      <c r="C164" s="52" t="s">
        <v>47</v>
      </c>
      <c r="D164" s="73"/>
      <c r="E164" s="95"/>
      <c r="F164" s="103"/>
      <c r="G164" s="103"/>
      <c r="H164" s="103"/>
      <c r="I164" s="103"/>
      <c r="J164" s="103"/>
      <c r="K164" s="104"/>
      <c r="L164" s="206"/>
      <c r="M164" s="206"/>
      <c r="N164" s="95"/>
      <c r="O164" s="53"/>
      <c r="P164" s="95"/>
      <c r="Q164" s="53"/>
      <c r="R164" s="225"/>
      <c r="S164" s="161"/>
      <c r="T164" s="327"/>
      <c r="U164" s="52" t="s">
        <v>47</v>
      </c>
      <c r="V164" s="73"/>
      <c r="W164" s="95"/>
      <c r="X164" s="103"/>
      <c r="Y164" s="103"/>
      <c r="Z164" s="103"/>
      <c r="AA164" s="103"/>
      <c r="AB164" s="103"/>
      <c r="AC164" s="104"/>
      <c r="AD164" s="104"/>
      <c r="AE164" s="104"/>
      <c r="AF164" s="95"/>
      <c r="AG164" s="53"/>
      <c r="AH164" s="95"/>
      <c r="AI164" s="53"/>
      <c r="AJ164" s="225"/>
      <c r="AK164" s="169"/>
      <c r="AL164" s="327"/>
      <c r="AM164" s="150" t="str">
        <f t="shared" ref="AM164:AM167" si="151">IF(OR(X164="",F164=""),"",X164-F164)</f>
        <v/>
      </c>
      <c r="AN164" s="212" t="str">
        <f t="shared" ref="AN164:AN167" si="152">IF(OR(Y164="",G164=""),"",Y164-G164)</f>
        <v/>
      </c>
      <c r="AO164" s="212" t="str">
        <f t="shared" ref="AO164:AO167" si="153">IF(OR(Z164="",H164=""),"",Z164-H164)</f>
        <v/>
      </c>
      <c r="AP164" s="212" t="str">
        <f t="shared" ref="AP164:AP167" si="154">IF(OR(AA164="",I164=""),"",AA164-I164)</f>
        <v/>
      </c>
      <c r="AQ164" s="151" t="str">
        <f t="shared" ref="AQ164:AQ167" si="155">IF(OR(AB164="",J164=""),"",AB164-J164)</f>
        <v/>
      </c>
      <c r="AR164" s="68"/>
      <c r="AS164" s="69"/>
      <c r="AT164" s="68"/>
    </row>
    <row r="165" spans="2:46" ht="13.5" customHeight="1" x14ac:dyDescent="0.15">
      <c r="B165" s="327"/>
      <c r="C165" s="52" t="s">
        <v>48</v>
      </c>
      <c r="D165" s="73"/>
      <c r="E165" s="95"/>
      <c r="F165" s="103"/>
      <c r="G165" s="103"/>
      <c r="H165" s="103"/>
      <c r="I165" s="103"/>
      <c r="J165" s="103"/>
      <c r="K165" s="104"/>
      <c r="L165" s="206"/>
      <c r="M165" s="206"/>
      <c r="N165" s="95"/>
      <c r="O165" s="53"/>
      <c r="P165" s="95"/>
      <c r="Q165" s="53"/>
      <c r="R165" s="225"/>
      <c r="S165" s="161"/>
      <c r="T165" s="327"/>
      <c r="U165" s="52" t="s">
        <v>48</v>
      </c>
      <c r="V165" s="73"/>
      <c r="W165" s="95"/>
      <c r="X165" s="103"/>
      <c r="Y165" s="103"/>
      <c r="Z165" s="103"/>
      <c r="AA165" s="103"/>
      <c r="AB165" s="103"/>
      <c r="AC165" s="104"/>
      <c r="AD165" s="104"/>
      <c r="AE165" s="104"/>
      <c r="AF165" s="95"/>
      <c r="AG165" s="53"/>
      <c r="AH165" s="95"/>
      <c r="AI165" s="53"/>
      <c r="AJ165" s="225"/>
      <c r="AK165" s="169"/>
      <c r="AL165" s="327"/>
      <c r="AM165" s="150" t="str">
        <f t="shared" si="151"/>
        <v/>
      </c>
      <c r="AN165" s="212" t="str">
        <f t="shared" si="152"/>
        <v/>
      </c>
      <c r="AO165" s="212" t="str">
        <f t="shared" si="153"/>
        <v/>
      </c>
      <c r="AP165" s="212" t="str">
        <f t="shared" si="154"/>
        <v/>
      </c>
      <c r="AQ165" s="151" t="str">
        <f t="shared" si="155"/>
        <v/>
      </c>
      <c r="AR165" s="68"/>
      <c r="AS165" s="69"/>
      <c r="AT165" s="68"/>
    </row>
    <row r="166" spans="2:46" ht="13.5" customHeight="1" x14ac:dyDescent="0.15">
      <c r="B166" s="327"/>
      <c r="C166" s="52" t="s">
        <v>50</v>
      </c>
      <c r="D166" s="73"/>
      <c r="E166" s="95"/>
      <c r="F166" s="103"/>
      <c r="G166" s="103"/>
      <c r="H166" s="103"/>
      <c r="I166" s="103"/>
      <c r="J166" s="103"/>
      <c r="K166" s="104"/>
      <c r="L166" s="206"/>
      <c r="M166" s="206"/>
      <c r="N166" s="95"/>
      <c r="O166" s="53"/>
      <c r="P166" s="95"/>
      <c r="Q166" s="53"/>
      <c r="R166" s="225"/>
      <c r="S166" s="161"/>
      <c r="T166" s="327"/>
      <c r="U166" s="52" t="s">
        <v>50</v>
      </c>
      <c r="V166" s="73"/>
      <c r="W166" s="95"/>
      <c r="X166" s="103"/>
      <c r="Y166" s="103"/>
      <c r="Z166" s="103"/>
      <c r="AA166" s="103"/>
      <c r="AB166" s="103"/>
      <c r="AC166" s="104"/>
      <c r="AD166" s="104"/>
      <c r="AE166" s="104"/>
      <c r="AF166" s="95"/>
      <c r="AG166" s="53"/>
      <c r="AH166" s="95"/>
      <c r="AI166" s="53"/>
      <c r="AJ166" s="225"/>
      <c r="AK166" s="169"/>
      <c r="AL166" s="327"/>
      <c r="AM166" s="150" t="str">
        <f t="shared" si="151"/>
        <v/>
      </c>
      <c r="AN166" s="212" t="str">
        <f t="shared" si="152"/>
        <v/>
      </c>
      <c r="AO166" s="212" t="str">
        <f t="shared" si="153"/>
        <v/>
      </c>
      <c r="AP166" s="212" t="str">
        <f t="shared" si="154"/>
        <v/>
      </c>
      <c r="AQ166" s="151" t="str">
        <f t="shared" si="155"/>
        <v/>
      </c>
      <c r="AR166" s="68"/>
      <c r="AS166" s="69"/>
      <c r="AT166" s="68"/>
    </row>
    <row r="167" spans="2:46" ht="13.5" customHeight="1" thickBot="1" x14ac:dyDescent="0.2">
      <c r="B167" s="328"/>
      <c r="C167" s="52" t="s">
        <v>51</v>
      </c>
      <c r="D167" s="74"/>
      <c r="E167" s="98"/>
      <c r="F167" s="105"/>
      <c r="G167" s="105"/>
      <c r="H167" s="105"/>
      <c r="I167" s="105"/>
      <c r="J167" s="105"/>
      <c r="K167" s="106"/>
      <c r="L167" s="207"/>
      <c r="M167" s="207"/>
      <c r="N167" s="98"/>
      <c r="O167" s="66"/>
      <c r="P167" s="98"/>
      <c r="Q167" s="66"/>
      <c r="R167" s="225"/>
      <c r="S167" s="161"/>
      <c r="T167" s="328"/>
      <c r="U167" s="52" t="s">
        <v>51</v>
      </c>
      <c r="V167" s="74"/>
      <c r="W167" s="98"/>
      <c r="X167" s="105"/>
      <c r="Y167" s="105"/>
      <c r="Z167" s="105"/>
      <c r="AA167" s="105"/>
      <c r="AB167" s="105"/>
      <c r="AC167" s="106"/>
      <c r="AD167" s="106"/>
      <c r="AE167" s="106"/>
      <c r="AF167" s="98"/>
      <c r="AG167" s="66"/>
      <c r="AH167" s="98"/>
      <c r="AI167" s="66"/>
      <c r="AJ167" s="225"/>
      <c r="AK167" s="169"/>
      <c r="AL167" s="328"/>
      <c r="AM167" s="213" t="str">
        <f t="shared" si="151"/>
        <v/>
      </c>
      <c r="AN167" s="214" t="str">
        <f t="shared" si="152"/>
        <v/>
      </c>
      <c r="AO167" s="214" t="str">
        <f t="shared" si="153"/>
        <v/>
      </c>
      <c r="AP167" s="214" t="str">
        <f t="shared" si="154"/>
        <v/>
      </c>
      <c r="AQ167" s="215" t="str">
        <f t="shared" si="155"/>
        <v/>
      </c>
      <c r="AR167" s="68"/>
      <c r="AS167" s="69"/>
      <c r="AT167" s="68"/>
    </row>
    <row r="168" spans="2:46" ht="13.5" customHeight="1" x14ac:dyDescent="0.15">
      <c r="B168" s="326" t="s">
        <v>118</v>
      </c>
      <c r="C168" s="50" t="s">
        <v>46</v>
      </c>
      <c r="D168" s="71"/>
      <c r="E168" s="93"/>
      <c r="F168" s="101"/>
      <c r="G168" s="101"/>
      <c r="H168" s="101"/>
      <c r="I168" s="101"/>
      <c r="J168" s="101"/>
      <c r="K168" s="102"/>
      <c r="L168" s="205"/>
      <c r="M168" s="205"/>
      <c r="N168" s="93"/>
      <c r="O168" s="51"/>
      <c r="P168" s="93"/>
      <c r="Q168" s="51"/>
      <c r="R168" s="224"/>
      <c r="S168" s="161"/>
      <c r="T168" s="326" t="s">
        <v>118</v>
      </c>
      <c r="U168" s="50" t="s">
        <v>46</v>
      </c>
      <c r="V168" s="71"/>
      <c r="W168" s="93"/>
      <c r="X168" s="101"/>
      <c r="Y168" s="101"/>
      <c r="Z168" s="101"/>
      <c r="AA168" s="101"/>
      <c r="AB168" s="101"/>
      <c r="AC168" s="102"/>
      <c r="AD168" s="102"/>
      <c r="AE168" s="102"/>
      <c r="AF168" s="93"/>
      <c r="AG168" s="51"/>
      <c r="AH168" s="93"/>
      <c r="AI168" s="51"/>
      <c r="AJ168" s="224"/>
      <c r="AK168" s="169"/>
      <c r="AL168" s="326" t="s">
        <v>118</v>
      </c>
      <c r="AM168" s="210" t="str">
        <f>IF(OR(X168="",F168=""),"",X168-F168)</f>
        <v/>
      </c>
      <c r="AN168" s="171" t="str">
        <f>IF(OR(Y168="",G168=""),"",Y168-G168)</f>
        <v/>
      </c>
      <c r="AO168" s="171" t="str">
        <f>IF(OR(Z168="",H168=""),"",Z168-H168)</f>
        <v/>
      </c>
      <c r="AP168" s="171" t="str">
        <f>IF(OR(AA168="",I168=""),"",AA168-I168)</f>
        <v/>
      </c>
      <c r="AQ168" s="211" t="str">
        <f>IF(OR(AB168="",J168=""),"",AB168-J168)</f>
        <v/>
      </c>
      <c r="AR168" s="68"/>
      <c r="AS168" s="69"/>
      <c r="AT168" s="68"/>
    </row>
    <row r="169" spans="2:46" ht="13.5" customHeight="1" x14ac:dyDescent="0.15">
      <c r="B169" s="327"/>
      <c r="C169" s="52" t="s">
        <v>47</v>
      </c>
      <c r="D169" s="73"/>
      <c r="E169" s="95"/>
      <c r="F169" s="103"/>
      <c r="G169" s="103"/>
      <c r="H169" s="103"/>
      <c r="I169" s="103"/>
      <c r="J169" s="103"/>
      <c r="K169" s="104"/>
      <c r="L169" s="206"/>
      <c r="M169" s="206"/>
      <c r="N169" s="95"/>
      <c r="O169" s="53"/>
      <c r="P169" s="95"/>
      <c r="Q169" s="53"/>
      <c r="R169" s="225"/>
      <c r="S169" s="161"/>
      <c r="T169" s="327"/>
      <c r="U169" s="52" t="s">
        <v>47</v>
      </c>
      <c r="V169" s="73"/>
      <c r="W169" s="95"/>
      <c r="X169" s="103"/>
      <c r="Y169" s="103"/>
      <c r="Z169" s="103"/>
      <c r="AA169" s="103"/>
      <c r="AB169" s="103"/>
      <c r="AC169" s="104"/>
      <c r="AD169" s="104"/>
      <c r="AE169" s="104"/>
      <c r="AF169" s="95"/>
      <c r="AG169" s="53"/>
      <c r="AH169" s="95"/>
      <c r="AI169" s="53"/>
      <c r="AJ169" s="225"/>
      <c r="AK169" s="169"/>
      <c r="AL169" s="327"/>
      <c r="AM169" s="150" t="str">
        <f t="shared" ref="AM169:AM172" si="156">IF(OR(X169="",F169=""),"",X169-F169)</f>
        <v/>
      </c>
      <c r="AN169" s="212" t="str">
        <f t="shared" ref="AN169:AN172" si="157">IF(OR(Y169="",G169=""),"",Y169-G169)</f>
        <v/>
      </c>
      <c r="AO169" s="212" t="str">
        <f t="shared" ref="AO169:AO172" si="158">IF(OR(Z169="",H169=""),"",Z169-H169)</f>
        <v/>
      </c>
      <c r="AP169" s="212" t="str">
        <f t="shared" ref="AP169:AP172" si="159">IF(OR(AA169="",I169=""),"",AA169-I169)</f>
        <v/>
      </c>
      <c r="AQ169" s="151" t="str">
        <f t="shared" ref="AQ169:AQ172" si="160">IF(OR(AB169="",J169=""),"",AB169-J169)</f>
        <v/>
      </c>
      <c r="AR169" s="68"/>
      <c r="AS169" s="69"/>
      <c r="AT169" s="68"/>
    </row>
    <row r="170" spans="2:46" ht="13.5" customHeight="1" x14ac:dyDescent="0.15">
      <c r="B170" s="327"/>
      <c r="C170" s="52" t="s">
        <v>48</v>
      </c>
      <c r="D170" s="73"/>
      <c r="E170" s="95"/>
      <c r="F170" s="103"/>
      <c r="G170" s="103"/>
      <c r="H170" s="103"/>
      <c r="I170" s="103"/>
      <c r="J170" s="103"/>
      <c r="K170" s="104"/>
      <c r="L170" s="206"/>
      <c r="M170" s="206"/>
      <c r="N170" s="95"/>
      <c r="O170" s="53"/>
      <c r="P170" s="95"/>
      <c r="Q170" s="53"/>
      <c r="R170" s="225"/>
      <c r="S170" s="161"/>
      <c r="T170" s="327"/>
      <c r="U170" s="52" t="s">
        <v>48</v>
      </c>
      <c r="V170" s="73"/>
      <c r="W170" s="95"/>
      <c r="X170" s="103"/>
      <c r="Y170" s="103"/>
      <c r="Z170" s="103"/>
      <c r="AA170" s="103"/>
      <c r="AB170" s="103"/>
      <c r="AC170" s="104"/>
      <c r="AD170" s="104"/>
      <c r="AE170" s="104"/>
      <c r="AF170" s="95"/>
      <c r="AG170" s="53"/>
      <c r="AH170" s="95"/>
      <c r="AI170" s="53"/>
      <c r="AJ170" s="225"/>
      <c r="AK170" s="169"/>
      <c r="AL170" s="327"/>
      <c r="AM170" s="150" t="str">
        <f t="shared" si="156"/>
        <v/>
      </c>
      <c r="AN170" s="212" t="str">
        <f t="shared" si="157"/>
        <v/>
      </c>
      <c r="AO170" s="212" t="str">
        <f t="shared" si="158"/>
        <v/>
      </c>
      <c r="AP170" s="212" t="str">
        <f t="shared" si="159"/>
        <v/>
      </c>
      <c r="AQ170" s="151" t="str">
        <f t="shared" si="160"/>
        <v/>
      </c>
      <c r="AR170" s="68"/>
      <c r="AS170" s="69"/>
      <c r="AT170" s="68"/>
    </row>
    <row r="171" spans="2:46" ht="13.5" customHeight="1" x14ac:dyDescent="0.15">
      <c r="B171" s="327"/>
      <c r="C171" s="52" t="s">
        <v>50</v>
      </c>
      <c r="D171" s="73"/>
      <c r="E171" s="95"/>
      <c r="F171" s="103"/>
      <c r="G171" s="103"/>
      <c r="H171" s="103"/>
      <c r="I171" s="103"/>
      <c r="J171" s="103"/>
      <c r="K171" s="104"/>
      <c r="L171" s="206"/>
      <c r="M171" s="206"/>
      <c r="N171" s="95"/>
      <c r="O171" s="53"/>
      <c r="P171" s="95"/>
      <c r="Q171" s="53"/>
      <c r="R171" s="225"/>
      <c r="S171" s="161"/>
      <c r="T171" s="327"/>
      <c r="U171" s="52" t="s">
        <v>50</v>
      </c>
      <c r="V171" s="73"/>
      <c r="W171" s="95"/>
      <c r="X171" s="103"/>
      <c r="Y171" s="103"/>
      <c r="Z171" s="103"/>
      <c r="AA171" s="103"/>
      <c r="AB171" s="103"/>
      <c r="AC171" s="104"/>
      <c r="AD171" s="104"/>
      <c r="AE171" s="104"/>
      <c r="AF171" s="95"/>
      <c r="AG171" s="53"/>
      <c r="AH171" s="95"/>
      <c r="AI171" s="53"/>
      <c r="AJ171" s="225"/>
      <c r="AK171" s="169"/>
      <c r="AL171" s="327"/>
      <c r="AM171" s="150" t="str">
        <f t="shared" si="156"/>
        <v/>
      </c>
      <c r="AN171" s="212" t="str">
        <f t="shared" si="157"/>
        <v/>
      </c>
      <c r="AO171" s="212" t="str">
        <f t="shared" si="158"/>
        <v/>
      </c>
      <c r="AP171" s="212" t="str">
        <f t="shared" si="159"/>
        <v/>
      </c>
      <c r="AQ171" s="151" t="str">
        <f t="shared" si="160"/>
        <v/>
      </c>
      <c r="AR171" s="68"/>
      <c r="AS171" s="69"/>
      <c r="AT171" s="68"/>
    </row>
    <row r="172" spans="2:46" ht="13.5" customHeight="1" thickBot="1" x14ac:dyDescent="0.2">
      <c r="B172" s="328"/>
      <c r="C172" s="52" t="s">
        <v>51</v>
      </c>
      <c r="D172" s="74"/>
      <c r="E172" s="98"/>
      <c r="F172" s="105"/>
      <c r="G172" s="105"/>
      <c r="H172" s="105"/>
      <c r="I172" s="105"/>
      <c r="J172" s="105"/>
      <c r="K172" s="106"/>
      <c r="L172" s="207"/>
      <c r="M172" s="207"/>
      <c r="N172" s="98"/>
      <c r="O172" s="66"/>
      <c r="P172" s="98"/>
      <c r="Q172" s="66"/>
      <c r="R172" s="225"/>
      <c r="S172" s="161"/>
      <c r="T172" s="328"/>
      <c r="U172" s="52" t="s">
        <v>51</v>
      </c>
      <c r="V172" s="74"/>
      <c r="W172" s="98"/>
      <c r="X172" s="105"/>
      <c r="Y172" s="105"/>
      <c r="Z172" s="105"/>
      <c r="AA172" s="105"/>
      <c r="AB172" s="105"/>
      <c r="AC172" s="106"/>
      <c r="AD172" s="106"/>
      <c r="AE172" s="106"/>
      <c r="AF172" s="98"/>
      <c r="AG172" s="66"/>
      <c r="AH172" s="98"/>
      <c r="AI172" s="66"/>
      <c r="AJ172" s="225"/>
      <c r="AK172" s="169"/>
      <c r="AL172" s="328"/>
      <c r="AM172" s="213" t="str">
        <f t="shared" si="156"/>
        <v/>
      </c>
      <c r="AN172" s="214" t="str">
        <f t="shared" si="157"/>
        <v/>
      </c>
      <c r="AO172" s="214" t="str">
        <f t="shared" si="158"/>
        <v/>
      </c>
      <c r="AP172" s="214" t="str">
        <f t="shared" si="159"/>
        <v/>
      </c>
      <c r="AQ172" s="215" t="str">
        <f t="shared" si="160"/>
        <v/>
      </c>
      <c r="AR172" s="68"/>
      <c r="AS172" s="69"/>
      <c r="AT172" s="68"/>
    </row>
    <row r="173" spans="2:46" ht="13.5" customHeight="1" x14ac:dyDescent="0.15">
      <c r="B173" s="326" t="s">
        <v>119</v>
      </c>
      <c r="C173" s="50" t="s">
        <v>46</v>
      </c>
      <c r="D173" s="71"/>
      <c r="E173" s="93"/>
      <c r="F173" s="101"/>
      <c r="G173" s="101"/>
      <c r="H173" s="101"/>
      <c r="I173" s="101"/>
      <c r="J173" s="101"/>
      <c r="K173" s="102"/>
      <c r="L173" s="205"/>
      <c r="M173" s="205"/>
      <c r="N173" s="93"/>
      <c r="O173" s="51"/>
      <c r="P173" s="93"/>
      <c r="Q173" s="51"/>
      <c r="R173" s="224"/>
      <c r="S173" s="161"/>
      <c r="T173" s="326" t="s">
        <v>119</v>
      </c>
      <c r="U173" s="50" t="s">
        <v>46</v>
      </c>
      <c r="V173" s="71"/>
      <c r="W173" s="93"/>
      <c r="X173" s="101"/>
      <c r="Y173" s="101"/>
      <c r="Z173" s="101"/>
      <c r="AA173" s="101"/>
      <c r="AB173" s="101"/>
      <c r="AC173" s="102"/>
      <c r="AD173" s="102"/>
      <c r="AE173" s="102"/>
      <c r="AF173" s="93"/>
      <c r="AG173" s="51"/>
      <c r="AH173" s="93"/>
      <c r="AI173" s="51"/>
      <c r="AJ173" s="224"/>
      <c r="AK173" s="169"/>
      <c r="AL173" s="326" t="s">
        <v>119</v>
      </c>
      <c r="AM173" s="210" t="str">
        <f>IF(OR(X173="",F173=""),"",X173-F173)</f>
        <v/>
      </c>
      <c r="AN173" s="171" t="str">
        <f>IF(OR(Y173="",G173=""),"",Y173-G173)</f>
        <v/>
      </c>
      <c r="AO173" s="171" t="str">
        <f>IF(OR(Z173="",H173=""),"",Z173-H173)</f>
        <v/>
      </c>
      <c r="AP173" s="171" t="str">
        <f>IF(OR(AA173="",I173=""),"",AA173-I173)</f>
        <v/>
      </c>
      <c r="AQ173" s="211" t="str">
        <f>IF(OR(AB173="",J173=""),"",AB173-J173)</f>
        <v/>
      </c>
      <c r="AR173" s="68"/>
      <c r="AS173" s="69"/>
      <c r="AT173" s="68"/>
    </row>
    <row r="174" spans="2:46" ht="13.5" customHeight="1" x14ac:dyDescent="0.15">
      <c r="B174" s="327"/>
      <c r="C174" s="52" t="s">
        <v>47</v>
      </c>
      <c r="D174" s="73"/>
      <c r="E174" s="95"/>
      <c r="F174" s="103"/>
      <c r="G174" s="103"/>
      <c r="H174" s="103"/>
      <c r="I174" s="103"/>
      <c r="J174" s="103"/>
      <c r="K174" s="104"/>
      <c r="L174" s="206"/>
      <c r="M174" s="206"/>
      <c r="N174" s="95"/>
      <c r="O174" s="53"/>
      <c r="P174" s="95"/>
      <c r="Q174" s="53"/>
      <c r="R174" s="225"/>
      <c r="S174" s="161"/>
      <c r="T174" s="327"/>
      <c r="U174" s="52" t="s">
        <v>47</v>
      </c>
      <c r="V174" s="73"/>
      <c r="W174" s="95"/>
      <c r="X174" s="103"/>
      <c r="Y174" s="103"/>
      <c r="Z174" s="103"/>
      <c r="AA174" s="103"/>
      <c r="AB174" s="103"/>
      <c r="AC174" s="104"/>
      <c r="AD174" s="104"/>
      <c r="AE174" s="104"/>
      <c r="AF174" s="95"/>
      <c r="AG174" s="53"/>
      <c r="AH174" s="95"/>
      <c r="AI174" s="53"/>
      <c r="AJ174" s="225"/>
      <c r="AK174" s="169"/>
      <c r="AL174" s="327"/>
      <c r="AM174" s="150" t="str">
        <f t="shared" ref="AM174:AM177" si="161">IF(OR(X174="",F174=""),"",X174-F174)</f>
        <v/>
      </c>
      <c r="AN174" s="212" t="str">
        <f t="shared" ref="AN174:AN177" si="162">IF(OR(Y174="",G174=""),"",Y174-G174)</f>
        <v/>
      </c>
      <c r="AO174" s="212" t="str">
        <f t="shared" ref="AO174:AO177" si="163">IF(OR(Z174="",H174=""),"",Z174-H174)</f>
        <v/>
      </c>
      <c r="AP174" s="212" t="str">
        <f t="shared" ref="AP174:AP177" si="164">IF(OR(AA174="",I174=""),"",AA174-I174)</f>
        <v/>
      </c>
      <c r="AQ174" s="151" t="str">
        <f t="shared" ref="AQ174:AQ177" si="165">IF(OR(AB174="",J174=""),"",AB174-J174)</f>
        <v/>
      </c>
      <c r="AR174" s="68"/>
      <c r="AS174" s="69"/>
      <c r="AT174" s="68"/>
    </row>
    <row r="175" spans="2:46" ht="13.5" customHeight="1" x14ac:dyDescent="0.15">
      <c r="B175" s="327"/>
      <c r="C175" s="52" t="s">
        <v>48</v>
      </c>
      <c r="D175" s="73"/>
      <c r="E175" s="95"/>
      <c r="F175" s="103"/>
      <c r="G175" s="103"/>
      <c r="H175" s="103"/>
      <c r="I175" s="103"/>
      <c r="J175" s="103"/>
      <c r="K175" s="104"/>
      <c r="L175" s="206"/>
      <c r="M175" s="206"/>
      <c r="N175" s="95"/>
      <c r="O175" s="53"/>
      <c r="P175" s="95"/>
      <c r="Q175" s="53"/>
      <c r="R175" s="225"/>
      <c r="S175" s="161"/>
      <c r="T175" s="327"/>
      <c r="U175" s="52" t="s">
        <v>48</v>
      </c>
      <c r="V175" s="73"/>
      <c r="W175" s="95"/>
      <c r="X175" s="103"/>
      <c r="Y175" s="103"/>
      <c r="Z175" s="103"/>
      <c r="AA175" s="103"/>
      <c r="AB175" s="103"/>
      <c r="AC175" s="104"/>
      <c r="AD175" s="104"/>
      <c r="AE175" s="104"/>
      <c r="AF175" s="95"/>
      <c r="AG175" s="53"/>
      <c r="AH175" s="95"/>
      <c r="AI175" s="53"/>
      <c r="AJ175" s="225"/>
      <c r="AK175" s="169"/>
      <c r="AL175" s="327"/>
      <c r="AM175" s="150" t="str">
        <f t="shared" si="161"/>
        <v/>
      </c>
      <c r="AN175" s="212" t="str">
        <f t="shared" si="162"/>
        <v/>
      </c>
      <c r="AO175" s="212" t="str">
        <f t="shared" si="163"/>
        <v/>
      </c>
      <c r="AP175" s="212" t="str">
        <f t="shared" si="164"/>
        <v/>
      </c>
      <c r="AQ175" s="151" t="str">
        <f t="shared" si="165"/>
        <v/>
      </c>
      <c r="AR175" s="68"/>
      <c r="AS175" s="69"/>
      <c r="AT175" s="68"/>
    </row>
    <row r="176" spans="2:46" ht="13.5" customHeight="1" x14ac:dyDescent="0.15">
      <c r="B176" s="327"/>
      <c r="C176" s="52" t="s">
        <v>50</v>
      </c>
      <c r="D176" s="73"/>
      <c r="E176" s="95"/>
      <c r="F176" s="103"/>
      <c r="G176" s="103"/>
      <c r="H176" s="103"/>
      <c r="I176" s="103"/>
      <c r="J176" s="103"/>
      <c r="K176" s="104"/>
      <c r="L176" s="206"/>
      <c r="M176" s="206"/>
      <c r="N176" s="95"/>
      <c r="O176" s="53"/>
      <c r="P176" s="95"/>
      <c r="Q176" s="53"/>
      <c r="R176" s="225"/>
      <c r="S176" s="161"/>
      <c r="T176" s="327"/>
      <c r="U176" s="52" t="s">
        <v>50</v>
      </c>
      <c r="V176" s="73"/>
      <c r="W176" s="95"/>
      <c r="X176" s="103"/>
      <c r="Y176" s="103"/>
      <c r="Z176" s="103"/>
      <c r="AA176" s="103"/>
      <c r="AB176" s="103"/>
      <c r="AC176" s="104"/>
      <c r="AD176" s="104"/>
      <c r="AE176" s="104"/>
      <c r="AF176" s="95"/>
      <c r="AG176" s="53"/>
      <c r="AH176" s="95"/>
      <c r="AI176" s="53"/>
      <c r="AJ176" s="225"/>
      <c r="AK176" s="169"/>
      <c r="AL176" s="327"/>
      <c r="AM176" s="150" t="str">
        <f t="shared" si="161"/>
        <v/>
      </c>
      <c r="AN176" s="212" t="str">
        <f t="shared" si="162"/>
        <v/>
      </c>
      <c r="AO176" s="212" t="str">
        <f t="shared" si="163"/>
        <v/>
      </c>
      <c r="AP176" s="212" t="str">
        <f t="shared" si="164"/>
        <v/>
      </c>
      <c r="AQ176" s="151" t="str">
        <f t="shared" si="165"/>
        <v/>
      </c>
      <c r="AR176" s="68"/>
      <c r="AS176" s="69"/>
      <c r="AT176" s="68"/>
    </row>
    <row r="177" spans="2:46" ht="13.5" customHeight="1" thickBot="1" x14ac:dyDescent="0.2">
      <c r="B177" s="328"/>
      <c r="C177" s="52" t="s">
        <v>51</v>
      </c>
      <c r="D177" s="74"/>
      <c r="E177" s="98"/>
      <c r="F177" s="105"/>
      <c r="G177" s="105"/>
      <c r="H177" s="105"/>
      <c r="I177" s="105"/>
      <c r="J177" s="105"/>
      <c r="K177" s="106"/>
      <c r="L177" s="207"/>
      <c r="M177" s="207"/>
      <c r="N177" s="98"/>
      <c r="O177" s="66"/>
      <c r="P177" s="98"/>
      <c r="Q177" s="66"/>
      <c r="R177" s="225"/>
      <c r="S177" s="161"/>
      <c r="T177" s="328"/>
      <c r="U177" s="52" t="s">
        <v>51</v>
      </c>
      <c r="V177" s="74"/>
      <c r="W177" s="98"/>
      <c r="X177" s="105"/>
      <c r="Y177" s="105"/>
      <c r="Z177" s="105"/>
      <c r="AA177" s="105"/>
      <c r="AB177" s="105"/>
      <c r="AC177" s="106"/>
      <c r="AD177" s="106"/>
      <c r="AE177" s="106"/>
      <c r="AF177" s="98"/>
      <c r="AG177" s="66"/>
      <c r="AH177" s="98"/>
      <c r="AI177" s="66"/>
      <c r="AJ177" s="225"/>
      <c r="AK177" s="169"/>
      <c r="AL177" s="328"/>
      <c r="AM177" s="213" t="str">
        <f t="shared" si="161"/>
        <v/>
      </c>
      <c r="AN177" s="214" t="str">
        <f t="shared" si="162"/>
        <v/>
      </c>
      <c r="AO177" s="214" t="str">
        <f t="shared" si="163"/>
        <v/>
      </c>
      <c r="AP177" s="214" t="str">
        <f t="shared" si="164"/>
        <v/>
      </c>
      <c r="AQ177" s="215" t="str">
        <f t="shared" si="165"/>
        <v/>
      </c>
      <c r="AR177" s="68"/>
      <c r="AS177" s="69"/>
      <c r="AT177" s="68"/>
    </row>
    <row r="178" spans="2:46" ht="13.5" customHeight="1" x14ac:dyDescent="0.15">
      <c r="B178" s="326" t="s">
        <v>120</v>
      </c>
      <c r="C178" s="50" t="s">
        <v>46</v>
      </c>
      <c r="D178" s="71"/>
      <c r="E178" s="93"/>
      <c r="F178" s="101"/>
      <c r="G178" s="101"/>
      <c r="H178" s="101"/>
      <c r="I178" s="101"/>
      <c r="J178" s="101"/>
      <c r="K178" s="102"/>
      <c r="L178" s="205"/>
      <c r="M178" s="205"/>
      <c r="N178" s="93"/>
      <c r="O178" s="51"/>
      <c r="P178" s="93"/>
      <c r="Q178" s="51"/>
      <c r="R178" s="224"/>
      <c r="S178" s="161"/>
      <c r="T178" s="326" t="s">
        <v>120</v>
      </c>
      <c r="U178" s="50" t="s">
        <v>46</v>
      </c>
      <c r="V178" s="71"/>
      <c r="W178" s="93"/>
      <c r="X178" s="101"/>
      <c r="Y178" s="101"/>
      <c r="Z178" s="101"/>
      <c r="AA178" s="101"/>
      <c r="AB178" s="101"/>
      <c r="AC178" s="102"/>
      <c r="AD178" s="102"/>
      <c r="AE178" s="102"/>
      <c r="AF178" s="93"/>
      <c r="AG178" s="51"/>
      <c r="AH178" s="93"/>
      <c r="AI178" s="51"/>
      <c r="AJ178" s="224"/>
      <c r="AK178" s="169"/>
      <c r="AL178" s="326" t="s">
        <v>120</v>
      </c>
      <c r="AM178" s="210" t="str">
        <f>IF(OR(X178="",F178=""),"",X178-F178)</f>
        <v/>
      </c>
      <c r="AN178" s="171" t="str">
        <f>IF(OR(Y178="",G178=""),"",Y178-G178)</f>
        <v/>
      </c>
      <c r="AO178" s="171" t="str">
        <f>IF(OR(Z178="",H178=""),"",Z178-H178)</f>
        <v/>
      </c>
      <c r="AP178" s="171" t="str">
        <f>IF(OR(AA178="",I178=""),"",AA178-I178)</f>
        <v/>
      </c>
      <c r="AQ178" s="211" t="str">
        <f>IF(OR(AB178="",J178=""),"",AB178-J178)</f>
        <v/>
      </c>
      <c r="AR178" s="68"/>
      <c r="AS178" s="69"/>
      <c r="AT178" s="68"/>
    </row>
    <row r="179" spans="2:46" ht="13.5" customHeight="1" x14ac:dyDescent="0.15">
      <c r="B179" s="327"/>
      <c r="C179" s="52" t="s">
        <v>47</v>
      </c>
      <c r="D179" s="73"/>
      <c r="E179" s="95"/>
      <c r="F179" s="103"/>
      <c r="G179" s="103"/>
      <c r="H179" s="103"/>
      <c r="I179" s="103"/>
      <c r="J179" s="103"/>
      <c r="K179" s="104"/>
      <c r="L179" s="206"/>
      <c r="M179" s="206"/>
      <c r="N179" s="95"/>
      <c r="O179" s="53"/>
      <c r="P179" s="95"/>
      <c r="Q179" s="53"/>
      <c r="R179" s="225"/>
      <c r="S179" s="161"/>
      <c r="T179" s="327"/>
      <c r="U179" s="52" t="s">
        <v>47</v>
      </c>
      <c r="V179" s="73"/>
      <c r="W179" s="95"/>
      <c r="X179" s="103"/>
      <c r="Y179" s="103"/>
      <c r="Z179" s="103"/>
      <c r="AA179" s="103"/>
      <c r="AB179" s="103"/>
      <c r="AC179" s="104"/>
      <c r="AD179" s="104"/>
      <c r="AE179" s="104"/>
      <c r="AF179" s="95"/>
      <c r="AG179" s="53"/>
      <c r="AH179" s="95"/>
      <c r="AI179" s="53"/>
      <c r="AJ179" s="225"/>
      <c r="AK179" s="169"/>
      <c r="AL179" s="327"/>
      <c r="AM179" s="150" t="str">
        <f t="shared" ref="AM179:AM182" si="166">IF(OR(X179="",F179=""),"",X179-F179)</f>
        <v/>
      </c>
      <c r="AN179" s="212" t="str">
        <f t="shared" ref="AN179:AN182" si="167">IF(OR(Y179="",G179=""),"",Y179-G179)</f>
        <v/>
      </c>
      <c r="AO179" s="212" t="str">
        <f t="shared" ref="AO179:AO182" si="168">IF(OR(Z179="",H179=""),"",Z179-H179)</f>
        <v/>
      </c>
      <c r="AP179" s="212" t="str">
        <f t="shared" ref="AP179:AP182" si="169">IF(OR(AA179="",I179=""),"",AA179-I179)</f>
        <v/>
      </c>
      <c r="AQ179" s="151" t="str">
        <f t="shared" ref="AQ179:AQ182" si="170">IF(OR(AB179="",J179=""),"",AB179-J179)</f>
        <v/>
      </c>
      <c r="AR179" s="68"/>
      <c r="AS179" s="69"/>
      <c r="AT179" s="68"/>
    </row>
    <row r="180" spans="2:46" ht="13.5" customHeight="1" x14ac:dyDescent="0.15">
      <c r="B180" s="327"/>
      <c r="C180" s="52" t="s">
        <v>48</v>
      </c>
      <c r="D180" s="73"/>
      <c r="E180" s="95"/>
      <c r="F180" s="103"/>
      <c r="G180" s="103"/>
      <c r="H180" s="103"/>
      <c r="I180" s="103"/>
      <c r="J180" s="103"/>
      <c r="K180" s="104"/>
      <c r="L180" s="206"/>
      <c r="M180" s="206"/>
      <c r="N180" s="95"/>
      <c r="O180" s="53"/>
      <c r="P180" s="95"/>
      <c r="Q180" s="53"/>
      <c r="R180" s="225"/>
      <c r="S180" s="161"/>
      <c r="T180" s="327"/>
      <c r="U180" s="52" t="s">
        <v>48</v>
      </c>
      <c r="V180" s="73"/>
      <c r="W180" s="95"/>
      <c r="X180" s="103"/>
      <c r="Y180" s="103"/>
      <c r="Z180" s="103"/>
      <c r="AA180" s="103"/>
      <c r="AB180" s="103"/>
      <c r="AC180" s="104"/>
      <c r="AD180" s="104"/>
      <c r="AE180" s="104"/>
      <c r="AF180" s="95"/>
      <c r="AG180" s="53"/>
      <c r="AH180" s="95"/>
      <c r="AI180" s="53"/>
      <c r="AJ180" s="225"/>
      <c r="AK180" s="169"/>
      <c r="AL180" s="327"/>
      <c r="AM180" s="150" t="str">
        <f t="shared" si="166"/>
        <v/>
      </c>
      <c r="AN180" s="212" t="str">
        <f t="shared" si="167"/>
        <v/>
      </c>
      <c r="AO180" s="212" t="str">
        <f t="shared" si="168"/>
        <v/>
      </c>
      <c r="AP180" s="212" t="str">
        <f t="shared" si="169"/>
        <v/>
      </c>
      <c r="AQ180" s="151" t="str">
        <f t="shared" si="170"/>
        <v/>
      </c>
      <c r="AR180" s="68"/>
      <c r="AS180" s="69"/>
      <c r="AT180" s="68"/>
    </row>
    <row r="181" spans="2:46" ht="13.5" customHeight="1" x14ac:dyDescent="0.15">
      <c r="B181" s="327"/>
      <c r="C181" s="52" t="s">
        <v>50</v>
      </c>
      <c r="D181" s="73"/>
      <c r="E181" s="95"/>
      <c r="F181" s="103"/>
      <c r="G181" s="103"/>
      <c r="H181" s="103"/>
      <c r="I181" s="103"/>
      <c r="J181" s="103"/>
      <c r="K181" s="104"/>
      <c r="L181" s="206"/>
      <c r="M181" s="206"/>
      <c r="N181" s="95"/>
      <c r="O181" s="53"/>
      <c r="P181" s="95"/>
      <c r="Q181" s="53"/>
      <c r="R181" s="225"/>
      <c r="S181" s="161"/>
      <c r="T181" s="327"/>
      <c r="U181" s="52" t="s">
        <v>50</v>
      </c>
      <c r="V181" s="73"/>
      <c r="W181" s="95"/>
      <c r="X181" s="103"/>
      <c r="Y181" s="103"/>
      <c r="Z181" s="103"/>
      <c r="AA181" s="103"/>
      <c r="AB181" s="103"/>
      <c r="AC181" s="104"/>
      <c r="AD181" s="104"/>
      <c r="AE181" s="104"/>
      <c r="AF181" s="95"/>
      <c r="AG181" s="53"/>
      <c r="AH181" s="95"/>
      <c r="AI181" s="53"/>
      <c r="AJ181" s="225"/>
      <c r="AK181" s="169"/>
      <c r="AL181" s="327"/>
      <c r="AM181" s="150" t="str">
        <f t="shared" si="166"/>
        <v/>
      </c>
      <c r="AN181" s="212" t="str">
        <f t="shared" si="167"/>
        <v/>
      </c>
      <c r="AO181" s="212" t="str">
        <f t="shared" si="168"/>
        <v/>
      </c>
      <c r="AP181" s="212" t="str">
        <f t="shared" si="169"/>
        <v/>
      </c>
      <c r="AQ181" s="151" t="str">
        <f t="shared" si="170"/>
        <v/>
      </c>
      <c r="AR181" s="68"/>
      <c r="AS181" s="69"/>
      <c r="AT181" s="68"/>
    </row>
    <row r="182" spans="2:46" ht="13.5" customHeight="1" thickBot="1" x14ac:dyDescent="0.2">
      <c r="B182" s="328"/>
      <c r="C182" s="52" t="s">
        <v>51</v>
      </c>
      <c r="D182" s="74"/>
      <c r="E182" s="98"/>
      <c r="F182" s="105"/>
      <c r="G182" s="105"/>
      <c r="H182" s="105"/>
      <c r="I182" s="105"/>
      <c r="J182" s="105"/>
      <c r="K182" s="106"/>
      <c r="L182" s="207"/>
      <c r="M182" s="207"/>
      <c r="N182" s="98"/>
      <c r="O182" s="66"/>
      <c r="P182" s="98"/>
      <c r="Q182" s="66"/>
      <c r="R182" s="225"/>
      <c r="S182" s="161"/>
      <c r="T182" s="328"/>
      <c r="U182" s="52" t="s">
        <v>51</v>
      </c>
      <c r="V182" s="74"/>
      <c r="W182" s="98"/>
      <c r="X182" s="105"/>
      <c r="Y182" s="105"/>
      <c r="Z182" s="105"/>
      <c r="AA182" s="105"/>
      <c r="AB182" s="105"/>
      <c r="AC182" s="106"/>
      <c r="AD182" s="106"/>
      <c r="AE182" s="106"/>
      <c r="AF182" s="98"/>
      <c r="AG182" s="66"/>
      <c r="AH182" s="98"/>
      <c r="AI182" s="66"/>
      <c r="AJ182" s="225"/>
      <c r="AK182" s="169"/>
      <c r="AL182" s="328"/>
      <c r="AM182" s="213" t="str">
        <f t="shared" si="166"/>
        <v/>
      </c>
      <c r="AN182" s="214" t="str">
        <f t="shared" si="167"/>
        <v/>
      </c>
      <c r="AO182" s="214" t="str">
        <f t="shared" si="168"/>
        <v/>
      </c>
      <c r="AP182" s="214" t="str">
        <f t="shared" si="169"/>
        <v/>
      </c>
      <c r="AQ182" s="215" t="str">
        <f t="shared" si="170"/>
        <v/>
      </c>
      <c r="AR182" s="68"/>
      <c r="AS182" s="69"/>
      <c r="AT182" s="68"/>
    </row>
    <row r="183" spans="2:46" ht="13.5" customHeight="1" x14ac:dyDescent="0.15">
      <c r="B183" s="326" t="s">
        <v>121</v>
      </c>
      <c r="C183" s="50" t="s">
        <v>46</v>
      </c>
      <c r="D183" s="71"/>
      <c r="E183" s="93"/>
      <c r="F183" s="101"/>
      <c r="G183" s="101"/>
      <c r="H183" s="101"/>
      <c r="I183" s="101"/>
      <c r="J183" s="101"/>
      <c r="K183" s="102"/>
      <c r="L183" s="205"/>
      <c r="M183" s="205"/>
      <c r="N183" s="93"/>
      <c r="O183" s="51"/>
      <c r="P183" s="93"/>
      <c r="Q183" s="51"/>
      <c r="R183" s="224"/>
      <c r="S183" s="161"/>
      <c r="T183" s="326" t="s">
        <v>121</v>
      </c>
      <c r="U183" s="50" t="s">
        <v>46</v>
      </c>
      <c r="V183" s="71"/>
      <c r="W183" s="93"/>
      <c r="X183" s="101"/>
      <c r="Y183" s="101"/>
      <c r="Z183" s="101"/>
      <c r="AA183" s="101"/>
      <c r="AB183" s="101"/>
      <c r="AC183" s="102"/>
      <c r="AD183" s="102"/>
      <c r="AE183" s="102"/>
      <c r="AF183" s="93"/>
      <c r="AG183" s="51"/>
      <c r="AH183" s="93"/>
      <c r="AI183" s="51"/>
      <c r="AJ183" s="224"/>
      <c r="AK183" s="169"/>
      <c r="AL183" s="326" t="s">
        <v>121</v>
      </c>
      <c r="AM183" s="210" t="str">
        <f>IF(OR(X183="",F183=""),"",X183-F183)</f>
        <v/>
      </c>
      <c r="AN183" s="171" t="str">
        <f>IF(OR(Y183="",G183=""),"",Y183-G183)</f>
        <v/>
      </c>
      <c r="AO183" s="171" t="str">
        <f>IF(OR(Z183="",H183=""),"",Z183-H183)</f>
        <v/>
      </c>
      <c r="AP183" s="171" t="str">
        <f>IF(OR(AA183="",I183=""),"",AA183-I183)</f>
        <v/>
      </c>
      <c r="AQ183" s="211" t="str">
        <f>IF(OR(AB183="",J183=""),"",AB183-J183)</f>
        <v/>
      </c>
      <c r="AR183" s="68"/>
      <c r="AS183" s="69"/>
      <c r="AT183" s="68"/>
    </row>
    <row r="184" spans="2:46" ht="13.5" customHeight="1" x14ac:dyDescent="0.15">
      <c r="B184" s="327"/>
      <c r="C184" s="52" t="s">
        <v>47</v>
      </c>
      <c r="D184" s="73"/>
      <c r="E184" s="95"/>
      <c r="F184" s="103"/>
      <c r="G184" s="103"/>
      <c r="H184" s="103"/>
      <c r="I184" s="103"/>
      <c r="J184" s="103"/>
      <c r="K184" s="104"/>
      <c r="L184" s="206"/>
      <c r="M184" s="206"/>
      <c r="N184" s="95"/>
      <c r="O184" s="53"/>
      <c r="P184" s="95"/>
      <c r="Q184" s="53"/>
      <c r="R184" s="225"/>
      <c r="S184" s="161"/>
      <c r="T184" s="327"/>
      <c r="U184" s="52" t="s">
        <v>47</v>
      </c>
      <c r="V184" s="73"/>
      <c r="W184" s="95"/>
      <c r="X184" s="103"/>
      <c r="Y184" s="103"/>
      <c r="Z184" s="103"/>
      <c r="AA184" s="103"/>
      <c r="AB184" s="103"/>
      <c r="AC184" s="104"/>
      <c r="AD184" s="104"/>
      <c r="AE184" s="104"/>
      <c r="AF184" s="95"/>
      <c r="AG184" s="53"/>
      <c r="AH184" s="95"/>
      <c r="AI184" s="53"/>
      <c r="AJ184" s="225"/>
      <c r="AK184" s="169"/>
      <c r="AL184" s="327"/>
      <c r="AM184" s="150" t="str">
        <f t="shared" ref="AM184:AM187" si="171">IF(OR(X184="",F184=""),"",X184-F184)</f>
        <v/>
      </c>
      <c r="AN184" s="212" t="str">
        <f t="shared" ref="AN184:AN187" si="172">IF(OR(Y184="",G184=""),"",Y184-G184)</f>
        <v/>
      </c>
      <c r="AO184" s="212" t="str">
        <f t="shared" ref="AO184:AO187" si="173">IF(OR(Z184="",H184=""),"",Z184-H184)</f>
        <v/>
      </c>
      <c r="AP184" s="212" t="str">
        <f t="shared" ref="AP184:AP187" si="174">IF(OR(AA184="",I184=""),"",AA184-I184)</f>
        <v/>
      </c>
      <c r="AQ184" s="151" t="str">
        <f t="shared" ref="AQ184:AQ187" si="175">IF(OR(AB184="",J184=""),"",AB184-J184)</f>
        <v/>
      </c>
      <c r="AR184" s="68"/>
      <c r="AS184" s="69"/>
      <c r="AT184" s="68"/>
    </row>
    <row r="185" spans="2:46" ht="13.5" customHeight="1" x14ac:dyDescent="0.15">
      <c r="B185" s="327"/>
      <c r="C185" s="52" t="s">
        <v>48</v>
      </c>
      <c r="D185" s="73"/>
      <c r="E185" s="95"/>
      <c r="F185" s="103"/>
      <c r="G185" s="103"/>
      <c r="H185" s="103"/>
      <c r="I185" s="103"/>
      <c r="J185" s="103"/>
      <c r="K185" s="104"/>
      <c r="L185" s="206"/>
      <c r="M185" s="206"/>
      <c r="N185" s="95"/>
      <c r="O185" s="53"/>
      <c r="P185" s="95"/>
      <c r="Q185" s="53"/>
      <c r="R185" s="225"/>
      <c r="S185" s="161"/>
      <c r="T185" s="327"/>
      <c r="U185" s="52" t="s">
        <v>48</v>
      </c>
      <c r="V185" s="73"/>
      <c r="W185" s="95"/>
      <c r="X185" s="103"/>
      <c r="Y185" s="103"/>
      <c r="Z185" s="103"/>
      <c r="AA185" s="103"/>
      <c r="AB185" s="103"/>
      <c r="AC185" s="104"/>
      <c r="AD185" s="104"/>
      <c r="AE185" s="104"/>
      <c r="AF185" s="95"/>
      <c r="AG185" s="53"/>
      <c r="AH185" s="95"/>
      <c r="AI185" s="53"/>
      <c r="AJ185" s="225"/>
      <c r="AK185" s="169"/>
      <c r="AL185" s="327"/>
      <c r="AM185" s="150" t="str">
        <f t="shared" si="171"/>
        <v/>
      </c>
      <c r="AN185" s="212" t="str">
        <f t="shared" si="172"/>
        <v/>
      </c>
      <c r="AO185" s="212" t="str">
        <f t="shared" si="173"/>
        <v/>
      </c>
      <c r="AP185" s="212" t="str">
        <f t="shared" si="174"/>
        <v/>
      </c>
      <c r="AQ185" s="151" t="str">
        <f t="shared" si="175"/>
        <v/>
      </c>
      <c r="AR185" s="68"/>
      <c r="AS185" s="69"/>
      <c r="AT185" s="68"/>
    </row>
    <row r="186" spans="2:46" ht="13.5" customHeight="1" x14ac:dyDescent="0.15">
      <c r="B186" s="327"/>
      <c r="C186" s="52" t="s">
        <v>50</v>
      </c>
      <c r="D186" s="73"/>
      <c r="E186" s="95"/>
      <c r="F186" s="103"/>
      <c r="G186" s="103"/>
      <c r="H186" s="103"/>
      <c r="I186" s="103"/>
      <c r="J186" s="103"/>
      <c r="K186" s="104"/>
      <c r="L186" s="206"/>
      <c r="M186" s="206"/>
      <c r="N186" s="95"/>
      <c r="O186" s="53"/>
      <c r="P186" s="95"/>
      <c r="Q186" s="53"/>
      <c r="R186" s="225"/>
      <c r="S186" s="161"/>
      <c r="T186" s="327"/>
      <c r="U186" s="52" t="s">
        <v>50</v>
      </c>
      <c r="V186" s="73"/>
      <c r="W186" s="95"/>
      <c r="X186" s="103"/>
      <c r="Y186" s="103"/>
      <c r="Z186" s="103"/>
      <c r="AA186" s="103"/>
      <c r="AB186" s="103"/>
      <c r="AC186" s="104"/>
      <c r="AD186" s="104"/>
      <c r="AE186" s="104"/>
      <c r="AF186" s="95"/>
      <c r="AG186" s="53"/>
      <c r="AH186" s="95"/>
      <c r="AI186" s="53"/>
      <c r="AJ186" s="225"/>
      <c r="AK186" s="169"/>
      <c r="AL186" s="327"/>
      <c r="AM186" s="150" t="str">
        <f t="shared" si="171"/>
        <v/>
      </c>
      <c r="AN186" s="212" t="str">
        <f t="shared" si="172"/>
        <v/>
      </c>
      <c r="AO186" s="212" t="str">
        <f t="shared" si="173"/>
        <v/>
      </c>
      <c r="AP186" s="212" t="str">
        <f t="shared" si="174"/>
        <v/>
      </c>
      <c r="AQ186" s="151" t="str">
        <f t="shared" si="175"/>
        <v/>
      </c>
      <c r="AR186" s="68"/>
      <c r="AS186" s="69"/>
      <c r="AT186" s="68"/>
    </row>
    <row r="187" spans="2:46" ht="13.5" customHeight="1" thickBot="1" x14ac:dyDescent="0.2">
      <c r="B187" s="328"/>
      <c r="C187" s="54" t="s">
        <v>51</v>
      </c>
      <c r="D187" s="74"/>
      <c r="E187" s="98"/>
      <c r="F187" s="105"/>
      <c r="G187" s="105"/>
      <c r="H187" s="105"/>
      <c r="I187" s="105"/>
      <c r="J187" s="105"/>
      <c r="K187" s="106"/>
      <c r="L187" s="207"/>
      <c r="M187" s="207"/>
      <c r="N187" s="98"/>
      <c r="O187" s="66"/>
      <c r="P187" s="98"/>
      <c r="Q187" s="66"/>
      <c r="R187" s="226"/>
      <c r="S187" s="161"/>
      <c r="T187" s="328"/>
      <c r="U187" s="54" t="s">
        <v>51</v>
      </c>
      <c r="V187" s="74"/>
      <c r="W187" s="98"/>
      <c r="X187" s="105"/>
      <c r="Y187" s="105"/>
      <c r="Z187" s="105"/>
      <c r="AA187" s="105"/>
      <c r="AB187" s="105"/>
      <c r="AC187" s="106"/>
      <c r="AD187" s="106"/>
      <c r="AE187" s="106"/>
      <c r="AF187" s="98"/>
      <c r="AG187" s="66"/>
      <c r="AH187" s="98"/>
      <c r="AI187" s="66"/>
      <c r="AJ187" s="226"/>
      <c r="AK187" s="169"/>
      <c r="AL187" s="328"/>
      <c r="AM187" s="213" t="str">
        <f t="shared" si="171"/>
        <v/>
      </c>
      <c r="AN187" s="214" t="str">
        <f t="shared" si="172"/>
        <v/>
      </c>
      <c r="AO187" s="214" t="str">
        <f t="shared" si="173"/>
        <v/>
      </c>
      <c r="AP187" s="214" t="str">
        <f t="shared" si="174"/>
        <v/>
      </c>
      <c r="AQ187" s="215" t="str">
        <f t="shared" si="175"/>
        <v/>
      </c>
      <c r="AR187" s="68"/>
      <c r="AS187" s="69"/>
      <c r="AT187" s="68"/>
    </row>
    <row r="188" spans="2:46" ht="13.5" customHeight="1" x14ac:dyDescent="0.15">
      <c r="B188" s="326" t="s">
        <v>122</v>
      </c>
      <c r="C188" s="50" t="s">
        <v>46</v>
      </c>
      <c r="D188" s="71"/>
      <c r="E188" s="93"/>
      <c r="F188" s="101"/>
      <c r="G188" s="101"/>
      <c r="H188" s="101"/>
      <c r="I188" s="101"/>
      <c r="J188" s="101"/>
      <c r="K188" s="102"/>
      <c r="L188" s="205"/>
      <c r="M188" s="205"/>
      <c r="N188" s="93"/>
      <c r="O188" s="51"/>
      <c r="P188" s="93"/>
      <c r="Q188" s="51"/>
      <c r="R188" s="224"/>
      <c r="S188" s="161"/>
      <c r="T188" s="326" t="s">
        <v>122</v>
      </c>
      <c r="U188" s="50" t="s">
        <v>46</v>
      </c>
      <c r="V188" s="71"/>
      <c r="W188" s="93"/>
      <c r="X188" s="101"/>
      <c r="Y188" s="101"/>
      <c r="Z188" s="101"/>
      <c r="AA188" s="101"/>
      <c r="AB188" s="101"/>
      <c r="AC188" s="102"/>
      <c r="AD188" s="102"/>
      <c r="AE188" s="102"/>
      <c r="AF188" s="93"/>
      <c r="AG188" s="51"/>
      <c r="AH188" s="93"/>
      <c r="AI188" s="51"/>
      <c r="AJ188" s="224"/>
      <c r="AK188" s="169"/>
      <c r="AL188" s="326" t="s">
        <v>122</v>
      </c>
      <c r="AM188" s="210" t="str">
        <f>IF(OR(X188="",F188=""),"",X188-F188)</f>
        <v/>
      </c>
      <c r="AN188" s="171" t="str">
        <f>IF(OR(Y188="",G188=""),"",Y188-G188)</f>
        <v/>
      </c>
      <c r="AO188" s="171" t="str">
        <f>IF(OR(Z188="",H188=""),"",Z188-H188)</f>
        <v/>
      </c>
      <c r="AP188" s="171" t="str">
        <f>IF(OR(AA188="",I188=""),"",AA188-I188)</f>
        <v/>
      </c>
      <c r="AQ188" s="211" t="str">
        <f>IF(OR(AB188="",J188=""),"",AB188-J188)</f>
        <v/>
      </c>
      <c r="AR188" s="68"/>
      <c r="AS188" s="69"/>
      <c r="AT188" s="68"/>
    </row>
    <row r="189" spans="2:46" ht="13.5" customHeight="1" x14ac:dyDescent="0.15">
      <c r="B189" s="327"/>
      <c r="C189" s="52" t="s">
        <v>47</v>
      </c>
      <c r="D189" s="73"/>
      <c r="E189" s="95"/>
      <c r="F189" s="103"/>
      <c r="G189" s="103"/>
      <c r="H189" s="103"/>
      <c r="I189" s="103"/>
      <c r="J189" s="103"/>
      <c r="K189" s="104"/>
      <c r="L189" s="206"/>
      <c r="M189" s="206"/>
      <c r="N189" s="95"/>
      <c r="O189" s="53"/>
      <c r="P189" s="95"/>
      <c r="Q189" s="53"/>
      <c r="R189" s="225"/>
      <c r="S189" s="161"/>
      <c r="T189" s="327"/>
      <c r="U189" s="52" t="s">
        <v>47</v>
      </c>
      <c r="V189" s="73"/>
      <c r="W189" s="95"/>
      <c r="X189" s="103"/>
      <c r="Y189" s="103"/>
      <c r="Z189" s="103"/>
      <c r="AA189" s="103"/>
      <c r="AB189" s="103"/>
      <c r="AC189" s="104"/>
      <c r="AD189" s="104"/>
      <c r="AE189" s="104"/>
      <c r="AF189" s="95"/>
      <c r="AG189" s="53"/>
      <c r="AH189" s="95"/>
      <c r="AI189" s="53"/>
      <c r="AJ189" s="225"/>
      <c r="AK189" s="169"/>
      <c r="AL189" s="327"/>
      <c r="AM189" s="150" t="str">
        <f t="shared" ref="AM189:AM192" si="176">IF(OR(X189="",F189=""),"",X189-F189)</f>
        <v/>
      </c>
      <c r="AN189" s="212" t="str">
        <f t="shared" ref="AN189:AN192" si="177">IF(OR(Y189="",G189=""),"",Y189-G189)</f>
        <v/>
      </c>
      <c r="AO189" s="212" t="str">
        <f t="shared" ref="AO189:AO192" si="178">IF(OR(Z189="",H189=""),"",Z189-H189)</f>
        <v/>
      </c>
      <c r="AP189" s="212" t="str">
        <f t="shared" ref="AP189:AP192" si="179">IF(OR(AA189="",I189=""),"",AA189-I189)</f>
        <v/>
      </c>
      <c r="AQ189" s="151" t="str">
        <f t="shared" ref="AQ189:AQ192" si="180">IF(OR(AB189="",J189=""),"",AB189-J189)</f>
        <v/>
      </c>
      <c r="AR189" s="68"/>
      <c r="AS189" s="69"/>
      <c r="AT189" s="68"/>
    </row>
    <row r="190" spans="2:46" ht="13.5" customHeight="1" x14ac:dyDescent="0.15">
      <c r="B190" s="327"/>
      <c r="C190" s="52" t="s">
        <v>48</v>
      </c>
      <c r="D190" s="73"/>
      <c r="E190" s="95"/>
      <c r="F190" s="103"/>
      <c r="G190" s="103"/>
      <c r="H190" s="103"/>
      <c r="I190" s="103"/>
      <c r="J190" s="103"/>
      <c r="K190" s="104"/>
      <c r="L190" s="206"/>
      <c r="M190" s="206"/>
      <c r="N190" s="95"/>
      <c r="O190" s="53"/>
      <c r="P190" s="95"/>
      <c r="Q190" s="53"/>
      <c r="R190" s="225"/>
      <c r="S190" s="161"/>
      <c r="T190" s="327"/>
      <c r="U190" s="52" t="s">
        <v>48</v>
      </c>
      <c r="V190" s="73"/>
      <c r="W190" s="95"/>
      <c r="X190" s="103"/>
      <c r="Y190" s="103"/>
      <c r="Z190" s="103"/>
      <c r="AA190" s="103"/>
      <c r="AB190" s="103"/>
      <c r="AC190" s="104"/>
      <c r="AD190" s="104"/>
      <c r="AE190" s="104"/>
      <c r="AF190" s="95"/>
      <c r="AG190" s="53"/>
      <c r="AH190" s="95"/>
      <c r="AI190" s="53"/>
      <c r="AJ190" s="225"/>
      <c r="AK190" s="169"/>
      <c r="AL190" s="327"/>
      <c r="AM190" s="150" t="str">
        <f t="shared" si="176"/>
        <v/>
      </c>
      <c r="AN190" s="212" t="str">
        <f t="shared" si="177"/>
        <v/>
      </c>
      <c r="AO190" s="212" t="str">
        <f t="shared" si="178"/>
        <v/>
      </c>
      <c r="AP190" s="212" t="str">
        <f t="shared" si="179"/>
        <v/>
      </c>
      <c r="AQ190" s="151" t="str">
        <f t="shared" si="180"/>
        <v/>
      </c>
      <c r="AR190" s="68"/>
      <c r="AS190" s="69"/>
      <c r="AT190" s="68"/>
    </row>
    <row r="191" spans="2:46" ht="13.5" customHeight="1" x14ac:dyDescent="0.15">
      <c r="B191" s="327"/>
      <c r="C191" s="52" t="s">
        <v>50</v>
      </c>
      <c r="D191" s="73"/>
      <c r="E191" s="95"/>
      <c r="F191" s="103"/>
      <c r="G191" s="103"/>
      <c r="H191" s="103"/>
      <c r="I191" s="103"/>
      <c r="J191" s="103"/>
      <c r="K191" s="104"/>
      <c r="L191" s="206"/>
      <c r="M191" s="206"/>
      <c r="N191" s="95"/>
      <c r="O191" s="53"/>
      <c r="P191" s="95"/>
      <c r="Q191" s="53"/>
      <c r="R191" s="225"/>
      <c r="S191" s="161"/>
      <c r="T191" s="327"/>
      <c r="U191" s="52" t="s">
        <v>50</v>
      </c>
      <c r="V191" s="73"/>
      <c r="W191" s="95"/>
      <c r="X191" s="103"/>
      <c r="Y191" s="103"/>
      <c r="Z191" s="103"/>
      <c r="AA191" s="103"/>
      <c r="AB191" s="103"/>
      <c r="AC191" s="104"/>
      <c r="AD191" s="104"/>
      <c r="AE191" s="104"/>
      <c r="AF191" s="95"/>
      <c r="AG191" s="53"/>
      <c r="AH191" s="95"/>
      <c r="AI191" s="53"/>
      <c r="AJ191" s="225"/>
      <c r="AK191" s="169"/>
      <c r="AL191" s="327"/>
      <c r="AM191" s="150" t="str">
        <f t="shared" si="176"/>
        <v/>
      </c>
      <c r="AN191" s="212" t="str">
        <f t="shared" si="177"/>
        <v/>
      </c>
      <c r="AO191" s="212" t="str">
        <f t="shared" si="178"/>
        <v/>
      </c>
      <c r="AP191" s="212" t="str">
        <f t="shared" si="179"/>
        <v/>
      </c>
      <c r="AQ191" s="151" t="str">
        <f t="shared" si="180"/>
        <v/>
      </c>
      <c r="AR191" s="68"/>
      <c r="AS191" s="69"/>
      <c r="AT191" s="68"/>
    </row>
    <row r="192" spans="2:46" ht="13.5" customHeight="1" thickBot="1" x14ac:dyDescent="0.2">
      <c r="B192" s="328"/>
      <c r="C192" s="52" t="s">
        <v>51</v>
      </c>
      <c r="D192" s="74"/>
      <c r="E192" s="98"/>
      <c r="F192" s="105"/>
      <c r="G192" s="105"/>
      <c r="H192" s="105"/>
      <c r="I192" s="105"/>
      <c r="J192" s="105"/>
      <c r="K192" s="106"/>
      <c r="L192" s="207"/>
      <c r="M192" s="207"/>
      <c r="N192" s="98"/>
      <c r="O192" s="66"/>
      <c r="P192" s="98"/>
      <c r="Q192" s="66"/>
      <c r="R192" s="225"/>
      <c r="S192" s="161"/>
      <c r="T192" s="328"/>
      <c r="U192" s="52" t="s">
        <v>51</v>
      </c>
      <c r="V192" s="74"/>
      <c r="W192" s="98"/>
      <c r="X192" s="105"/>
      <c r="Y192" s="105"/>
      <c r="Z192" s="105"/>
      <c r="AA192" s="105"/>
      <c r="AB192" s="105"/>
      <c r="AC192" s="106"/>
      <c r="AD192" s="106"/>
      <c r="AE192" s="106"/>
      <c r="AF192" s="98"/>
      <c r="AG192" s="66"/>
      <c r="AH192" s="98"/>
      <c r="AI192" s="66"/>
      <c r="AJ192" s="225"/>
      <c r="AK192" s="169"/>
      <c r="AL192" s="328"/>
      <c r="AM192" s="213" t="str">
        <f t="shared" si="176"/>
        <v/>
      </c>
      <c r="AN192" s="214" t="str">
        <f t="shared" si="177"/>
        <v/>
      </c>
      <c r="AO192" s="214" t="str">
        <f t="shared" si="178"/>
        <v/>
      </c>
      <c r="AP192" s="214" t="str">
        <f t="shared" si="179"/>
        <v/>
      </c>
      <c r="AQ192" s="215" t="str">
        <f t="shared" si="180"/>
        <v/>
      </c>
      <c r="AR192" s="68"/>
      <c r="AS192" s="69"/>
      <c r="AT192" s="68"/>
    </row>
    <row r="193" spans="2:46" ht="13.5" customHeight="1" x14ac:dyDescent="0.15">
      <c r="B193" s="326" t="s">
        <v>123</v>
      </c>
      <c r="C193" s="50" t="s">
        <v>46</v>
      </c>
      <c r="D193" s="71"/>
      <c r="E193" s="93"/>
      <c r="F193" s="101"/>
      <c r="G193" s="101"/>
      <c r="H193" s="101"/>
      <c r="I193" s="101"/>
      <c r="J193" s="101"/>
      <c r="K193" s="102"/>
      <c r="L193" s="205"/>
      <c r="M193" s="205"/>
      <c r="N193" s="93"/>
      <c r="O193" s="51"/>
      <c r="P193" s="93"/>
      <c r="Q193" s="51"/>
      <c r="R193" s="224"/>
      <c r="S193" s="161"/>
      <c r="T193" s="326" t="s">
        <v>123</v>
      </c>
      <c r="U193" s="50" t="s">
        <v>46</v>
      </c>
      <c r="V193" s="71"/>
      <c r="W193" s="93"/>
      <c r="X193" s="101"/>
      <c r="Y193" s="101"/>
      <c r="Z193" s="101"/>
      <c r="AA193" s="101"/>
      <c r="AB193" s="101"/>
      <c r="AC193" s="102"/>
      <c r="AD193" s="102"/>
      <c r="AE193" s="102"/>
      <c r="AF193" s="93"/>
      <c r="AG193" s="51"/>
      <c r="AH193" s="93"/>
      <c r="AI193" s="51"/>
      <c r="AJ193" s="224"/>
      <c r="AK193" s="169"/>
      <c r="AL193" s="326" t="s">
        <v>123</v>
      </c>
      <c r="AM193" s="210" t="str">
        <f>IF(OR(X193="",F193=""),"",X193-F193)</f>
        <v/>
      </c>
      <c r="AN193" s="171" t="str">
        <f>IF(OR(Y193="",G193=""),"",Y193-G193)</f>
        <v/>
      </c>
      <c r="AO193" s="171" t="str">
        <f>IF(OR(Z193="",H193=""),"",Z193-H193)</f>
        <v/>
      </c>
      <c r="AP193" s="171" t="str">
        <f>IF(OR(AA193="",I193=""),"",AA193-I193)</f>
        <v/>
      </c>
      <c r="AQ193" s="211" t="str">
        <f>IF(OR(AB193="",J193=""),"",AB193-J193)</f>
        <v/>
      </c>
      <c r="AR193" s="68"/>
      <c r="AS193" s="69"/>
      <c r="AT193" s="68"/>
    </row>
    <row r="194" spans="2:46" ht="13.5" customHeight="1" x14ac:dyDescent="0.15">
      <c r="B194" s="327"/>
      <c r="C194" s="52" t="s">
        <v>47</v>
      </c>
      <c r="D194" s="73"/>
      <c r="E194" s="95"/>
      <c r="F194" s="103"/>
      <c r="G194" s="103"/>
      <c r="H194" s="103"/>
      <c r="I194" s="103"/>
      <c r="J194" s="103"/>
      <c r="K194" s="104"/>
      <c r="L194" s="206"/>
      <c r="M194" s="206"/>
      <c r="N194" s="95"/>
      <c r="O194" s="53"/>
      <c r="P194" s="95"/>
      <c r="Q194" s="53"/>
      <c r="R194" s="225"/>
      <c r="S194" s="161"/>
      <c r="T194" s="327"/>
      <c r="U194" s="52" t="s">
        <v>47</v>
      </c>
      <c r="V194" s="73"/>
      <c r="W194" s="95"/>
      <c r="X194" s="103"/>
      <c r="Y194" s="103"/>
      <c r="Z194" s="103"/>
      <c r="AA194" s="103"/>
      <c r="AB194" s="103"/>
      <c r="AC194" s="104"/>
      <c r="AD194" s="104"/>
      <c r="AE194" s="104"/>
      <c r="AF194" s="95"/>
      <c r="AG194" s="53"/>
      <c r="AH194" s="95"/>
      <c r="AI194" s="53"/>
      <c r="AJ194" s="225"/>
      <c r="AK194" s="169"/>
      <c r="AL194" s="327"/>
      <c r="AM194" s="150" t="str">
        <f t="shared" ref="AM194:AM197" si="181">IF(OR(X194="",F194=""),"",X194-F194)</f>
        <v/>
      </c>
      <c r="AN194" s="212" t="str">
        <f t="shared" ref="AN194:AN197" si="182">IF(OR(Y194="",G194=""),"",Y194-G194)</f>
        <v/>
      </c>
      <c r="AO194" s="212" t="str">
        <f t="shared" ref="AO194:AO197" si="183">IF(OR(Z194="",H194=""),"",Z194-H194)</f>
        <v/>
      </c>
      <c r="AP194" s="212" t="str">
        <f t="shared" ref="AP194:AP197" si="184">IF(OR(AA194="",I194=""),"",AA194-I194)</f>
        <v/>
      </c>
      <c r="AQ194" s="151" t="str">
        <f t="shared" ref="AQ194:AQ197" si="185">IF(OR(AB194="",J194=""),"",AB194-J194)</f>
        <v/>
      </c>
      <c r="AR194" s="68"/>
      <c r="AS194" s="69"/>
      <c r="AT194" s="68"/>
    </row>
    <row r="195" spans="2:46" ht="13.5" customHeight="1" x14ac:dyDescent="0.15">
      <c r="B195" s="327"/>
      <c r="C195" s="52" t="s">
        <v>48</v>
      </c>
      <c r="D195" s="73"/>
      <c r="E195" s="95"/>
      <c r="F195" s="103"/>
      <c r="G195" s="103"/>
      <c r="H195" s="103"/>
      <c r="I195" s="103"/>
      <c r="J195" s="103"/>
      <c r="K195" s="104"/>
      <c r="L195" s="206"/>
      <c r="M195" s="206"/>
      <c r="N195" s="95"/>
      <c r="O195" s="53"/>
      <c r="P195" s="95"/>
      <c r="Q195" s="53"/>
      <c r="R195" s="225"/>
      <c r="S195" s="161"/>
      <c r="T195" s="327"/>
      <c r="U195" s="52" t="s">
        <v>48</v>
      </c>
      <c r="V195" s="73"/>
      <c r="W195" s="95"/>
      <c r="X195" s="103"/>
      <c r="Y195" s="103"/>
      <c r="Z195" s="103"/>
      <c r="AA195" s="103"/>
      <c r="AB195" s="103"/>
      <c r="AC195" s="104"/>
      <c r="AD195" s="104"/>
      <c r="AE195" s="104"/>
      <c r="AF195" s="95"/>
      <c r="AG195" s="53"/>
      <c r="AH195" s="95"/>
      <c r="AI195" s="53"/>
      <c r="AJ195" s="225"/>
      <c r="AK195" s="169"/>
      <c r="AL195" s="327"/>
      <c r="AM195" s="150" t="str">
        <f t="shared" si="181"/>
        <v/>
      </c>
      <c r="AN195" s="212" t="str">
        <f t="shared" si="182"/>
        <v/>
      </c>
      <c r="AO195" s="212" t="str">
        <f t="shared" si="183"/>
        <v/>
      </c>
      <c r="AP195" s="212" t="str">
        <f t="shared" si="184"/>
        <v/>
      </c>
      <c r="AQ195" s="151" t="str">
        <f t="shared" si="185"/>
        <v/>
      </c>
      <c r="AR195" s="68"/>
      <c r="AS195" s="69"/>
      <c r="AT195" s="68"/>
    </row>
    <row r="196" spans="2:46" ht="13.5" customHeight="1" x14ac:dyDescent="0.15">
      <c r="B196" s="327"/>
      <c r="C196" s="52" t="s">
        <v>50</v>
      </c>
      <c r="D196" s="73"/>
      <c r="E196" s="95"/>
      <c r="F196" s="103"/>
      <c r="G196" s="103"/>
      <c r="H196" s="103"/>
      <c r="I196" s="103"/>
      <c r="J196" s="103"/>
      <c r="K196" s="104"/>
      <c r="L196" s="206"/>
      <c r="M196" s="206"/>
      <c r="N196" s="95"/>
      <c r="O196" s="53"/>
      <c r="P196" s="95"/>
      <c r="Q196" s="53"/>
      <c r="R196" s="225"/>
      <c r="S196" s="161"/>
      <c r="T196" s="327"/>
      <c r="U196" s="52" t="s">
        <v>50</v>
      </c>
      <c r="V196" s="73"/>
      <c r="W196" s="95"/>
      <c r="X196" s="103"/>
      <c r="Y196" s="103"/>
      <c r="Z196" s="103"/>
      <c r="AA196" s="103"/>
      <c r="AB196" s="103"/>
      <c r="AC196" s="104"/>
      <c r="AD196" s="104"/>
      <c r="AE196" s="104"/>
      <c r="AF196" s="95"/>
      <c r="AG196" s="53"/>
      <c r="AH196" s="95"/>
      <c r="AI196" s="53"/>
      <c r="AJ196" s="225"/>
      <c r="AK196" s="169"/>
      <c r="AL196" s="327"/>
      <c r="AM196" s="150" t="str">
        <f t="shared" si="181"/>
        <v/>
      </c>
      <c r="AN196" s="212" t="str">
        <f t="shared" si="182"/>
        <v/>
      </c>
      <c r="AO196" s="212" t="str">
        <f t="shared" si="183"/>
        <v/>
      </c>
      <c r="AP196" s="212" t="str">
        <f t="shared" si="184"/>
        <v/>
      </c>
      <c r="AQ196" s="151" t="str">
        <f t="shared" si="185"/>
        <v/>
      </c>
      <c r="AR196" s="68"/>
      <c r="AS196" s="69"/>
      <c r="AT196" s="68"/>
    </row>
    <row r="197" spans="2:46" ht="13.5" customHeight="1" thickBot="1" x14ac:dyDescent="0.2">
      <c r="B197" s="328"/>
      <c r="C197" s="52" t="s">
        <v>51</v>
      </c>
      <c r="D197" s="74"/>
      <c r="E197" s="98"/>
      <c r="F197" s="105"/>
      <c r="G197" s="105"/>
      <c r="H197" s="105"/>
      <c r="I197" s="105"/>
      <c r="J197" s="105"/>
      <c r="K197" s="106"/>
      <c r="L197" s="207"/>
      <c r="M197" s="207"/>
      <c r="N197" s="98"/>
      <c r="O197" s="66"/>
      <c r="P197" s="98"/>
      <c r="Q197" s="66"/>
      <c r="R197" s="225"/>
      <c r="S197" s="161"/>
      <c r="T197" s="328"/>
      <c r="U197" s="52" t="s">
        <v>51</v>
      </c>
      <c r="V197" s="74"/>
      <c r="W197" s="98"/>
      <c r="X197" s="105"/>
      <c r="Y197" s="105"/>
      <c r="Z197" s="105"/>
      <c r="AA197" s="105"/>
      <c r="AB197" s="105"/>
      <c r="AC197" s="106"/>
      <c r="AD197" s="106"/>
      <c r="AE197" s="106"/>
      <c r="AF197" s="98"/>
      <c r="AG197" s="66"/>
      <c r="AH197" s="98"/>
      <c r="AI197" s="66"/>
      <c r="AJ197" s="225"/>
      <c r="AK197" s="169"/>
      <c r="AL197" s="328"/>
      <c r="AM197" s="213" t="str">
        <f t="shared" si="181"/>
        <v/>
      </c>
      <c r="AN197" s="214" t="str">
        <f t="shared" si="182"/>
        <v/>
      </c>
      <c r="AO197" s="214" t="str">
        <f t="shared" si="183"/>
        <v/>
      </c>
      <c r="AP197" s="214" t="str">
        <f t="shared" si="184"/>
        <v/>
      </c>
      <c r="AQ197" s="215" t="str">
        <f t="shared" si="185"/>
        <v/>
      </c>
      <c r="AR197" s="68"/>
      <c r="AS197" s="69"/>
      <c r="AT197" s="68"/>
    </row>
    <row r="198" spans="2:46" ht="13.5" customHeight="1" x14ac:dyDescent="0.15">
      <c r="B198" s="326" t="s">
        <v>124</v>
      </c>
      <c r="C198" s="50" t="s">
        <v>46</v>
      </c>
      <c r="D198" s="71"/>
      <c r="E198" s="93"/>
      <c r="F198" s="101"/>
      <c r="G198" s="101"/>
      <c r="H198" s="101"/>
      <c r="I198" s="101"/>
      <c r="J198" s="101"/>
      <c r="K198" s="102"/>
      <c r="L198" s="205"/>
      <c r="M198" s="205"/>
      <c r="N198" s="93"/>
      <c r="O198" s="51"/>
      <c r="P198" s="93"/>
      <c r="Q198" s="51"/>
      <c r="R198" s="224"/>
      <c r="S198" s="161"/>
      <c r="T198" s="326" t="s">
        <v>124</v>
      </c>
      <c r="U198" s="50" t="s">
        <v>46</v>
      </c>
      <c r="V198" s="71"/>
      <c r="W198" s="93"/>
      <c r="X198" s="101"/>
      <c r="Y198" s="101"/>
      <c r="Z198" s="101"/>
      <c r="AA198" s="101"/>
      <c r="AB198" s="101"/>
      <c r="AC198" s="102"/>
      <c r="AD198" s="102"/>
      <c r="AE198" s="102"/>
      <c r="AF198" s="93"/>
      <c r="AG198" s="51"/>
      <c r="AH198" s="93"/>
      <c r="AI198" s="51"/>
      <c r="AJ198" s="224"/>
      <c r="AK198" s="169"/>
      <c r="AL198" s="326" t="s">
        <v>124</v>
      </c>
      <c r="AM198" s="210" t="str">
        <f>IF(OR(X198="",F198=""),"",X198-F198)</f>
        <v/>
      </c>
      <c r="AN198" s="171" t="str">
        <f>IF(OR(Y198="",G198=""),"",Y198-G198)</f>
        <v/>
      </c>
      <c r="AO198" s="171" t="str">
        <f>IF(OR(Z198="",H198=""),"",Z198-H198)</f>
        <v/>
      </c>
      <c r="AP198" s="171" t="str">
        <f>IF(OR(AA198="",I198=""),"",AA198-I198)</f>
        <v/>
      </c>
      <c r="AQ198" s="211" t="str">
        <f>IF(OR(AB198="",J198=""),"",AB198-J198)</f>
        <v/>
      </c>
      <c r="AR198" s="68"/>
      <c r="AS198" s="69"/>
      <c r="AT198" s="68"/>
    </row>
    <row r="199" spans="2:46" ht="13.5" customHeight="1" x14ac:dyDescent="0.15">
      <c r="B199" s="327"/>
      <c r="C199" s="52" t="s">
        <v>47</v>
      </c>
      <c r="D199" s="73"/>
      <c r="E199" s="95"/>
      <c r="F199" s="103"/>
      <c r="G199" s="103"/>
      <c r="H199" s="103"/>
      <c r="I199" s="103"/>
      <c r="J199" s="103"/>
      <c r="K199" s="104"/>
      <c r="L199" s="206"/>
      <c r="M199" s="206"/>
      <c r="N199" s="95"/>
      <c r="O199" s="53"/>
      <c r="P199" s="95"/>
      <c r="Q199" s="53"/>
      <c r="R199" s="225"/>
      <c r="S199" s="161"/>
      <c r="T199" s="327"/>
      <c r="U199" s="52" t="s">
        <v>47</v>
      </c>
      <c r="V199" s="73"/>
      <c r="W199" s="95"/>
      <c r="X199" s="103"/>
      <c r="Y199" s="103"/>
      <c r="Z199" s="103"/>
      <c r="AA199" s="103"/>
      <c r="AB199" s="103"/>
      <c r="AC199" s="104"/>
      <c r="AD199" s="104"/>
      <c r="AE199" s="104"/>
      <c r="AF199" s="95"/>
      <c r="AG199" s="53"/>
      <c r="AH199" s="95"/>
      <c r="AI199" s="53"/>
      <c r="AJ199" s="225"/>
      <c r="AK199" s="169"/>
      <c r="AL199" s="327"/>
      <c r="AM199" s="150" t="str">
        <f t="shared" ref="AM199:AM202" si="186">IF(OR(X199="",F199=""),"",X199-F199)</f>
        <v/>
      </c>
      <c r="AN199" s="212" t="str">
        <f t="shared" ref="AN199:AN202" si="187">IF(OR(Y199="",G199=""),"",Y199-G199)</f>
        <v/>
      </c>
      <c r="AO199" s="212" t="str">
        <f t="shared" ref="AO199:AO202" si="188">IF(OR(Z199="",H199=""),"",Z199-H199)</f>
        <v/>
      </c>
      <c r="AP199" s="212" t="str">
        <f t="shared" ref="AP199:AP202" si="189">IF(OR(AA199="",I199=""),"",AA199-I199)</f>
        <v/>
      </c>
      <c r="AQ199" s="151" t="str">
        <f t="shared" ref="AQ199:AQ202" si="190">IF(OR(AB199="",J199=""),"",AB199-J199)</f>
        <v/>
      </c>
      <c r="AR199" s="68"/>
      <c r="AS199" s="69"/>
      <c r="AT199" s="68"/>
    </row>
    <row r="200" spans="2:46" ht="13.5" customHeight="1" x14ac:dyDescent="0.15">
      <c r="B200" s="327"/>
      <c r="C200" s="52" t="s">
        <v>48</v>
      </c>
      <c r="D200" s="73"/>
      <c r="E200" s="95"/>
      <c r="F200" s="103"/>
      <c r="G200" s="103"/>
      <c r="H200" s="103"/>
      <c r="I200" s="103"/>
      <c r="J200" s="103"/>
      <c r="K200" s="104"/>
      <c r="L200" s="206"/>
      <c r="M200" s="206"/>
      <c r="N200" s="95"/>
      <c r="O200" s="53"/>
      <c r="P200" s="95"/>
      <c r="Q200" s="53"/>
      <c r="R200" s="225"/>
      <c r="S200" s="161"/>
      <c r="T200" s="327"/>
      <c r="U200" s="52" t="s">
        <v>48</v>
      </c>
      <c r="V200" s="73"/>
      <c r="W200" s="95"/>
      <c r="X200" s="103"/>
      <c r="Y200" s="103"/>
      <c r="Z200" s="103"/>
      <c r="AA200" s="103"/>
      <c r="AB200" s="103"/>
      <c r="AC200" s="104"/>
      <c r="AD200" s="104"/>
      <c r="AE200" s="104"/>
      <c r="AF200" s="95"/>
      <c r="AG200" s="53"/>
      <c r="AH200" s="95"/>
      <c r="AI200" s="53"/>
      <c r="AJ200" s="225"/>
      <c r="AK200" s="169"/>
      <c r="AL200" s="327"/>
      <c r="AM200" s="150" t="str">
        <f t="shared" si="186"/>
        <v/>
      </c>
      <c r="AN200" s="212" t="str">
        <f t="shared" si="187"/>
        <v/>
      </c>
      <c r="AO200" s="212" t="str">
        <f t="shared" si="188"/>
        <v/>
      </c>
      <c r="AP200" s="212" t="str">
        <f t="shared" si="189"/>
        <v/>
      </c>
      <c r="AQ200" s="151" t="str">
        <f t="shared" si="190"/>
        <v/>
      </c>
      <c r="AR200" s="68"/>
      <c r="AS200" s="69"/>
      <c r="AT200" s="68"/>
    </row>
    <row r="201" spans="2:46" ht="13.5" customHeight="1" x14ac:dyDescent="0.15">
      <c r="B201" s="327"/>
      <c r="C201" s="52" t="s">
        <v>50</v>
      </c>
      <c r="D201" s="73"/>
      <c r="E201" s="95"/>
      <c r="F201" s="103"/>
      <c r="G201" s="103"/>
      <c r="H201" s="103"/>
      <c r="I201" s="103"/>
      <c r="J201" s="103"/>
      <c r="K201" s="104"/>
      <c r="L201" s="206"/>
      <c r="M201" s="206"/>
      <c r="N201" s="95"/>
      <c r="O201" s="53"/>
      <c r="P201" s="95"/>
      <c r="Q201" s="53"/>
      <c r="R201" s="225"/>
      <c r="S201" s="161"/>
      <c r="T201" s="327"/>
      <c r="U201" s="52" t="s">
        <v>50</v>
      </c>
      <c r="V201" s="73"/>
      <c r="W201" s="95"/>
      <c r="X201" s="103"/>
      <c r="Y201" s="103"/>
      <c r="Z201" s="103"/>
      <c r="AA201" s="103"/>
      <c r="AB201" s="103"/>
      <c r="AC201" s="104"/>
      <c r="AD201" s="104"/>
      <c r="AE201" s="104"/>
      <c r="AF201" s="95"/>
      <c r="AG201" s="53"/>
      <c r="AH201" s="95"/>
      <c r="AI201" s="53"/>
      <c r="AJ201" s="225"/>
      <c r="AK201" s="169"/>
      <c r="AL201" s="327"/>
      <c r="AM201" s="150" t="str">
        <f t="shared" si="186"/>
        <v/>
      </c>
      <c r="AN201" s="212" t="str">
        <f t="shared" si="187"/>
        <v/>
      </c>
      <c r="AO201" s="212" t="str">
        <f t="shared" si="188"/>
        <v/>
      </c>
      <c r="AP201" s="212" t="str">
        <f t="shared" si="189"/>
        <v/>
      </c>
      <c r="AQ201" s="151" t="str">
        <f t="shared" si="190"/>
        <v/>
      </c>
      <c r="AR201" s="68"/>
      <c r="AS201" s="69"/>
      <c r="AT201" s="68"/>
    </row>
    <row r="202" spans="2:46" ht="13.5" customHeight="1" thickBot="1" x14ac:dyDescent="0.2">
      <c r="B202" s="328"/>
      <c r="C202" s="52" t="s">
        <v>51</v>
      </c>
      <c r="D202" s="74"/>
      <c r="E202" s="98"/>
      <c r="F202" s="105"/>
      <c r="G202" s="105"/>
      <c r="H202" s="105"/>
      <c r="I202" s="105"/>
      <c r="J202" s="105"/>
      <c r="K202" s="106"/>
      <c r="L202" s="207"/>
      <c r="M202" s="207"/>
      <c r="N202" s="98"/>
      <c r="O202" s="66"/>
      <c r="P202" s="98"/>
      <c r="Q202" s="66"/>
      <c r="R202" s="225"/>
      <c r="S202" s="161"/>
      <c r="T202" s="328"/>
      <c r="U202" s="52" t="s">
        <v>51</v>
      </c>
      <c r="V202" s="74"/>
      <c r="W202" s="98"/>
      <c r="X202" s="105"/>
      <c r="Y202" s="105"/>
      <c r="Z202" s="105"/>
      <c r="AA202" s="105"/>
      <c r="AB202" s="105"/>
      <c r="AC202" s="106"/>
      <c r="AD202" s="106"/>
      <c r="AE202" s="106"/>
      <c r="AF202" s="98"/>
      <c r="AG202" s="66"/>
      <c r="AH202" s="98"/>
      <c r="AI202" s="66"/>
      <c r="AJ202" s="225"/>
      <c r="AK202" s="169"/>
      <c r="AL202" s="328"/>
      <c r="AM202" s="213" t="str">
        <f t="shared" si="186"/>
        <v/>
      </c>
      <c r="AN202" s="214" t="str">
        <f t="shared" si="187"/>
        <v/>
      </c>
      <c r="AO202" s="214" t="str">
        <f t="shared" si="188"/>
        <v/>
      </c>
      <c r="AP202" s="214" t="str">
        <f t="shared" si="189"/>
        <v/>
      </c>
      <c r="AQ202" s="215" t="str">
        <f t="shared" si="190"/>
        <v/>
      </c>
      <c r="AR202" s="68"/>
      <c r="AS202" s="69"/>
      <c r="AT202" s="68"/>
    </row>
    <row r="203" spans="2:46" ht="13.5" customHeight="1" x14ac:dyDescent="0.15">
      <c r="B203" s="326" t="s">
        <v>125</v>
      </c>
      <c r="C203" s="50" t="s">
        <v>46</v>
      </c>
      <c r="D203" s="71"/>
      <c r="E203" s="93"/>
      <c r="F203" s="101"/>
      <c r="G203" s="101"/>
      <c r="H203" s="101"/>
      <c r="I203" s="101"/>
      <c r="J203" s="101"/>
      <c r="K203" s="102"/>
      <c r="L203" s="205"/>
      <c r="M203" s="205"/>
      <c r="N203" s="93"/>
      <c r="O203" s="51"/>
      <c r="P203" s="93"/>
      <c r="Q203" s="51"/>
      <c r="R203" s="224"/>
      <c r="S203" s="161"/>
      <c r="T203" s="326" t="s">
        <v>125</v>
      </c>
      <c r="U203" s="50" t="s">
        <v>46</v>
      </c>
      <c r="V203" s="71"/>
      <c r="W203" s="93"/>
      <c r="X203" s="101"/>
      <c r="Y203" s="101"/>
      <c r="Z203" s="101"/>
      <c r="AA203" s="101"/>
      <c r="AB203" s="101"/>
      <c r="AC203" s="102"/>
      <c r="AD203" s="102"/>
      <c r="AE203" s="102"/>
      <c r="AF203" s="93"/>
      <c r="AG203" s="51"/>
      <c r="AH203" s="93"/>
      <c r="AI203" s="51"/>
      <c r="AJ203" s="224"/>
      <c r="AK203" s="169"/>
      <c r="AL203" s="326" t="s">
        <v>125</v>
      </c>
      <c r="AM203" s="210" t="str">
        <f>IF(OR(X203="",F203=""),"",X203-F203)</f>
        <v/>
      </c>
      <c r="AN203" s="171" t="str">
        <f>IF(OR(Y203="",G203=""),"",Y203-G203)</f>
        <v/>
      </c>
      <c r="AO203" s="171" t="str">
        <f>IF(OR(Z203="",H203=""),"",Z203-H203)</f>
        <v/>
      </c>
      <c r="AP203" s="171" t="str">
        <f>IF(OR(AA203="",I203=""),"",AA203-I203)</f>
        <v/>
      </c>
      <c r="AQ203" s="211" t="str">
        <f>IF(OR(AB203="",J203=""),"",AB203-J203)</f>
        <v/>
      </c>
      <c r="AR203" s="68"/>
      <c r="AS203" s="69"/>
      <c r="AT203" s="68"/>
    </row>
    <row r="204" spans="2:46" ht="13.5" customHeight="1" x14ac:dyDescent="0.15">
      <c r="B204" s="327"/>
      <c r="C204" s="52" t="s">
        <v>47</v>
      </c>
      <c r="D204" s="73"/>
      <c r="E204" s="95"/>
      <c r="F204" s="103"/>
      <c r="G204" s="103"/>
      <c r="H204" s="103"/>
      <c r="I204" s="103"/>
      <c r="J204" s="103"/>
      <c r="K204" s="104"/>
      <c r="L204" s="206"/>
      <c r="M204" s="206"/>
      <c r="N204" s="95"/>
      <c r="O204" s="53"/>
      <c r="P204" s="95"/>
      <c r="Q204" s="53"/>
      <c r="R204" s="225"/>
      <c r="S204" s="161"/>
      <c r="T204" s="327"/>
      <c r="U204" s="52" t="s">
        <v>47</v>
      </c>
      <c r="V204" s="73"/>
      <c r="W204" s="95"/>
      <c r="X204" s="103"/>
      <c r="Y204" s="103"/>
      <c r="Z204" s="103"/>
      <c r="AA204" s="103"/>
      <c r="AB204" s="103"/>
      <c r="AC204" s="104"/>
      <c r="AD204" s="104"/>
      <c r="AE204" s="104"/>
      <c r="AF204" s="95"/>
      <c r="AG204" s="53"/>
      <c r="AH204" s="95"/>
      <c r="AI204" s="53"/>
      <c r="AJ204" s="225"/>
      <c r="AK204" s="169"/>
      <c r="AL204" s="327"/>
      <c r="AM204" s="150" t="str">
        <f t="shared" ref="AM204:AM207" si="191">IF(OR(X204="",F204=""),"",X204-F204)</f>
        <v/>
      </c>
      <c r="AN204" s="212" t="str">
        <f t="shared" ref="AN204:AN207" si="192">IF(OR(Y204="",G204=""),"",Y204-G204)</f>
        <v/>
      </c>
      <c r="AO204" s="212" t="str">
        <f t="shared" ref="AO204:AO207" si="193">IF(OR(Z204="",H204=""),"",Z204-H204)</f>
        <v/>
      </c>
      <c r="AP204" s="212" t="str">
        <f t="shared" ref="AP204:AP207" si="194">IF(OR(AA204="",I204=""),"",AA204-I204)</f>
        <v/>
      </c>
      <c r="AQ204" s="151" t="str">
        <f t="shared" ref="AQ204:AQ207" si="195">IF(OR(AB204="",J204=""),"",AB204-J204)</f>
        <v/>
      </c>
      <c r="AR204" s="68"/>
      <c r="AS204" s="69"/>
      <c r="AT204" s="68"/>
    </row>
    <row r="205" spans="2:46" ht="13.5" customHeight="1" x14ac:dyDescent="0.15">
      <c r="B205" s="327"/>
      <c r="C205" s="52" t="s">
        <v>48</v>
      </c>
      <c r="D205" s="73"/>
      <c r="E205" s="95"/>
      <c r="F205" s="103"/>
      <c r="G205" s="103"/>
      <c r="H205" s="103"/>
      <c r="I205" s="103"/>
      <c r="J205" s="103"/>
      <c r="K205" s="104"/>
      <c r="L205" s="206"/>
      <c r="M205" s="206"/>
      <c r="N205" s="95"/>
      <c r="O205" s="53"/>
      <c r="P205" s="95"/>
      <c r="Q205" s="53"/>
      <c r="R205" s="225"/>
      <c r="S205" s="161"/>
      <c r="T205" s="327"/>
      <c r="U205" s="52" t="s">
        <v>48</v>
      </c>
      <c r="V205" s="73"/>
      <c r="W205" s="95"/>
      <c r="X205" s="103"/>
      <c r="Y205" s="103"/>
      <c r="Z205" s="103"/>
      <c r="AA205" s="103"/>
      <c r="AB205" s="103"/>
      <c r="AC205" s="104"/>
      <c r="AD205" s="104"/>
      <c r="AE205" s="104"/>
      <c r="AF205" s="95"/>
      <c r="AG205" s="53"/>
      <c r="AH205" s="95"/>
      <c r="AI205" s="53"/>
      <c r="AJ205" s="225"/>
      <c r="AK205" s="169"/>
      <c r="AL205" s="327"/>
      <c r="AM205" s="150" t="str">
        <f t="shared" si="191"/>
        <v/>
      </c>
      <c r="AN205" s="212" t="str">
        <f t="shared" si="192"/>
        <v/>
      </c>
      <c r="AO205" s="212" t="str">
        <f t="shared" si="193"/>
        <v/>
      </c>
      <c r="AP205" s="212" t="str">
        <f t="shared" si="194"/>
        <v/>
      </c>
      <c r="AQ205" s="151" t="str">
        <f t="shared" si="195"/>
        <v/>
      </c>
      <c r="AR205" s="68"/>
      <c r="AS205" s="69"/>
      <c r="AT205" s="68"/>
    </row>
    <row r="206" spans="2:46" ht="13.5" customHeight="1" x14ac:dyDescent="0.15">
      <c r="B206" s="327"/>
      <c r="C206" s="52" t="s">
        <v>50</v>
      </c>
      <c r="D206" s="73"/>
      <c r="E206" s="95"/>
      <c r="F206" s="103"/>
      <c r="G206" s="103"/>
      <c r="H206" s="103"/>
      <c r="I206" s="103"/>
      <c r="J206" s="103"/>
      <c r="K206" s="104"/>
      <c r="L206" s="206"/>
      <c r="M206" s="206"/>
      <c r="N206" s="95"/>
      <c r="O206" s="53"/>
      <c r="P206" s="95"/>
      <c r="Q206" s="53"/>
      <c r="R206" s="225"/>
      <c r="S206" s="161"/>
      <c r="T206" s="327"/>
      <c r="U206" s="52" t="s">
        <v>50</v>
      </c>
      <c r="V206" s="73"/>
      <c r="W206" s="95"/>
      <c r="X206" s="103"/>
      <c r="Y206" s="103"/>
      <c r="Z206" s="103"/>
      <c r="AA206" s="103"/>
      <c r="AB206" s="103"/>
      <c r="AC206" s="104"/>
      <c r="AD206" s="104"/>
      <c r="AE206" s="104"/>
      <c r="AF206" s="95"/>
      <c r="AG206" s="53"/>
      <c r="AH206" s="95"/>
      <c r="AI206" s="53"/>
      <c r="AJ206" s="225"/>
      <c r="AK206" s="169"/>
      <c r="AL206" s="327"/>
      <c r="AM206" s="150" t="str">
        <f t="shared" si="191"/>
        <v/>
      </c>
      <c r="AN206" s="212" t="str">
        <f t="shared" si="192"/>
        <v/>
      </c>
      <c r="AO206" s="212" t="str">
        <f t="shared" si="193"/>
        <v/>
      </c>
      <c r="AP206" s="212" t="str">
        <f t="shared" si="194"/>
        <v/>
      </c>
      <c r="AQ206" s="151" t="str">
        <f t="shared" si="195"/>
        <v/>
      </c>
      <c r="AR206" s="68"/>
      <c r="AS206" s="69"/>
      <c r="AT206" s="68"/>
    </row>
    <row r="207" spans="2:46" ht="13.5" customHeight="1" thickBot="1" x14ac:dyDescent="0.2">
      <c r="B207" s="328"/>
      <c r="C207" s="52" t="s">
        <v>51</v>
      </c>
      <c r="D207" s="74"/>
      <c r="E207" s="98"/>
      <c r="F207" s="105"/>
      <c r="G207" s="105"/>
      <c r="H207" s="105"/>
      <c r="I207" s="105"/>
      <c r="J207" s="105"/>
      <c r="K207" s="106"/>
      <c r="L207" s="207"/>
      <c r="M207" s="207"/>
      <c r="N207" s="98"/>
      <c r="O207" s="66"/>
      <c r="P207" s="98"/>
      <c r="Q207" s="66"/>
      <c r="R207" s="225"/>
      <c r="S207" s="161"/>
      <c r="T207" s="328"/>
      <c r="U207" s="52" t="s">
        <v>51</v>
      </c>
      <c r="V207" s="74"/>
      <c r="W207" s="98"/>
      <c r="X207" s="105"/>
      <c r="Y207" s="105"/>
      <c r="Z207" s="105"/>
      <c r="AA207" s="105"/>
      <c r="AB207" s="105"/>
      <c r="AC207" s="106"/>
      <c r="AD207" s="106"/>
      <c r="AE207" s="106"/>
      <c r="AF207" s="98"/>
      <c r="AG207" s="66"/>
      <c r="AH207" s="98"/>
      <c r="AI207" s="66"/>
      <c r="AJ207" s="225"/>
      <c r="AK207" s="169"/>
      <c r="AL207" s="328"/>
      <c r="AM207" s="213" t="str">
        <f t="shared" si="191"/>
        <v/>
      </c>
      <c r="AN207" s="214" t="str">
        <f t="shared" si="192"/>
        <v/>
      </c>
      <c r="AO207" s="214" t="str">
        <f t="shared" si="193"/>
        <v/>
      </c>
      <c r="AP207" s="214" t="str">
        <f t="shared" si="194"/>
        <v/>
      </c>
      <c r="AQ207" s="215" t="str">
        <f t="shared" si="195"/>
        <v/>
      </c>
      <c r="AR207" s="68"/>
      <c r="AS207" s="69"/>
      <c r="AT207" s="68"/>
    </row>
    <row r="208" spans="2:46" ht="13.5" customHeight="1" x14ac:dyDescent="0.15">
      <c r="B208" s="326" t="s">
        <v>126</v>
      </c>
      <c r="C208" s="50" t="s">
        <v>46</v>
      </c>
      <c r="D208" s="71"/>
      <c r="E208" s="93"/>
      <c r="F208" s="101"/>
      <c r="G208" s="101"/>
      <c r="H208" s="101"/>
      <c r="I208" s="101"/>
      <c r="J208" s="101"/>
      <c r="K208" s="102"/>
      <c r="L208" s="205"/>
      <c r="M208" s="205"/>
      <c r="N208" s="93"/>
      <c r="O208" s="51"/>
      <c r="P208" s="93"/>
      <c r="Q208" s="51"/>
      <c r="R208" s="224"/>
      <c r="S208" s="161"/>
      <c r="T208" s="326" t="s">
        <v>126</v>
      </c>
      <c r="U208" s="50" t="s">
        <v>46</v>
      </c>
      <c r="V208" s="71"/>
      <c r="W208" s="93"/>
      <c r="X208" s="101"/>
      <c r="Y208" s="101"/>
      <c r="Z208" s="101"/>
      <c r="AA208" s="101"/>
      <c r="AB208" s="101"/>
      <c r="AC208" s="102"/>
      <c r="AD208" s="102"/>
      <c r="AE208" s="102"/>
      <c r="AF208" s="93"/>
      <c r="AG208" s="51"/>
      <c r="AH208" s="93"/>
      <c r="AI208" s="51"/>
      <c r="AJ208" s="224"/>
      <c r="AK208" s="169"/>
      <c r="AL208" s="326" t="s">
        <v>126</v>
      </c>
      <c r="AM208" s="210" t="str">
        <f>IF(OR(X208="",F208=""),"",X208-F208)</f>
        <v/>
      </c>
      <c r="AN208" s="171" t="str">
        <f>IF(OR(Y208="",G208=""),"",Y208-G208)</f>
        <v/>
      </c>
      <c r="AO208" s="171" t="str">
        <f>IF(OR(Z208="",H208=""),"",Z208-H208)</f>
        <v/>
      </c>
      <c r="AP208" s="171" t="str">
        <f>IF(OR(AA208="",I208=""),"",AA208-I208)</f>
        <v/>
      </c>
      <c r="AQ208" s="211" t="str">
        <f>IF(OR(AB208="",J208=""),"",AB208-J208)</f>
        <v/>
      </c>
      <c r="AR208" s="68"/>
      <c r="AS208" s="69"/>
      <c r="AT208" s="68"/>
    </row>
    <row r="209" spans="2:46" ht="13.5" customHeight="1" x14ac:dyDescent="0.15">
      <c r="B209" s="327"/>
      <c r="C209" s="52" t="s">
        <v>47</v>
      </c>
      <c r="D209" s="73"/>
      <c r="E209" s="95"/>
      <c r="F209" s="103"/>
      <c r="G209" s="103"/>
      <c r="H209" s="103"/>
      <c r="I209" s="103"/>
      <c r="J209" s="103"/>
      <c r="K209" s="104"/>
      <c r="L209" s="206"/>
      <c r="M209" s="206"/>
      <c r="N209" s="95"/>
      <c r="O209" s="53"/>
      <c r="P209" s="95"/>
      <c r="Q209" s="53"/>
      <c r="R209" s="225"/>
      <c r="S209" s="161"/>
      <c r="T209" s="327"/>
      <c r="U209" s="52" t="s">
        <v>47</v>
      </c>
      <c r="V209" s="73"/>
      <c r="W209" s="95"/>
      <c r="X209" s="103"/>
      <c r="Y209" s="103"/>
      <c r="Z209" s="103"/>
      <c r="AA209" s="103"/>
      <c r="AB209" s="103"/>
      <c r="AC209" s="104"/>
      <c r="AD209" s="104"/>
      <c r="AE209" s="104"/>
      <c r="AF209" s="95"/>
      <c r="AG209" s="53"/>
      <c r="AH209" s="95"/>
      <c r="AI209" s="53"/>
      <c r="AJ209" s="225"/>
      <c r="AK209" s="169"/>
      <c r="AL209" s="327"/>
      <c r="AM209" s="150" t="str">
        <f t="shared" ref="AM209:AM212" si="196">IF(OR(X209="",F209=""),"",X209-F209)</f>
        <v/>
      </c>
      <c r="AN209" s="212" t="str">
        <f t="shared" ref="AN209:AN212" si="197">IF(OR(Y209="",G209=""),"",Y209-G209)</f>
        <v/>
      </c>
      <c r="AO209" s="212" t="str">
        <f t="shared" ref="AO209:AO212" si="198">IF(OR(Z209="",H209=""),"",Z209-H209)</f>
        <v/>
      </c>
      <c r="AP209" s="212" t="str">
        <f t="shared" ref="AP209:AP212" si="199">IF(OR(AA209="",I209=""),"",AA209-I209)</f>
        <v/>
      </c>
      <c r="AQ209" s="151" t="str">
        <f t="shared" ref="AQ209:AQ212" si="200">IF(OR(AB209="",J209=""),"",AB209-J209)</f>
        <v/>
      </c>
      <c r="AR209" s="68"/>
      <c r="AS209" s="69"/>
      <c r="AT209" s="68"/>
    </row>
    <row r="210" spans="2:46" ht="13.5" customHeight="1" x14ac:dyDescent="0.15">
      <c r="B210" s="327"/>
      <c r="C210" s="52" t="s">
        <v>48</v>
      </c>
      <c r="D210" s="73"/>
      <c r="E210" s="95"/>
      <c r="F210" s="103"/>
      <c r="G210" s="103"/>
      <c r="H210" s="103"/>
      <c r="I210" s="103"/>
      <c r="J210" s="103"/>
      <c r="K210" s="104"/>
      <c r="L210" s="206"/>
      <c r="M210" s="206"/>
      <c r="N210" s="95"/>
      <c r="O210" s="53"/>
      <c r="P210" s="95"/>
      <c r="Q210" s="53"/>
      <c r="R210" s="225"/>
      <c r="S210" s="161"/>
      <c r="T210" s="327"/>
      <c r="U210" s="52" t="s">
        <v>48</v>
      </c>
      <c r="V210" s="73"/>
      <c r="W210" s="95"/>
      <c r="X210" s="103"/>
      <c r="Y210" s="103"/>
      <c r="Z210" s="103"/>
      <c r="AA210" s="103"/>
      <c r="AB210" s="103"/>
      <c r="AC210" s="104"/>
      <c r="AD210" s="104"/>
      <c r="AE210" s="104"/>
      <c r="AF210" s="95"/>
      <c r="AG210" s="53"/>
      <c r="AH210" s="95"/>
      <c r="AI210" s="53"/>
      <c r="AJ210" s="225"/>
      <c r="AK210" s="169"/>
      <c r="AL210" s="327"/>
      <c r="AM210" s="150" t="str">
        <f t="shared" si="196"/>
        <v/>
      </c>
      <c r="AN210" s="212" t="str">
        <f t="shared" si="197"/>
        <v/>
      </c>
      <c r="AO210" s="212" t="str">
        <f t="shared" si="198"/>
        <v/>
      </c>
      <c r="AP210" s="212" t="str">
        <f t="shared" si="199"/>
        <v/>
      </c>
      <c r="AQ210" s="151" t="str">
        <f t="shared" si="200"/>
        <v/>
      </c>
      <c r="AR210" s="68"/>
      <c r="AS210" s="69"/>
      <c r="AT210" s="68"/>
    </row>
    <row r="211" spans="2:46" ht="13.5" customHeight="1" x14ac:dyDescent="0.15">
      <c r="B211" s="327"/>
      <c r="C211" s="52" t="s">
        <v>50</v>
      </c>
      <c r="D211" s="73"/>
      <c r="E211" s="95"/>
      <c r="F211" s="103"/>
      <c r="G211" s="103"/>
      <c r="H211" s="103"/>
      <c r="I211" s="103"/>
      <c r="J211" s="103"/>
      <c r="K211" s="104"/>
      <c r="L211" s="206"/>
      <c r="M211" s="206"/>
      <c r="N211" s="95"/>
      <c r="O211" s="53"/>
      <c r="P211" s="95"/>
      <c r="Q211" s="53"/>
      <c r="R211" s="225"/>
      <c r="S211" s="161"/>
      <c r="T211" s="327"/>
      <c r="U211" s="52" t="s">
        <v>50</v>
      </c>
      <c r="V211" s="73"/>
      <c r="W211" s="95"/>
      <c r="X211" s="103"/>
      <c r="Y211" s="103"/>
      <c r="Z211" s="103"/>
      <c r="AA211" s="103"/>
      <c r="AB211" s="103"/>
      <c r="AC211" s="104"/>
      <c r="AD211" s="104"/>
      <c r="AE211" s="104"/>
      <c r="AF211" s="95"/>
      <c r="AG211" s="53"/>
      <c r="AH211" s="95"/>
      <c r="AI211" s="53"/>
      <c r="AJ211" s="225"/>
      <c r="AK211" s="169"/>
      <c r="AL211" s="327"/>
      <c r="AM211" s="150" t="str">
        <f t="shared" si="196"/>
        <v/>
      </c>
      <c r="AN211" s="212" t="str">
        <f t="shared" si="197"/>
        <v/>
      </c>
      <c r="AO211" s="212" t="str">
        <f t="shared" si="198"/>
        <v/>
      </c>
      <c r="AP211" s="212" t="str">
        <f t="shared" si="199"/>
        <v/>
      </c>
      <c r="AQ211" s="151" t="str">
        <f t="shared" si="200"/>
        <v/>
      </c>
      <c r="AR211" s="68"/>
      <c r="AS211" s="69"/>
      <c r="AT211" s="68"/>
    </row>
    <row r="212" spans="2:46" ht="13.5" customHeight="1" thickBot="1" x14ac:dyDescent="0.2">
      <c r="B212" s="328"/>
      <c r="C212" s="54" t="s">
        <v>51</v>
      </c>
      <c r="D212" s="74"/>
      <c r="E212" s="98"/>
      <c r="F212" s="105"/>
      <c r="G212" s="105"/>
      <c r="H212" s="105"/>
      <c r="I212" s="105"/>
      <c r="J212" s="105"/>
      <c r="K212" s="106"/>
      <c r="L212" s="207"/>
      <c r="M212" s="207"/>
      <c r="N212" s="98"/>
      <c r="O212" s="66"/>
      <c r="P212" s="98"/>
      <c r="Q212" s="66"/>
      <c r="R212" s="226"/>
      <c r="S212" s="161"/>
      <c r="T212" s="328"/>
      <c r="U212" s="54" t="s">
        <v>51</v>
      </c>
      <c r="V212" s="74"/>
      <c r="W212" s="98"/>
      <c r="X212" s="105"/>
      <c r="Y212" s="105"/>
      <c r="Z212" s="105"/>
      <c r="AA212" s="105"/>
      <c r="AB212" s="105"/>
      <c r="AC212" s="106"/>
      <c r="AD212" s="106"/>
      <c r="AE212" s="106"/>
      <c r="AF212" s="98"/>
      <c r="AG212" s="66"/>
      <c r="AH212" s="98"/>
      <c r="AI212" s="66"/>
      <c r="AJ212" s="226"/>
      <c r="AK212" s="169"/>
      <c r="AL212" s="328"/>
      <c r="AM212" s="213" t="str">
        <f t="shared" si="196"/>
        <v/>
      </c>
      <c r="AN212" s="214" t="str">
        <f t="shared" si="197"/>
        <v/>
      </c>
      <c r="AO212" s="214" t="str">
        <f t="shared" si="198"/>
        <v/>
      </c>
      <c r="AP212" s="214" t="str">
        <f t="shared" si="199"/>
        <v/>
      </c>
      <c r="AQ212" s="215" t="str">
        <f t="shared" si="200"/>
        <v/>
      </c>
      <c r="AR212" s="68"/>
      <c r="AS212" s="69"/>
      <c r="AT212" s="68"/>
    </row>
    <row r="213" spans="2:46" ht="13.5" customHeight="1" x14ac:dyDescent="0.15">
      <c r="B213" s="326" t="s">
        <v>127</v>
      </c>
      <c r="C213" s="50" t="s">
        <v>46</v>
      </c>
      <c r="D213" s="71"/>
      <c r="E213" s="93"/>
      <c r="F213" s="101"/>
      <c r="G213" s="101"/>
      <c r="H213" s="101"/>
      <c r="I213" s="101"/>
      <c r="J213" s="101"/>
      <c r="K213" s="102"/>
      <c r="L213" s="205"/>
      <c r="M213" s="205"/>
      <c r="N213" s="93"/>
      <c r="O213" s="51"/>
      <c r="P213" s="93"/>
      <c r="Q213" s="51"/>
      <c r="R213" s="224"/>
      <c r="S213" s="161"/>
      <c r="T213" s="326" t="s">
        <v>127</v>
      </c>
      <c r="U213" s="50" t="s">
        <v>46</v>
      </c>
      <c r="V213" s="71"/>
      <c r="W213" s="93"/>
      <c r="X213" s="101"/>
      <c r="Y213" s="101"/>
      <c r="Z213" s="101"/>
      <c r="AA213" s="101"/>
      <c r="AB213" s="101"/>
      <c r="AC213" s="102"/>
      <c r="AD213" s="102"/>
      <c r="AE213" s="102"/>
      <c r="AF213" s="93"/>
      <c r="AG213" s="51"/>
      <c r="AH213" s="93"/>
      <c r="AI213" s="51"/>
      <c r="AJ213" s="224"/>
      <c r="AK213" s="169"/>
      <c r="AL213" s="326" t="s">
        <v>127</v>
      </c>
      <c r="AM213" s="210" t="str">
        <f>IF(OR(X213="",F213=""),"",X213-F213)</f>
        <v/>
      </c>
      <c r="AN213" s="171" t="str">
        <f>IF(OR(Y213="",G213=""),"",Y213-G213)</f>
        <v/>
      </c>
      <c r="AO213" s="171" t="str">
        <f>IF(OR(Z213="",H213=""),"",Z213-H213)</f>
        <v/>
      </c>
      <c r="AP213" s="171" t="str">
        <f>IF(OR(AA213="",I213=""),"",AA213-I213)</f>
        <v/>
      </c>
      <c r="AQ213" s="211" t="str">
        <f>IF(OR(AB213="",J213=""),"",AB213-J213)</f>
        <v/>
      </c>
      <c r="AR213" s="68"/>
      <c r="AS213" s="69"/>
      <c r="AT213" s="68"/>
    </row>
    <row r="214" spans="2:46" ht="13.5" customHeight="1" x14ac:dyDescent="0.15">
      <c r="B214" s="327"/>
      <c r="C214" s="52" t="s">
        <v>47</v>
      </c>
      <c r="D214" s="73"/>
      <c r="E214" s="95"/>
      <c r="F214" s="103"/>
      <c r="G214" s="103"/>
      <c r="H214" s="103"/>
      <c r="I214" s="103"/>
      <c r="J214" s="103"/>
      <c r="K214" s="104"/>
      <c r="L214" s="206"/>
      <c r="M214" s="206"/>
      <c r="N214" s="95"/>
      <c r="O214" s="53"/>
      <c r="P214" s="95"/>
      <c r="Q214" s="53"/>
      <c r="R214" s="225"/>
      <c r="S214" s="161"/>
      <c r="T214" s="327"/>
      <c r="U214" s="52" t="s">
        <v>47</v>
      </c>
      <c r="V214" s="73"/>
      <c r="W214" s="95"/>
      <c r="X214" s="103"/>
      <c r="Y214" s="103"/>
      <c r="Z214" s="103"/>
      <c r="AA214" s="103"/>
      <c r="AB214" s="103"/>
      <c r="AC214" s="104"/>
      <c r="AD214" s="104"/>
      <c r="AE214" s="104"/>
      <c r="AF214" s="95"/>
      <c r="AG214" s="53"/>
      <c r="AH214" s="95"/>
      <c r="AI214" s="53"/>
      <c r="AJ214" s="225"/>
      <c r="AK214" s="169"/>
      <c r="AL214" s="327"/>
      <c r="AM214" s="150" t="str">
        <f t="shared" ref="AM214:AM217" si="201">IF(OR(X214="",F214=""),"",X214-F214)</f>
        <v/>
      </c>
      <c r="AN214" s="212" t="str">
        <f t="shared" ref="AN214:AN217" si="202">IF(OR(Y214="",G214=""),"",Y214-G214)</f>
        <v/>
      </c>
      <c r="AO214" s="212" t="str">
        <f t="shared" ref="AO214:AO217" si="203">IF(OR(Z214="",H214=""),"",Z214-H214)</f>
        <v/>
      </c>
      <c r="AP214" s="212" t="str">
        <f t="shared" ref="AP214:AP217" si="204">IF(OR(AA214="",I214=""),"",AA214-I214)</f>
        <v/>
      </c>
      <c r="AQ214" s="151" t="str">
        <f t="shared" ref="AQ214:AQ217" si="205">IF(OR(AB214="",J214=""),"",AB214-J214)</f>
        <v/>
      </c>
      <c r="AR214" s="68"/>
      <c r="AS214" s="69"/>
      <c r="AT214" s="68"/>
    </row>
    <row r="215" spans="2:46" ht="13.5" customHeight="1" x14ac:dyDescent="0.15">
      <c r="B215" s="327"/>
      <c r="C215" s="52" t="s">
        <v>48</v>
      </c>
      <c r="D215" s="73"/>
      <c r="E215" s="95"/>
      <c r="F215" s="103"/>
      <c r="G215" s="103"/>
      <c r="H215" s="103"/>
      <c r="I215" s="103"/>
      <c r="J215" s="103"/>
      <c r="K215" s="104"/>
      <c r="L215" s="206"/>
      <c r="M215" s="206"/>
      <c r="N215" s="95"/>
      <c r="O215" s="53"/>
      <c r="P215" s="95"/>
      <c r="Q215" s="53"/>
      <c r="R215" s="225"/>
      <c r="S215" s="161"/>
      <c r="T215" s="327"/>
      <c r="U215" s="52" t="s">
        <v>48</v>
      </c>
      <c r="V215" s="73"/>
      <c r="W215" s="95"/>
      <c r="X215" s="103"/>
      <c r="Y215" s="103"/>
      <c r="Z215" s="103"/>
      <c r="AA215" s="103"/>
      <c r="AB215" s="103"/>
      <c r="AC215" s="104"/>
      <c r="AD215" s="104"/>
      <c r="AE215" s="104"/>
      <c r="AF215" s="95"/>
      <c r="AG215" s="53"/>
      <c r="AH215" s="95"/>
      <c r="AI215" s="53"/>
      <c r="AJ215" s="225"/>
      <c r="AK215" s="169"/>
      <c r="AL215" s="327"/>
      <c r="AM215" s="150" t="str">
        <f t="shared" si="201"/>
        <v/>
      </c>
      <c r="AN215" s="212" t="str">
        <f t="shared" si="202"/>
        <v/>
      </c>
      <c r="AO215" s="212" t="str">
        <f t="shared" si="203"/>
        <v/>
      </c>
      <c r="AP215" s="212" t="str">
        <f t="shared" si="204"/>
        <v/>
      </c>
      <c r="AQ215" s="151" t="str">
        <f t="shared" si="205"/>
        <v/>
      </c>
      <c r="AR215" s="68"/>
      <c r="AS215" s="69"/>
      <c r="AT215" s="68"/>
    </row>
    <row r="216" spans="2:46" ht="13.5" customHeight="1" x14ac:dyDescent="0.15">
      <c r="B216" s="327"/>
      <c r="C216" s="52" t="s">
        <v>50</v>
      </c>
      <c r="D216" s="73"/>
      <c r="E216" s="95"/>
      <c r="F216" s="103"/>
      <c r="G216" s="103"/>
      <c r="H216" s="103"/>
      <c r="I216" s="103"/>
      <c r="J216" s="103"/>
      <c r="K216" s="104"/>
      <c r="L216" s="206"/>
      <c r="M216" s="206"/>
      <c r="N216" s="95"/>
      <c r="O216" s="53"/>
      <c r="P216" s="95"/>
      <c r="Q216" s="53"/>
      <c r="R216" s="225"/>
      <c r="S216" s="161"/>
      <c r="T216" s="327"/>
      <c r="U216" s="52" t="s">
        <v>50</v>
      </c>
      <c r="V216" s="73"/>
      <c r="W216" s="95"/>
      <c r="X216" s="103"/>
      <c r="Y216" s="103"/>
      <c r="Z216" s="103"/>
      <c r="AA216" s="103"/>
      <c r="AB216" s="103"/>
      <c r="AC216" s="104"/>
      <c r="AD216" s="104"/>
      <c r="AE216" s="104"/>
      <c r="AF216" s="95"/>
      <c r="AG216" s="53"/>
      <c r="AH216" s="95"/>
      <c r="AI216" s="53"/>
      <c r="AJ216" s="225"/>
      <c r="AK216" s="169"/>
      <c r="AL216" s="327"/>
      <c r="AM216" s="150" t="str">
        <f t="shared" si="201"/>
        <v/>
      </c>
      <c r="AN216" s="212" t="str">
        <f t="shared" si="202"/>
        <v/>
      </c>
      <c r="AO216" s="212" t="str">
        <f t="shared" si="203"/>
        <v/>
      </c>
      <c r="AP216" s="212" t="str">
        <f t="shared" si="204"/>
        <v/>
      </c>
      <c r="AQ216" s="151" t="str">
        <f t="shared" si="205"/>
        <v/>
      </c>
      <c r="AR216" s="68"/>
      <c r="AS216" s="69"/>
      <c r="AT216" s="68"/>
    </row>
    <row r="217" spans="2:46" ht="13.5" customHeight="1" thickBot="1" x14ac:dyDescent="0.2">
      <c r="B217" s="328"/>
      <c r="C217" s="52" t="s">
        <v>51</v>
      </c>
      <c r="D217" s="74"/>
      <c r="E217" s="98"/>
      <c r="F217" s="105"/>
      <c r="G217" s="105"/>
      <c r="H217" s="105"/>
      <c r="I217" s="105"/>
      <c r="J217" s="105"/>
      <c r="K217" s="106"/>
      <c r="L217" s="207"/>
      <c r="M217" s="207"/>
      <c r="N217" s="98"/>
      <c r="O217" s="66"/>
      <c r="P217" s="98"/>
      <c r="Q217" s="66"/>
      <c r="R217" s="225"/>
      <c r="S217" s="161"/>
      <c r="T217" s="328"/>
      <c r="U217" s="52" t="s">
        <v>51</v>
      </c>
      <c r="V217" s="74"/>
      <c r="W217" s="98"/>
      <c r="X217" s="105"/>
      <c r="Y217" s="105"/>
      <c r="Z217" s="105"/>
      <c r="AA217" s="105"/>
      <c r="AB217" s="105"/>
      <c r="AC217" s="106"/>
      <c r="AD217" s="106"/>
      <c r="AE217" s="106"/>
      <c r="AF217" s="98"/>
      <c r="AG217" s="66"/>
      <c r="AH217" s="98"/>
      <c r="AI217" s="66"/>
      <c r="AJ217" s="225"/>
      <c r="AK217" s="169"/>
      <c r="AL217" s="328"/>
      <c r="AM217" s="213" t="str">
        <f t="shared" si="201"/>
        <v/>
      </c>
      <c r="AN217" s="214" t="str">
        <f t="shared" si="202"/>
        <v/>
      </c>
      <c r="AO217" s="214" t="str">
        <f t="shared" si="203"/>
        <v/>
      </c>
      <c r="AP217" s="214" t="str">
        <f t="shared" si="204"/>
        <v/>
      </c>
      <c r="AQ217" s="215" t="str">
        <f t="shared" si="205"/>
        <v/>
      </c>
      <c r="AR217" s="68"/>
      <c r="AS217" s="69"/>
      <c r="AT217" s="68"/>
    </row>
    <row r="218" spans="2:46" ht="13.5" customHeight="1" x14ac:dyDescent="0.15">
      <c r="B218" s="326" t="s">
        <v>128</v>
      </c>
      <c r="C218" s="50" t="s">
        <v>46</v>
      </c>
      <c r="D218" s="71"/>
      <c r="E218" s="93"/>
      <c r="F218" s="101"/>
      <c r="G218" s="101"/>
      <c r="H218" s="101"/>
      <c r="I218" s="101"/>
      <c r="J218" s="101"/>
      <c r="K218" s="102"/>
      <c r="L218" s="205"/>
      <c r="M218" s="205"/>
      <c r="N218" s="93"/>
      <c r="O218" s="51"/>
      <c r="P218" s="93"/>
      <c r="Q218" s="51"/>
      <c r="R218" s="224"/>
      <c r="S218" s="161"/>
      <c r="T218" s="326" t="s">
        <v>128</v>
      </c>
      <c r="U218" s="50" t="s">
        <v>46</v>
      </c>
      <c r="V218" s="71"/>
      <c r="W218" s="93"/>
      <c r="X218" s="101"/>
      <c r="Y218" s="101"/>
      <c r="Z218" s="101"/>
      <c r="AA218" s="101"/>
      <c r="AB218" s="101"/>
      <c r="AC218" s="102"/>
      <c r="AD218" s="102"/>
      <c r="AE218" s="102"/>
      <c r="AF218" s="93"/>
      <c r="AG218" s="51"/>
      <c r="AH218" s="93"/>
      <c r="AI218" s="51"/>
      <c r="AJ218" s="224"/>
      <c r="AK218" s="169"/>
      <c r="AL218" s="326" t="s">
        <v>128</v>
      </c>
      <c r="AM218" s="210" t="str">
        <f>IF(OR(X218="",F218=""),"",X218-F218)</f>
        <v/>
      </c>
      <c r="AN218" s="171" t="str">
        <f>IF(OR(Y218="",G218=""),"",Y218-G218)</f>
        <v/>
      </c>
      <c r="AO218" s="171" t="str">
        <f>IF(OR(Z218="",H218=""),"",Z218-H218)</f>
        <v/>
      </c>
      <c r="AP218" s="171" t="str">
        <f>IF(OR(AA218="",I218=""),"",AA218-I218)</f>
        <v/>
      </c>
      <c r="AQ218" s="211" t="str">
        <f>IF(OR(AB218="",J218=""),"",AB218-J218)</f>
        <v/>
      </c>
      <c r="AR218" s="68"/>
      <c r="AS218" s="69"/>
      <c r="AT218" s="68"/>
    </row>
    <row r="219" spans="2:46" ht="13.5" customHeight="1" x14ac:dyDescent="0.15">
      <c r="B219" s="327"/>
      <c r="C219" s="52" t="s">
        <v>47</v>
      </c>
      <c r="D219" s="73"/>
      <c r="E219" s="95"/>
      <c r="F219" s="103"/>
      <c r="G219" s="103"/>
      <c r="H219" s="103"/>
      <c r="I219" s="103"/>
      <c r="J219" s="103"/>
      <c r="K219" s="104"/>
      <c r="L219" s="206"/>
      <c r="M219" s="206"/>
      <c r="N219" s="95"/>
      <c r="O219" s="53"/>
      <c r="P219" s="95"/>
      <c r="Q219" s="53"/>
      <c r="R219" s="225"/>
      <c r="S219" s="161"/>
      <c r="T219" s="327"/>
      <c r="U219" s="52" t="s">
        <v>47</v>
      </c>
      <c r="V219" s="73"/>
      <c r="W219" s="95"/>
      <c r="X219" s="103"/>
      <c r="Y219" s="103"/>
      <c r="Z219" s="103"/>
      <c r="AA219" s="103"/>
      <c r="AB219" s="103"/>
      <c r="AC219" s="104"/>
      <c r="AD219" s="104"/>
      <c r="AE219" s="104"/>
      <c r="AF219" s="95"/>
      <c r="AG219" s="53"/>
      <c r="AH219" s="95"/>
      <c r="AI219" s="53"/>
      <c r="AJ219" s="225"/>
      <c r="AK219" s="169"/>
      <c r="AL219" s="327"/>
      <c r="AM219" s="150" t="str">
        <f t="shared" ref="AM219:AM222" si="206">IF(OR(X219="",F219=""),"",X219-F219)</f>
        <v/>
      </c>
      <c r="AN219" s="212" t="str">
        <f t="shared" ref="AN219:AN222" si="207">IF(OR(Y219="",G219=""),"",Y219-G219)</f>
        <v/>
      </c>
      <c r="AO219" s="212" t="str">
        <f t="shared" ref="AO219:AO222" si="208">IF(OR(Z219="",H219=""),"",Z219-H219)</f>
        <v/>
      </c>
      <c r="AP219" s="212" t="str">
        <f t="shared" ref="AP219:AP222" si="209">IF(OR(AA219="",I219=""),"",AA219-I219)</f>
        <v/>
      </c>
      <c r="AQ219" s="151" t="str">
        <f t="shared" ref="AQ219:AQ222" si="210">IF(OR(AB219="",J219=""),"",AB219-J219)</f>
        <v/>
      </c>
      <c r="AR219" s="68"/>
      <c r="AS219" s="69"/>
      <c r="AT219" s="68"/>
    </row>
    <row r="220" spans="2:46" ht="13.5" customHeight="1" x14ac:dyDescent="0.15">
      <c r="B220" s="327"/>
      <c r="C220" s="52" t="s">
        <v>48</v>
      </c>
      <c r="D220" s="73"/>
      <c r="E220" s="95"/>
      <c r="F220" s="103"/>
      <c r="G220" s="103"/>
      <c r="H220" s="103"/>
      <c r="I220" s="103"/>
      <c r="J220" s="103"/>
      <c r="K220" s="104"/>
      <c r="L220" s="206"/>
      <c r="M220" s="206"/>
      <c r="N220" s="95"/>
      <c r="O220" s="53"/>
      <c r="P220" s="95"/>
      <c r="Q220" s="53"/>
      <c r="R220" s="225"/>
      <c r="S220" s="161"/>
      <c r="T220" s="327"/>
      <c r="U220" s="52" t="s">
        <v>48</v>
      </c>
      <c r="V220" s="73"/>
      <c r="W220" s="95"/>
      <c r="X220" s="103"/>
      <c r="Y220" s="103"/>
      <c r="Z220" s="103"/>
      <c r="AA220" s="103"/>
      <c r="AB220" s="103"/>
      <c r="AC220" s="104"/>
      <c r="AD220" s="104"/>
      <c r="AE220" s="104"/>
      <c r="AF220" s="95"/>
      <c r="AG220" s="53"/>
      <c r="AH220" s="95"/>
      <c r="AI220" s="53"/>
      <c r="AJ220" s="225"/>
      <c r="AK220" s="169"/>
      <c r="AL220" s="327"/>
      <c r="AM220" s="150" t="str">
        <f t="shared" si="206"/>
        <v/>
      </c>
      <c r="AN220" s="212" t="str">
        <f t="shared" si="207"/>
        <v/>
      </c>
      <c r="AO220" s="212" t="str">
        <f t="shared" si="208"/>
        <v/>
      </c>
      <c r="AP220" s="212" t="str">
        <f t="shared" si="209"/>
        <v/>
      </c>
      <c r="AQ220" s="151" t="str">
        <f t="shared" si="210"/>
        <v/>
      </c>
      <c r="AR220" s="68"/>
      <c r="AS220" s="69"/>
      <c r="AT220" s="68"/>
    </row>
    <row r="221" spans="2:46" ht="13.5" customHeight="1" x14ac:dyDescent="0.15">
      <c r="B221" s="327"/>
      <c r="C221" s="52" t="s">
        <v>50</v>
      </c>
      <c r="D221" s="73"/>
      <c r="E221" s="95"/>
      <c r="F221" s="103"/>
      <c r="G221" s="103"/>
      <c r="H221" s="103"/>
      <c r="I221" s="103"/>
      <c r="J221" s="103"/>
      <c r="K221" s="104"/>
      <c r="L221" s="206"/>
      <c r="M221" s="206"/>
      <c r="N221" s="95"/>
      <c r="O221" s="53"/>
      <c r="P221" s="95"/>
      <c r="Q221" s="53"/>
      <c r="R221" s="225"/>
      <c r="S221" s="161"/>
      <c r="T221" s="327"/>
      <c r="U221" s="52" t="s">
        <v>50</v>
      </c>
      <c r="V221" s="73"/>
      <c r="W221" s="95"/>
      <c r="X221" s="103"/>
      <c r="Y221" s="103"/>
      <c r="Z221" s="103"/>
      <c r="AA221" s="103"/>
      <c r="AB221" s="103"/>
      <c r="AC221" s="104"/>
      <c r="AD221" s="104"/>
      <c r="AE221" s="104"/>
      <c r="AF221" s="95"/>
      <c r="AG221" s="53"/>
      <c r="AH221" s="95"/>
      <c r="AI221" s="53"/>
      <c r="AJ221" s="225"/>
      <c r="AK221" s="169"/>
      <c r="AL221" s="327"/>
      <c r="AM221" s="150" t="str">
        <f t="shared" si="206"/>
        <v/>
      </c>
      <c r="AN221" s="212" t="str">
        <f t="shared" si="207"/>
        <v/>
      </c>
      <c r="AO221" s="212" t="str">
        <f t="shared" si="208"/>
        <v/>
      </c>
      <c r="AP221" s="212" t="str">
        <f t="shared" si="209"/>
        <v/>
      </c>
      <c r="AQ221" s="151" t="str">
        <f t="shared" si="210"/>
        <v/>
      </c>
      <c r="AR221" s="68"/>
      <c r="AS221" s="69"/>
      <c r="AT221" s="68"/>
    </row>
    <row r="222" spans="2:46" ht="13.5" customHeight="1" thickBot="1" x14ac:dyDescent="0.2">
      <c r="B222" s="328"/>
      <c r="C222" s="52" t="s">
        <v>51</v>
      </c>
      <c r="D222" s="74"/>
      <c r="E222" s="98"/>
      <c r="F222" s="105"/>
      <c r="G222" s="105"/>
      <c r="H222" s="105"/>
      <c r="I222" s="105"/>
      <c r="J222" s="105"/>
      <c r="K222" s="106"/>
      <c r="L222" s="207"/>
      <c r="M222" s="207"/>
      <c r="N222" s="98"/>
      <c r="O222" s="66"/>
      <c r="P222" s="98"/>
      <c r="Q222" s="66"/>
      <c r="R222" s="225"/>
      <c r="S222" s="161"/>
      <c r="T222" s="328"/>
      <c r="U222" s="52" t="s">
        <v>51</v>
      </c>
      <c r="V222" s="74"/>
      <c r="W222" s="98"/>
      <c r="X222" s="105"/>
      <c r="Y222" s="105"/>
      <c r="Z222" s="105"/>
      <c r="AA222" s="105"/>
      <c r="AB222" s="105"/>
      <c r="AC222" s="106"/>
      <c r="AD222" s="106"/>
      <c r="AE222" s="106"/>
      <c r="AF222" s="98"/>
      <c r="AG222" s="66"/>
      <c r="AH222" s="98"/>
      <c r="AI222" s="66"/>
      <c r="AJ222" s="225"/>
      <c r="AK222" s="169"/>
      <c r="AL222" s="328"/>
      <c r="AM222" s="213" t="str">
        <f t="shared" si="206"/>
        <v/>
      </c>
      <c r="AN222" s="214" t="str">
        <f t="shared" si="207"/>
        <v/>
      </c>
      <c r="AO222" s="214" t="str">
        <f t="shared" si="208"/>
        <v/>
      </c>
      <c r="AP222" s="214" t="str">
        <f t="shared" si="209"/>
        <v/>
      </c>
      <c r="AQ222" s="215" t="str">
        <f t="shared" si="210"/>
        <v/>
      </c>
      <c r="AR222" s="68"/>
      <c r="AS222" s="69"/>
      <c r="AT222" s="68"/>
    </row>
    <row r="223" spans="2:46" ht="13.5" customHeight="1" x14ac:dyDescent="0.15">
      <c r="B223" s="326" t="s">
        <v>129</v>
      </c>
      <c r="C223" s="50" t="s">
        <v>46</v>
      </c>
      <c r="D223" s="71"/>
      <c r="E223" s="93"/>
      <c r="F223" s="101"/>
      <c r="G223" s="101"/>
      <c r="H223" s="101"/>
      <c r="I223" s="101"/>
      <c r="J223" s="101"/>
      <c r="K223" s="102"/>
      <c r="L223" s="205"/>
      <c r="M223" s="205"/>
      <c r="N223" s="93"/>
      <c r="O223" s="51"/>
      <c r="P223" s="93"/>
      <c r="Q223" s="51"/>
      <c r="R223" s="224"/>
      <c r="S223" s="161"/>
      <c r="T223" s="326" t="s">
        <v>129</v>
      </c>
      <c r="U223" s="50" t="s">
        <v>46</v>
      </c>
      <c r="V223" s="71"/>
      <c r="W223" s="93"/>
      <c r="X223" s="101"/>
      <c r="Y223" s="101"/>
      <c r="Z223" s="101"/>
      <c r="AA223" s="101"/>
      <c r="AB223" s="101"/>
      <c r="AC223" s="102"/>
      <c r="AD223" s="102"/>
      <c r="AE223" s="102"/>
      <c r="AF223" s="93"/>
      <c r="AG223" s="51"/>
      <c r="AH223" s="93"/>
      <c r="AI223" s="51"/>
      <c r="AJ223" s="224"/>
      <c r="AK223" s="169"/>
      <c r="AL223" s="326" t="s">
        <v>129</v>
      </c>
      <c r="AM223" s="210" t="str">
        <f>IF(OR(X223="",F223=""),"",X223-F223)</f>
        <v/>
      </c>
      <c r="AN223" s="171" t="str">
        <f>IF(OR(Y223="",G223=""),"",Y223-G223)</f>
        <v/>
      </c>
      <c r="AO223" s="171" t="str">
        <f>IF(OR(Z223="",H223=""),"",Z223-H223)</f>
        <v/>
      </c>
      <c r="AP223" s="171" t="str">
        <f>IF(OR(AA223="",I223=""),"",AA223-I223)</f>
        <v/>
      </c>
      <c r="AQ223" s="211" t="str">
        <f>IF(OR(AB223="",J223=""),"",AB223-J223)</f>
        <v/>
      </c>
      <c r="AR223" s="68"/>
      <c r="AS223" s="69"/>
      <c r="AT223" s="68"/>
    </row>
    <row r="224" spans="2:46" ht="13.5" customHeight="1" x14ac:dyDescent="0.15">
      <c r="B224" s="327"/>
      <c r="C224" s="52" t="s">
        <v>47</v>
      </c>
      <c r="D224" s="73"/>
      <c r="E224" s="95"/>
      <c r="F224" s="103"/>
      <c r="G224" s="103"/>
      <c r="H224" s="103"/>
      <c r="I224" s="103"/>
      <c r="J224" s="103"/>
      <c r="K224" s="104"/>
      <c r="L224" s="206"/>
      <c r="M224" s="206"/>
      <c r="N224" s="95"/>
      <c r="O224" s="53"/>
      <c r="P224" s="95"/>
      <c r="Q224" s="53"/>
      <c r="R224" s="225"/>
      <c r="S224" s="161"/>
      <c r="T224" s="327"/>
      <c r="U224" s="52" t="s">
        <v>47</v>
      </c>
      <c r="V224" s="73"/>
      <c r="W224" s="95"/>
      <c r="X224" s="103"/>
      <c r="Y224" s="103"/>
      <c r="Z224" s="103"/>
      <c r="AA224" s="103"/>
      <c r="AB224" s="103"/>
      <c r="AC224" s="104"/>
      <c r="AD224" s="104"/>
      <c r="AE224" s="104"/>
      <c r="AF224" s="95"/>
      <c r="AG224" s="53"/>
      <c r="AH224" s="95"/>
      <c r="AI224" s="53"/>
      <c r="AJ224" s="225"/>
      <c r="AK224" s="169"/>
      <c r="AL224" s="327"/>
      <c r="AM224" s="150" t="str">
        <f t="shared" ref="AM224:AM227" si="211">IF(OR(X224="",F224=""),"",X224-F224)</f>
        <v/>
      </c>
      <c r="AN224" s="212" t="str">
        <f t="shared" ref="AN224:AN227" si="212">IF(OR(Y224="",G224=""),"",Y224-G224)</f>
        <v/>
      </c>
      <c r="AO224" s="212" t="str">
        <f t="shared" ref="AO224:AO227" si="213">IF(OR(Z224="",H224=""),"",Z224-H224)</f>
        <v/>
      </c>
      <c r="AP224" s="212" t="str">
        <f t="shared" ref="AP224:AP227" si="214">IF(OR(AA224="",I224=""),"",AA224-I224)</f>
        <v/>
      </c>
      <c r="AQ224" s="151" t="str">
        <f t="shared" ref="AQ224:AQ227" si="215">IF(OR(AB224="",J224=""),"",AB224-J224)</f>
        <v/>
      </c>
      <c r="AR224" s="68"/>
      <c r="AS224" s="69"/>
      <c r="AT224" s="68"/>
    </row>
    <row r="225" spans="2:46" ht="13.5" customHeight="1" x14ac:dyDescent="0.15">
      <c r="B225" s="327"/>
      <c r="C225" s="52" t="s">
        <v>48</v>
      </c>
      <c r="D225" s="73"/>
      <c r="E225" s="95"/>
      <c r="F225" s="103"/>
      <c r="G225" s="103"/>
      <c r="H225" s="103"/>
      <c r="I225" s="103"/>
      <c r="J225" s="103"/>
      <c r="K225" s="104"/>
      <c r="L225" s="206"/>
      <c r="M225" s="206"/>
      <c r="N225" s="95"/>
      <c r="O225" s="53"/>
      <c r="P225" s="95"/>
      <c r="Q225" s="53"/>
      <c r="R225" s="225"/>
      <c r="S225" s="161"/>
      <c r="T225" s="327"/>
      <c r="U225" s="52" t="s">
        <v>48</v>
      </c>
      <c r="V225" s="73"/>
      <c r="W225" s="95"/>
      <c r="X225" s="103"/>
      <c r="Y225" s="103"/>
      <c r="Z225" s="103"/>
      <c r="AA225" s="103"/>
      <c r="AB225" s="103"/>
      <c r="AC225" s="104"/>
      <c r="AD225" s="104"/>
      <c r="AE225" s="104"/>
      <c r="AF225" s="95"/>
      <c r="AG225" s="53"/>
      <c r="AH225" s="95"/>
      <c r="AI225" s="53"/>
      <c r="AJ225" s="225"/>
      <c r="AK225" s="169"/>
      <c r="AL225" s="327"/>
      <c r="AM225" s="150" t="str">
        <f t="shared" si="211"/>
        <v/>
      </c>
      <c r="AN225" s="212" t="str">
        <f t="shared" si="212"/>
        <v/>
      </c>
      <c r="AO225" s="212" t="str">
        <f t="shared" si="213"/>
        <v/>
      </c>
      <c r="AP225" s="212" t="str">
        <f t="shared" si="214"/>
        <v/>
      </c>
      <c r="AQ225" s="151" t="str">
        <f t="shared" si="215"/>
        <v/>
      </c>
      <c r="AR225" s="68"/>
      <c r="AS225" s="69"/>
      <c r="AT225" s="68"/>
    </row>
    <row r="226" spans="2:46" ht="13.5" customHeight="1" x14ac:dyDescent="0.15">
      <c r="B226" s="327"/>
      <c r="C226" s="52" t="s">
        <v>50</v>
      </c>
      <c r="D226" s="73"/>
      <c r="E226" s="95"/>
      <c r="F226" s="103"/>
      <c r="G226" s="103"/>
      <c r="H226" s="103"/>
      <c r="I226" s="103"/>
      <c r="J226" s="103"/>
      <c r="K226" s="104"/>
      <c r="L226" s="206"/>
      <c r="M226" s="206"/>
      <c r="N226" s="95"/>
      <c r="O226" s="53"/>
      <c r="P226" s="95"/>
      <c r="Q226" s="53"/>
      <c r="R226" s="225"/>
      <c r="S226" s="161"/>
      <c r="T226" s="327"/>
      <c r="U226" s="52" t="s">
        <v>50</v>
      </c>
      <c r="V226" s="73"/>
      <c r="W226" s="95"/>
      <c r="X226" s="103"/>
      <c r="Y226" s="103"/>
      <c r="Z226" s="103"/>
      <c r="AA226" s="103"/>
      <c r="AB226" s="103"/>
      <c r="AC226" s="104"/>
      <c r="AD226" s="104"/>
      <c r="AE226" s="104"/>
      <c r="AF226" s="95"/>
      <c r="AG226" s="53"/>
      <c r="AH226" s="95"/>
      <c r="AI226" s="53"/>
      <c r="AJ226" s="225"/>
      <c r="AK226" s="169"/>
      <c r="AL226" s="327"/>
      <c r="AM226" s="150" t="str">
        <f t="shared" si="211"/>
        <v/>
      </c>
      <c r="AN226" s="212" t="str">
        <f t="shared" si="212"/>
        <v/>
      </c>
      <c r="AO226" s="212" t="str">
        <f t="shared" si="213"/>
        <v/>
      </c>
      <c r="AP226" s="212" t="str">
        <f t="shared" si="214"/>
        <v/>
      </c>
      <c r="AQ226" s="151" t="str">
        <f t="shared" si="215"/>
        <v/>
      </c>
      <c r="AR226" s="68"/>
      <c r="AS226" s="69"/>
      <c r="AT226" s="68"/>
    </row>
    <row r="227" spans="2:46" ht="13.5" customHeight="1" thickBot="1" x14ac:dyDescent="0.2">
      <c r="B227" s="328"/>
      <c r="C227" s="52" t="s">
        <v>51</v>
      </c>
      <c r="D227" s="74"/>
      <c r="E227" s="98"/>
      <c r="F227" s="105"/>
      <c r="G227" s="105"/>
      <c r="H227" s="105"/>
      <c r="I227" s="105"/>
      <c r="J227" s="105"/>
      <c r="K227" s="106"/>
      <c r="L227" s="207"/>
      <c r="M227" s="207"/>
      <c r="N227" s="98"/>
      <c r="O227" s="66"/>
      <c r="P227" s="98"/>
      <c r="Q227" s="66"/>
      <c r="R227" s="225"/>
      <c r="S227" s="161"/>
      <c r="T227" s="328"/>
      <c r="U227" s="52" t="s">
        <v>51</v>
      </c>
      <c r="V227" s="74"/>
      <c r="W227" s="98"/>
      <c r="X227" s="105"/>
      <c r="Y227" s="105"/>
      <c r="Z227" s="105"/>
      <c r="AA227" s="105"/>
      <c r="AB227" s="105"/>
      <c r="AC227" s="106"/>
      <c r="AD227" s="106"/>
      <c r="AE227" s="106"/>
      <c r="AF227" s="98"/>
      <c r="AG227" s="66"/>
      <c r="AH227" s="98"/>
      <c r="AI227" s="66"/>
      <c r="AJ227" s="225"/>
      <c r="AK227" s="169"/>
      <c r="AL227" s="328"/>
      <c r="AM227" s="213" t="str">
        <f t="shared" si="211"/>
        <v/>
      </c>
      <c r="AN227" s="214" t="str">
        <f t="shared" si="212"/>
        <v/>
      </c>
      <c r="AO227" s="214" t="str">
        <f t="shared" si="213"/>
        <v/>
      </c>
      <c r="AP227" s="214" t="str">
        <f t="shared" si="214"/>
        <v/>
      </c>
      <c r="AQ227" s="215" t="str">
        <f t="shared" si="215"/>
        <v/>
      </c>
      <c r="AR227" s="68"/>
      <c r="AS227" s="69"/>
      <c r="AT227" s="68"/>
    </row>
    <row r="228" spans="2:46" ht="13.5" customHeight="1" x14ac:dyDescent="0.15">
      <c r="B228" s="326" t="s">
        <v>130</v>
      </c>
      <c r="C228" s="50" t="s">
        <v>46</v>
      </c>
      <c r="D228" s="71"/>
      <c r="E228" s="93"/>
      <c r="F228" s="101"/>
      <c r="G228" s="101"/>
      <c r="H228" s="101"/>
      <c r="I228" s="101"/>
      <c r="J228" s="101"/>
      <c r="K228" s="102"/>
      <c r="L228" s="205"/>
      <c r="M228" s="205"/>
      <c r="N228" s="93"/>
      <c r="O228" s="51"/>
      <c r="P228" s="93"/>
      <c r="Q228" s="51"/>
      <c r="R228" s="224"/>
      <c r="S228" s="161"/>
      <c r="T228" s="326" t="s">
        <v>130</v>
      </c>
      <c r="U228" s="50" t="s">
        <v>46</v>
      </c>
      <c r="V228" s="71"/>
      <c r="W228" s="93"/>
      <c r="X228" s="101"/>
      <c r="Y228" s="101"/>
      <c r="Z228" s="101"/>
      <c r="AA228" s="101"/>
      <c r="AB228" s="101"/>
      <c r="AC228" s="102"/>
      <c r="AD228" s="102"/>
      <c r="AE228" s="102"/>
      <c r="AF228" s="93"/>
      <c r="AG228" s="51"/>
      <c r="AH228" s="93"/>
      <c r="AI228" s="51"/>
      <c r="AJ228" s="224"/>
      <c r="AK228" s="169"/>
      <c r="AL228" s="326" t="s">
        <v>130</v>
      </c>
      <c r="AM228" s="210" t="str">
        <f>IF(OR(X228="",F228=""),"",X228-F228)</f>
        <v/>
      </c>
      <c r="AN228" s="171" t="str">
        <f>IF(OR(Y228="",G228=""),"",Y228-G228)</f>
        <v/>
      </c>
      <c r="AO228" s="171" t="str">
        <f>IF(OR(Z228="",H228=""),"",Z228-H228)</f>
        <v/>
      </c>
      <c r="AP228" s="171" t="str">
        <f>IF(OR(AA228="",I228=""),"",AA228-I228)</f>
        <v/>
      </c>
      <c r="AQ228" s="211" t="str">
        <f>IF(OR(AB228="",J228=""),"",AB228-J228)</f>
        <v/>
      </c>
      <c r="AR228" s="68"/>
      <c r="AS228" s="69"/>
      <c r="AT228" s="68"/>
    </row>
    <row r="229" spans="2:46" ht="13.5" customHeight="1" x14ac:dyDescent="0.15">
      <c r="B229" s="327"/>
      <c r="C229" s="52" t="s">
        <v>47</v>
      </c>
      <c r="D229" s="73"/>
      <c r="E229" s="95"/>
      <c r="F229" s="103"/>
      <c r="G229" s="103"/>
      <c r="H229" s="103"/>
      <c r="I229" s="103"/>
      <c r="J229" s="103"/>
      <c r="K229" s="104"/>
      <c r="L229" s="206"/>
      <c r="M229" s="206"/>
      <c r="N229" s="95"/>
      <c r="O229" s="53"/>
      <c r="P229" s="95"/>
      <c r="Q229" s="53"/>
      <c r="R229" s="225"/>
      <c r="S229" s="161"/>
      <c r="T229" s="327"/>
      <c r="U229" s="52" t="s">
        <v>47</v>
      </c>
      <c r="V229" s="73"/>
      <c r="W229" s="95"/>
      <c r="X229" s="103"/>
      <c r="Y229" s="103"/>
      <c r="Z229" s="103"/>
      <c r="AA229" s="103"/>
      <c r="AB229" s="103"/>
      <c r="AC229" s="104"/>
      <c r="AD229" s="104"/>
      <c r="AE229" s="104"/>
      <c r="AF229" s="95"/>
      <c r="AG229" s="53"/>
      <c r="AH229" s="95"/>
      <c r="AI229" s="53"/>
      <c r="AJ229" s="225"/>
      <c r="AK229" s="169"/>
      <c r="AL229" s="327"/>
      <c r="AM229" s="150" t="str">
        <f t="shared" ref="AM229:AM232" si="216">IF(OR(X229="",F229=""),"",X229-F229)</f>
        <v/>
      </c>
      <c r="AN229" s="212" t="str">
        <f t="shared" ref="AN229:AN232" si="217">IF(OR(Y229="",G229=""),"",Y229-G229)</f>
        <v/>
      </c>
      <c r="AO229" s="212" t="str">
        <f t="shared" ref="AO229:AO232" si="218">IF(OR(Z229="",H229=""),"",Z229-H229)</f>
        <v/>
      </c>
      <c r="AP229" s="212" t="str">
        <f t="shared" ref="AP229:AP232" si="219">IF(OR(AA229="",I229=""),"",AA229-I229)</f>
        <v/>
      </c>
      <c r="AQ229" s="151" t="str">
        <f t="shared" ref="AQ229:AQ232" si="220">IF(OR(AB229="",J229=""),"",AB229-J229)</f>
        <v/>
      </c>
      <c r="AR229" s="68"/>
      <c r="AS229" s="69"/>
      <c r="AT229" s="68"/>
    </row>
    <row r="230" spans="2:46" ht="13.5" customHeight="1" x14ac:dyDescent="0.15">
      <c r="B230" s="327"/>
      <c r="C230" s="52" t="s">
        <v>48</v>
      </c>
      <c r="D230" s="73"/>
      <c r="E230" s="95"/>
      <c r="F230" s="103"/>
      <c r="G230" s="103"/>
      <c r="H230" s="103"/>
      <c r="I230" s="103"/>
      <c r="J230" s="103"/>
      <c r="K230" s="104"/>
      <c r="L230" s="206"/>
      <c r="M230" s="206"/>
      <c r="N230" s="95"/>
      <c r="O230" s="53"/>
      <c r="P230" s="95"/>
      <c r="Q230" s="53"/>
      <c r="R230" s="225"/>
      <c r="S230" s="161"/>
      <c r="T230" s="327"/>
      <c r="U230" s="52" t="s">
        <v>48</v>
      </c>
      <c r="V230" s="73"/>
      <c r="W230" s="95"/>
      <c r="X230" s="103"/>
      <c r="Y230" s="103"/>
      <c r="Z230" s="103"/>
      <c r="AA230" s="103"/>
      <c r="AB230" s="103"/>
      <c r="AC230" s="104"/>
      <c r="AD230" s="104"/>
      <c r="AE230" s="104"/>
      <c r="AF230" s="95"/>
      <c r="AG230" s="53"/>
      <c r="AH230" s="95"/>
      <c r="AI230" s="53"/>
      <c r="AJ230" s="225"/>
      <c r="AK230" s="169"/>
      <c r="AL230" s="327"/>
      <c r="AM230" s="150" t="str">
        <f t="shared" si="216"/>
        <v/>
      </c>
      <c r="AN230" s="212" t="str">
        <f t="shared" si="217"/>
        <v/>
      </c>
      <c r="AO230" s="212" t="str">
        <f t="shared" si="218"/>
        <v/>
      </c>
      <c r="AP230" s="212" t="str">
        <f t="shared" si="219"/>
        <v/>
      </c>
      <c r="AQ230" s="151" t="str">
        <f t="shared" si="220"/>
        <v/>
      </c>
      <c r="AR230" s="68"/>
      <c r="AS230" s="69"/>
      <c r="AT230" s="68"/>
    </row>
    <row r="231" spans="2:46" ht="13.5" customHeight="1" x14ac:dyDescent="0.15">
      <c r="B231" s="327"/>
      <c r="C231" s="52" t="s">
        <v>50</v>
      </c>
      <c r="D231" s="73"/>
      <c r="E231" s="95"/>
      <c r="F231" s="103"/>
      <c r="G231" s="103"/>
      <c r="H231" s="103"/>
      <c r="I231" s="103"/>
      <c r="J231" s="103"/>
      <c r="K231" s="104"/>
      <c r="L231" s="206"/>
      <c r="M231" s="206"/>
      <c r="N231" s="95"/>
      <c r="O231" s="53"/>
      <c r="P231" s="95"/>
      <c r="Q231" s="53"/>
      <c r="R231" s="225"/>
      <c r="S231" s="161"/>
      <c r="T231" s="327"/>
      <c r="U231" s="52" t="s">
        <v>50</v>
      </c>
      <c r="V231" s="73"/>
      <c r="W231" s="95"/>
      <c r="X231" s="103"/>
      <c r="Y231" s="103"/>
      <c r="Z231" s="103"/>
      <c r="AA231" s="103"/>
      <c r="AB231" s="103"/>
      <c r="AC231" s="104"/>
      <c r="AD231" s="104"/>
      <c r="AE231" s="104"/>
      <c r="AF231" s="95"/>
      <c r="AG231" s="53"/>
      <c r="AH231" s="95"/>
      <c r="AI231" s="53"/>
      <c r="AJ231" s="225"/>
      <c r="AK231" s="169"/>
      <c r="AL231" s="327"/>
      <c r="AM231" s="150" t="str">
        <f t="shared" si="216"/>
        <v/>
      </c>
      <c r="AN231" s="212" t="str">
        <f t="shared" si="217"/>
        <v/>
      </c>
      <c r="AO231" s="212" t="str">
        <f t="shared" si="218"/>
        <v/>
      </c>
      <c r="AP231" s="212" t="str">
        <f t="shared" si="219"/>
        <v/>
      </c>
      <c r="AQ231" s="151" t="str">
        <f t="shared" si="220"/>
        <v/>
      </c>
      <c r="AR231" s="68"/>
      <c r="AS231" s="69"/>
      <c r="AT231" s="68"/>
    </row>
    <row r="232" spans="2:46" ht="13.5" customHeight="1" thickBot="1" x14ac:dyDescent="0.2">
      <c r="B232" s="328"/>
      <c r="C232" s="52" t="s">
        <v>51</v>
      </c>
      <c r="D232" s="74"/>
      <c r="E232" s="98"/>
      <c r="F232" s="105"/>
      <c r="G232" s="105"/>
      <c r="H232" s="105"/>
      <c r="I232" s="105"/>
      <c r="J232" s="105"/>
      <c r="K232" s="106"/>
      <c r="L232" s="207"/>
      <c r="M232" s="207"/>
      <c r="N232" s="98"/>
      <c r="O232" s="66"/>
      <c r="P232" s="98"/>
      <c r="Q232" s="66"/>
      <c r="R232" s="225"/>
      <c r="S232" s="161"/>
      <c r="T232" s="328"/>
      <c r="U232" s="52" t="s">
        <v>51</v>
      </c>
      <c r="V232" s="74"/>
      <c r="W232" s="98"/>
      <c r="X232" s="105"/>
      <c r="Y232" s="105"/>
      <c r="Z232" s="105"/>
      <c r="AA232" s="105"/>
      <c r="AB232" s="105"/>
      <c r="AC232" s="106"/>
      <c r="AD232" s="106"/>
      <c r="AE232" s="106"/>
      <c r="AF232" s="98"/>
      <c r="AG232" s="66"/>
      <c r="AH232" s="98"/>
      <c r="AI232" s="66"/>
      <c r="AJ232" s="225"/>
      <c r="AK232" s="169"/>
      <c r="AL232" s="328"/>
      <c r="AM232" s="213" t="str">
        <f t="shared" si="216"/>
        <v/>
      </c>
      <c r="AN232" s="214" t="str">
        <f t="shared" si="217"/>
        <v/>
      </c>
      <c r="AO232" s="214" t="str">
        <f t="shared" si="218"/>
        <v/>
      </c>
      <c r="AP232" s="214" t="str">
        <f t="shared" si="219"/>
        <v/>
      </c>
      <c r="AQ232" s="215" t="str">
        <f t="shared" si="220"/>
        <v/>
      </c>
      <c r="AR232" s="68"/>
      <c r="AS232" s="69"/>
      <c r="AT232" s="68"/>
    </row>
    <row r="233" spans="2:46" ht="13.5" customHeight="1" x14ac:dyDescent="0.15">
      <c r="B233" s="326" t="s">
        <v>131</v>
      </c>
      <c r="C233" s="50" t="s">
        <v>46</v>
      </c>
      <c r="D233" s="71"/>
      <c r="E233" s="93"/>
      <c r="F233" s="101"/>
      <c r="G233" s="101"/>
      <c r="H233" s="101"/>
      <c r="I233" s="101"/>
      <c r="J233" s="101"/>
      <c r="K233" s="102"/>
      <c r="L233" s="205"/>
      <c r="M233" s="205"/>
      <c r="N233" s="93"/>
      <c r="O233" s="51"/>
      <c r="P233" s="93"/>
      <c r="Q233" s="51"/>
      <c r="R233" s="224"/>
      <c r="S233" s="161"/>
      <c r="T233" s="326" t="s">
        <v>131</v>
      </c>
      <c r="U233" s="50" t="s">
        <v>46</v>
      </c>
      <c r="V233" s="71"/>
      <c r="W233" s="93"/>
      <c r="X233" s="101"/>
      <c r="Y233" s="101"/>
      <c r="Z233" s="101"/>
      <c r="AA233" s="101"/>
      <c r="AB233" s="101"/>
      <c r="AC233" s="102"/>
      <c r="AD233" s="102"/>
      <c r="AE233" s="102"/>
      <c r="AF233" s="93"/>
      <c r="AG233" s="51"/>
      <c r="AH233" s="93"/>
      <c r="AI233" s="51"/>
      <c r="AJ233" s="224"/>
      <c r="AK233" s="169"/>
      <c r="AL233" s="326" t="s">
        <v>131</v>
      </c>
      <c r="AM233" s="210" t="str">
        <f>IF(OR(X233="",F233=""),"",X233-F233)</f>
        <v/>
      </c>
      <c r="AN233" s="171" t="str">
        <f>IF(OR(Y233="",G233=""),"",Y233-G233)</f>
        <v/>
      </c>
      <c r="AO233" s="171" t="str">
        <f>IF(OR(Z233="",H233=""),"",Z233-H233)</f>
        <v/>
      </c>
      <c r="AP233" s="171" t="str">
        <f>IF(OR(AA233="",I233=""),"",AA233-I233)</f>
        <v/>
      </c>
      <c r="AQ233" s="211" t="str">
        <f>IF(OR(AB233="",J233=""),"",AB233-J233)</f>
        <v/>
      </c>
      <c r="AR233" s="68"/>
      <c r="AS233" s="69"/>
      <c r="AT233" s="68"/>
    </row>
    <row r="234" spans="2:46" ht="13.5" customHeight="1" x14ac:dyDescent="0.15">
      <c r="B234" s="327"/>
      <c r="C234" s="52" t="s">
        <v>47</v>
      </c>
      <c r="D234" s="73"/>
      <c r="E234" s="95"/>
      <c r="F234" s="103"/>
      <c r="G234" s="103"/>
      <c r="H234" s="103"/>
      <c r="I234" s="103"/>
      <c r="J234" s="103"/>
      <c r="K234" s="104"/>
      <c r="L234" s="206"/>
      <c r="M234" s="206"/>
      <c r="N234" s="95"/>
      <c r="O234" s="53"/>
      <c r="P234" s="95"/>
      <c r="Q234" s="53"/>
      <c r="R234" s="225"/>
      <c r="S234" s="161"/>
      <c r="T234" s="327"/>
      <c r="U234" s="52" t="s">
        <v>47</v>
      </c>
      <c r="V234" s="73"/>
      <c r="W234" s="95"/>
      <c r="X234" s="103"/>
      <c r="Y234" s="103"/>
      <c r="Z234" s="103"/>
      <c r="AA234" s="103"/>
      <c r="AB234" s="103"/>
      <c r="AC234" s="104"/>
      <c r="AD234" s="104"/>
      <c r="AE234" s="104"/>
      <c r="AF234" s="95"/>
      <c r="AG234" s="53"/>
      <c r="AH234" s="95"/>
      <c r="AI234" s="53"/>
      <c r="AJ234" s="225"/>
      <c r="AK234" s="169"/>
      <c r="AL234" s="327"/>
      <c r="AM234" s="150" t="str">
        <f t="shared" ref="AM234:AM237" si="221">IF(OR(X234="",F234=""),"",X234-F234)</f>
        <v/>
      </c>
      <c r="AN234" s="212" t="str">
        <f t="shared" ref="AN234:AN237" si="222">IF(OR(Y234="",G234=""),"",Y234-G234)</f>
        <v/>
      </c>
      <c r="AO234" s="212" t="str">
        <f t="shared" ref="AO234:AO237" si="223">IF(OR(Z234="",H234=""),"",Z234-H234)</f>
        <v/>
      </c>
      <c r="AP234" s="212" t="str">
        <f t="shared" ref="AP234:AP237" si="224">IF(OR(AA234="",I234=""),"",AA234-I234)</f>
        <v/>
      </c>
      <c r="AQ234" s="151" t="str">
        <f t="shared" ref="AQ234:AQ237" si="225">IF(OR(AB234="",J234=""),"",AB234-J234)</f>
        <v/>
      </c>
      <c r="AR234" s="68"/>
      <c r="AS234" s="69"/>
      <c r="AT234" s="68"/>
    </row>
    <row r="235" spans="2:46" ht="13.5" customHeight="1" x14ac:dyDescent="0.15">
      <c r="B235" s="327"/>
      <c r="C235" s="52" t="s">
        <v>48</v>
      </c>
      <c r="D235" s="73"/>
      <c r="E235" s="95"/>
      <c r="F235" s="103"/>
      <c r="G235" s="103"/>
      <c r="H235" s="103"/>
      <c r="I235" s="103"/>
      <c r="J235" s="103"/>
      <c r="K235" s="104"/>
      <c r="L235" s="206"/>
      <c r="M235" s="206"/>
      <c r="N235" s="95"/>
      <c r="O235" s="53"/>
      <c r="P235" s="95"/>
      <c r="Q235" s="53"/>
      <c r="R235" s="225"/>
      <c r="S235" s="161"/>
      <c r="T235" s="327"/>
      <c r="U235" s="52" t="s">
        <v>48</v>
      </c>
      <c r="V235" s="73"/>
      <c r="W235" s="95"/>
      <c r="X235" s="103"/>
      <c r="Y235" s="103"/>
      <c r="Z235" s="103"/>
      <c r="AA235" s="103"/>
      <c r="AB235" s="103"/>
      <c r="AC235" s="104"/>
      <c r="AD235" s="104"/>
      <c r="AE235" s="104"/>
      <c r="AF235" s="95"/>
      <c r="AG235" s="53"/>
      <c r="AH235" s="95"/>
      <c r="AI235" s="53"/>
      <c r="AJ235" s="225"/>
      <c r="AK235" s="169"/>
      <c r="AL235" s="327"/>
      <c r="AM235" s="150" t="str">
        <f t="shared" si="221"/>
        <v/>
      </c>
      <c r="AN235" s="212" t="str">
        <f t="shared" si="222"/>
        <v/>
      </c>
      <c r="AO235" s="212" t="str">
        <f t="shared" si="223"/>
        <v/>
      </c>
      <c r="AP235" s="212" t="str">
        <f t="shared" si="224"/>
        <v/>
      </c>
      <c r="AQ235" s="151" t="str">
        <f t="shared" si="225"/>
        <v/>
      </c>
      <c r="AR235" s="68"/>
      <c r="AS235" s="69"/>
      <c r="AT235" s="68"/>
    </row>
    <row r="236" spans="2:46" ht="13.5" customHeight="1" x14ac:dyDescent="0.15">
      <c r="B236" s="327"/>
      <c r="C236" s="52" t="s">
        <v>50</v>
      </c>
      <c r="D236" s="73"/>
      <c r="E236" s="95"/>
      <c r="F236" s="103"/>
      <c r="G236" s="103"/>
      <c r="H236" s="103"/>
      <c r="I236" s="103"/>
      <c r="J236" s="103"/>
      <c r="K236" s="104"/>
      <c r="L236" s="206"/>
      <c r="M236" s="206"/>
      <c r="N236" s="95"/>
      <c r="O236" s="53"/>
      <c r="P236" s="95"/>
      <c r="Q236" s="53"/>
      <c r="R236" s="225"/>
      <c r="S236" s="161"/>
      <c r="T236" s="327"/>
      <c r="U236" s="52" t="s">
        <v>50</v>
      </c>
      <c r="V236" s="73"/>
      <c r="W236" s="95"/>
      <c r="X236" s="103"/>
      <c r="Y236" s="103"/>
      <c r="Z236" s="103"/>
      <c r="AA236" s="103"/>
      <c r="AB236" s="103"/>
      <c r="AC236" s="104"/>
      <c r="AD236" s="104"/>
      <c r="AE236" s="104"/>
      <c r="AF236" s="95"/>
      <c r="AG236" s="53"/>
      <c r="AH236" s="95"/>
      <c r="AI236" s="53"/>
      <c r="AJ236" s="225"/>
      <c r="AK236" s="169"/>
      <c r="AL236" s="327"/>
      <c r="AM236" s="150" t="str">
        <f t="shared" si="221"/>
        <v/>
      </c>
      <c r="AN236" s="212" t="str">
        <f t="shared" si="222"/>
        <v/>
      </c>
      <c r="AO236" s="212" t="str">
        <f t="shared" si="223"/>
        <v/>
      </c>
      <c r="AP236" s="212" t="str">
        <f t="shared" si="224"/>
        <v/>
      </c>
      <c r="AQ236" s="151" t="str">
        <f t="shared" si="225"/>
        <v/>
      </c>
      <c r="AR236" s="68"/>
      <c r="AS236" s="69"/>
      <c r="AT236" s="68"/>
    </row>
    <row r="237" spans="2:46" ht="13.5" customHeight="1" thickBot="1" x14ac:dyDescent="0.2">
      <c r="B237" s="328"/>
      <c r="C237" s="54" t="s">
        <v>51</v>
      </c>
      <c r="D237" s="74"/>
      <c r="E237" s="98"/>
      <c r="F237" s="105"/>
      <c r="G237" s="105"/>
      <c r="H237" s="105"/>
      <c r="I237" s="105"/>
      <c r="J237" s="105"/>
      <c r="K237" s="106"/>
      <c r="L237" s="207"/>
      <c r="M237" s="207"/>
      <c r="N237" s="98"/>
      <c r="O237" s="66"/>
      <c r="P237" s="98"/>
      <c r="Q237" s="66"/>
      <c r="R237" s="226"/>
      <c r="S237" s="161"/>
      <c r="T237" s="328"/>
      <c r="U237" s="54" t="s">
        <v>51</v>
      </c>
      <c r="V237" s="74"/>
      <c r="W237" s="98"/>
      <c r="X237" s="105"/>
      <c r="Y237" s="105"/>
      <c r="Z237" s="105"/>
      <c r="AA237" s="105"/>
      <c r="AB237" s="105"/>
      <c r="AC237" s="106"/>
      <c r="AD237" s="106"/>
      <c r="AE237" s="106"/>
      <c r="AF237" s="98"/>
      <c r="AG237" s="66"/>
      <c r="AH237" s="98"/>
      <c r="AI237" s="66"/>
      <c r="AJ237" s="226"/>
      <c r="AK237" s="169"/>
      <c r="AL237" s="328"/>
      <c r="AM237" s="213" t="str">
        <f t="shared" si="221"/>
        <v/>
      </c>
      <c r="AN237" s="214" t="str">
        <f t="shared" si="222"/>
        <v/>
      </c>
      <c r="AO237" s="214" t="str">
        <f t="shared" si="223"/>
        <v/>
      </c>
      <c r="AP237" s="214" t="str">
        <f t="shared" si="224"/>
        <v/>
      </c>
      <c r="AQ237" s="215" t="str">
        <f t="shared" si="225"/>
        <v/>
      </c>
      <c r="AR237" s="68"/>
      <c r="AS237" s="69"/>
      <c r="AT237" s="68"/>
    </row>
    <row r="238" spans="2:46" ht="13.5" customHeight="1" x14ac:dyDescent="0.15">
      <c r="B238" s="326" t="s">
        <v>132</v>
      </c>
      <c r="C238" s="50" t="s">
        <v>46</v>
      </c>
      <c r="D238" s="71"/>
      <c r="E238" s="93"/>
      <c r="F238" s="101"/>
      <c r="G238" s="101"/>
      <c r="H238" s="101"/>
      <c r="I238" s="101"/>
      <c r="J238" s="101"/>
      <c r="K238" s="102"/>
      <c r="L238" s="205"/>
      <c r="M238" s="205"/>
      <c r="N238" s="93"/>
      <c r="O238" s="51"/>
      <c r="P238" s="93"/>
      <c r="Q238" s="51"/>
      <c r="R238" s="224"/>
      <c r="S238" s="161"/>
      <c r="T238" s="326" t="s">
        <v>132</v>
      </c>
      <c r="U238" s="50" t="s">
        <v>46</v>
      </c>
      <c r="V238" s="71"/>
      <c r="W238" s="93"/>
      <c r="X238" s="101"/>
      <c r="Y238" s="101"/>
      <c r="Z238" s="101"/>
      <c r="AA238" s="101"/>
      <c r="AB238" s="101"/>
      <c r="AC238" s="102"/>
      <c r="AD238" s="102"/>
      <c r="AE238" s="102"/>
      <c r="AF238" s="93"/>
      <c r="AG238" s="51"/>
      <c r="AH238" s="93"/>
      <c r="AI238" s="51"/>
      <c r="AJ238" s="224"/>
      <c r="AK238" s="169"/>
      <c r="AL238" s="326" t="s">
        <v>132</v>
      </c>
      <c r="AM238" s="210" t="str">
        <f>IF(OR(X238="",F238=""),"",X238-F238)</f>
        <v/>
      </c>
      <c r="AN238" s="171" t="str">
        <f>IF(OR(Y238="",G238=""),"",Y238-G238)</f>
        <v/>
      </c>
      <c r="AO238" s="171" t="str">
        <f>IF(OR(Z238="",H238=""),"",Z238-H238)</f>
        <v/>
      </c>
      <c r="AP238" s="171" t="str">
        <f>IF(OR(AA238="",I238=""),"",AA238-I238)</f>
        <v/>
      </c>
      <c r="AQ238" s="211" t="str">
        <f>IF(OR(AB238="",J238=""),"",AB238-J238)</f>
        <v/>
      </c>
      <c r="AR238" s="68"/>
      <c r="AS238" s="69"/>
      <c r="AT238" s="68"/>
    </row>
    <row r="239" spans="2:46" ht="13.5" customHeight="1" x14ac:dyDescent="0.15">
      <c r="B239" s="327"/>
      <c r="C239" s="52" t="s">
        <v>47</v>
      </c>
      <c r="D239" s="73"/>
      <c r="E239" s="95"/>
      <c r="F239" s="103"/>
      <c r="G239" s="103"/>
      <c r="H239" s="103"/>
      <c r="I239" s="103"/>
      <c r="J239" s="103"/>
      <c r="K239" s="104"/>
      <c r="L239" s="206"/>
      <c r="M239" s="206"/>
      <c r="N239" s="95"/>
      <c r="O239" s="53"/>
      <c r="P239" s="95"/>
      <c r="Q239" s="53"/>
      <c r="R239" s="225"/>
      <c r="S239" s="161"/>
      <c r="T239" s="327"/>
      <c r="U239" s="52" t="s">
        <v>47</v>
      </c>
      <c r="V239" s="73"/>
      <c r="W239" s="95"/>
      <c r="X239" s="103"/>
      <c r="Y239" s="103"/>
      <c r="Z239" s="103"/>
      <c r="AA239" s="103"/>
      <c r="AB239" s="103"/>
      <c r="AC239" s="104"/>
      <c r="AD239" s="104"/>
      <c r="AE239" s="104"/>
      <c r="AF239" s="95"/>
      <c r="AG239" s="53"/>
      <c r="AH239" s="95"/>
      <c r="AI239" s="53"/>
      <c r="AJ239" s="225"/>
      <c r="AK239" s="169"/>
      <c r="AL239" s="327"/>
      <c r="AM239" s="150" t="str">
        <f t="shared" ref="AM239:AM242" si="226">IF(OR(X239="",F239=""),"",X239-F239)</f>
        <v/>
      </c>
      <c r="AN239" s="212" t="str">
        <f t="shared" ref="AN239:AN242" si="227">IF(OR(Y239="",G239=""),"",Y239-G239)</f>
        <v/>
      </c>
      <c r="AO239" s="212" t="str">
        <f t="shared" ref="AO239:AO242" si="228">IF(OR(Z239="",H239=""),"",Z239-H239)</f>
        <v/>
      </c>
      <c r="AP239" s="212" t="str">
        <f t="shared" ref="AP239:AP242" si="229">IF(OR(AA239="",I239=""),"",AA239-I239)</f>
        <v/>
      </c>
      <c r="AQ239" s="151" t="str">
        <f t="shared" ref="AQ239:AQ242" si="230">IF(OR(AB239="",J239=""),"",AB239-J239)</f>
        <v/>
      </c>
      <c r="AR239" s="68"/>
      <c r="AS239" s="69"/>
      <c r="AT239" s="68"/>
    </row>
    <row r="240" spans="2:46" ht="13.5" customHeight="1" x14ac:dyDescent="0.15">
      <c r="B240" s="327"/>
      <c r="C240" s="52" t="s">
        <v>48</v>
      </c>
      <c r="D240" s="73"/>
      <c r="E240" s="95"/>
      <c r="F240" s="103"/>
      <c r="G240" s="103"/>
      <c r="H240" s="103"/>
      <c r="I240" s="103"/>
      <c r="J240" s="103"/>
      <c r="K240" s="104"/>
      <c r="L240" s="206"/>
      <c r="M240" s="206"/>
      <c r="N240" s="95"/>
      <c r="O240" s="53"/>
      <c r="P240" s="95"/>
      <c r="Q240" s="53"/>
      <c r="R240" s="225"/>
      <c r="S240" s="161"/>
      <c r="T240" s="327"/>
      <c r="U240" s="52" t="s">
        <v>48</v>
      </c>
      <c r="V240" s="73"/>
      <c r="W240" s="95"/>
      <c r="X240" s="103"/>
      <c r="Y240" s="103"/>
      <c r="Z240" s="103"/>
      <c r="AA240" s="103"/>
      <c r="AB240" s="103"/>
      <c r="AC240" s="104"/>
      <c r="AD240" s="104"/>
      <c r="AE240" s="104"/>
      <c r="AF240" s="95"/>
      <c r="AG240" s="53"/>
      <c r="AH240" s="95"/>
      <c r="AI240" s="53"/>
      <c r="AJ240" s="225"/>
      <c r="AK240" s="169"/>
      <c r="AL240" s="327"/>
      <c r="AM240" s="150" t="str">
        <f t="shared" si="226"/>
        <v/>
      </c>
      <c r="AN240" s="212" t="str">
        <f t="shared" si="227"/>
        <v/>
      </c>
      <c r="AO240" s="212" t="str">
        <f t="shared" si="228"/>
        <v/>
      </c>
      <c r="AP240" s="212" t="str">
        <f t="shared" si="229"/>
        <v/>
      </c>
      <c r="AQ240" s="151" t="str">
        <f t="shared" si="230"/>
        <v/>
      </c>
      <c r="AR240" s="68"/>
      <c r="AS240" s="69"/>
      <c r="AT240" s="68"/>
    </row>
    <row r="241" spans="2:46" ht="13.5" customHeight="1" x14ac:dyDescent="0.15">
      <c r="B241" s="327"/>
      <c r="C241" s="52" t="s">
        <v>50</v>
      </c>
      <c r="D241" s="73"/>
      <c r="E241" s="95"/>
      <c r="F241" s="103"/>
      <c r="G241" s="103"/>
      <c r="H241" s="103"/>
      <c r="I241" s="103"/>
      <c r="J241" s="103"/>
      <c r="K241" s="104"/>
      <c r="L241" s="206"/>
      <c r="M241" s="206"/>
      <c r="N241" s="95"/>
      <c r="O241" s="53"/>
      <c r="P241" s="95"/>
      <c r="Q241" s="53"/>
      <c r="R241" s="225"/>
      <c r="S241" s="161"/>
      <c r="T241" s="327"/>
      <c r="U241" s="52" t="s">
        <v>50</v>
      </c>
      <c r="V241" s="73"/>
      <c r="W241" s="95"/>
      <c r="X241" s="103"/>
      <c r="Y241" s="103"/>
      <c r="Z241" s="103"/>
      <c r="AA241" s="103"/>
      <c r="AB241" s="103"/>
      <c r="AC241" s="104"/>
      <c r="AD241" s="104"/>
      <c r="AE241" s="104"/>
      <c r="AF241" s="95"/>
      <c r="AG241" s="53"/>
      <c r="AH241" s="95"/>
      <c r="AI241" s="53"/>
      <c r="AJ241" s="225"/>
      <c r="AK241" s="169"/>
      <c r="AL241" s="327"/>
      <c r="AM241" s="150" t="str">
        <f t="shared" si="226"/>
        <v/>
      </c>
      <c r="AN241" s="212" t="str">
        <f t="shared" si="227"/>
        <v/>
      </c>
      <c r="AO241" s="212" t="str">
        <f t="shared" si="228"/>
        <v/>
      </c>
      <c r="AP241" s="212" t="str">
        <f t="shared" si="229"/>
        <v/>
      </c>
      <c r="AQ241" s="151" t="str">
        <f t="shared" si="230"/>
        <v/>
      </c>
      <c r="AR241" s="68"/>
      <c r="AS241" s="69"/>
      <c r="AT241" s="68"/>
    </row>
    <row r="242" spans="2:46" ht="13.5" customHeight="1" thickBot="1" x14ac:dyDescent="0.2">
      <c r="B242" s="328"/>
      <c r="C242" s="52" t="s">
        <v>51</v>
      </c>
      <c r="D242" s="74"/>
      <c r="E242" s="98"/>
      <c r="F242" s="105"/>
      <c r="G242" s="105"/>
      <c r="H242" s="105"/>
      <c r="I242" s="105"/>
      <c r="J242" s="105"/>
      <c r="K242" s="106"/>
      <c r="L242" s="207"/>
      <c r="M242" s="207"/>
      <c r="N242" s="98"/>
      <c r="O242" s="66"/>
      <c r="P242" s="98"/>
      <c r="Q242" s="66"/>
      <c r="R242" s="225"/>
      <c r="S242" s="161"/>
      <c r="T242" s="328"/>
      <c r="U242" s="52" t="s">
        <v>51</v>
      </c>
      <c r="V242" s="74"/>
      <c r="W242" s="98"/>
      <c r="X242" s="105"/>
      <c r="Y242" s="105"/>
      <c r="Z242" s="105"/>
      <c r="AA242" s="105"/>
      <c r="AB242" s="105"/>
      <c r="AC242" s="106"/>
      <c r="AD242" s="106"/>
      <c r="AE242" s="106"/>
      <c r="AF242" s="98"/>
      <c r="AG242" s="66"/>
      <c r="AH242" s="98"/>
      <c r="AI242" s="66"/>
      <c r="AJ242" s="225"/>
      <c r="AK242" s="169"/>
      <c r="AL242" s="328"/>
      <c r="AM242" s="213" t="str">
        <f t="shared" si="226"/>
        <v/>
      </c>
      <c r="AN242" s="214" t="str">
        <f t="shared" si="227"/>
        <v/>
      </c>
      <c r="AO242" s="214" t="str">
        <f t="shared" si="228"/>
        <v/>
      </c>
      <c r="AP242" s="214" t="str">
        <f t="shared" si="229"/>
        <v/>
      </c>
      <c r="AQ242" s="215" t="str">
        <f t="shared" si="230"/>
        <v/>
      </c>
      <c r="AR242" s="68"/>
      <c r="AS242" s="69"/>
      <c r="AT242" s="68"/>
    </row>
    <row r="243" spans="2:46" ht="13.5" customHeight="1" x14ac:dyDescent="0.15">
      <c r="B243" s="326" t="s">
        <v>133</v>
      </c>
      <c r="C243" s="50" t="s">
        <v>46</v>
      </c>
      <c r="D243" s="71"/>
      <c r="E243" s="93"/>
      <c r="F243" s="101"/>
      <c r="G243" s="101"/>
      <c r="H243" s="101"/>
      <c r="I243" s="101"/>
      <c r="J243" s="101"/>
      <c r="K243" s="102"/>
      <c r="L243" s="205"/>
      <c r="M243" s="205"/>
      <c r="N243" s="93"/>
      <c r="O243" s="51"/>
      <c r="P243" s="93"/>
      <c r="Q243" s="51"/>
      <c r="R243" s="224"/>
      <c r="S243" s="161"/>
      <c r="T243" s="326" t="s">
        <v>133</v>
      </c>
      <c r="U243" s="50" t="s">
        <v>46</v>
      </c>
      <c r="V243" s="71"/>
      <c r="W243" s="93"/>
      <c r="X243" s="101"/>
      <c r="Y243" s="101"/>
      <c r="Z243" s="101"/>
      <c r="AA243" s="101"/>
      <c r="AB243" s="101"/>
      <c r="AC243" s="102"/>
      <c r="AD243" s="102"/>
      <c r="AE243" s="102"/>
      <c r="AF243" s="93"/>
      <c r="AG243" s="51"/>
      <c r="AH243" s="93"/>
      <c r="AI243" s="51"/>
      <c r="AJ243" s="224"/>
      <c r="AK243" s="169"/>
      <c r="AL243" s="326" t="s">
        <v>133</v>
      </c>
      <c r="AM243" s="210" t="str">
        <f>IF(OR(X243="",F243=""),"",X243-F243)</f>
        <v/>
      </c>
      <c r="AN243" s="171" t="str">
        <f>IF(OR(Y243="",G243=""),"",Y243-G243)</f>
        <v/>
      </c>
      <c r="AO243" s="171" t="str">
        <f>IF(OR(Z243="",H243=""),"",Z243-H243)</f>
        <v/>
      </c>
      <c r="AP243" s="171" t="str">
        <f>IF(OR(AA243="",I243=""),"",AA243-I243)</f>
        <v/>
      </c>
      <c r="AQ243" s="211" t="str">
        <f>IF(OR(AB243="",J243=""),"",AB243-J243)</f>
        <v/>
      </c>
      <c r="AR243" s="68"/>
      <c r="AS243" s="69"/>
      <c r="AT243" s="68"/>
    </row>
    <row r="244" spans="2:46" ht="13.5" customHeight="1" x14ac:dyDescent="0.15">
      <c r="B244" s="327"/>
      <c r="C244" s="52" t="s">
        <v>47</v>
      </c>
      <c r="D244" s="73"/>
      <c r="E244" s="95"/>
      <c r="F244" s="103"/>
      <c r="G244" s="103"/>
      <c r="H244" s="103"/>
      <c r="I244" s="103"/>
      <c r="J244" s="103"/>
      <c r="K244" s="104"/>
      <c r="L244" s="206"/>
      <c r="M244" s="206"/>
      <c r="N244" s="95"/>
      <c r="O244" s="53"/>
      <c r="P244" s="95"/>
      <c r="Q244" s="53"/>
      <c r="R244" s="225"/>
      <c r="S244" s="161"/>
      <c r="T244" s="327"/>
      <c r="U244" s="52" t="s">
        <v>47</v>
      </c>
      <c r="V244" s="73"/>
      <c r="W244" s="95"/>
      <c r="X244" s="103"/>
      <c r="Y244" s="103"/>
      <c r="Z244" s="103"/>
      <c r="AA244" s="103"/>
      <c r="AB244" s="103"/>
      <c r="AC244" s="104"/>
      <c r="AD244" s="104"/>
      <c r="AE244" s="104"/>
      <c r="AF244" s="95"/>
      <c r="AG244" s="53"/>
      <c r="AH244" s="95"/>
      <c r="AI244" s="53"/>
      <c r="AJ244" s="225"/>
      <c r="AK244" s="169"/>
      <c r="AL244" s="327"/>
      <c r="AM244" s="150" t="str">
        <f t="shared" ref="AM244:AM247" si="231">IF(OR(X244="",F244=""),"",X244-F244)</f>
        <v/>
      </c>
      <c r="AN244" s="212" t="str">
        <f t="shared" ref="AN244:AN247" si="232">IF(OR(Y244="",G244=""),"",Y244-G244)</f>
        <v/>
      </c>
      <c r="AO244" s="212" t="str">
        <f t="shared" ref="AO244:AO247" si="233">IF(OR(Z244="",H244=""),"",Z244-H244)</f>
        <v/>
      </c>
      <c r="AP244" s="212" t="str">
        <f t="shared" ref="AP244:AP247" si="234">IF(OR(AA244="",I244=""),"",AA244-I244)</f>
        <v/>
      </c>
      <c r="AQ244" s="151" t="str">
        <f t="shared" ref="AQ244:AQ247" si="235">IF(OR(AB244="",J244=""),"",AB244-J244)</f>
        <v/>
      </c>
      <c r="AR244" s="68"/>
      <c r="AS244" s="69"/>
      <c r="AT244" s="68"/>
    </row>
    <row r="245" spans="2:46" ht="13.5" customHeight="1" x14ac:dyDescent="0.15">
      <c r="B245" s="327"/>
      <c r="C245" s="52" t="s">
        <v>48</v>
      </c>
      <c r="D245" s="73"/>
      <c r="E245" s="95"/>
      <c r="F245" s="103"/>
      <c r="G245" s="103"/>
      <c r="H245" s="103"/>
      <c r="I245" s="103"/>
      <c r="J245" s="103"/>
      <c r="K245" s="104"/>
      <c r="L245" s="206"/>
      <c r="M245" s="206"/>
      <c r="N245" s="95"/>
      <c r="O245" s="53"/>
      <c r="P245" s="95"/>
      <c r="Q245" s="53"/>
      <c r="R245" s="225"/>
      <c r="S245" s="161"/>
      <c r="T245" s="327"/>
      <c r="U245" s="52" t="s">
        <v>48</v>
      </c>
      <c r="V245" s="73"/>
      <c r="W245" s="95"/>
      <c r="X245" s="103"/>
      <c r="Y245" s="103"/>
      <c r="Z245" s="103"/>
      <c r="AA245" s="103"/>
      <c r="AB245" s="103"/>
      <c r="AC245" s="104"/>
      <c r="AD245" s="104"/>
      <c r="AE245" s="104"/>
      <c r="AF245" s="95"/>
      <c r="AG245" s="53"/>
      <c r="AH245" s="95"/>
      <c r="AI245" s="53"/>
      <c r="AJ245" s="225"/>
      <c r="AK245" s="169"/>
      <c r="AL245" s="327"/>
      <c r="AM245" s="150" t="str">
        <f t="shared" si="231"/>
        <v/>
      </c>
      <c r="AN245" s="212" t="str">
        <f t="shared" si="232"/>
        <v/>
      </c>
      <c r="AO245" s="212" t="str">
        <f t="shared" si="233"/>
        <v/>
      </c>
      <c r="AP245" s="212" t="str">
        <f t="shared" si="234"/>
        <v/>
      </c>
      <c r="AQ245" s="151" t="str">
        <f t="shared" si="235"/>
        <v/>
      </c>
      <c r="AR245" s="68"/>
      <c r="AS245" s="69"/>
      <c r="AT245" s="68"/>
    </row>
    <row r="246" spans="2:46" ht="13.5" customHeight="1" x14ac:dyDescent="0.15">
      <c r="B246" s="327"/>
      <c r="C246" s="52" t="s">
        <v>50</v>
      </c>
      <c r="D246" s="73"/>
      <c r="E246" s="95"/>
      <c r="F246" s="103"/>
      <c r="G246" s="103"/>
      <c r="H246" s="103"/>
      <c r="I246" s="103"/>
      <c r="J246" s="103"/>
      <c r="K246" s="104"/>
      <c r="L246" s="206"/>
      <c r="M246" s="206"/>
      <c r="N246" s="95"/>
      <c r="O246" s="53"/>
      <c r="P246" s="95"/>
      <c r="Q246" s="53"/>
      <c r="R246" s="225"/>
      <c r="S246" s="161"/>
      <c r="T246" s="327"/>
      <c r="U246" s="52" t="s">
        <v>50</v>
      </c>
      <c r="V246" s="73"/>
      <c r="W246" s="95"/>
      <c r="X246" s="103"/>
      <c r="Y246" s="103"/>
      <c r="Z246" s="103"/>
      <c r="AA246" s="103"/>
      <c r="AB246" s="103"/>
      <c r="AC246" s="104"/>
      <c r="AD246" s="104"/>
      <c r="AE246" s="104"/>
      <c r="AF246" s="95"/>
      <c r="AG246" s="53"/>
      <c r="AH246" s="95"/>
      <c r="AI246" s="53"/>
      <c r="AJ246" s="225"/>
      <c r="AK246" s="169"/>
      <c r="AL246" s="327"/>
      <c r="AM246" s="150" t="str">
        <f t="shared" si="231"/>
        <v/>
      </c>
      <c r="AN246" s="212" t="str">
        <f t="shared" si="232"/>
        <v/>
      </c>
      <c r="AO246" s="212" t="str">
        <f t="shared" si="233"/>
        <v/>
      </c>
      <c r="AP246" s="212" t="str">
        <f t="shared" si="234"/>
        <v/>
      </c>
      <c r="AQ246" s="151" t="str">
        <f t="shared" si="235"/>
        <v/>
      </c>
      <c r="AR246" s="68"/>
      <c r="AS246" s="69"/>
      <c r="AT246" s="68"/>
    </row>
    <row r="247" spans="2:46" ht="13.5" customHeight="1" thickBot="1" x14ac:dyDescent="0.2">
      <c r="B247" s="328"/>
      <c r="C247" s="52" t="s">
        <v>51</v>
      </c>
      <c r="D247" s="74"/>
      <c r="E247" s="98"/>
      <c r="F247" s="105"/>
      <c r="G247" s="105"/>
      <c r="H247" s="105"/>
      <c r="I247" s="105"/>
      <c r="J247" s="105"/>
      <c r="K247" s="106"/>
      <c r="L247" s="207"/>
      <c r="M247" s="207"/>
      <c r="N247" s="98"/>
      <c r="O247" s="66"/>
      <c r="P247" s="98"/>
      <c r="Q247" s="66"/>
      <c r="R247" s="225"/>
      <c r="S247" s="161"/>
      <c r="T247" s="328"/>
      <c r="U247" s="52" t="s">
        <v>51</v>
      </c>
      <c r="V247" s="74"/>
      <c r="W247" s="98"/>
      <c r="X247" s="105"/>
      <c r="Y247" s="105"/>
      <c r="Z247" s="105"/>
      <c r="AA247" s="105"/>
      <c r="AB247" s="105"/>
      <c r="AC247" s="106"/>
      <c r="AD247" s="106"/>
      <c r="AE247" s="106"/>
      <c r="AF247" s="98"/>
      <c r="AG247" s="66"/>
      <c r="AH247" s="98"/>
      <c r="AI247" s="66"/>
      <c r="AJ247" s="225"/>
      <c r="AK247" s="169"/>
      <c r="AL247" s="328"/>
      <c r="AM247" s="213" t="str">
        <f t="shared" si="231"/>
        <v/>
      </c>
      <c r="AN247" s="214" t="str">
        <f t="shared" si="232"/>
        <v/>
      </c>
      <c r="AO247" s="214" t="str">
        <f t="shared" si="233"/>
        <v/>
      </c>
      <c r="AP247" s="214" t="str">
        <f t="shared" si="234"/>
        <v/>
      </c>
      <c r="AQ247" s="215" t="str">
        <f t="shared" si="235"/>
        <v/>
      </c>
      <c r="AR247" s="68"/>
      <c r="AS247" s="69"/>
      <c r="AT247" s="68"/>
    </row>
    <row r="248" spans="2:46" ht="13.5" customHeight="1" x14ac:dyDescent="0.15">
      <c r="B248" s="326" t="s">
        <v>134</v>
      </c>
      <c r="C248" s="50" t="s">
        <v>46</v>
      </c>
      <c r="D248" s="71"/>
      <c r="E248" s="93"/>
      <c r="F248" s="101"/>
      <c r="G248" s="101"/>
      <c r="H248" s="101"/>
      <c r="I248" s="101"/>
      <c r="J248" s="101"/>
      <c r="K248" s="102"/>
      <c r="L248" s="205"/>
      <c r="M248" s="205"/>
      <c r="N248" s="93"/>
      <c r="O248" s="51"/>
      <c r="P248" s="93"/>
      <c r="Q248" s="51"/>
      <c r="R248" s="224"/>
      <c r="S248" s="161"/>
      <c r="T248" s="326" t="s">
        <v>134</v>
      </c>
      <c r="U248" s="50" t="s">
        <v>46</v>
      </c>
      <c r="V248" s="71"/>
      <c r="W248" s="93"/>
      <c r="X248" s="101"/>
      <c r="Y248" s="101"/>
      <c r="Z248" s="101"/>
      <c r="AA248" s="101"/>
      <c r="AB248" s="101"/>
      <c r="AC248" s="102"/>
      <c r="AD248" s="102"/>
      <c r="AE248" s="102"/>
      <c r="AF248" s="93"/>
      <c r="AG248" s="51"/>
      <c r="AH248" s="93"/>
      <c r="AI248" s="51"/>
      <c r="AJ248" s="224"/>
      <c r="AK248" s="169"/>
      <c r="AL248" s="326" t="s">
        <v>134</v>
      </c>
      <c r="AM248" s="210" t="str">
        <f>IF(OR(X248="",F248=""),"",X248-F248)</f>
        <v/>
      </c>
      <c r="AN248" s="171" t="str">
        <f>IF(OR(Y248="",G248=""),"",Y248-G248)</f>
        <v/>
      </c>
      <c r="AO248" s="171" t="str">
        <f>IF(OR(Z248="",H248=""),"",Z248-H248)</f>
        <v/>
      </c>
      <c r="AP248" s="171" t="str">
        <f>IF(OR(AA248="",I248=""),"",AA248-I248)</f>
        <v/>
      </c>
      <c r="AQ248" s="211" t="str">
        <f>IF(OR(AB248="",J248=""),"",AB248-J248)</f>
        <v/>
      </c>
      <c r="AR248" s="68"/>
      <c r="AS248" s="69"/>
      <c r="AT248" s="68"/>
    </row>
    <row r="249" spans="2:46" ht="13.5" customHeight="1" x14ac:dyDescent="0.15">
      <c r="B249" s="327"/>
      <c r="C249" s="52" t="s">
        <v>47</v>
      </c>
      <c r="D249" s="73"/>
      <c r="E249" s="95"/>
      <c r="F249" s="103"/>
      <c r="G249" s="103"/>
      <c r="H249" s="103"/>
      <c r="I249" s="103"/>
      <c r="J249" s="103"/>
      <c r="K249" s="104"/>
      <c r="L249" s="206"/>
      <c r="M249" s="206"/>
      <c r="N249" s="95"/>
      <c r="O249" s="53"/>
      <c r="P249" s="95"/>
      <c r="Q249" s="53"/>
      <c r="R249" s="225"/>
      <c r="S249" s="161"/>
      <c r="T249" s="327"/>
      <c r="U249" s="52" t="s">
        <v>47</v>
      </c>
      <c r="V249" s="73"/>
      <c r="W249" s="95"/>
      <c r="X249" s="103"/>
      <c r="Y249" s="103"/>
      <c r="Z249" s="103"/>
      <c r="AA249" s="103"/>
      <c r="AB249" s="103"/>
      <c r="AC249" s="104"/>
      <c r="AD249" s="104"/>
      <c r="AE249" s="104"/>
      <c r="AF249" s="95"/>
      <c r="AG249" s="53"/>
      <c r="AH249" s="95"/>
      <c r="AI249" s="53"/>
      <c r="AJ249" s="225"/>
      <c r="AK249" s="169"/>
      <c r="AL249" s="327"/>
      <c r="AM249" s="150" t="str">
        <f t="shared" ref="AM249:AM252" si="236">IF(OR(X249="",F249=""),"",X249-F249)</f>
        <v/>
      </c>
      <c r="AN249" s="212" t="str">
        <f t="shared" ref="AN249:AN252" si="237">IF(OR(Y249="",G249=""),"",Y249-G249)</f>
        <v/>
      </c>
      <c r="AO249" s="212" t="str">
        <f t="shared" ref="AO249:AO252" si="238">IF(OR(Z249="",H249=""),"",Z249-H249)</f>
        <v/>
      </c>
      <c r="AP249" s="212" t="str">
        <f t="shared" ref="AP249:AP252" si="239">IF(OR(AA249="",I249=""),"",AA249-I249)</f>
        <v/>
      </c>
      <c r="AQ249" s="151" t="str">
        <f t="shared" ref="AQ249:AQ252" si="240">IF(OR(AB249="",J249=""),"",AB249-J249)</f>
        <v/>
      </c>
      <c r="AR249" s="68"/>
      <c r="AS249" s="69"/>
      <c r="AT249" s="68"/>
    </row>
    <row r="250" spans="2:46" ht="13.5" customHeight="1" x14ac:dyDescent="0.15">
      <c r="B250" s="327"/>
      <c r="C250" s="52" t="s">
        <v>48</v>
      </c>
      <c r="D250" s="73"/>
      <c r="E250" s="95"/>
      <c r="F250" s="103"/>
      <c r="G250" s="103"/>
      <c r="H250" s="103"/>
      <c r="I250" s="103"/>
      <c r="J250" s="103"/>
      <c r="K250" s="104"/>
      <c r="L250" s="206"/>
      <c r="M250" s="206"/>
      <c r="N250" s="95"/>
      <c r="O250" s="53"/>
      <c r="P250" s="95"/>
      <c r="Q250" s="53"/>
      <c r="R250" s="225"/>
      <c r="S250" s="161"/>
      <c r="T250" s="327"/>
      <c r="U250" s="52" t="s">
        <v>48</v>
      </c>
      <c r="V250" s="73"/>
      <c r="W250" s="95"/>
      <c r="X250" s="103"/>
      <c r="Y250" s="103"/>
      <c r="Z250" s="103"/>
      <c r="AA250" s="103"/>
      <c r="AB250" s="103"/>
      <c r="AC250" s="104"/>
      <c r="AD250" s="104"/>
      <c r="AE250" s="104"/>
      <c r="AF250" s="95"/>
      <c r="AG250" s="53"/>
      <c r="AH250" s="95"/>
      <c r="AI250" s="53"/>
      <c r="AJ250" s="225"/>
      <c r="AK250" s="169"/>
      <c r="AL250" s="327"/>
      <c r="AM250" s="150" t="str">
        <f t="shared" si="236"/>
        <v/>
      </c>
      <c r="AN250" s="212" t="str">
        <f t="shared" si="237"/>
        <v/>
      </c>
      <c r="AO250" s="212" t="str">
        <f t="shared" si="238"/>
        <v/>
      </c>
      <c r="AP250" s="212" t="str">
        <f t="shared" si="239"/>
        <v/>
      </c>
      <c r="AQ250" s="151" t="str">
        <f t="shared" si="240"/>
        <v/>
      </c>
      <c r="AR250" s="68"/>
      <c r="AS250" s="69"/>
      <c r="AT250" s="68"/>
    </row>
    <row r="251" spans="2:46" ht="13.5" customHeight="1" x14ac:dyDescent="0.15">
      <c r="B251" s="327"/>
      <c r="C251" s="52" t="s">
        <v>50</v>
      </c>
      <c r="D251" s="73"/>
      <c r="E251" s="95"/>
      <c r="F251" s="103"/>
      <c r="G251" s="103"/>
      <c r="H251" s="103"/>
      <c r="I251" s="103"/>
      <c r="J251" s="103"/>
      <c r="K251" s="104"/>
      <c r="L251" s="206"/>
      <c r="M251" s="206"/>
      <c r="N251" s="95"/>
      <c r="O251" s="53"/>
      <c r="P251" s="95"/>
      <c r="Q251" s="53"/>
      <c r="R251" s="225"/>
      <c r="S251" s="161"/>
      <c r="T251" s="327"/>
      <c r="U251" s="52" t="s">
        <v>50</v>
      </c>
      <c r="V251" s="73"/>
      <c r="W251" s="95"/>
      <c r="X251" s="103"/>
      <c r="Y251" s="103"/>
      <c r="Z251" s="103"/>
      <c r="AA251" s="103"/>
      <c r="AB251" s="103"/>
      <c r="AC251" s="104"/>
      <c r="AD251" s="104"/>
      <c r="AE251" s="104"/>
      <c r="AF251" s="95"/>
      <c r="AG251" s="53"/>
      <c r="AH251" s="95"/>
      <c r="AI251" s="53"/>
      <c r="AJ251" s="225"/>
      <c r="AK251" s="169"/>
      <c r="AL251" s="327"/>
      <c r="AM251" s="150" t="str">
        <f t="shared" si="236"/>
        <v/>
      </c>
      <c r="AN251" s="212" t="str">
        <f t="shared" si="237"/>
        <v/>
      </c>
      <c r="AO251" s="212" t="str">
        <f t="shared" si="238"/>
        <v/>
      </c>
      <c r="AP251" s="212" t="str">
        <f t="shared" si="239"/>
        <v/>
      </c>
      <c r="AQ251" s="151" t="str">
        <f t="shared" si="240"/>
        <v/>
      </c>
      <c r="AR251" s="68"/>
      <c r="AS251" s="69"/>
      <c r="AT251" s="68"/>
    </row>
    <row r="252" spans="2:46" ht="13.5" customHeight="1" thickBot="1" x14ac:dyDescent="0.2">
      <c r="B252" s="328"/>
      <c r="C252" s="52" t="s">
        <v>51</v>
      </c>
      <c r="D252" s="74"/>
      <c r="E252" s="98"/>
      <c r="F252" s="105"/>
      <c r="G252" s="105"/>
      <c r="H252" s="105"/>
      <c r="I252" s="105"/>
      <c r="J252" s="105"/>
      <c r="K252" s="106"/>
      <c r="L252" s="207"/>
      <c r="M252" s="207"/>
      <c r="N252" s="98"/>
      <c r="O252" s="66"/>
      <c r="P252" s="98"/>
      <c r="Q252" s="66"/>
      <c r="R252" s="225"/>
      <c r="S252" s="161"/>
      <c r="T252" s="328"/>
      <c r="U252" s="52" t="s">
        <v>51</v>
      </c>
      <c r="V252" s="74"/>
      <c r="W252" s="98"/>
      <c r="X252" s="105"/>
      <c r="Y252" s="105"/>
      <c r="Z252" s="105"/>
      <c r="AA252" s="105"/>
      <c r="AB252" s="105"/>
      <c r="AC252" s="106"/>
      <c r="AD252" s="106"/>
      <c r="AE252" s="106"/>
      <c r="AF252" s="98"/>
      <c r="AG252" s="66"/>
      <c r="AH252" s="98"/>
      <c r="AI252" s="66"/>
      <c r="AJ252" s="225"/>
      <c r="AK252" s="169"/>
      <c r="AL252" s="328"/>
      <c r="AM252" s="213" t="str">
        <f t="shared" si="236"/>
        <v/>
      </c>
      <c r="AN252" s="214" t="str">
        <f t="shared" si="237"/>
        <v/>
      </c>
      <c r="AO252" s="214" t="str">
        <f t="shared" si="238"/>
        <v/>
      </c>
      <c r="AP252" s="214" t="str">
        <f t="shared" si="239"/>
        <v/>
      </c>
      <c r="AQ252" s="215" t="str">
        <f t="shared" si="240"/>
        <v/>
      </c>
      <c r="AR252" s="68"/>
      <c r="AS252" s="69"/>
      <c r="AT252" s="68"/>
    </row>
    <row r="253" spans="2:46" ht="13.5" customHeight="1" x14ac:dyDescent="0.15">
      <c r="B253" s="326" t="s">
        <v>135</v>
      </c>
      <c r="C253" s="50" t="s">
        <v>46</v>
      </c>
      <c r="D253" s="71"/>
      <c r="E253" s="93"/>
      <c r="F253" s="101"/>
      <c r="G253" s="101"/>
      <c r="H253" s="101"/>
      <c r="I253" s="101"/>
      <c r="J253" s="101"/>
      <c r="K253" s="102"/>
      <c r="L253" s="205"/>
      <c r="M253" s="205"/>
      <c r="N253" s="93"/>
      <c r="O253" s="51"/>
      <c r="P253" s="93"/>
      <c r="Q253" s="51"/>
      <c r="R253" s="224"/>
      <c r="S253" s="161"/>
      <c r="T253" s="326" t="s">
        <v>135</v>
      </c>
      <c r="U253" s="50" t="s">
        <v>46</v>
      </c>
      <c r="V253" s="71"/>
      <c r="W253" s="93"/>
      <c r="X253" s="101"/>
      <c r="Y253" s="101"/>
      <c r="Z253" s="101"/>
      <c r="AA253" s="101"/>
      <c r="AB253" s="101"/>
      <c r="AC253" s="102"/>
      <c r="AD253" s="102"/>
      <c r="AE253" s="102"/>
      <c r="AF253" s="93"/>
      <c r="AG253" s="51"/>
      <c r="AH253" s="93"/>
      <c r="AI253" s="51"/>
      <c r="AJ253" s="224"/>
      <c r="AK253" s="169"/>
      <c r="AL253" s="326" t="s">
        <v>135</v>
      </c>
      <c r="AM253" s="210" t="str">
        <f>IF(OR(X253="",F253=""),"",X253-F253)</f>
        <v/>
      </c>
      <c r="AN253" s="171" t="str">
        <f>IF(OR(Y253="",G253=""),"",Y253-G253)</f>
        <v/>
      </c>
      <c r="AO253" s="171" t="str">
        <f>IF(OR(Z253="",H253=""),"",Z253-H253)</f>
        <v/>
      </c>
      <c r="AP253" s="171" t="str">
        <f>IF(OR(AA253="",I253=""),"",AA253-I253)</f>
        <v/>
      </c>
      <c r="AQ253" s="211" t="str">
        <f>IF(OR(AB253="",J253=""),"",AB253-J253)</f>
        <v/>
      </c>
      <c r="AR253" s="68"/>
      <c r="AS253" s="69"/>
      <c r="AT253" s="68"/>
    </row>
    <row r="254" spans="2:46" ht="13.5" customHeight="1" x14ac:dyDescent="0.15">
      <c r="B254" s="327"/>
      <c r="C254" s="52" t="s">
        <v>47</v>
      </c>
      <c r="D254" s="73"/>
      <c r="E254" s="95"/>
      <c r="F254" s="103"/>
      <c r="G254" s="103"/>
      <c r="H254" s="103"/>
      <c r="I254" s="103"/>
      <c r="J254" s="103"/>
      <c r="K254" s="104"/>
      <c r="L254" s="206"/>
      <c r="M254" s="206"/>
      <c r="N254" s="95"/>
      <c r="O254" s="53"/>
      <c r="P254" s="95"/>
      <c r="Q254" s="53"/>
      <c r="R254" s="225"/>
      <c r="S254" s="161"/>
      <c r="T254" s="327"/>
      <c r="U254" s="52" t="s">
        <v>47</v>
      </c>
      <c r="V254" s="73"/>
      <c r="W254" s="95"/>
      <c r="X254" s="103"/>
      <c r="Y254" s="103"/>
      <c r="Z254" s="103"/>
      <c r="AA254" s="103"/>
      <c r="AB254" s="103"/>
      <c r="AC254" s="104"/>
      <c r="AD254" s="104"/>
      <c r="AE254" s="104"/>
      <c r="AF254" s="95"/>
      <c r="AG254" s="53"/>
      <c r="AH254" s="95"/>
      <c r="AI254" s="53"/>
      <c r="AJ254" s="225"/>
      <c r="AK254" s="169"/>
      <c r="AL254" s="327"/>
      <c r="AM254" s="150" t="str">
        <f t="shared" ref="AM254:AM257" si="241">IF(OR(X254="",F254=""),"",X254-F254)</f>
        <v/>
      </c>
      <c r="AN254" s="212" t="str">
        <f t="shared" ref="AN254:AN257" si="242">IF(OR(Y254="",G254=""),"",Y254-G254)</f>
        <v/>
      </c>
      <c r="AO254" s="212" t="str">
        <f t="shared" ref="AO254:AO257" si="243">IF(OR(Z254="",H254=""),"",Z254-H254)</f>
        <v/>
      </c>
      <c r="AP254" s="212" t="str">
        <f t="shared" ref="AP254:AP257" si="244">IF(OR(AA254="",I254=""),"",AA254-I254)</f>
        <v/>
      </c>
      <c r="AQ254" s="151" t="str">
        <f t="shared" ref="AQ254:AQ257" si="245">IF(OR(AB254="",J254=""),"",AB254-J254)</f>
        <v/>
      </c>
      <c r="AR254" s="68"/>
      <c r="AS254" s="69"/>
      <c r="AT254" s="68"/>
    </row>
    <row r="255" spans="2:46" ht="13.5" customHeight="1" x14ac:dyDescent="0.15">
      <c r="B255" s="327"/>
      <c r="C255" s="52" t="s">
        <v>48</v>
      </c>
      <c r="D255" s="73"/>
      <c r="E255" s="95"/>
      <c r="F255" s="103"/>
      <c r="G255" s="103"/>
      <c r="H255" s="103"/>
      <c r="I255" s="103"/>
      <c r="J255" s="103"/>
      <c r="K255" s="104"/>
      <c r="L255" s="206"/>
      <c r="M255" s="206"/>
      <c r="N255" s="95"/>
      <c r="O255" s="53"/>
      <c r="P255" s="95"/>
      <c r="Q255" s="53"/>
      <c r="R255" s="225"/>
      <c r="S255" s="161"/>
      <c r="T255" s="327"/>
      <c r="U255" s="52" t="s">
        <v>48</v>
      </c>
      <c r="V255" s="73"/>
      <c r="W255" s="95"/>
      <c r="X255" s="103"/>
      <c r="Y255" s="103"/>
      <c r="Z255" s="103"/>
      <c r="AA255" s="103"/>
      <c r="AB255" s="103"/>
      <c r="AC255" s="104"/>
      <c r="AD255" s="104"/>
      <c r="AE255" s="104"/>
      <c r="AF255" s="95"/>
      <c r="AG255" s="53"/>
      <c r="AH255" s="95"/>
      <c r="AI255" s="53"/>
      <c r="AJ255" s="225"/>
      <c r="AK255" s="169"/>
      <c r="AL255" s="327"/>
      <c r="AM255" s="150" t="str">
        <f t="shared" si="241"/>
        <v/>
      </c>
      <c r="AN255" s="212" t="str">
        <f t="shared" si="242"/>
        <v/>
      </c>
      <c r="AO255" s="212" t="str">
        <f t="shared" si="243"/>
        <v/>
      </c>
      <c r="AP255" s="212" t="str">
        <f t="shared" si="244"/>
        <v/>
      </c>
      <c r="AQ255" s="151" t="str">
        <f t="shared" si="245"/>
        <v/>
      </c>
      <c r="AR255" s="68"/>
      <c r="AS255" s="69"/>
      <c r="AT255" s="68"/>
    </row>
    <row r="256" spans="2:46" ht="13.5" customHeight="1" x14ac:dyDescent="0.15">
      <c r="B256" s="327"/>
      <c r="C256" s="52" t="s">
        <v>50</v>
      </c>
      <c r="D256" s="73"/>
      <c r="E256" s="95"/>
      <c r="F256" s="103"/>
      <c r="G256" s="103"/>
      <c r="H256" s="103"/>
      <c r="I256" s="103"/>
      <c r="J256" s="103"/>
      <c r="K256" s="104"/>
      <c r="L256" s="206"/>
      <c r="M256" s="206"/>
      <c r="N256" s="95"/>
      <c r="O256" s="53"/>
      <c r="P256" s="95"/>
      <c r="Q256" s="53"/>
      <c r="R256" s="225"/>
      <c r="S256" s="161"/>
      <c r="T256" s="327"/>
      <c r="U256" s="52" t="s">
        <v>50</v>
      </c>
      <c r="V256" s="73"/>
      <c r="W256" s="95"/>
      <c r="X256" s="103"/>
      <c r="Y256" s="103"/>
      <c r="Z256" s="103"/>
      <c r="AA256" s="103"/>
      <c r="AB256" s="103"/>
      <c r="AC256" s="104"/>
      <c r="AD256" s="104"/>
      <c r="AE256" s="104"/>
      <c r="AF256" s="95"/>
      <c r="AG256" s="53"/>
      <c r="AH256" s="95"/>
      <c r="AI256" s="53"/>
      <c r="AJ256" s="225"/>
      <c r="AK256" s="169"/>
      <c r="AL256" s="327"/>
      <c r="AM256" s="150" t="str">
        <f t="shared" si="241"/>
        <v/>
      </c>
      <c r="AN256" s="212" t="str">
        <f t="shared" si="242"/>
        <v/>
      </c>
      <c r="AO256" s="212" t="str">
        <f t="shared" si="243"/>
        <v/>
      </c>
      <c r="AP256" s="212" t="str">
        <f t="shared" si="244"/>
        <v/>
      </c>
      <c r="AQ256" s="151" t="str">
        <f t="shared" si="245"/>
        <v/>
      </c>
      <c r="AR256" s="68"/>
      <c r="AS256" s="69"/>
      <c r="AT256" s="68"/>
    </row>
    <row r="257" spans="2:46" ht="13.5" customHeight="1" thickBot="1" x14ac:dyDescent="0.2">
      <c r="B257" s="328"/>
      <c r="C257" s="52" t="s">
        <v>51</v>
      </c>
      <c r="D257" s="74"/>
      <c r="E257" s="98"/>
      <c r="F257" s="105"/>
      <c r="G257" s="105"/>
      <c r="H257" s="105"/>
      <c r="I257" s="105"/>
      <c r="J257" s="105"/>
      <c r="K257" s="106"/>
      <c r="L257" s="207"/>
      <c r="M257" s="207"/>
      <c r="N257" s="98"/>
      <c r="O257" s="66"/>
      <c r="P257" s="98"/>
      <c r="Q257" s="66"/>
      <c r="R257" s="225"/>
      <c r="S257" s="161"/>
      <c r="T257" s="328"/>
      <c r="U257" s="52" t="s">
        <v>51</v>
      </c>
      <c r="V257" s="74"/>
      <c r="W257" s="98"/>
      <c r="X257" s="105"/>
      <c r="Y257" s="105"/>
      <c r="Z257" s="105"/>
      <c r="AA257" s="105"/>
      <c r="AB257" s="105"/>
      <c r="AC257" s="106"/>
      <c r="AD257" s="106"/>
      <c r="AE257" s="106"/>
      <c r="AF257" s="98"/>
      <c r="AG257" s="66"/>
      <c r="AH257" s="98"/>
      <c r="AI257" s="66"/>
      <c r="AJ257" s="225"/>
      <c r="AK257" s="169"/>
      <c r="AL257" s="328"/>
      <c r="AM257" s="213" t="str">
        <f t="shared" si="241"/>
        <v/>
      </c>
      <c r="AN257" s="214" t="str">
        <f t="shared" si="242"/>
        <v/>
      </c>
      <c r="AO257" s="214" t="str">
        <f t="shared" si="243"/>
        <v/>
      </c>
      <c r="AP257" s="214" t="str">
        <f t="shared" si="244"/>
        <v/>
      </c>
      <c r="AQ257" s="215" t="str">
        <f t="shared" si="245"/>
        <v/>
      </c>
      <c r="AR257" s="68"/>
      <c r="AS257" s="69"/>
      <c r="AT257" s="68"/>
    </row>
    <row r="258" spans="2:46" ht="13.5" customHeight="1" x14ac:dyDescent="0.15">
      <c r="B258" s="326" t="s">
        <v>136</v>
      </c>
      <c r="C258" s="50" t="s">
        <v>46</v>
      </c>
      <c r="D258" s="71"/>
      <c r="E258" s="93"/>
      <c r="F258" s="101"/>
      <c r="G258" s="101"/>
      <c r="H258" s="101"/>
      <c r="I258" s="101"/>
      <c r="J258" s="101"/>
      <c r="K258" s="102"/>
      <c r="L258" s="205"/>
      <c r="M258" s="205"/>
      <c r="N258" s="93"/>
      <c r="O258" s="51"/>
      <c r="P258" s="93"/>
      <c r="Q258" s="51"/>
      <c r="R258" s="224"/>
      <c r="S258" s="161"/>
      <c r="T258" s="326" t="s">
        <v>136</v>
      </c>
      <c r="U258" s="50" t="s">
        <v>46</v>
      </c>
      <c r="V258" s="71"/>
      <c r="W258" s="93"/>
      <c r="X258" s="101"/>
      <c r="Y258" s="101"/>
      <c r="Z258" s="101"/>
      <c r="AA258" s="101"/>
      <c r="AB258" s="101"/>
      <c r="AC258" s="102"/>
      <c r="AD258" s="102"/>
      <c r="AE258" s="102"/>
      <c r="AF258" s="93"/>
      <c r="AG258" s="51"/>
      <c r="AH258" s="93"/>
      <c r="AI258" s="51"/>
      <c r="AJ258" s="224"/>
      <c r="AK258" s="169"/>
      <c r="AL258" s="326" t="s">
        <v>136</v>
      </c>
      <c r="AM258" s="210" t="str">
        <f>IF(OR(X258="",F258=""),"",X258-F258)</f>
        <v/>
      </c>
      <c r="AN258" s="171" t="str">
        <f>IF(OR(Y258="",G258=""),"",Y258-G258)</f>
        <v/>
      </c>
      <c r="AO258" s="171" t="str">
        <f>IF(OR(Z258="",H258=""),"",Z258-H258)</f>
        <v/>
      </c>
      <c r="AP258" s="171" t="str">
        <f>IF(OR(AA258="",I258=""),"",AA258-I258)</f>
        <v/>
      </c>
      <c r="AQ258" s="211" t="str">
        <f>IF(OR(AB258="",J258=""),"",AB258-J258)</f>
        <v/>
      </c>
      <c r="AR258" s="68"/>
      <c r="AS258" s="69"/>
      <c r="AT258" s="68"/>
    </row>
    <row r="259" spans="2:46" ht="13.5" customHeight="1" x14ac:dyDescent="0.15">
      <c r="B259" s="327"/>
      <c r="C259" s="52" t="s">
        <v>47</v>
      </c>
      <c r="D259" s="73"/>
      <c r="E259" s="95"/>
      <c r="F259" s="103"/>
      <c r="G259" s="103"/>
      <c r="H259" s="103"/>
      <c r="I259" s="103"/>
      <c r="J259" s="103"/>
      <c r="K259" s="104"/>
      <c r="L259" s="206"/>
      <c r="M259" s="206"/>
      <c r="N259" s="95"/>
      <c r="O259" s="53"/>
      <c r="P259" s="95"/>
      <c r="Q259" s="53"/>
      <c r="R259" s="225"/>
      <c r="S259" s="161"/>
      <c r="T259" s="327"/>
      <c r="U259" s="52" t="s">
        <v>47</v>
      </c>
      <c r="V259" s="73"/>
      <c r="W259" s="95"/>
      <c r="X259" s="103"/>
      <c r="Y259" s="103"/>
      <c r="Z259" s="103"/>
      <c r="AA259" s="103"/>
      <c r="AB259" s="103"/>
      <c r="AC259" s="104"/>
      <c r="AD259" s="104"/>
      <c r="AE259" s="104"/>
      <c r="AF259" s="95"/>
      <c r="AG259" s="53"/>
      <c r="AH259" s="95"/>
      <c r="AI259" s="53"/>
      <c r="AJ259" s="225"/>
      <c r="AK259" s="169"/>
      <c r="AL259" s="327"/>
      <c r="AM259" s="150" t="str">
        <f t="shared" ref="AM259:AM262" si="246">IF(OR(X259="",F259=""),"",X259-F259)</f>
        <v/>
      </c>
      <c r="AN259" s="212" t="str">
        <f t="shared" ref="AN259:AN262" si="247">IF(OR(Y259="",G259=""),"",Y259-G259)</f>
        <v/>
      </c>
      <c r="AO259" s="212" t="str">
        <f t="shared" ref="AO259:AO262" si="248">IF(OR(Z259="",H259=""),"",Z259-H259)</f>
        <v/>
      </c>
      <c r="AP259" s="212" t="str">
        <f t="shared" ref="AP259:AP262" si="249">IF(OR(AA259="",I259=""),"",AA259-I259)</f>
        <v/>
      </c>
      <c r="AQ259" s="151" t="str">
        <f t="shared" ref="AQ259:AQ262" si="250">IF(OR(AB259="",J259=""),"",AB259-J259)</f>
        <v/>
      </c>
      <c r="AR259" s="68"/>
      <c r="AS259" s="69"/>
      <c r="AT259" s="68"/>
    </row>
    <row r="260" spans="2:46" ht="13.5" customHeight="1" x14ac:dyDescent="0.15">
      <c r="B260" s="327"/>
      <c r="C260" s="52" t="s">
        <v>48</v>
      </c>
      <c r="D260" s="73"/>
      <c r="E260" s="95"/>
      <c r="F260" s="103"/>
      <c r="G260" s="103"/>
      <c r="H260" s="103"/>
      <c r="I260" s="103"/>
      <c r="J260" s="103"/>
      <c r="K260" s="104"/>
      <c r="L260" s="206"/>
      <c r="M260" s="206"/>
      <c r="N260" s="95"/>
      <c r="O260" s="53"/>
      <c r="P260" s="95"/>
      <c r="Q260" s="53"/>
      <c r="R260" s="225"/>
      <c r="S260" s="161"/>
      <c r="T260" s="327"/>
      <c r="U260" s="52" t="s">
        <v>48</v>
      </c>
      <c r="V260" s="73"/>
      <c r="W260" s="95"/>
      <c r="X260" s="103"/>
      <c r="Y260" s="103"/>
      <c r="Z260" s="103"/>
      <c r="AA260" s="103"/>
      <c r="AB260" s="103"/>
      <c r="AC260" s="104"/>
      <c r="AD260" s="104"/>
      <c r="AE260" s="104"/>
      <c r="AF260" s="95"/>
      <c r="AG260" s="53"/>
      <c r="AH260" s="95"/>
      <c r="AI260" s="53"/>
      <c r="AJ260" s="225"/>
      <c r="AK260" s="169"/>
      <c r="AL260" s="327"/>
      <c r="AM260" s="150" t="str">
        <f t="shared" si="246"/>
        <v/>
      </c>
      <c r="AN260" s="212" t="str">
        <f t="shared" si="247"/>
        <v/>
      </c>
      <c r="AO260" s="212" t="str">
        <f t="shared" si="248"/>
        <v/>
      </c>
      <c r="AP260" s="212" t="str">
        <f t="shared" si="249"/>
        <v/>
      </c>
      <c r="AQ260" s="151" t="str">
        <f t="shared" si="250"/>
        <v/>
      </c>
      <c r="AR260" s="68"/>
      <c r="AS260" s="69"/>
      <c r="AT260" s="68"/>
    </row>
    <row r="261" spans="2:46" ht="13.5" customHeight="1" x14ac:dyDescent="0.15">
      <c r="B261" s="327"/>
      <c r="C261" s="52" t="s">
        <v>50</v>
      </c>
      <c r="D261" s="73"/>
      <c r="E261" s="95"/>
      <c r="F261" s="103"/>
      <c r="G261" s="103"/>
      <c r="H261" s="103"/>
      <c r="I261" s="103"/>
      <c r="J261" s="103"/>
      <c r="K261" s="104"/>
      <c r="L261" s="206"/>
      <c r="M261" s="206"/>
      <c r="N261" s="95"/>
      <c r="O261" s="53"/>
      <c r="P261" s="95"/>
      <c r="Q261" s="53"/>
      <c r="R261" s="225"/>
      <c r="S261" s="161"/>
      <c r="T261" s="327"/>
      <c r="U261" s="52" t="s">
        <v>50</v>
      </c>
      <c r="V261" s="73"/>
      <c r="W261" s="95"/>
      <c r="X261" s="103"/>
      <c r="Y261" s="103"/>
      <c r="Z261" s="103"/>
      <c r="AA261" s="103"/>
      <c r="AB261" s="103"/>
      <c r="AC261" s="104"/>
      <c r="AD261" s="104"/>
      <c r="AE261" s="104"/>
      <c r="AF261" s="95"/>
      <c r="AG261" s="53"/>
      <c r="AH261" s="95"/>
      <c r="AI261" s="53"/>
      <c r="AJ261" s="225"/>
      <c r="AK261" s="169"/>
      <c r="AL261" s="327"/>
      <c r="AM261" s="150" t="str">
        <f t="shared" si="246"/>
        <v/>
      </c>
      <c r="AN261" s="212" t="str">
        <f t="shared" si="247"/>
        <v/>
      </c>
      <c r="AO261" s="212" t="str">
        <f t="shared" si="248"/>
        <v/>
      </c>
      <c r="AP261" s="212" t="str">
        <f t="shared" si="249"/>
        <v/>
      </c>
      <c r="AQ261" s="151" t="str">
        <f t="shared" si="250"/>
        <v/>
      </c>
      <c r="AR261" s="68"/>
      <c r="AS261" s="69"/>
      <c r="AT261" s="68"/>
    </row>
    <row r="262" spans="2:46" ht="13.5" customHeight="1" thickBot="1" x14ac:dyDescent="0.2">
      <c r="B262" s="328"/>
      <c r="C262" s="54" t="s">
        <v>51</v>
      </c>
      <c r="D262" s="74"/>
      <c r="E262" s="98"/>
      <c r="F262" s="105"/>
      <c r="G262" s="105"/>
      <c r="H262" s="105"/>
      <c r="I262" s="105"/>
      <c r="J262" s="105"/>
      <c r="K262" s="106"/>
      <c r="L262" s="207"/>
      <c r="M262" s="207"/>
      <c r="N262" s="98"/>
      <c r="O262" s="66"/>
      <c r="P262" s="98"/>
      <c r="Q262" s="66"/>
      <c r="R262" s="226"/>
      <c r="S262" s="161"/>
      <c r="T262" s="328"/>
      <c r="U262" s="54" t="s">
        <v>51</v>
      </c>
      <c r="V262" s="74"/>
      <c r="W262" s="98"/>
      <c r="X262" s="105"/>
      <c r="Y262" s="105"/>
      <c r="Z262" s="105"/>
      <c r="AA262" s="105"/>
      <c r="AB262" s="105"/>
      <c r="AC262" s="106"/>
      <c r="AD262" s="106"/>
      <c r="AE262" s="106"/>
      <c r="AF262" s="98"/>
      <c r="AG262" s="66"/>
      <c r="AH262" s="98"/>
      <c r="AI262" s="66"/>
      <c r="AJ262" s="226"/>
      <c r="AK262" s="169"/>
      <c r="AL262" s="328"/>
      <c r="AM262" s="213" t="str">
        <f t="shared" si="246"/>
        <v/>
      </c>
      <c r="AN262" s="214" t="str">
        <f t="shared" si="247"/>
        <v/>
      </c>
      <c r="AO262" s="214" t="str">
        <f t="shared" si="248"/>
        <v/>
      </c>
      <c r="AP262" s="214" t="str">
        <f t="shared" si="249"/>
        <v/>
      </c>
      <c r="AQ262" s="215" t="str">
        <f t="shared" si="250"/>
        <v/>
      </c>
      <c r="AR262" s="68"/>
      <c r="AS262" s="69"/>
      <c r="AT262" s="68"/>
    </row>
    <row r="263" spans="2:46" ht="13.5" customHeight="1" x14ac:dyDescent="0.15">
      <c r="B263" s="326" t="s">
        <v>137</v>
      </c>
      <c r="C263" s="50" t="s">
        <v>46</v>
      </c>
      <c r="D263" s="71"/>
      <c r="E263" s="93"/>
      <c r="F263" s="101"/>
      <c r="G263" s="101"/>
      <c r="H263" s="101"/>
      <c r="I263" s="101"/>
      <c r="J263" s="101"/>
      <c r="K263" s="102"/>
      <c r="L263" s="205"/>
      <c r="M263" s="205"/>
      <c r="N263" s="93"/>
      <c r="O263" s="51"/>
      <c r="P263" s="93"/>
      <c r="Q263" s="51"/>
      <c r="R263" s="224"/>
      <c r="S263" s="161"/>
      <c r="T263" s="326" t="s">
        <v>137</v>
      </c>
      <c r="U263" s="50" t="s">
        <v>46</v>
      </c>
      <c r="V263" s="71"/>
      <c r="W263" s="93"/>
      <c r="X263" s="101"/>
      <c r="Y263" s="101"/>
      <c r="Z263" s="101"/>
      <c r="AA263" s="101"/>
      <c r="AB263" s="101"/>
      <c r="AC263" s="102"/>
      <c r="AD263" s="102"/>
      <c r="AE263" s="102"/>
      <c r="AF263" s="93"/>
      <c r="AG263" s="51"/>
      <c r="AH263" s="93"/>
      <c r="AI263" s="51"/>
      <c r="AJ263" s="224"/>
      <c r="AK263" s="169"/>
      <c r="AL263" s="326" t="s">
        <v>137</v>
      </c>
      <c r="AM263" s="210" t="str">
        <f>IF(OR(X263="",F263=""),"",X263-F263)</f>
        <v/>
      </c>
      <c r="AN263" s="171" t="str">
        <f>IF(OR(Y263="",G263=""),"",Y263-G263)</f>
        <v/>
      </c>
      <c r="AO263" s="171" t="str">
        <f>IF(OR(Z263="",H263=""),"",Z263-H263)</f>
        <v/>
      </c>
      <c r="AP263" s="171" t="str">
        <f>IF(OR(AA263="",I263=""),"",AA263-I263)</f>
        <v/>
      </c>
      <c r="AQ263" s="211" t="str">
        <f>IF(OR(AB263="",J263=""),"",AB263-J263)</f>
        <v/>
      </c>
      <c r="AR263" s="68"/>
      <c r="AS263" s="69"/>
      <c r="AT263" s="68"/>
    </row>
    <row r="264" spans="2:46" ht="13.5" customHeight="1" x14ac:dyDescent="0.15">
      <c r="B264" s="327"/>
      <c r="C264" s="52" t="s">
        <v>47</v>
      </c>
      <c r="D264" s="73"/>
      <c r="E264" s="95"/>
      <c r="F264" s="103"/>
      <c r="G264" s="103"/>
      <c r="H264" s="103"/>
      <c r="I264" s="103"/>
      <c r="J264" s="103"/>
      <c r="K264" s="104"/>
      <c r="L264" s="206"/>
      <c r="M264" s="206"/>
      <c r="N264" s="95"/>
      <c r="O264" s="53"/>
      <c r="P264" s="95"/>
      <c r="Q264" s="53"/>
      <c r="R264" s="225"/>
      <c r="S264" s="161"/>
      <c r="T264" s="327"/>
      <c r="U264" s="52" t="s">
        <v>47</v>
      </c>
      <c r="V264" s="73"/>
      <c r="W264" s="95"/>
      <c r="X264" s="103"/>
      <c r="Y264" s="103"/>
      <c r="Z264" s="103"/>
      <c r="AA264" s="103"/>
      <c r="AB264" s="103"/>
      <c r="AC264" s="104"/>
      <c r="AD264" s="104"/>
      <c r="AE264" s="104"/>
      <c r="AF264" s="95"/>
      <c r="AG264" s="53"/>
      <c r="AH264" s="95"/>
      <c r="AI264" s="53"/>
      <c r="AJ264" s="225"/>
      <c r="AK264" s="169"/>
      <c r="AL264" s="327"/>
      <c r="AM264" s="150" t="str">
        <f t="shared" ref="AM264:AM267" si="251">IF(OR(X264="",F264=""),"",X264-F264)</f>
        <v/>
      </c>
      <c r="AN264" s="212" t="str">
        <f t="shared" ref="AN264:AN267" si="252">IF(OR(Y264="",G264=""),"",Y264-G264)</f>
        <v/>
      </c>
      <c r="AO264" s="212" t="str">
        <f t="shared" ref="AO264:AO267" si="253">IF(OR(Z264="",H264=""),"",Z264-H264)</f>
        <v/>
      </c>
      <c r="AP264" s="212" t="str">
        <f t="shared" ref="AP264:AP267" si="254">IF(OR(AA264="",I264=""),"",AA264-I264)</f>
        <v/>
      </c>
      <c r="AQ264" s="151" t="str">
        <f t="shared" ref="AQ264:AQ267" si="255">IF(OR(AB264="",J264=""),"",AB264-J264)</f>
        <v/>
      </c>
      <c r="AR264" s="68"/>
      <c r="AS264" s="69"/>
      <c r="AT264" s="68"/>
    </row>
    <row r="265" spans="2:46" ht="13.5" customHeight="1" x14ac:dyDescent="0.15">
      <c r="B265" s="327"/>
      <c r="C265" s="52" t="s">
        <v>48</v>
      </c>
      <c r="D265" s="73"/>
      <c r="E265" s="95"/>
      <c r="F265" s="103"/>
      <c r="G265" s="103"/>
      <c r="H265" s="103"/>
      <c r="I265" s="103"/>
      <c r="J265" s="103"/>
      <c r="K265" s="104"/>
      <c r="L265" s="206"/>
      <c r="M265" s="206"/>
      <c r="N265" s="95"/>
      <c r="O265" s="53"/>
      <c r="P265" s="95"/>
      <c r="Q265" s="53"/>
      <c r="R265" s="225"/>
      <c r="S265" s="161"/>
      <c r="T265" s="327"/>
      <c r="U265" s="52" t="s">
        <v>48</v>
      </c>
      <c r="V265" s="73"/>
      <c r="W265" s="95"/>
      <c r="X265" s="103"/>
      <c r="Y265" s="103"/>
      <c r="Z265" s="103"/>
      <c r="AA265" s="103"/>
      <c r="AB265" s="103"/>
      <c r="AC265" s="104"/>
      <c r="AD265" s="104"/>
      <c r="AE265" s="104"/>
      <c r="AF265" s="95"/>
      <c r="AG265" s="53"/>
      <c r="AH265" s="95"/>
      <c r="AI265" s="53"/>
      <c r="AJ265" s="225"/>
      <c r="AK265" s="169"/>
      <c r="AL265" s="327"/>
      <c r="AM265" s="150" t="str">
        <f t="shared" si="251"/>
        <v/>
      </c>
      <c r="AN265" s="212" t="str">
        <f t="shared" si="252"/>
        <v/>
      </c>
      <c r="AO265" s="212" t="str">
        <f t="shared" si="253"/>
        <v/>
      </c>
      <c r="AP265" s="212" t="str">
        <f t="shared" si="254"/>
        <v/>
      </c>
      <c r="AQ265" s="151" t="str">
        <f t="shared" si="255"/>
        <v/>
      </c>
      <c r="AR265" s="68"/>
      <c r="AS265" s="69"/>
      <c r="AT265" s="68"/>
    </row>
    <row r="266" spans="2:46" ht="13.5" customHeight="1" x14ac:dyDescent="0.15">
      <c r="B266" s="327"/>
      <c r="C266" s="52" t="s">
        <v>50</v>
      </c>
      <c r="D266" s="73"/>
      <c r="E266" s="95"/>
      <c r="F266" s="103"/>
      <c r="G266" s="103"/>
      <c r="H266" s="103"/>
      <c r="I266" s="103"/>
      <c r="J266" s="103"/>
      <c r="K266" s="104"/>
      <c r="L266" s="206"/>
      <c r="M266" s="206"/>
      <c r="N266" s="95"/>
      <c r="O266" s="53"/>
      <c r="P266" s="95"/>
      <c r="Q266" s="53"/>
      <c r="R266" s="225"/>
      <c r="S266" s="161"/>
      <c r="T266" s="327"/>
      <c r="U266" s="52" t="s">
        <v>50</v>
      </c>
      <c r="V266" s="73"/>
      <c r="W266" s="95"/>
      <c r="X266" s="103"/>
      <c r="Y266" s="103"/>
      <c r="Z266" s="103"/>
      <c r="AA266" s="103"/>
      <c r="AB266" s="103"/>
      <c r="AC266" s="104"/>
      <c r="AD266" s="104"/>
      <c r="AE266" s="104"/>
      <c r="AF266" s="95"/>
      <c r="AG266" s="53"/>
      <c r="AH266" s="95"/>
      <c r="AI266" s="53"/>
      <c r="AJ266" s="225"/>
      <c r="AK266" s="169"/>
      <c r="AL266" s="327"/>
      <c r="AM266" s="150" t="str">
        <f t="shared" si="251"/>
        <v/>
      </c>
      <c r="AN266" s="212" t="str">
        <f t="shared" si="252"/>
        <v/>
      </c>
      <c r="AO266" s="212" t="str">
        <f t="shared" si="253"/>
        <v/>
      </c>
      <c r="AP266" s="212" t="str">
        <f t="shared" si="254"/>
        <v/>
      </c>
      <c r="AQ266" s="151" t="str">
        <f t="shared" si="255"/>
        <v/>
      </c>
      <c r="AR266" s="68"/>
      <c r="AS266" s="69"/>
      <c r="AT266" s="68"/>
    </row>
    <row r="267" spans="2:46" ht="13.5" customHeight="1" thickBot="1" x14ac:dyDescent="0.2">
      <c r="B267" s="328"/>
      <c r="C267" s="52" t="s">
        <v>51</v>
      </c>
      <c r="D267" s="74"/>
      <c r="E267" s="98"/>
      <c r="F267" s="105"/>
      <c r="G267" s="105"/>
      <c r="H267" s="105"/>
      <c r="I267" s="105"/>
      <c r="J267" s="105"/>
      <c r="K267" s="106"/>
      <c r="L267" s="207"/>
      <c r="M267" s="207"/>
      <c r="N267" s="98"/>
      <c r="O267" s="66"/>
      <c r="P267" s="98"/>
      <c r="Q267" s="66"/>
      <c r="R267" s="225"/>
      <c r="S267" s="161"/>
      <c r="T267" s="328"/>
      <c r="U267" s="52" t="s">
        <v>51</v>
      </c>
      <c r="V267" s="74"/>
      <c r="W267" s="98"/>
      <c r="X267" s="105"/>
      <c r="Y267" s="105"/>
      <c r="Z267" s="105"/>
      <c r="AA267" s="105"/>
      <c r="AB267" s="105"/>
      <c r="AC267" s="106"/>
      <c r="AD267" s="106"/>
      <c r="AE267" s="106"/>
      <c r="AF267" s="98"/>
      <c r="AG267" s="66"/>
      <c r="AH267" s="98"/>
      <c r="AI267" s="66"/>
      <c r="AJ267" s="225"/>
      <c r="AK267" s="169"/>
      <c r="AL267" s="328"/>
      <c r="AM267" s="213" t="str">
        <f t="shared" si="251"/>
        <v/>
      </c>
      <c r="AN267" s="214" t="str">
        <f t="shared" si="252"/>
        <v/>
      </c>
      <c r="AO267" s="214" t="str">
        <f t="shared" si="253"/>
        <v/>
      </c>
      <c r="AP267" s="214" t="str">
        <f t="shared" si="254"/>
        <v/>
      </c>
      <c r="AQ267" s="215" t="str">
        <f t="shared" si="255"/>
        <v/>
      </c>
      <c r="AR267" s="68"/>
      <c r="AS267" s="69"/>
      <c r="AT267" s="68"/>
    </row>
    <row r="268" spans="2:46" ht="13.5" customHeight="1" x14ac:dyDescent="0.15">
      <c r="B268" s="326" t="s">
        <v>138</v>
      </c>
      <c r="C268" s="50" t="s">
        <v>46</v>
      </c>
      <c r="D268" s="71"/>
      <c r="E268" s="93"/>
      <c r="F268" s="101"/>
      <c r="G268" s="101"/>
      <c r="H268" s="101"/>
      <c r="I268" s="101"/>
      <c r="J268" s="101"/>
      <c r="K268" s="102"/>
      <c r="L268" s="205"/>
      <c r="M268" s="205"/>
      <c r="N268" s="93"/>
      <c r="O268" s="51"/>
      <c r="P268" s="93"/>
      <c r="Q268" s="51"/>
      <c r="R268" s="224"/>
      <c r="S268" s="161"/>
      <c r="T268" s="326" t="s">
        <v>138</v>
      </c>
      <c r="U268" s="50" t="s">
        <v>46</v>
      </c>
      <c r="V268" s="71"/>
      <c r="W268" s="93"/>
      <c r="X268" s="101"/>
      <c r="Y268" s="101"/>
      <c r="Z268" s="101"/>
      <c r="AA268" s="101"/>
      <c r="AB268" s="101"/>
      <c r="AC268" s="102"/>
      <c r="AD268" s="102"/>
      <c r="AE268" s="102"/>
      <c r="AF268" s="93"/>
      <c r="AG268" s="51"/>
      <c r="AH268" s="93"/>
      <c r="AI268" s="51"/>
      <c r="AJ268" s="224"/>
      <c r="AK268" s="169"/>
      <c r="AL268" s="326" t="s">
        <v>138</v>
      </c>
      <c r="AM268" s="210" t="str">
        <f>IF(OR(X268="",F268=""),"",X268-F268)</f>
        <v/>
      </c>
      <c r="AN268" s="171" t="str">
        <f>IF(OR(Y268="",G268=""),"",Y268-G268)</f>
        <v/>
      </c>
      <c r="AO268" s="171" t="str">
        <f>IF(OR(Z268="",H268=""),"",Z268-H268)</f>
        <v/>
      </c>
      <c r="AP268" s="171" t="str">
        <f>IF(OR(AA268="",I268=""),"",AA268-I268)</f>
        <v/>
      </c>
      <c r="AQ268" s="211" t="str">
        <f>IF(OR(AB268="",J268=""),"",AB268-J268)</f>
        <v/>
      </c>
      <c r="AR268" s="68"/>
      <c r="AS268" s="69"/>
      <c r="AT268" s="68"/>
    </row>
    <row r="269" spans="2:46" ht="13.5" customHeight="1" x14ac:dyDescent="0.15">
      <c r="B269" s="327"/>
      <c r="C269" s="52" t="s">
        <v>47</v>
      </c>
      <c r="D269" s="73"/>
      <c r="E269" s="95"/>
      <c r="F269" s="103"/>
      <c r="G269" s="103"/>
      <c r="H269" s="103"/>
      <c r="I269" s="103"/>
      <c r="J269" s="103"/>
      <c r="K269" s="104"/>
      <c r="L269" s="206"/>
      <c r="M269" s="206"/>
      <c r="N269" s="95"/>
      <c r="O269" s="53"/>
      <c r="P269" s="95"/>
      <c r="Q269" s="53"/>
      <c r="R269" s="225"/>
      <c r="S269" s="161"/>
      <c r="T269" s="327"/>
      <c r="U269" s="52" t="s">
        <v>47</v>
      </c>
      <c r="V269" s="73"/>
      <c r="W269" s="95"/>
      <c r="X269" s="103"/>
      <c r="Y269" s="103"/>
      <c r="Z269" s="103"/>
      <c r="AA269" s="103"/>
      <c r="AB269" s="103"/>
      <c r="AC269" s="104"/>
      <c r="AD269" s="104"/>
      <c r="AE269" s="104"/>
      <c r="AF269" s="95"/>
      <c r="AG269" s="53"/>
      <c r="AH269" s="95"/>
      <c r="AI269" s="53"/>
      <c r="AJ269" s="225"/>
      <c r="AK269" s="169"/>
      <c r="AL269" s="327"/>
      <c r="AM269" s="150" t="str">
        <f t="shared" ref="AM269:AM272" si="256">IF(OR(X269="",F269=""),"",X269-F269)</f>
        <v/>
      </c>
      <c r="AN269" s="212" t="str">
        <f t="shared" ref="AN269:AN272" si="257">IF(OR(Y269="",G269=""),"",Y269-G269)</f>
        <v/>
      </c>
      <c r="AO269" s="212" t="str">
        <f t="shared" ref="AO269:AO272" si="258">IF(OR(Z269="",H269=""),"",Z269-H269)</f>
        <v/>
      </c>
      <c r="AP269" s="212" t="str">
        <f t="shared" ref="AP269:AP272" si="259">IF(OR(AA269="",I269=""),"",AA269-I269)</f>
        <v/>
      </c>
      <c r="AQ269" s="151" t="str">
        <f t="shared" ref="AQ269:AQ272" si="260">IF(OR(AB269="",J269=""),"",AB269-J269)</f>
        <v/>
      </c>
      <c r="AR269" s="68"/>
      <c r="AS269" s="69"/>
      <c r="AT269" s="68"/>
    </row>
    <row r="270" spans="2:46" ht="13.5" customHeight="1" x14ac:dyDescent="0.15">
      <c r="B270" s="327"/>
      <c r="C270" s="52" t="s">
        <v>48</v>
      </c>
      <c r="D270" s="73"/>
      <c r="E270" s="95"/>
      <c r="F270" s="103"/>
      <c r="G270" s="103"/>
      <c r="H270" s="103"/>
      <c r="I270" s="103"/>
      <c r="J270" s="103"/>
      <c r="K270" s="104"/>
      <c r="L270" s="206"/>
      <c r="M270" s="206"/>
      <c r="N270" s="95"/>
      <c r="O270" s="53"/>
      <c r="P270" s="95"/>
      <c r="Q270" s="53"/>
      <c r="R270" s="225"/>
      <c r="S270" s="161"/>
      <c r="T270" s="327"/>
      <c r="U270" s="52" t="s">
        <v>48</v>
      </c>
      <c r="V270" s="73"/>
      <c r="W270" s="95"/>
      <c r="X270" s="103"/>
      <c r="Y270" s="103"/>
      <c r="Z270" s="103"/>
      <c r="AA270" s="103"/>
      <c r="AB270" s="103"/>
      <c r="AC270" s="104"/>
      <c r="AD270" s="104"/>
      <c r="AE270" s="104"/>
      <c r="AF270" s="95"/>
      <c r="AG270" s="53"/>
      <c r="AH270" s="95"/>
      <c r="AI270" s="53"/>
      <c r="AJ270" s="225"/>
      <c r="AK270" s="169"/>
      <c r="AL270" s="327"/>
      <c r="AM270" s="150" t="str">
        <f t="shared" si="256"/>
        <v/>
      </c>
      <c r="AN270" s="212" t="str">
        <f t="shared" si="257"/>
        <v/>
      </c>
      <c r="AO270" s="212" t="str">
        <f t="shared" si="258"/>
        <v/>
      </c>
      <c r="AP270" s="212" t="str">
        <f t="shared" si="259"/>
        <v/>
      </c>
      <c r="AQ270" s="151" t="str">
        <f t="shared" si="260"/>
        <v/>
      </c>
      <c r="AR270" s="68"/>
      <c r="AS270" s="69"/>
      <c r="AT270" s="68"/>
    </row>
    <row r="271" spans="2:46" ht="13.5" customHeight="1" x14ac:dyDescent="0.15">
      <c r="B271" s="327"/>
      <c r="C271" s="52" t="s">
        <v>50</v>
      </c>
      <c r="D271" s="73"/>
      <c r="E271" s="95"/>
      <c r="F271" s="103"/>
      <c r="G271" s="103"/>
      <c r="H271" s="103"/>
      <c r="I271" s="103"/>
      <c r="J271" s="103"/>
      <c r="K271" s="104"/>
      <c r="L271" s="206"/>
      <c r="M271" s="206"/>
      <c r="N271" s="95"/>
      <c r="O271" s="53"/>
      <c r="P271" s="95"/>
      <c r="Q271" s="53"/>
      <c r="R271" s="225"/>
      <c r="S271" s="161"/>
      <c r="T271" s="327"/>
      <c r="U271" s="52" t="s">
        <v>50</v>
      </c>
      <c r="V271" s="73"/>
      <c r="W271" s="95"/>
      <c r="X271" s="103"/>
      <c r="Y271" s="103"/>
      <c r="Z271" s="103"/>
      <c r="AA271" s="103"/>
      <c r="AB271" s="103"/>
      <c r="AC271" s="104"/>
      <c r="AD271" s="104"/>
      <c r="AE271" s="104"/>
      <c r="AF271" s="95"/>
      <c r="AG271" s="53"/>
      <c r="AH271" s="95"/>
      <c r="AI271" s="53"/>
      <c r="AJ271" s="225"/>
      <c r="AK271" s="169"/>
      <c r="AL271" s="327"/>
      <c r="AM271" s="150" t="str">
        <f t="shared" si="256"/>
        <v/>
      </c>
      <c r="AN271" s="212" t="str">
        <f t="shared" si="257"/>
        <v/>
      </c>
      <c r="AO271" s="212" t="str">
        <f t="shared" si="258"/>
        <v/>
      </c>
      <c r="AP271" s="212" t="str">
        <f t="shared" si="259"/>
        <v/>
      </c>
      <c r="AQ271" s="151" t="str">
        <f t="shared" si="260"/>
        <v/>
      </c>
      <c r="AR271" s="68"/>
      <c r="AS271" s="69"/>
      <c r="AT271" s="68"/>
    </row>
    <row r="272" spans="2:46" ht="13.5" customHeight="1" thickBot="1" x14ac:dyDescent="0.2">
      <c r="B272" s="328"/>
      <c r="C272" s="52" t="s">
        <v>51</v>
      </c>
      <c r="D272" s="74"/>
      <c r="E272" s="98"/>
      <c r="F272" s="105"/>
      <c r="G272" s="105"/>
      <c r="H272" s="105"/>
      <c r="I272" s="105"/>
      <c r="J272" s="105"/>
      <c r="K272" s="106"/>
      <c r="L272" s="207"/>
      <c r="M272" s="207"/>
      <c r="N272" s="98"/>
      <c r="O272" s="66"/>
      <c r="P272" s="98"/>
      <c r="Q272" s="66"/>
      <c r="R272" s="225"/>
      <c r="S272" s="161"/>
      <c r="T272" s="328"/>
      <c r="U272" s="52" t="s">
        <v>51</v>
      </c>
      <c r="V272" s="74"/>
      <c r="W272" s="98"/>
      <c r="X272" s="105"/>
      <c r="Y272" s="105"/>
      <c r="Z272" s="105"/>
      <c r="AA272" s="105"/>
      <c r="AB272" s="105"/>
      <c r="AC272" s="106"/>
      <c r="AD272" s="106"/>
      <c r="AE272" s="106"/>
      <c r="AF272" s="98"/>
      <c r="AG272" s="66"/>
      <c r="AH272" s="98"/>
      <c r="AI272" s="66"/>
      <c r="AJ272" s="225"/>
      <c r="AK272" s="169"/>
      <c r="AL272" s="328"/>
      <c r="AM272" s="213" t="str">
        <f t="shared" si="256"/>
        <v/>
      </c>
      <c r="AN272" s="214" t="str">
        <f t="shared" si="257"/>
        <v/>
      </c>
      <c r="AO272" s="214" t="str">
        <f t="shared" si="258"/>
        <v/>
      </c>
      <c r="AP272" s="214" t="str">
        <f t="shared" si="259"/>
        <v/>
      </c>
      <c r="AQ272" s="215" t="str">
        <f t="shared" si="260"/>
        <v/>
      </c>
      <c r="AR272" s="68"/>
      <c r="AS272" s="69"/>
      <c r="AT272" s="68"/>
    </row>
    <row r="273" spans="2:46" ht="13.5" customHeight="1" x14ac:dyDescent="0.15">
      <c r="B273" s="326" t="s">
        <v>139</v>
      </c>
      <c r="C273" s="50" t="s">
        <v>46</v>
      </c>
      <c r="D273" s="71"/>
      <c r="E273" s="93"/>
      <c r="F273" s="101"/>
      <c r="G273" s="101"/>
      <c r="H273" s="101"/>
      <c r="I273" s="101"/>
      <c r="J273" s="101"/>
      <c r="K273" s="102"/>
      <c r="L273" s="205"/>
      <c r="M273" s="205"/>
      <c r="N273" s="93"/>
      <c r="O273" s="51"/>
      <c r="P273" s="93"/>
      <c r="Q273" s="51"/>
      <c r="R273" s="224"/>
      <c r="S273" s="161"/>
      <c r="T273" s="326" t="s">
        <v>139</v>
      </c>
      <c r="U273" s="50" t="s">
        <v>46</v>
      </c>
      <c r="V273" s="71"/>
      <c r="W273" s="93"/>
      <c r="X273" s="101"/>
      <c r="Y273" s="101"/>
      <c r="Z273" s="101"/>
      <c r="AA273" s="101"/>
      <c r="AB273" s="101"/>
      <c r="AC273" s="102"/>
      <c r="AD273" s="102"/>
      <c r="AE273" s="102"/>
      <c r="AF273" s="93"/>
      <c r="AG273" s="51"/>
      <c r="AH273" s="93"/>
      <c r="AI273" s="51"/>
      <c r="AJ273" s="224"/>
      <c r="AK273" s="169"/>
      <c r="AL273" s="326" t="s">
        <v>139</v>
      </c>
      <c r="AM273" s="210" t="str">
        <f>IF(OR(X273="",F273=""),"",X273-F273)</f>
        <v/>
      </c>
      <c r="AN273" s="171" t="str">
        <f>IF(OR(Y273="",G273=""),"",Y273-G273)</f>
        <v/>
      </c>
      <c r="AO273" s="171" t="str">
        <f>IF(OR(Z273="",H273=""),"",Z273-H273)</f>
        <v/>
      </c>
      <c r="AP273" s="171" t="str">
        <f>IF(OR(AA273="",I273=""),"",AA273-I273)</f>
        <v/>
      </c>
      <c r="AQ273" s="211" t="str">
        <f>IF(OR(AB273="",J273=""),"",AB273-J273)</f>
        <v/>
      </c>
      <c r="AR273" s="68"/>
      <c r="AS273" s="69"/>
      <c r="AT273" s="68"/>
    </row>
    <row r="274" spans="2:46" ht="13.5" customHeight="1" x14ac:dyDescent="0.15">
      <c r="B274" s="327"/>
      <c r="C274" s="52" t="s">
        <v>47</v>
      </c>
      <c r="D274" s="73"/>
      <c r="E274" s="95"/>
      <c r="F274" s="103"/>
      <c r="G274" s="103"/>
      <c r="H274" s="103"/>
      <c r="I274" s="103"/>
      <c r="J274" s="103"/>
      <c r="K274" s="104"/>
      <c r="L274" s="206"/>
      <c r="M274" s="206"/>
      <c r="N274" s="95"/>
      <c r="O274" s="53"/>
      <c r="P274" s="95"/>
      <c r="Q274" s="53"/>
      <c r="R274" s="225"/>
      <c r="S274" s="161"/>
      <c r="T274" s="327"/>
      <c r="U274" s="52" t="s">
        <v>47</v>
      </c>
      <c r="V274" s="73"/>
      <c r="W274" s="95"/>
      <c r="X274" s="103"/>
      <c r="Y274" s="103"/>
      <c r="Z274" s="103"/>
      <c r="AA274" s="103"/>
      <c r="AB274" s="103"/>
      <c r="AC274" s="104"/>
      <c r="AD274" s="104"/>
      <c r="AE274" s="104"/>
      <c r="AF274" s="95"/>
      <c r="AG274" s="53"/>
      <c r="AH274" s="95"/>
      <c r="AI274" s="53"/>
      <c r="AJ274" s="225"/>
      <c r="AK274" s="169"/>
      <c r="AL274" s="327"/>
      <c r="AM274" s="150" t="str">
        <f t="shared" ref="AM274:AM277" si="261">IF(OR(X274="",F274=""),"",X274-F274)</f>
        <v/>
      </c>
      <c r="AN274" s="212" t="str">
        <f t="shared" ref="AN274:AN277" si="262">IF(OR(Y274="",G274=""),"",Y274-G274)</f>
        <v/>
      </c>
      <c r="AO274" s="212" t="str">
        <f t="shared" ref="AO274:AO277" si="263">IF(OR(Z274="",H274=""),"",Z274-H274)</f>
        <v/>
      </c>
      <c r="AP274" s="212" t="str">
        <f t="shared" ref="AP274:AP277" si="264">IF(OR(AA274="",I274=""),"",AA274-I274)</f>
        <v/>
      </c>
      <c r="AQ274" s="151" t="str">
        <f t="shared" ref="AQ274:AQ277" si="265">IF(OR(AB274="",J274=""),"",AB274-J274)</f>
        <v/>
      </c>
      <c r="AR274" s="68"/>
      <c r="AS274" s="69"/>
      <c r="AT274" s="68"/>
    </row>
    <row r="275" spans="2:46" ht="13.5" customHeight="1" x14ac:dyDescent="0.15">
      <c r="B275" s="327"/>
      <c r="C275" s="52" t="s">
        <v>48</v>
      </c>
      <c r="D275" s="73"/>
      <c r="E275" s="95"/>
      <c r="F275" s="103"/>
      <c r="G275" s="103"/>
      <c r="H275" s="103"/>
      <c r="I275" s="103"/>
      <c r="J275" s="103"/>
      <c r="K275" s="104"/>
      <c r="L275" s="206"/>
      <c r="M275" s="206"/>
      <c r="N275" s="95"/>
      <c r="O275" s="53"/>
      <c r="P275" s="95"/>
      <c r="Q275" s="53"/>
      <c r="R275" s="225"/>
      <c r="S275" s="161"/>
      <c r="T275" s="327"/>
      <c r="U275" s="52" t="s">
        <v>48</v>
      </c>
      <c r="V275" s="73"/>
      <c r="W275" s="95"/>
      <c r="X275" s="103"/>
      <c r="Y275" s="103"/>
      <c r="Z275" s="103"/>
      <c r="AA275" s="103"/>
      <c r="AB275" s="103"/>
      <c r="AC275" s="104"/>
      <c r="AD275" s="104"/>
      <c r="AE275" s="104"/>
      <c r="AF275" s="95"/>
      <c r="AG275" s="53"/>
      <c r="AH275" s="95"/>
      <c r="AI275" s="53"/>
      <c r="AJ275" s="225"/>
      <c r="AK275" s="169"/>
      <c r="AL275" s="327"/>
      <c r="AM275" s="150" t="str">
        <f t="shared" si="261"/>
        <v/>
      </c>
      <c r="AN275" s="212" t="str">
        <f t="shared" si="262"/>
        <v/>
      </c>
      <c r="AO275" s="212" t="str">
        <f t="shared" si="263"/>
        <v/>
      </c>
      <c r="AP275" s="212" t="str">
        <f t="shared" si="264"/>
        <v/>
      </c>
      <c r="AQ275" s="151" t="str">
        <f t="shared" si="265"/>
        <v/>
      </c>
      <c r="AR275" s="68"/>
      <c r="AS275" s="69"/>
      <c r="AT275" s="68"/>
    </row>
    <row r="276" spans="2:46" ht="13.5" customHeight="1" x14ac:dyDescent="0.15">
      <c r="B276" s="327"/>
      <c r="C276" s="52" t="s">
        <v>50</v>
      </c>
      <c r="D276" s="73"/>
      <c r="E276" s="95"/>
      <c r="F276" s="103"/>
      <c r="G276" s="103"/>
      <c r="H276" s="103"/>
      <c r="I276" s="103"/>
      <c r="J276" s="103"/>
      <c r="K276" s="104"/>
      <c r="L276" s="206"/>
      <c r="M276" s="206"/>
      <c r="N276" s="95"/>
      <c r="O276" s="53"/>
      <c r="P276" s="95"/>
      <c r="Q276" s="53"/>
      <c r="R276" s="225"/>
      <c r="S276" s="161"/>
      <c r="T276" s="327"/>
      <c r="U276" s="52" t="s">
        <v>50</v>
      </c>
      <c r="V276" s="73"/>
      <c r="W276" s="95"/>
      <c r="X276" s="103"/>
      <c r="Y276" s="103"/>
      <c r="Z276" s="103"/>
      <c r="AA276" s="103"/>
      <c r="AB276" s="103"/>
      <c r="AC276" s="104"/>
      <c r="AD276" s="104"/>
      <c r="AE276" s="104"/>
      <c r="AF276" s="95"/>
      <c r="AG276" s="53"/>
      <c r="AH276" s="95"/>
      <c r="AI276" s="53"/>
      <c r="AJ276" s="225"/>
      <c r="AK276" s="169"/>
      <c r="AL276" s="327"/>
      <c r="AM276" s="150" t="str">
        <f t="shared" si="261"/>
        <v/>
      </c>
      <c r="AN276" s="212" t="str">
        <f t="shared" si="262"/>
        <v/>
      </c>
      <c r="AO276" s="212" t="str">
        <f t="shared" si="263"/>
        <v/>
      </c>
      <c r="AP276" s="212" t="str">
        <f t="shared" si="264"/>
        <v/>
      </c>
      <c r="AQ276" s="151" t="str">
        <f t="shared" si="265"/>
        <v/>
      </c>
      <c r="AR276" s="68"/>
      <c r="AS276" s="69"/>
      <c r="AT276" s="68"/>
    </row>
    <row r="277" spans="2:46" ht="13.5" customHeight="1" thickBot="1" x14ac:dyDescent="0.2">
      <c r="B277" s="328"/>
      <c r="C277" s="52" t="s">
        <v>51</v>
      </c>
      <c r="D277" s="74"/>
      <c r="E277" s="98"/>
      <c r="F277" s="105"/>
      <c r="G277" s="105"/>
      <c r="H277" s="105"/>
      <c r="I277" s="105"/>
      <c r="J277" s="105"/>
      <c r="K277" s="106"/>
      <c r="L277" s="207"/>
      <c r="M277" s="207"/>
      <c r="N277" s="98"/>
      <c r="O277" s="66"/>
      <c r="P277" s="98"/>
      <c r="Q277" s="66"/>
      <c r="R277" s="225"/>
      <c r="S277" s="161"/>
      <c r="T277" s="328"/>
      <c r="U277" s="52" t="s">
        <v>51</v>
      </c>
      <c r="V277" s="74"/>
      <c r="W277" s="98"/>
      <c r="X277" s="105"/>
      <c r="Y277" s="105"/>
      <c r="Z277" s="105"/>
      <c r="AA277" s="105"/>
      <c r="AB277" s="105"/>
      <c r="AC277" s="106"/>
      <c r="AD277" s="106"/>
      <c r="AE277" s="106"/>
      <c r="AF277" s="98"/>
      <c r="AG277" s="66"/>
      <c r="AH277" s="98"/>
      <c r="AI277" s="66"/>
      <c r="AJ277" s="225"/>
      <c r="AK277" s="169"/>
      <c r="AL277" s="328"/>
      <c r="AM277" s="213" t="str">
        <f t="shared" si="261"/>
        <v/>
      </c>
      <c r="AN277" s="214" t="str">
        <f t="shared" si="262"/>
        <v/>
      </c>
      <c r="AO277" s="214" t="str">
        <f t="shared" si="263"/>
        <v/>
      </c>
      <c r="AP277" s="214" t="str">
        <f t="shared" si="264"/>
        <v/>
      </c>
      <c r="AQ277" s="215" t="str">
        <f t="shared" si="265"/>
        <v/>
      </c>
      <c r="AR277" s="68"/>
      <c r="AS277" s="69"/>
      <c r="AT277" s="68"/>
    </row>
    <row r="278" spans="2:46" ht="13.5" customHeight="1" x14ac:dyDescent="0.15">
      <c r="B278" s="326" t="s">
        <v>140</v>
      </c>
      <c r="C278" s="50" t="s">
        <v>46</v>
      </c>
      <c r="D278" s="71"/>
      <c r="E278" s="93"/>
      <c r="F278" s="101"/>
      <c r="G278" s="101"/>
      <c r="H278" s="101"/>
      <c r="I278" s="101"/>
      <c r="J278" s="101"/>
      <c r="K278" s="102"/>
      <c r="L278" s="205"/>
      <c r="M278" s="205"/>
      <c r="N278" s="93"/>
      <c r="O278" s="51"/>
      <c r="P278" s="93"/>
      <c r="Q278" s="51"/>
      <c r="R278" s="224"/>
      <c r="S278" s="161"/>
      <c r="T278" s="326" t="s">
        <v>140</v>
      </c>
      <c r="U278" s="50" t="s">
        <v>46</v>
      </c>
      <c r="V278" s="71"/>
      <c r="W278" s="93"/>
      <c r="X278" s="101"/>
      <c r="Y278" s="101"/>
      <c r="Z278" s="101"/>
      <c r="AA278" s="101"/>
      <c r="AB278" s="101"/>
      <c r="AC278" s="102"/>
      <c r="AD278" s="102"/>
      <c r="AE278" s="102"/>
      <c r="AF278" s="93"/>
      <c r="AG278" s="51"/>
      <c r="AH278" s="93"/>
      <c r="AI278" s="51"/>
      <c r="AJ278" s="224"/>
      <c r="AK278" s="169"/>
      <c r="AL278" s="326" t="s">
        <v>140</v>
      </c>
      <c r="AM278" s="210" t="str">
        <f>IF(OR(X278="",F278=""),"",X278-F278)</f>
        <v/>
      </c>
      <c r="AN278" s="171" t="str">
        <f>IF(OR(Y278="",G278=""),"",Y278-G278)</f>
        <v/>
      </c>
      <c r="AO278" s="171" t="str">
        <f>IF(OR(Z278="",H278=""),"",Z278-H278)</f>
        <v/>
      </c>
      <c r="AP278" s="171" t="str">
        <f>IF(OR(AA278="",I278=""),"",AA278-I278)</f>
        <v/>
      </c>
      <c r="AQ278" s="211" t="str">
        <f>IF(OR(AB278="",J278=""),"",AB278-J278)</f>
        <v/>
      </c>
      <c r="AR278" s="68"/>
      <c r="AS278" s="69"/>
      <c r="AT278" s="68"/>
    </row>
    <row r="279" spans="2:46" ht="13.5" customHeight="1" x14ac:dyDescent="0.15">
      <c r="B279" s="327"/>
      <c r="C279" s="52" t="s">
        <v>47</v>
      </c>
      <c r="D279" s="73"/>
      <c r="E279" s="95"/>
      <c r="F279" s="103"/>
      <c r="G279" s="103"/>
      <c r="H279" s="103"/>
      <c r="I279" s="103"/>
      <c r="J279" s="103"/>
      <c r="K279" s="104"/>
      <c r="L279" s="206"/>
      <c r="M279" s="206"/>
      <c r="N279" s="95"/>
      <c r="O279" s="53"/>
      <c r="P279" s="95"/>
      <c r="Q279" s="53"/>
      <c r="R279" s="225"/>
      <c r="S279" s="161"/>
      <c r="T279" s="327"/>
      <c r="U279" s="52" t="s">
        <v>47</v>
      </c>
      <c r="V279" s="73"/>
      <c r="W279" s="95"/>
      <c r="X279" s="103"/>
      <c r="Y279" s="103"/>
      <c r="Z279" s="103"/>
      <c r="AA279" s="103"/>
      <c r="AB279" s="103"/>
      <c r="AC279" s="104"/>
      <c r="AD279" s="104"/>
      <c r="AE279" s="104"/>
      <c r="AF279" s="95"/>
      <c r="AG279" s="53"/>
      <c r="AH279" s="95"/>
      <c r="AI279" s="53"/>
      <c r="AJ279" s="225"/>
      <c r="AK279" s="169"/>
      <c r="AL279" s="327"/>
      <c r="AM279" s="150" t="str">
        <f t="shared" ref="AM279:AM282" si="266">IF(OR(X279="",F279=""),"",X279-F279)</f>
        <v/>
      </c>
      <c r="AN279" s="212" t="str">
        <f t="shared" ref="AN279:AN282" si="267">IF(OR(Y279="",G279=""),"",Y279-G279)</f>
        <v/>
      </c>
      <c r="AO279" s="212" t="str">
        <f t="shared" ref="AO279:AO282" si="268">IF(OR(Z279="",H279=""),"",Z279-H279)</f>
        <v/>
      </c>
      <c r="AP279" s="212" t="str">
        <f t="shared" ref="AP279:AP282" si="269">IF(OR(AA279="",I279=""),"",AA279-I279)</f>
        <v/>
      </c>
      <c r="AQ279" s="151" t="str">
        <f t="shared" ref="AQ279:AQ282" si="270">IF(OR(AB279="",J279=""),"",AB279-J279)</f>
        <v/>
      </c>
      <c r="AR279" s="68"/>
      <c r="AS279" s="69"/>
      <c r="AT279" s="68"/>
    </row>
    <row r="280" spans="2:46" ht="13.5" customHeight="1" x14ac:dyDescent="0.15">
      <c r="B280" s="327"/>
      <c r="C280" s="52" t="s">
        <v>48</v>
      </c>
      <c r="D280" s="73"/>
      <c r="E280" s="95"/>
      <c r="F280" s="103"/>
      <c r="G280" s="103"/>
      <c r="H280" s="103"/>
      <c r="I280" s="103"/>
      <c r="J280" s="103"/>
      <c r="K280" s="104"/>
      <c r="L280" s="206"/>
      <c r="M280" s="206"/>
      <c r="N280" s="95"/>
      <c r="O280" s="53"/>
      <c r="P280" s="95"/>
      <c r="Q280" s="53"/>
      <c r="R280" s="225"/>
      <c r="S280" s="161"/>
      <c r="T280" s="327"/>
      <c r="U280" s="52" t="s">
        <v>48</v>
      </c>
      <c r="V280" s="73"/>
      <c r="W280" s="95"/>
      <c r="X280" s="103"/>
      <c r="Y280" s="103"/>
      <c r="Z280" s="103"/>
      <c r="AA280" s="103"/>
      <c r="AB280" s="103"/>
      <c r="AC280" s="104"/>
      <c r="AD280" s="104"/>
      <c r="AE280" s="104"/>
      <c r="AF280" s="95"/>
      <c r="AG280" s="53"/>
      <c r="AH280" s="95"/>
      <c r="AI280" s="53"/>
      <c r="AJ280" s="225"/>
      <c r="AK280" s="169"/>
      <c r="AL280" s="327"/>
      <c r="AM280" s="150" t="str">
        <f t="shared" si="266"/>
        <v/>
      </c>
      <c r="AN280" s="212" t="str">
        <f t="shared" si="267"/>
        <v/>
      </c>
      <c r="AO280" s="212" t="str">
        <f t="shared" si="268"/>
        <v/>
      </c>
      <c r="AP280" s="212" t="str">
        <f t="shared" si="269"/>
        <v/>
      </c>
      <c r="AQ280" s="151" t="str">
        <f t="shared" si="270"/>
        <v/>
      </c>
      <c r="AR280" s="68"/>
      <c r="AS280" s="69"/>
      <c r="AT280" s="68"/>
    </row>
    <row r="281" spans="2:46" ht="13.5" customHeight="1" x14ac:dyDescent="0.15">
      <c r="B281" s="327"/>
      <c r="C281" s="52" t="s">
        <v>50</v>
      </c>
      <c r="D281" s="73"/>
      <c r="E281" s="95"/>
      <c r="F281" s="103"/>
      <c r="G281" s="103"/>
      <c r="H281" s="103"/>
      <c r="I281" s="103"/>
      <c r="J281" s="103"/>
      <c r="K281" s="104"/>
      <c r="L281" s="206"/>
      <c r="M281" s="206"/>
      <c r="N281" s="95"/>
      <c r="O281" s="53"/>
      <c r="P281" s="95"/>
      <c r="Q281" s="53"/>
      <c r="R281" s="225"/>
      <c r="S281" s="161"/>
      <c r="T281" s="327"/>
      <c r="U281" s="52" t="s">
        <v>50</v>
      </c>
      <c r="V281" s="73"/>
      <c r="W281" s="95"/>
      <c r="X281" s="103"/>
      <c r="Y281" s="103"/>
      <c r="Z281" s="103"/>
      <c r="AA281" s="103"/>
      <c r="AB281" s="103"/>
      <c r="AC281" s="104"/>
      <c r="AD281" s="104"/>
      <c r="AE281" s="104"/>
      <c r="AF281" s="95"/>
      <c r="AG281" s="53"/>
      <c r="AH281" s="95"/>
      <c r="AI281" s="53"/>
      <c r="AJ281" s="225"/>
      <c r="AK281" s="169"/>
      <c r="AL281" s="327"/>
      <c r="AM281" s="150" t="str">
        <f t="shared" si="266"/>
        <v/>
      </c>
      <c r="AN281" s="212" t="str">
        <f t="shared" si="267"/>
        <v/>
      </c>
      <c r="AO281" s="212" t="str">
        <f t="shared" si="268"/>
        <v/>
      </c>
      <c r="AP281" s="212" t="str">
        <f t="shared" si="269"/>
        <v/>
      </c>
      <c r="AQ281" s="151" t="str">
        <f t="shared" si="270"/>
        <v/>
      </c>
      <c r="AR281" s="68"/>
      <c r="AS281" s="69"/>
      <c r="AT281" s="68"/>
    </row>
    <row r="282" spans="2:46" ht="13.5" customHeight="1" thickBot="1" x14ac:dyDescent="0.2">
      <c r="B282" s="328"/>
      <c r="C282" s="52" t="s">
        <v>51</v>
      </c>
      <c r="D282" s="74"/>
      <c r="E282" s="98"/>
      <c r="F282" s="105"/>
      <c r="G282" s="105"/>
      <c r="H282" s="105"/>
      <c r="I282" s="105"/>
      <c r="J282" s="105"/>
      <c r="K282" s="106"/>
      <c r="L282" s="207"/>
      <c r="M282" s="207"/>
      <c r="N282" s="98"/>
      <c r="O282" s="66"/>
      <c r="P282" s="98"/>
      <c r="Q282" s="66"/>
      <c r="R282" s="225"/>
      <c r="S282" s="161"/>
      <c r="T282" s="328"/>
      <c r="U282" s="52" t="s">
        <v>51</v>
      </c>
      <c r="V282" s="74"/>
      <c r="W282" s="98"/>
      <c r="X282" s="105"/>
      <c r="Y282" s="105"/>
      <c r="Z282" s="105"/>
      <c r="AA282" s="105"/>
      <c r="AB282" s="105"/>
      <c r="AC282" s="106"/>
      <c r="AD282" s="106"/>
      <c r="AE282" s="106"/>
      <c r="AF282" s="98"/>
      <c r="AG282" s="66"/>
      <c r="AH282" s="98"/>
      <c r="AI282" s="66"/>
      <c r="AJ282" s="225"/>
      <c r="AK282" s="169"/>
      <c r="AL282" s="328"/>
      <c r="AM282" s="213" t="str">
        <f t="shared" si="266"/>
        <v/>
      </c>
      <c r="AN282" s="214" t="str">
        <f t="shared" si="267"/>
        <v/>
      </c>
      <c r="AO282" s="214" t="str">
        <f t="shared" si="268"/>
        <v/>
      </c>
      <c r="AP282" s="214" t="str">
        <f t="shared" si="269"/>
        <v/>
      </c>
      <c r="AQ282" s="215" t="str">
        <f t="shared" si="270"/>
        <v/>
      </c>
      <c r="AR282" s="68"/>
      <c r="AS282" s="69"/>
      <c r="AT282" s="68"/>
    </row>
    <row r="283" spans="2:46" ht="13.5" customHeight="1" x14ac:dyDescent="0.15">
      <c r="B283" s="326" t="s">
        <v>141</v>
      </c>
      <c r="C283" s="50" t="s">
        <v>46</v>
      </c>
      <c r="D283" s="71"/>
      <c r="E283" s="93"/>
      <c r="F283" s="101"/>
      <c r="G283" s="101"/>
      <c r="H283" s="101"/>
      <c r="I283" s="101"/>
      <c r="J283" s="101"/>
      <c r="K283" s="102"/>
      <c r="L283" s="205"/>
      <c r="M283" s="205"/>
      <c r="N283" s="93"/>
      <c r="O283" s="51"/>
      <c r="P283" s="93"/>
      <c r="Q283" s="51"/>
      <c r="R283" s="224"/>
      <c r="S283" s="161"/>
      <c r="T283" s="326" t="s">
        <v>141</v>
      </c>
      <c r="U283" s="50" t="s">
        <v>46</v>
      </c>
      <c r="V283" s="71"/>
      <c r="W283" s="93"/>
      <c r="X283" s="101"/>
      <c r="Y283" s="101"/>
      <c r="Z283" s="101"/>
      <c r="AA283" s="101"/>
      <c r="AB283" s="101"/>
      <c r="AC283" s="102"/>
      <c r="AD283" s="102"/>
      <c r="AE283" s="102"/>
      <c r="AF283" s="93"/>
      <c r="AG283" s="51"/>
      <c r="AH283" s="93"/>
      <c r="AI283" s="51"/>
      <c r="AJ283" s="224"/>
      <c r="AK283" s="169"/>
      <c r="AL283" s="326" t="s">
        <v>141</v>
      </c>
      <c r="AM283" s="210" t="str">
        <f>IF(OR(X283="",F283=""),"",X283-F283)</f>
        <v/>
      </c>
      <c r="AN283" s="171" t="str">
        <f>IF(OR(Y283="",G283=""),"",Y283-G283)</f>
        <v/>
      </c>
      <c r="AO283" s="171" t="str">
        <f>IF(OR(Z283="",H283=""),"",Z283-H283)</f>
        <v/>
      </c>
      <c r="AP283" s="171" t="str">
        <f>IF(OR(AA283="",I283=""),"",AA283-I283)</f>
        <v/>
      </c>
      <c r="AQ283" s="211" t="str">
        <f>IF(OR(AB283="",J283=""),"",AB283-J283)</f>
        <v/>
      </c>
      <c r="AR283" s="68"/>
      <c r="AS283" s="69"/>
      <c r="AT283" s="68"/>
    </row>
    <row r="284" spans="2:46" ht="13.5" customHeight="1" x14ac:dyDescent="0.15">
      <c r="B284" s="327"/>
      <c r="C284" s="52" t="s">
        <v>47</v>
      </c>
      <c r="D284" s="73"/>
      <c r="E284" s="95"/>
      <c r="F284" s="103"/>
      <c r="G284" s="103"/>
      <c r="H284" s="103"/>
      <c r="I284" s="103"/>
      <c r="J284" s="103"/>
      <c r="K284" s="104"/>
      <c r="L284" s="206"/>
      <c r="M284" s="206"/>
      <c r="N284" s="95"/>
      <c r="O284" s="53"/>
      <c r="P284" s="95"/>
      <c r="Q284" s="53"/>
      <c r="R284" s="225"/>
      <c r="S284" s="161"/>
      <c r="T284" s="327"/>
      <c r="U284" s="52" t="s">
        <v>47</v>
      </c>
      <c r="V284" s="73"/>
      <c r="W284" s="95"/>
      <c r="X284" s="103"/>
      <c r="Y284" s="103"/>
      <c r="Z284" s="103"/>
      <c r="AA284" s="103"/>
      <c r="AB284" s="103"/>
      <c r="AC284" s="104"/>
      <c r="AD284" s="104"/>
      <c r="AE284" s="104"/>
      <c r="AF284" s="95"/>
      <c r="AG284" s="53"/>
      <c r="AH284" s="95"/>
      <c r="AI284" s="53"/>
      <c r="AJ284" s="225"/>
      <c r="AK284" s="169"/>
      <c r="AL284" s="327"/>
      <c r="AM284" s="150" t="str">
        <f t="shared" ref="AM284:AM287" si="271">IF(OR(X284="",F284=""),"",X284-F284)</f>
        <v/>
      </c>
      <c r="AN284" s="212" t="str">
        <f t="shared" ref="AN284:AN287" si="272">IF(OR(Y284="",G284=""),"",Y284-G284)</f>
        <v/>
      </c>
      <c r="AO284" s="212" t="str">
        <f t="shared" ref="AO284:AO287" si="273">IF(OR(Z284="",H284=""),"",Z284-H284)</f>
        <v/>
      </c>
      <c r="AP284" s="212" t="str">
        <f t="shared" ref="AP284:AP287" si="274">IF(OR(AA284="",I284=""),"",AA284-I284)</f>
        <v/>
      </c>
      <c r="AQ284" s="151" t="str">
        <f t="shared" ref="AQ284:AQ287" si="275">IF(OR(AB284="",J284=""),"",AB284-J284)</f>
        <v/>
      </c>
      <c r="AR284" s="68"/>
      <c r="AS284" s="69"/>
      <c r="AT284" s="68"/>
    </row>
    <row r="285" spans="2:46" ht="13.5" customHeight="1" x14ac:dyDescent="0.15">
      <c r="B285" s="327"/>
      <c r="C285" s="52" t="s">
        <v>48</v>
      </c>
      <c r="D285" s="73"/>
      <c r="E285" s="95"/>
      <c r="F285" s="103"/>
      <c r="G285" s="103"/>
      <c r="H285" s="103"/>
      <c r="I285" s="103"/>
      <c r="J285" s="103"/>
      <c r="K285" s="104"/>
      <c r="L285" s="206"/>
      <c r="M285" s="206"/>
      <c r="N285" s="95"/>
      <c r="O285" s="53"/>
      <c r="P285" s="95"/>
      <c r="Q285" s="53"/>
      <c r="R285" s="225"/>
      <c r="S285" s="161"/>
      <c r="T285" s="327"/>
      <c r="U285" s="52" t="s">
        <v>48</v>
      </c>
      <c r="V285" s="73"/>
      <c r="W285" s="95"/>
      <c r="X285" s="103"/>
      <c r="Y285" s="103"/>
      <c r="Z285" s="103"/>
      <c r="AA285" s="103"/>
      <c r="AB285" s="103"/>
      <c r="AC285" s="104"/>
      <c r="AD285" s="104"/>
      <c r="AE285" s="104"/>
      <c r="AF285" s="95"/>
      <c r="AG285" s="53"/>
      <c r="AH285" s="95"/>
      <c r="AI285" s="53"/>
      <c r="AJ285" s="225"/>
      <c r="AK285" s="169"/>
      <c r="AL285" s="327"/>
      <c r="AM285" s="150" t="str">
        <f t="shared" si="271"/>
        <v/>
      </c>
      <c r="AN285" s="212" t="str">
        <f t="shared" si="272"/>
        <v/>
      </c>
      <c r="AO285" s="212" t="str">
        <f t="shared" si="273"/>
        <v/>
      </c>
      <c r="AP285" s="212" t="str">
        <f t="shared" si="274"/>
        <v/>
      </c>
      <c r="AQ285" s="151" t="str">
        <f t="shared" si="275"/>
        <v/>
      </c>
      <c r="AR285" s="68"/>
      <c r="AS285" s="69"/>
      <c r="AT285" s="68"/>
    </row>
    <row r="286" spans="2:46" ht="13.5" customHeight="1" x14ac:dyDescent="0.15">
      <c r="B286" s="327"/>
      <c r="C286" s="52" t="s">
        <v>50</v>
      </c>
      <c r="D286" s="73"/>
      <c r="E286" s="95"/>
      <c r="F286" s="103"/>
      <c r="G286" s="103"/>
      <c r="H286" s="103"/>
      <c r="I286" s="103"/>
      <c r="J286" s="103"/>
      <c r="K286" s="104"/>
      <c r="L286" s="206"/>
      <c r="M286" s="206"/>
      <c r="N286" s="95"/>
      <c r="O286" s="53"/>
      <c r="P286" s="95"/>
      <c r="Q286" s="53"/>
      <c r="R286" s="225"/>
      <c r="S286" s="161"/>
      <c r="T286" s="327"/>
      <c r="U286" s="52" t="s">
        <v>50</v>
      </c>
      <c r="V286" s="73"/>
      <c r="W286" s="95"/>
      <c r="X286" s="103"/>
      <c r="Y286" s="103"/>
      <c r="Z286" s="103"/>
      <c r="AA286" s="103"/>
      <c r="AB286" s="103"/>
      <c r="AC286" s="104"/>
      <c r="AD286" s="104"/>
      <c r="AE286" s="104"/>
      <c r="AF286" s="95"/>
      <c r="AG286" s="53"/>
      <c r="AH286" s="95"/>
      <c r="AI286" s="53"/>
      <c r="AJ286" s="225"/>
      <c r="AK286" s="169"/>
      <c r="AL286" s="327"/>
      <c r="AM286" s="150" t="str">
        <f t="shared" si="271"/>
        <v/>
      </c>
      <c r="AN286" s="212" t="str">
        <f t="shared" si="272"/>
        <v/>
      </c>
      <c r="AO286" s="212" t="str">
        <f t="shared" si="273"/>
        <v/>
      </c>
      <c r="AP286" s="212" t="str">
        <f t="shared" si="274"/>
        <v/>
      </c>
      <c r="AQ286" s="151" t="str">
        <f t="shared" si="275"/>
        <v/>
      </c>
      <c r="AR286" s="68"/>
      <c r="AS286" s="69"/>
      <c r="AT286" s="68"/>
    </row>
    <row r="287" spans="2:46" ht="13.5" customHeight="1" thickBot="1" x14ac:dyDescent="0.2">
      <c r="B287" s="328"/>
      <c r="C287" s="54" t="s">
        <v>51</v>
      </c>
      <c r="D287" s="74"/>
      <c r="E287" s="98"/>
      <c r="F287" s="105"/>
      <c r="G287" s="105"/>
      <c r="H287" s="105"/>
      <c r="I287" s="105"/>
      <c r="J287" s="105"/>
      <c r="K287" s="106"/>
      <c r="L287" s="207"/>
      <c r="M287" s="207"/>
      <c r="N287" s="98"/>
      <c r="O287" s="66"/>
      <c r="P287" s="98"/>
      <c r="Q287" s="66"/>
      <c r="R287" s="226"/>
      <c r="S287" s="161"/>
      <c r="T287" s="328"/>
      <c r="U287" s="54" t="s">
        <v>51</v>
      </c>
      <c r="V287" s="74"/>
      <c r="W287" s="98"/>
      <c r="X287" s="105"/>
      <c r="Y287" s="105"/>
      <c r="Z287" s="105"/>
      <c r="AA287" s="105"/>
      <c r="AB287" s="105"/>
      <c r="AC287" s="106"/>
      <c r="AD287" s="106"/>
      <c r="AE287" s="106"/>
      <c r="AF287" s="98"/>
      <c r="AG287" s="66"/>
      <c r="AH287" s="98"/>
      <c r="AI287" s="66"/>
      <c r="AJ287" s="226"/>
      <c r="AK287" s="169"/>
      <c r="AL287" s="328"/>
      <c r="AM287" s="213" t="str">
        <f t="shared" si="271"/>
        <v/>
      </c>
      <c r="AN287" s="214" t="str">
        <f t="shared" si="272"/>
        <v/>
      </c>
      <c r="AO287" s="214" t="str">
        <f t="shared" si="273"/>
        <v/>
      </c>
      <c r="AP287" s="214" t="str">
        <f t="shared" si="274"/>
        <v/>
      </c>
      <c r="AQ287" s="215" t="str">
        <f t="shared" si="275"/>
        <v/>
      </c>
      <c r="AR287" s="68"/>
      <c r="AS287" s="69"/>
      <c r="AT287" s="68"/>
    </row>
    <row r="288" spans="2:46" ht="13.5" customHeight="1" x14ac:dyDescent="0.15">
      <c r="B288" s="326" t="s">
        <v>142</v>
      </c>
      <c r="C288" s="50" t="s">
        <v>46</v>
      </c>
      <c r="D288" s="71"/>
      <c r="E288" s="93"/>
      <c r="F288" s="101"/>
      <c r="G288" s="101"/>
      <c r="H288" s="101"/>
      <c r="I288" s="101"/>
      <c r="J288" s="101"/>
      <c r="K288" s="102"/>
      <c r="L288" s="205"/>
      <c r="M288" s="205"/>
      <c r="N288" s="93"/>
      <c r="O288" s="51"/>
      <c r="P288" s="93"/>
      <c r="Q288" s="51"/>
      <c r="R288" s="224"/>
      <c r="S288" s="161"/>
      <c r="T288" s="326" t="s">
        <v>142</v>
      </c>
      <c r="U288" s="50" t="s">
        <v>46</v>
      </c>
      <c r="V288" s="71"/>
      <c r="W288" s="93"/>
      <c r="X288" s="101"/>
      <c r="Y288" s="101"/>
      <c r="Z288" s="101"/>
      <c r="AA288" s="101"/>
      <c r="AB288" s="101"/>
      <c r="AC288" s="102"/>
      <c r="AD288" s="102"/>
      <c r="AE288" s="102"/>
      <c r="AF288" s="93"/>
      <c r="AG288" s="51"/>
      <c r="AH288" s="93"/>
      <c r="AI288" s="51"/>
      <c r="AJ288" s="224"/>
      <c r="AK288" s="169"/>
      <c r="AL288" s="326" t="s">
        <v>142</v>
      </c>
      <c r="AM288" s="210" t="str">
        <f>IF(OR(X288="",F288=""),"",X288-F288)</f>
        <v/>
      </c>
      <c r="AN288" s="171" t="str">
        <f>IF(OR(Y288="",G288=""),"",Y288-G288)</f>
        <v/>
      </c>
      <c r="AO288" s="171" t="str">
        <f>IF(OR(Z288="",H288=""),"",Z288-H288)</f>
        <v/>
      </c>
      <c r="AP288" s="171" t="str">
        <f>IF(OR(AA288="",I288=""),"",AA288-I288)</f>
        <v/>
      </c>
      <c r="AQ288" s="211" t="str">
        <f>IF(OR(AB288="",J288=""),"",AB288-J288)</f>
        <v/>
      </c>
      <c r="AR288" s="68"/>
      <c r="AS288" s="69"/>
      <c r="AT288" s="68"/>
    </row>
    <row r="289" spans="2:46" ht="13.5" customHeight="1" x14ac:dyDescent="0.15">
      <c r="B289" s="327"/>
      <c r="C289" s="52" t="s">
        <v>47</v>
      </c>
      <c r="D289" s="73"/>
      <c r="E289" s="95"/>
      <c r="F289" s="103"/>
      <c r="G289" s="103"/>
      <c r="H289" s="103"/>
      <c r="I289" s="103"/>
      <c r="J289" s="103"/>
      <c r="K289" s="104"/>
      <c r="L289" s="206"/>
      <c r="M289" s="206"/>
      <c r="N289" s="95"/>
      <c r="O289" s="53"/>
      <c r="P289" s="95"/>
      <c r="Q289" s="53"/>
      <c r="R289" s="225"/>
      <c r="S289" s="161"/>
      <c r="T289" s="327"/>
      <c r="U289" s="52" t="s">
        <v>47</v>
      </c>
      <c r="V289" s="73"/>
      <c r="W289" s="95"/>
      <c r="X289" s="103"/>
      <c r="Y289" s="103"/>
      <c r="Z289" s="103"/>
      <c r="AA289" s="103"/>
      <c r="AB289" s="103"/>
      <c r="AC289" s="104"/>
      <c r="AD289" s="104"/>
      <c r="AE289" s="104"/>
      <c r="AF289" s="95"/>
      <c r="AG289" s="53"/>
      <c r="AH289" s="95"/>
      <c r="AI289" s="53"/>
      <c r="AJ289" s="225"/>
      <c r="AK289" s="169"/>
      <c r="AL289" s="327"/>
      <c r="AM289" s="150" t="str">
        <f t="shared" ref="AM289:AM292" si="276">IF(OR(X289="",F289=""),"",X289-F289)</f>
        <v/>
      </c>
      <c r="AN289" s="212" t="str">
        <f t="shared" ref="AN289:AN292" si="277">IF(OR(Y289="",G289=""),"",Y289-G289)</f>
        <v/>
      </c>
      <c r="AO289" s="212" t="str">
        <f t="shared" ref="AO289:AO292" si="278">IF(OR(Z289="",H289=""),"",Z289-H289)</f>
        <v/>
      </c>
      <c r="AP289" s="212" t="str">
        <f t="shared" ref="AP289:AP292" si="279">IF(OR(AA289="",I289=""),"",AA289-I289)</f>
        <v/>
      </c>
      <c r="AQ289" s="151" t="str">
        <f t="shared" ref="AQ289:AQ292" si="280">IF(OR(AB289="",J289=""),"",AB289-J289)</f>
        <v/>
      </c>
      <c r="AR289" s="68"/>
      <c r="AS289" s="69"/>
      <c r="AT289" s="68"/>
    </row>
    <row r="290" spans="2:46" ht="13.5" customHeight="1" x14ac:dyDescent="0.15">
      <c r="B290" s="327"/>
      <c r="C290" s="52" t="s">
        <v>48</v>
      </c>
      <c r="D290" s="73"/>
      <c r="E290" s="95"/>
      <c r="F290" s="103"/>
      <c r="G290" s="103"/>
      <c r="H290" s="103"/>
      <c r="I290" s="103"/>
      <c r="J290" s="103"/>
      <c r="K290" s="104"/>
      <c r="L290" s="206"/>
      <c r="M290" s="206"/>
      <c r="N290" s="95"/>
      <c r="O290" s="53"/>
      <c r="P290" s="95"/>
      <c r="Q290" s="53"/>
      <c r="R290" s="225"/>
      <c r="S290" s="161"/>
      <c r="T290" s="327"/>
      <c r="U290" s="52" t="s">
        <v>48</v>
      </c>
      <c r="V290" s="73"/>
      <c r="W290" s="95"/>
      <c r="X290" s="103"/>
      <c r="Y290" s="103"/>
      <c r="Z290" s="103"/>
      <c r="AA290" s="103"/>
      <c r="AB290" s="103"/>
      <c r="AC290" s="104"/>
      <c r="AD290" s="104"/>
      <c r="AE290" s="104"/>
      <c r="AF290" s="95"/>
      <c r="AG290" s="53"/>
      <c r="AH290" s="95"/>
      <c r="AI290" s="53"/>
      <c r="AJ290" s="225"/>
      <c r="AK290" s="169"/>
      <c r="AL290" s="327"/>
      <c r="AM290" s="150" t="str">
        <f t="shared" si="276"/>
        <v/>
      </c>
      <c r="AN290" s="212" t="str">
        <f t="shared" si="277"/>
        <v/>
      </c>
      <c r="AO290" s="212" t="str">
        <f t="shared" si="278"/>
        <v/>
      </c>
      <c r="AP290" s="212" t="str">
        <f t="shared" si="279"/>
        <v/>
      </c>
      <c r="AQ290" s="151" t="str">
        <f t="shared" si="280"/>
        <v/>
      </c>
      <c r="AR290" s="68"/>
      <c r="AS290" s="69"/>
      <c r="AT290" s="68"/>
    </row>
    <row r="291" spans="2:46" ht="13.5" customHeight="1" x14ac:dyDescent="0.15">
      <c r="B291" s="327"/>
      <c r="C291" s="52" t="s">
        <v>50</v>
      </c>
      <c r="D291" s="73"/>
      <c r="E291" s="95"/>
      <c r="F291" s="103"/>
      <c r="G291" s="103"/>
      <c r="H291" s="103"/>
      <c r="I291" s="103"/>
      <c r="J291" s="103"/>
      <c r="K291" s="104"/>
      <c r="L291" s="206"/>
      <c r="M291" s="206"/>
      <c r="N291" s="95"/>
      <c r="O291" s="53"/>
      <c r="P291" s="95"/>
      <c r="Q291" s="53"/>
      <c r="R291" s="225"/>
      <c r="S291" s="161"/>
      <c r="T291" s="327"/>
      <c r="U291" s="52" t="s">
        <v>50</v>
      </c>
      <c r="V291" s="73"/>
      <c r="W291" s="95"/>
      <c r="X291" s="103"/>
      <c r="Y291" s="103"/>
      <c r="Z291" s="103"/>
      <c r="AA291" s="103"/>
      <c r="AB291" s="103"/>
      <c r="AC291" s="104"/>
      <c r="AD291" s="104"/>
      <c r="AE291" s="104"/>
      <c r="AF291" s="95"/>
      <c r="AG291" s="53"/>
      <c r="AH291" s="95"/>
      <c r="AI291" s="53"/>
      <c r="AJ291" s="225"/>
      <c r="AK291" s="169"/>
      <c r="AL291" s="327"/>
      <c r="AM291" s="150" t="str">
        <f t="shared" si="276"/>
        <v/>
      </c>
      <c r="AN291" s="212" t="str">
        <f t="shared" si="277"/>
        <v/>
      </c>
      <c r="AO291" s="212" t="str">
        <f t="shared" si="278"/>
        <v/>
      </c>
      <c r="AP291" s="212" t="str">
        <f t="shared" si="279"/>
        <v/>
      </c>
      <c r="AQ291" s="151" t="str">
        <f t="shared" si="280"/>
        <v/>
      </c>
      <c r="AR291" s="68"/>
      <c r="AS291" s="69"/>
      <c r="AT291" s="68"/>
    </row>
    <row r="292" spans="2:46" ht="13.5" customHeight="1" thickBot="1" x14ac:dyDescent="0.2">
      <c r="B292" s="328"/>
      <c r="C292" s="52" t="s">
        <v>51</v>
      </c>
      <c r="D292" s="74"/>
      <c r="E292" s="98"/>
      <c r="F292" s="105"/>
      <c r="G292" s="105"/>
      <c r="H292" s="105"/>
      <c r="I292" s="105"/>
      <c r="J292" s="105"/>
      <c r="K292" s="106"/>
      <c r="L292" s="207"/>
      <c r="M292" s="207"/>
      <c r="N292" s="98"/>
      <c r="O292" s="66"/>
      <c r="P292" s="98"/>
      <c r="Q292" s="66"/>
      <c r="R292" s="225"/>
      <c r="S292" s="161"/>
      <c r="T292" s="328"/>
      <c r="U292" s="52" t="s">
        <v>51</v>
      </c>
      <c r="V292" s="74"/>
      <c r="W292" s="98"/>
      <c r="X292" s="105"/>
      <c r="Y292" s="105"/>
      <c r="Z292" s="105"/>
      <c r="AA292" s="105"/>
      <c r="AB292" s="105"/>
      <c r="AC292" s="106"/>
      <c r="AD292" s="106"/>
      <c r="AE292" s="106"/>
      <c r="AF292" s="98"/>
      <c r="AG292" s="66"/>
      <c r="AH292" s="98"/>
      <c r="AI292" s="66"/>
      <c r="AJ292" s="225"/>
      <c r="AK292" s="169"/>
      <c r="AL292" s="328"/>
      <c r="AM292" s="213" t="str">
        <f t="shared" si="276"/>
        <v/>
      </c>
      <c r="AN292" s="214" t="str">
        <f t="shared" si="277"/>
        <v/>
      </c>
      <c r="AO292" s="214" t="str">
        <f t="shared" si="278"/>
        <v/>
      </c>
      <c r="AP292" s="214" t="str">
        <f t="shared" si="279"/>
        <v/>
      </c>
      <c r="AQ292" s="215" t="str">
        <f t="shared" si="280"/>
        <v/>
      </c>
      <c r="AR292" s="68"/>
      <c r="AS292" s="69"/>
      <c r="AT292" s="68"/>
    </row>
    <row r="293" spans="2:46" ht="13.5" customHeight="1" x14ac:dyDescent="0.15">
      <c r="B293" s="326" t="s">
        <v>143</v>
      </c>
      <c r="C293" s="50" t="s">
        <v>46</v>
      </c>
      <c r="D293" s="71"/>
      <c r="E293" s="93"/>
      <c r="F293" s="101"/>
      <c r="G293" s="101"/>
      <c r="H293" s="101"/>
      <c r="I293" s="101"/>
      <c r="J293" s="101"/>
      <c r="K293" s="102"/>
      <c r="L293" s="205"/>
      <c r="M293" s="205"/>
      <c r="N293" s="93"/>
      <c r="O293" s="51"/>
      <c r="P293" s="93"/>
      <c r="Q293" s="51"/>
      <c r="R293" s="224"/>
      <c r="S293" s="161"/>
      <c r="T293" s="326" t="s">
        <v>143</v>
      </c>
      <c r="U293" s="50" t="s">
        <v>46</v>
      </c>
      <c r="V293" s="71"/>
      <c r="W293" s="93"/>
      <c r="X293" s="101"/>
      <c r="Y293" s="101"/>
      <c r="Z293" s="101"/>
      <c r="AA293" s="101"/>
      <c r="AB293" s="101"/>
      <c r="AC293" s="102"/>
      <c r="AD293" s="102"/>
      <c r="AE293" s="102"/>
      <c r="AF293" s="93"/>
      <c r="AG293" s="51"/>
      <c r="AH293" s="93"/>
      <c r="AI293" s="51"/>
      <c r="AJ293" s="224"/>
      <c r="AK293" s="169"/>
      <c r="AL293" s="326" t="s">
        <v>143</v>
      </c>
      <c r="AM293" s="210" t="str">
        <f>IF(OR(X293="",F293=""),"",X293-F293)</f>
        <v/>
      </c>
      <c r="AN293" s="171" t="str">
        <f>IF(OR(Y293="",G293=""),"",Y293-G293)</f>
        <v/>
      </c>
      <c r="AO293" s="171" t="str">
        <f>IF(OR(Z293="",H293=""),"",Z293-H293)</f>
        <v/>
      </c>
      <c r="AP293" s="171" t="str">
        <f>IF(OR(AA293="",I293=""),"",AA293-I293)</f>
        <v/>
      </c>
      <c r="AQ293" s="211" t="str">
        <f>IF(OR(AB293="",J293=""),"",AB293-J293)</f>
        <v/>
      </c>
      <c r="AR293" s="68"/>
      <c r="AS293" s="69"/>
      <c r="AT293" s="68"/>
    </row>
    <row r="294" spans="2:46" ht="13.5" customHeight="1" x14ac:dyDescent="0.15">
      <c r="B294" s="327"/>
      <c r="C294" s="52" t="s">
        <v>47</v>
      </c>
      <c r="D294" s="73"/>
      <c r="E294" s="95"/>
      <c r="F294" s="103"/>
      <c r="G294" s="103"/>
      <c r="H294" s="103"/>
      <c r="I294" s="103"/>
      <c r="J294" s="103"/>
      <c r="K294" s="104"/>
      <c r="L294" s="206"/>
      <c r="M294" s="206"/>
      <c r="N294" s="95"/>
      <c r="O294" s="53"/>
      <c r="P294" s="95"/>
      <c r="Q294" s="53"/>
      <c r="R294" s="225"/>
      <c r="S294" s="161"/>
      <c r="T294" s="327"/>
      <c r="U294" s="52" t="s">
        <v>47</v>
      </c>
      <c r="V294" s="73"/>
      <c r="W294" s="95"/>
      <c r="X294" s="103"/>
      <c r="Y294" s="103"/>
      <c r="Z294" s="103"/>
      <c r="AA294" s="103"/>
      <c r="AB294" s="103"/>
      <c r="AC294" s="104"/>
      <c r="AD294" s="104"/>
      <c r="AE294" s="104"/>
      <c r="AF294" s="95"/>
      <c r="AG294" s="53"/>
      <c r="AH294" s="95"/>
      <c r="AI294" s="53"/>
      <c r="AJ294" s="225"/>
      <c r="AK294" s="169"/>
      <c r="AL294" s="327"/>
      <c r="AM294" s="150" t="str">
        <f t="shared" ref="AM294:AM297" si="281">IF(OR(X294="",F294=""),"",X294-F294)</f>
        <v/>
      </c>
      <c r="AN294" s="212" t="str">
        <f t="shared" ref="AN294:AN297" si="282">IF(OR(Y294="",G294=""),"",Y294-G294)</f>
        <v/>
      </c>
      <c r="AO294" s="212" t="str">
        <f t="shared" ref="AO294:AO297" si="283">IF(OR(Z294="",H294=""),"",Z294-H294)</f>
        <v/>
      </c>
      <c r="AP294" s="212" t="str">
        <f t="shared" ref="AP294:AP297" si="284">IF(OR(AA294="",I294=""),"",AA294-I294)</f>
        <v/>
      </c>
      <c r="AQ294" s="151" t="str">
        <f t="shared" ref="AQ294:AQ297" si="285">IF(OR(AB294="",J294=""),"",AB294-J294)</f>
        <v/>
      </c>
      <c r="AR294" s="68"/>
      <c r="AS294" s="69"/>
      <c r="AT294" s="68"/>
    </row>
    <row r="295" spans="2:46" ht="13.5" customHeight="1" x14ac:dyDescent="0.15">
      <c r="B295" s="327"/>
      <c r="C295" s="52" t="s">
        <v>48</v>
      </c>
      <c r="D295" s="73"/>
      <c r="E295" s="95"/>
      <c r="F295" s="103"/>
      <c r="G295" s="103"/>
      <c r="H295" s="103"/>
      <c r="I295" s="103"/>
      <c r="J295" s="103"/>
      <c r="K295" s="104"/>
      <c r="L295" s="206"/>
      <c r="M295" s="206"/>
      <c r="N295" s="95"/>
      <c r="O295" s="53"/>
      <c r="P295" s="95"/>
      <c r="Q295" s="53"/>
      <c r="R295" s="225"/>
      <c r="S295" s="161"/>
      <c r="T295" s="327"/>
      <c r="U295" s="52" t="s">
        <v>48</v>
      </c>
      <c r="V295" s="73"/>
      <c r="W295" s="95"/>
      <c r="X295" s="103"/>
      <c r="Y295" s="103"/>
      <c r="Z295" s="103"/>
      <c r="AA295" s="103"/>
      <c r="AB295" s="103"/>
      <c r="AC295" s="104"/>
      <c r="AD295" s="104"/>
      <c r="AE295" s="104"/>
      <c r="AF295" s="95"/>
      <c r="AG295" s="53"/>
      <c r="AH295" s="95"/>
      <c r="AI295" s="53"/>
      <c r="AJ295" s="225"/>
      <c r="AK295" s="169"/>
      <c r="AL295" s="327"/>
      <c r="AM295" s="150" t="str">
        <f t="shared" si="281"/>
        <v/>
      </c>
      <c r="AN295" s="212" t="str">
        <f t="shared" si="282"/>
        <v/>
      </c>
      <c r="AO295" s="212" t="str">
        <f t="shared" si="283"/>
        <v/>
      </c>
      <c r="AP295" s="212" t="str">
        <f t="shared" si="284"/>
        <v/>
      </c>
      <c r="AQ295" s="151" t="str">
        <f t="shared" si="285"/>
        <v/>
      </c>
      <c r="AR295" s="68"/>
      <c r="AS295" s="69"/>
      <c r="AT295" s="68"/>
    </row>
    <row r="296" spans="2:46" ht="13.5" customHeight="1" x14ac:dyDescent="0.15">
      <c r="B296" s="327"/>
      <c r="C296" s="52" t="s">
        <v>50</v>
      </c>
      <c r="D296" s="73"/>
      <c r="E296" s="95"/>
      <c r="F296" s="103"/>
      <c r="G296" s="103"/>
      <c r="H296" s="103"/>
      <c r="I296" s="103"/>
      <c r="J296" s="103"/>
      <c r="K296" s="104"/>
      <c r="L296" s="206"/>
      <c r="M296" s="206"/>
      <c r="N296" s="95"/>
      <c r="O296" s="53"/>
      <c r="P296" s="95"/>
      <c r="Q296" s="53"/>
      <c r="R296" s="225"/>
      <c r="S296" s="161"/>
      <c r="T296" s="327"/>
      <c r="U296" s="52" t="s">
        <v>50</v>
      </c>
      <c r="V296" s="73"/>
      <c r="W296" s="95"/>
      <c r="X296" s="103"/>
      <c r="Y296" s="103"/>
      <c r="Z296" s="103"/>
      <c r="AA296" s="103"/>
      <c r="AB296" s="103"/>
      <c r="AC296" s="104"/>
      <c r="AD296" s="104"/>
      <c r="AE296" s="104"/>
      <c r="AF296" s="95"/>
      <c r="AG296" s="53"/>
      <c r="AH296" s="95"/>
      <c r="AI296" s="53"/>
      <c r="AJ296" s="225"/>
      <c r="AK296" s="169"/>
      <c r="AL296" s="327"/>
      <c r="AM296" s="150" t="str">
        <f t="shared" si="281"/>
        <v/>
      </c>
      <c r="AN296" s="212" t="str">
        <f t="shared" si="282"/>
        <v/>
      </c>
      <c r="AO296" s="212" t="str">
        <f t="shared" si="283"/>
        <v/>
      </c>
      <c r="AP296" s="212" t="str">
        <f t="shared" si="284"/>
        <v/>
      </c>
      <c r="AQ296" s="151" t="str">
        <f t="shared" si="285"/>
        <v/>
      </c>
      <c r="AR296" s="68"/>
      <c r="AS296" s="69"/>
      <c r="AT296" s="68"/>
    </row>
    <row r="297" spans="2:46" ht="13.5" customHeight="1" thickBot="1" x14ac:dyDescent="0.2">
      <c r="B297" s="328"/>
      <c r="C297" s="52" t="s">
        <v>51</v>
      </c>
      <c r="D297" s="74"/>
      <c r="E297" s="98"/>
      <c r="F297" s="105"/>
      <c r="G297" s="105"/>
      <c r="H297" s="105"/>
      <c r="I297" s="105"/>
      <c r="J297" s="105"/>
      <c r="K297" s="106"/>
      <c r="L297" s="207"/>
      <c r="M297" s="207"/>
      <c r="N297" s="98"/>
      <c r="O297" s="66"/>
      <c r="P297" s="98"/>
      <c r="Q297" s="66"/>
      <c r="R297" s="225"/>
      <c r="S297" s="161"/>
      <c r="T297" s="328"/>
      <c r="U297" s="52" t="s">
        <v>51</v>
      </c>
      <c r="V297" s="74"/>
      <c r="W297" s="98"/>
      <c r="X297" s="105"/>
      <c r="Y297" s="105"/>
      <c r="Z297" s="105"/>
      <c r="AA297" s="105"/>
      <c r="AB297" s="105"/>
      <c r="AC297" s="106"/>
      <c r="AD297" s="106"/>
      <c r="AE297" s="106"/>
      <c r="AF297" s="98"/>
      <c r="AG297" s="66"/>
      <c r="AH297" s="98"/>
      <c r="AI297" s="66"/>
      <c r="AJ297" s="225"/>
      <c r="AK297" s="169"/>
      <c r="AL297" s="328"/>
      <c r="AM297" s="213" t="str">
        <f t="shared" si="281"/>
        <v/>
      </c>
      <c r="AN297" s="214" t="str">
        <f t="shared" si="282"/>
        <v/>
      </c>
      <c r="AO297" s="214" t="str">
        <f t="shared" si="283"/>
        <v/>
      </c>
      <c r="AP297" s="214" t="str">
        <f t="shared" si="284"/>
        <v/>
      </c>
      <c r="AQ297" s="215" t="str">
        <f t="shared" si="285"/>
        <v/>
      </c>
      <c r="AR297" s="68"/>
      <c r="AS297" s="69"/>
      <c r="AT297" s="68"/>
    </row>
    <row r="298" spans="2:46" ht="13.5" customHeight="1" x14ac:dyDescent="0.15">
      <c r="B298" s="326" t="s">
        <v>144</v>
      </c>
      <c r="C298" s="50" t="s">
        <v>46</v>
      </c>
      <c r="D298" s="71"/>
      <c r="E298" s="93"/>
      <c r="F298" s="101"/>
      <c r="G298" s="101"/>
      <c r="H298" s="101"/>
      <c r="I298" s="101"/>
      <c r="J298" s="101"/>
      <c r="K298" s="102"/>
      <c r="L298" s="205"/>
      <c r="M298" s="205"/>
      <c r="N298" s="93"/>
      <c r="O298" s="51"/>
      <c r="P298" s="93"/>
      <c r="Q298" s="51"/>
      <c r="R298" s="224"/>
      <c r="S298" s="161"/>
      <c r="T298" s="326" t="s">
        <v>144</v>
      </c>
      <c r="U298" s="50" t="s">
        <v>46</v>
      </c>
      <c r="V298" s="71"/>
      <c r="W298" s="93"/>
      <c r="X298" s="101"/>
      <c r="Y298" s="101"/>
      <c r="Z298" s="101"/>
      <c r="AA298" s="101"/>
      <c r="AB298" s="101"/>
      <c r="AC298" s="102"/>
      <c r="AD298" s="102"/>
      <c r="AE298" s="102"/>
      <c r="AF298" s="93"/>
      <c r="AG298" s="51"/>
      <c r="AH298" s="93"/>
      <c r="AI298" s="51"/>
      <c r="AJ298" s="224"/>
      <c r="AK298" s="169"/>
      <c r="AL298" s="326" t="s">
        <v>144</v>
      </c>
      <c r="AM298" s="210" t="str">
        <f>IF(OR(X298="",F298=""),"",X298-F298)</f>
        <v/>
      </c>
      <c r="AN298" s="171" t="str">
        <f>IF(OR(Y298="",G298=""),"",Y298-G298)</f>
        <v/>
      </c>
      <c r="AO298" s="171" t="str">
        <f>IF(OR(Z298="",H298=""),"",Z298-H298)</f>
        <v/>
      </c>
      <c r="AP298" s="171" t="str">
        <f>IF(OR(AA298="",I298=""),"",AA298-I298)</f>
        <v/>
      </c>
      <c r="AQ298" s="211" t="str">
        <f>IF(OR(AB298="",J298=""),"",AB298-J298)</f>
        <v/>
      </c>
      <c r="AR298" s="68"/>
      <c r="AS298" s="69"/>
      <c r="AT298" s="68"/>
    </row>
    <row r="299" spans="2:46" ht="13.5" customHeight="1" x14ac:dyDescent="0.15">
      <c r="B299" s="327"/>
      <c r="C299" s="52" t="s">
        <v>47</v>
      </c>
      <c r="D299" s="73"/>
      <c r="E299" s="95"/>
      <c r="F299" s="103"/>
      <c r="G299" s="103"/>
      <c r="H299" s="103"/>
      <c r="I299" s="103"/>
      <c r="J299" s="103"/>
      <c r="K299" s="104"/>
      <c r="L299" s="206"/>
      <c r="M299" s="206"/>
      <c r="N299" s="95"/>
      <c r="O299" s="53"/>
      <c r="P299" s="95"/>
      <c r="Q299" s="53"/>
      <c r="R299" s="225"/>
      <c r="S299" s="161"/>
      <c r="T299" s="327"/>
      <c r="U299" s="52" t="s">
        <v>47</v>
      </c>
      <c r="V299" s="73"/>
      <c r="W299" s="95"/>
      <c r="X299" s="103"/>
      <c r="Y299" s="103"/>
      <c r="Z299" s="103"/>
      <c r="AA299" s="103"/>
      <c r="AB299" s="103"/>
      <c r="AC299" s="104"/>
      <c r="AD299" s="104"/>
      <c r="AE299" s="104"/>
      <c r="AF299" s="95"/>
      <c r="AG299" s="53"/>
      <c r="AH299" s="95"/>
      <c r="AI299" s="53"/>
      <c r="AJ299" s="225"/>
      <c r="AK299" s="169"/>
      <c r="AL299" s="327"/>
      <c r="AM299" s="150" t="str">
        <f t="shared" ref="AM299:AM302" si="286">IF(OR(X299="",F299=""),"",X299-F299)</f>
        <v/>
      </c>
      <c r="AN299" s="212" t="str">
        <f t="shared" ref="AN299:AN302" si="287">IF(OR(Y299="",G299=""),"",Y299-G299)</f>
        <v/>
      </c>
      <c r="AO299" s="212" t="str">
        <f t="shared" ref="AO299:AO302" si="288">IF(OR(Z299="",H299=""),"",Z299-H299)</f>
        <v/>
      </c>
      <c r="AP299" s="212" t="str">
        <f t="shared" ref="AP299:AP302" si="289">IF(OR(AA299="",I299=""),"",AA299-I299)</f>
        <v/>
      </c>
      <c r="AQ299" s="151" t="str">
        <f t="shared" ref="AQ299:AQ302" si="290">IF(OR(AB299="",J299=""),"",AB299-J299)</f>
        <v/>
      </c>
      <c r="AR299" s="68"/>
      <c r="AS299" s="69"/>
      <c r="AT299" s="68"/>
    </row>
    <row r="300" spans="2:46" ht="13.5" customHeight="1" x14ac:dyDescent="0.15">
      <c r="B300" s="327"/>
      <c r="C300" s="52" t="s">
        <v>48</v>
      </c>
      <c r="D300" s="73"/>
      <c r="E300" s="95"/>
      <c r="F300" s="103"/>
      <c r="G300" s="103"/>
      <c r="H300" s="103"/>
      <c r="I300" s="103"/>
      <c r="J300" s="103"/>
      <c r="K300" s="104"/>
      <c r="L300" s="206"/>
      <c r="M300" s="206"/>
      <c r="N300" s="95"/>
      <c r="O300" s="53"/>
      <c r="P300" s="95"/>
      <c r="Q300" s="53"/>
      <c r="R300" s="225"/>
      <c r="S300" s="161"/>
      <c r="T300" s="327"/>
      <c r="U300" s="52" t="s">
        <v>48</v>
      </c>
      <c r="V300" s="73"/>
      <c r="W300" s="95"/>
      <c r="X300" s="103"/>
      <c r="Y300" s="103"/>
      <c r="Z300" s="103"/>
      <c r="AA300" s="103"/>
      <c r="AB300" s="103"/>
      <c r="AC300" s="104"/>
      <c r="AD300" s="104"/>
      <c r="AE300" s="104"/>
      <c r="AF300" s="95"/>
      <c r="AG300" s="53"/>
      <c r="AH300" s="95"/>
      <c r="AI300" s="53"/>
      <c r="AJ300" s="225"/>
      <c r="AK300" s="169"/>
      <c r="AL300" s="327"/>
      <c r="AM300" s="150" t="str">
        <f t="shared" si="286"/>
        <v/>
      </c>
      <c r="AN300" s="212" t="str">
        <f t="shared" si="287"/>
        <v/>
      </c>
      <c r="AO300" s="212" t="str">
        <f t="shared" si="288"/>
        <v/>
      </c>
      <c r="AP300" s="212" t="str">
        <f t="shared" si="289"/>
        <v/>
      </c>
      <c r="AQ300" s="151" t="str">
        <f t="shared" si="290"/>
        <v/>
      </c>
      <c r="AR300" s="68"/>
      <c r="AS300" s="69"/>
      <c r="AT300" s="68"/>
    </row>
    <row r="301" spans="2:46" ht="13.5" customHeight="1" x14ac:dyDescent="0.15">
      <c r="B301" s="327"/>
      <c r="C301" s="52" t="s">
        <v>50</v>
      </c>
      <c r="D301" s="73"/>
      <c r="E301" s="95"/>
      <c r="F301" s="103"/>
      <c r="G301" s="103"/>
      <c r="H301" s="103"/>
      <c r="I301" s="103"/>
      <c r="J301" s="103"/>
      <c r="K301" s="104"/>
      <c r="L301" s="206"/>
      <c r="M301" s="206"/>
      <c r="N301" s="95"/>
      <c r="O301" s="53"/>
      <c r="P301" s="95"/>
      <c r="Q301" s="53"/>
      <c r="R301" s="225"/>
      <c r="S301" s="161"/>
      <c r="T301" s="327"/>
      <c r="U301" s="52" t="s">
        <v>50</v>
      </c>
      <c r="V301" s="73"/>
      <c r="W301" s="95"/>
      <c r="X301" s="103"/>
      <c r="Y301" s="103"/>
      <c r="Z301" s="103"/>
      <c r="AA301" s="103"/>
      <c r="AB301" s="103"/>
      <c r="AC301" s="104"/>
      <c r="AD301" s="104"/>
      <c r="AE301" s="104"/>
      <c r="AF301" s="95"/>
      <c r="AG301" s="53"/>
      <c r="AH301" s="95"/>
      <c r="AI301" s="53"/>
      <c r="AJ301" s="225"/>
      <c r="AK301" s="169"/>
      <c r="AL301" s="327"/>
      <c r="AM301" s="150" t="str">
        <f t="shared" si="286"/>
        <v/>
      </c>
      <c r="AN301" s="212" t="str">
        <f t="shared" si="287"/>
        <v/>
      </c>
      <c r="AO301" s="212" t="str">
        <f t="shared" si="288"/>
        <v/>
      </c>
      <c r="AP301" s="212" t="str">
        <f t="shared" si="289"/>
        <v/>
      </c>
      <c r="AQ301" s="151" t="str">
        <f t="shared" si="290"/>
        <v/>
      </c>
      <c r="AR301" s="68"/>
      <c r="AS301" s="69"/>
      <c r="AT301" s="68"/>
    </row>
    <row r="302" spans="2:46" ht="13.5" customHeight="1" thickBot="1" x14ac:dyDescent="0.2">
      <c r="B302" s="328"/>
      <c r="C302" s="52" t="s">
        <v>51</v>
      </c>
      <c r="D302" s="74"/>
      <c r="E302" s="98"/>
      <c r="F302" s="105"/>
      <c r="G302" s="105"/>
      <c r="H302" s="105"/>
      <c r="I302" s="105"/>
      <c r="J302" s="105"/>
      <c r="K302" s="106"/>
      <c r="L302" s="207"/>
      <c r="M302" s="207"/>
      <c r="N302" s="98"/>
      <c r="O302" s="66"/>
      <c r="P302" s="98"/>
      <c r="Q302" s="66"/>
      <c r="R302" s="225"/>
      <c r="S302" s="161"/>
      <c r="T302" s="328"/>
      <c r="U302" s="52" t="s">
        <v>51</v>
      </c>
      <c r="V302" s="74"/>
      <c r="W302" s="98"/>
      <c r="X302" s="105"/>
      <c r="Y302" s="105"/>
      <c r="Z302" s="105"/>
      <c r="AA302" s="105"/>
      <c r="AB302" s="105"/>
      <c r="AC302" s="106"/>
      <c r="AD302" s="106"/>
      <c r="AE302" s="106"/>
      <c r="AF302" s="98"/>
      <c r="AG302" s="66"/>
      <c r="AH302" s="98"/>
      <c r="AI302" s="66"/>
      <c r="AJ302" s="225"/>
      <c r="AK302" s="169"/>
      <c r="AL302" s="328"/>
      <c r="AM302" s="213" t="str">
        <f t="shared" si="286"/>
        <v/>
      </c>
      <c r="AN302" s="214" t="str">
        <f t="shared" si="287"/>
        <v/>
      </c>
      <c r="AO302" s="214" t="str">
        <f t="shared" si="288"/>
        <v/>
      </c>
      <c r="AP302" s="214" t="str">
        <f t="shared" si="289"/>
        <v/>
      </c>
      <c r="AQ302" s="215" t="str">
        <f t="shared" si="290"/>
        <v/>
      </c>
      <c r="AR302" s="68"/>
      <c r="AS302" s="69"/>
      <c r="AT302" s="68"/>
    </row>
    <row r="303" spans="2:46" ht="13.5" customHeight="1" x14ac:dyDescent="0.15">
      <c r="B303" s="326" t="s">
        <v>145</v>
      </c>
      <c r="C303" s="50" t="s">
        <v>46</v>
      </c>
      <c r="D303" s="71"/>
      <c r="E303" s="93"/>
      <c r="F303" s="101"/>
      <c r="G303" s="101"/>
      <c r="H303" s="101"/>
      <c r="I303" s="101"/>
      <c r="J303" s="101"/>
      <c r="K303" s="102"/>
      <c r="L303" s="205"/>
      <c r="M303" s="205"/>
      <c r="N303" s="93"/>
      <c r="O303" s="51"/>
      <c r="P303" s="93"/>
      <c r="Q303" s="51"/>
      <c r="R303" s="224"/>
      <c r="S303" s="161"/>
      <c r="T303" s="326" t="s">
        <v>145</v>
      </c>
      <c r="U303" s="50" t="s">
        <v>46</v>
      </c>
      <c r="V303" s="71"/>
      <c r="W303" s="93"/>
      <c r="X303" s="101"/>
      <c r="Y303" s="101"/>
      <c r="Z303" s="101"/>
      <c r="AA303" s="101"/>
      <c r="AB303" s="101"/>
      <c r="AC303" s="102"/>
      <c r="AD303" s="102"/>
      <c r="AE303" s="102"/>
      <c r="AF303" s="93"/>
      <c r="AG303" s="51"/>
      <c r="AH303" s="93"/>
      <c r="AI303" s="51"/>
      <c r="AJ303" s="224"/>
      <c r="AK303" s="169"/>
      <c r="AL303" s="326" t="s">
        <v>145</v>
      </c>
      <c r="AM303" s="210" t="str">
        <f>IF(OR(X303="",F303=""),"",X303-F303)</f>
        <v/>
      </c>
      <c r="AN303" s="171" t="str">
        <f>IF(OR(Y303="",G303=""),"",Y303-G303)</f>
        <v/>
      </c>
      <c r="AO303" s="171" t="str">
        <f>IF(OR(Z303="",H303=""),"",Z303-H303)</f>
        <v/>
      </c>
      <c r="AP303" s="171" t="str">
        <f>IF(OR(AA303="",I303=""),"",AA303-I303)</f>
        <v/>
      </c>
      <c r="AQ303" s="211" t="str">
        <f>IF(OR(AB303="",J303=""),"",AB303-J303)</f>
        <v/>
      </c>
      <c r="AR303" s="68"/>
      <c r="AS303" s="69"/>
      <c r="AT303" s="68"/>
    </row>
    <row r="304" spans="2:46" ht="13.5" customHeight="1" x14ac:dyDescent="0.15">
      <c r="B304" s="327"/>
      <c r="C304" s="52" t="s">
        <v>47</v>
      </c>
      <c r="D304" s="73"/>
      <c r="E304" s="95"/>
      <c r="F304" s="103"/>
      <c r="G304" s="103"/>
      <c r="H304" s="103"/>
      <c r="I304" s="103"/>
      <c r="J304" s="103"/>
      <c r="K304" s="104"/>
      <c r="L304" s="206"/>
      <c r="M304" s="206"/>
      <c r="N304" s="95"/>
      <c r="O304" s="53"/>
      <c r="P304" s="95"/>
      <c r="Q304" s="53"/>
      <c r="R304" s="225"/>
      <c r="S304" s="161"/>
      <c r="T304" s="327"/>
      <c r="U304" s="52" t="s">
        <v>47</v>
      </c>
      <c r="V304" s="73"/>
      <c r="W304" s="95"/>
      <c r="X304" s="103"/>
      <c r="Y304" s="103"/>
      <c r="Z304" s="103"/>
      <c r="AA304" s="103"/>
      <c r="AB304" s="103"/>
      <c r="AC304" s="104"/>
      <c r="AD304" s="104"/>
      <c r="AE304" s="104"/>
      <c r="AF304" s="95"/>
      <c r="AG304" s="53"/>
      <c r="AH304" s="95"/>
      <c r="AI304" s="53"/>
      <c r="AJ304" s="225"/>
      <c r="AK304" s="169"/>
      <c r="AL304" s="327"/>
      <c r="AM304" s="150" t="str">
        <f t="shared" ref="AM304:AM307" si="291">IF(OR(X304="",F304=""),"",X304-F304)</f>
        <v/>
      </c>
      <c r="AN304" s="212" t="str">
        <f t="shared" ref="AN304:AN307" si="292">IF(OR(Y304="",G304=""),"",Y304-G304)</f>
        <v/>
      </c>
      <c r="AO304" s="212" t="str">
        <f t="shared" ref="AO304:AO307" si="293">IF(OR(Z304="",H304=""),"",Z304-H304)</f>
        <v/>
      </c>
      <c r="AP304" s="212" t="str">
        <f t="shared" ref="AP304:AP307" si="294">IF(OR(AA304="",I304=""),"",AA304-I304)</f>
        <v/>
      </c>
      <c r="AQ304" s="151" t="str">
        <f t="shared" ref="AQ304:AQ307" si="295">IF(OR(AB304="",J304=""),"",AB304-J304)</f>
        <v/>
      </c>
      <c r="AR304" s="68"/>
      <c r="AS304" s="69"/>
      <c r="AT304" s="68"/>
    </row>
    <row r="305" spans="2:46" ht="13.5" customHeight="1" x14ac:dyDescent="0.15">
      <c r="B305" s="327"/>
      <c r="C305" s="52" t="s">
        <v>48</v>
      </c>
      <c r="D305" s="73"/>
      <c r="E305" s="95"/>
      <c r="F305" s="103"/>
      <c r="G305" s="103"/>
      <c r="H305" s="103"/>
      <c r="I305" s="103"/>
      <c r="J305" s="103"/>
      <c r="K305" s="104"/>
      <c r="L305" s="206"/>
      <c r="M305" s="206"/>
      <c r="N305" s="95"/>
      <c r="O305" s="53"/>
      <c r="P305" s="95"/>
      <c r="Q305" s="53"/>
      <c r="R305" s="225"/>
      <c r="S305" s="161"/>
      <c r="T305" s="327"/>
      <c r="U305" s="52" t="s">
        <v>48</v>
      </c>
      <c r="V305" s="73"/>
      <c r="W305" s="95"/>
      <c r="X305" s="103"/>
      <c r="Y305" s="103"/>
      <c r="Z305" s="103"/>
      <c r="AA305" s="103"/>
      <c r="AB305" s="103"/>
      <c r="AC305" s="104"/>
      <c r="AD305" s="104"/>
      <c r="AE305" s="104"/>
      <c r="AF305" s="95"/>
      <c r="AG305" s="53"/>
      <c r="AH305" s="95"/>
      <c r="AI305" s="53"/>
      <c r="AJ305" s="225"/>
      <c r="AK305" s="169"/>
      <c r="AL305" s="327"/>
      <c r="AM305" s="150" t="str">
        <f t="shared" si="291"/>
        <v/>
      </c>
      <c r="AN305" s="212" t="str">
        <f t="shared" si="292"/>
        <v/>
      </c>
      <c r="AO305" s="212" t="str">
        <f t="shared" si="293"/>
        <v/>
      </c>
      <c r="AP305" s="212" t="str">
        <f t="shared" si="294"/>
        <v/>
      </c>
      <c r="AQ305" s="151" t="str">
        <f t="shared" si="295"/>
        <v/>
      </c>
      <c r="AR305" s="68"/>
      <c r="AS305" s="69"/>
      <c r="AT305" s="68"/>
    </row>
    <row r="306" spans="2:46" ht="13.5" customHeight="1" x14ac:dyDescent="0.15">
      <c r="B306" s="327"/>
      <c r="C306" s="52" t="s">
        <v>50</v>
      </c>
      <c r="D306" s="73"/>
      <c r="E306" s="95"/>
      <c r="F306" s="103"/>
      <c r="G306" s="103"/>
      <c r="H306" s="103"/>
      <c r="I306" s="103"/>
      <c r="J306" s="103"/>
      <c r="K306" s="104"/>
      <c r="L306" s="206"/>
      <c r="M306" s="206"/>
      <c r="N306" s="95"/>
      <c r="O306" s="53"/>
      <c r="P306" s="95"/>
      <c r="Q306" s="53"/>
      <c r="R306" s="225"/>
      <c r="S306" s="161"/>
      <c r="T306" s="327"/>
      <c r="U306" s="52" t="s">
        <v>50</v>
      </c>
      <c r="V306" s="73"/>
      <c r="W306" s="95"/>
      <c r="X306" s="103"/>
      <c r="Y306" s="103"/>
      <c r="Z306" s="103"/>
      <c r="AA306" s="103"/>
      <c r="AB306" s="103"/>
      <c r="AC306" s="104"/>
      <c r="AD306" s="104"/>
      <c r="AE306" s="104"/>
      <c r="AF306" s="95"/>
      <c r="AG306" s="53"/>
      <c r="AH306" s="95"/>
      <c r="AI306" s="53"/>
      <c r="AJ306" s="225"/>
      <c r="AK306" s="169"/>
      <c r="AL306" s="327"/>
      <c r="AM306" s="150" t="str">
        <f t="shared" si="291"/>
        <v/>
      </c>
      <c r="AN306" s="212" t="str">
        <f t="shared" si="292"/>
        <v/>
      </c>
      <c r="AO306" s="212" t="str">
        <f t="shared" si="293"/>
        <v/>
      </c>
      <c r="AP306" s="212" t="str">
        <f t="shared" si="294"/>
        <v/>
      </c>
      <c r="AQ306" s="151" t="str">
        <f t="shared" si="295"/>
        <v/>
      </c>
      <c r="AR306" s="68"/>
      <c r="AS306" s="69"/>
      <c r="AT306" s="68"/>
    </row>
    <row r="307" spans="2:46" ht="13.5" customHeight="1" thickBot="1" x14ac:dyDescent="0.2">
      <c r="B307" s="328"/>
      <c r="C307" s="52" t="s">
        <v>51</v>
      </c>
      <c r="D307" s="74"/>
      <c r="E307" s="98"/>
      <c r="F307" s="105"/>
      <c r="G307" s="105"/>
      <c r="H307" s="105"/>
      <c r="I307" s="105"/>
      <c r="J307" s="105"/>
      <c r="K307" s="106"/>
      <c r="L307" s="207"/>
      <c r="M307" s="207"/>
      <c r="N307" s="98"/>
      <c r="O307" s="66"/>
      <c r="P307" s="98"/>
      <c r="Q307" s="66"/>
      <c r="R307" s="225"/>
      <c r="S307" s="161"/>
      <c r="T307" s="328"/>
      <c r="U307" s="52" t="s">
        <v>51</v>
      </c>
      <c r="V307" s="74"/>
      <c r="W307" s="98"/>
      <c r="X307" s="105"/>
      <c r="Y307" s="105"/>
      <c r="Z307" s="105"/>
      <c r="AA307" s="105"/>
      <c r="AB307" s="105"/>
      <c r="AC307" s="106"/>
      <c r="AD307" s="106"/>
      <c r="AE307" s="106"/>
      <c r="AF307" s="98"/>
      <c r="AG307" s="66"/>
      <c r="AH307" s="98"/>
      <c r="AI307" s="66"/>
      <c r="AJ307" s="225"/>
      <c r="AK307" s="169"/>
      <c r="AL307" s="328"/>
      <c r="AM307" s="213" t="str">
        <f t="shared" si="291"/>
        <v/>
      </c>
      <c r="AN307" s="214" t="str">
        <f t="shared" si="292"/>
        <v/>
      </c>
      <c r="AO307" s="214" t="str">
        <f t="shared" si="293"/>
        <v/>
      </c>
      <c r="AP307" s="214" t="str">
        <f t="shared" si="294"/>
        <v/>
      </c>
      <c r="AQ307" s="215" t="str">
        <f t="shared" si="295"/>
        <v/>
      </c>
      <c r="AR307" s="68"/>
      <c r="AS307" s="69"/>
      <c r="AT307" s="68"/>
    </row>
    <row r="308" spans="2:46" ht="13.5" customHeight="1" x14ac:dyDescent="0.15">
      <c r="B308" s="326" t="s">
        <v>146</v>
      </c>
      <c r="C308" s="50" t="s">
        <v>46</v>
      </c>
      <c r="D308" s="71"/>
      <c r="E308" s="93"/>
      <c r="F308" s="101"/>
      <c r="G308" s="101"/>
      <c r="H308" s="101"/>
      <c r="I308" s="101"/>
      <c r="J308" s="101"/>
      <c r="K308" s="102"/>
      <c r="L308" s="205"/>
      <c r="M308" s="205"/>
      <c r="N308" s="93"/>
      <c r="O308" s="51"/>
      <c r="P308" s="93"/>
      <c r="Q308" s="51"/>
      <c r="R308" s="224"/>
      <c r="S308" s="161"/>
      <c r="T308" s="326" t="s">
        <v>146</v>
      </c>
      <c r="U308" s="50" t="s">
        <v>46</v>
      </c>
      <c r="V308" s="71"/>
      <c r="W308" s="93"/>
      <c r="X308" s="101"/>
      <c r="Y308" s="101"/>
      <c r="Z308" s="101"/>
      <c r="AA308" s="101"/>
      <c r="AB308" s="101"/>
      <c r="AC308" s="102"/>
      <c r="AD308" s="102"/>
      <c r="AE308" s="102"/>
      <c r="AF308" s="93"/>
      <c r="AG308" s="51"/>
      <c r="AH308" s="93"/>
      <c r="AI308" s="51"/>
      <c r="AJ308" s="224"/>
      <c r="AK308" s="169"/>
      <c r="AL308" s="326" t="s">
        <v>146</v>
      </c>
      <c r="AM308" s="210" t="str">
        <f>IF(OR(X308="",F308=""),"",X308-F308)</f>
        <v/>
      </c>
      <c r="AN308" s="171" t="str">
        <f>IF(OR(Y308="",G308=""),"",Y308-G308)</f>
        <v/>
      </c>
      <c r="AO308" s="171" t="str">
        <f>IF(OR(Z308="",H308=""),"",Z308-H308)</f>
        <v/>
      </c>
      <c r="AP308" s="171" t="str">
        <f>IF(OR(AA308="",I308=""),"",AA308-I308)</f>
        <v/>
      </c>
      <c r="AQ308" s="211" t="str">
        <f>IF(OR(AB308="",J308=""),"",AB308-J308)</f>
        <v/>
      </c>
      <c r="AR308" s="68"/>
      <c r="AS308" s="69"/>
      <c r="AT308" s="68"/>
    </row>
    <row r="309" spans="2:46" ht="13.5" customHeight="1" x14ac:dyDescent="0.15">
      <c r="B309" s="327"/>
      <c r="C309" s="52" t="s">
        <v>47</v>
      </c>
      <c r="D309" s="73"/>
      <c r="E309" s="95"/>
      <c r="F309" s="103"/>
      <c r="G309" s="103"/>
      <c r="H309" s="103"/>
      <c r="I309" s="103"/>
      <c r="J309" s="103"/>
      <c r="K309" s="104"/>
      <c r="L309" s="206"/>
      <c r="M309" s="206"/>
      <c r="N309" s="95"/>
      <c r="O309" s="53"/>
      <c r="P309" s="95"/>
      <c r="Q309" s="53"/>
      <c r="R309" s="225"/>
      <c r="S309" s="161"/>
      <c r="T309" s="327"/>
      <c r="U309" s="52" t="s">
        <v>47</v>
      </c>
      <c r="V309" s="73"/>
      <c r="W309" s="95"/>
      <c r="X309" s="103"/>
      <c r="Y309" s="103"/>
      <c r="Z309" s="103"/>
      <c r="AA309" s="103"/>
      <c r="AB309" s="103"/>
      <c r="AC309" s="104"/>
      <c r="AD309" s="104"/>
      <c r="AE309" s="104"/>
      <c r="AF309" s="95"/>
      <c r="AG309" s="53"/>
      <c r="AH309" s="95"/>
      <c r="AI309" s="53"/>
      <c r="AJ309" s="225"/>
      <c r="AK309" s="169"/>
      <c r="AL309" s="327"/>
      <c r="AM309" s="150" t="str">
        <f t="shared" ref="AM309:AM312" si="296">IF(OR(X309="",F309=""),"",X309-F309)</f>
        <v/>
      </c>
      <c r="AN309" s="212" t="str">
        <f t="shared" ref="AN309:AN312" si="297">IF(OR(Y309="",G309=""),"",Y309-G309)</f>
        <v/>
      </c>
      <c r="AO309" s="212" t="str">
        <f t="shared" ref="AO309:AO312" si="298">IF(OR(Z309="",H309=""),"",Z309-H309)</f>
        <v/>
      </c>
      <c r="AP309" s="212" t="str">
        <f t="shared" ref="AP309:AP312" si="299">IF(OR(AA309="",I309=""),"",AA309-I309)</f>
        <v/>
      </c>
      <c r="AQ309" s="151" t="str">
        <f t="shared" ref="AQ309:AQ312" si="300">IF(OR(AB309="",J309=""),"",AB309-J309)</f>
        <v/>
      </c>
      <c r="AR309" s="68"/>
      <c r="AS309" s="69"/>
      <c r="AT309" s="68"/>
    </row>
    <row r="310" spans="2:46" ht="13.5" customHeight="1" x14ac:dyDescent="0.15">
      <c r="B310" s="327"/>
      <c r="C310" s="52" t="s">
        <v>48</v>
      </c>
      <c r="D310" s="73"/>
      <c r="E310" s="95"/>
      <c r="F310" s="103"/>
      <c r="G310" s="103"/>
      <c r="H310" s="103"/>
      <c r="I310" s="103"/>
      <c r="J310" s="103"/>
      <c r="K310" s="104"/>
      <c r="L310" s="206"/>
      <c r="M310" s="206"/>
      <c r="N310" s="95"/>
      <c r="O310" s="53"/>
      <c r="P310" s="95"/>
      <c r="Q310" s="53"/>
      <c r="R310" s="225"/>
      <c r="S310" s="161"/>
      <c r="T310" s="327"/>
      <c r="U310" s="52" t="s">
        <v>48</v>
      </c>
      <c r="V310" s="73"/>
      <c r="W310" s="95"/>
      <c r="X310" s="103"/>
      <c r="Y310" s="103"/>
      <c r="Z310" s="103"/>
      <c r="AA310" s="103"/>
      <c r="AB310" s="103"/>
      <c r="AC310" s="104"/>
      <c r="AD310" s="104"/>
      <c r="AE310" s="104"/>
      <c r="AF310" s="95"/>
      <c r="AG310" s="53"/>
      <c r="AH310" s="95"/>
      <c r="AI310" s="53"/>
      <c r="AJ310" s="225"/>
      <c r="AK310" s="169"/>
      <c r="AL310" s="327"/>
      <c r="AM310" s="150" t="str">
        <f t="shared" si="296"/>
        <v/>
      </c>
      <c r="AN310" s="212" t="str">
        <f t="shared" si="297"/>
        <v/>
      </c>
      <c r="AO310" s="212" t="str">
        <f t="shared" si="298"/>
        <v/>
      </c>
      <c r="AP310" s="212" t="str">
        <f t="shared" si="299"/>
        <v/>
      </c>
      <c r="AQ310" s="151" t="str">
        <f t="shared" si="300"/>
        <v/>
      </c>
      <c r="AR310" s="68"/>
      <c r="AS310" s="69"/>
      <c r="AT310" s="68"/>
    </row>
    <row r="311" spans="2:46" ht="13.5" customHeight="1" x14ac:dyDescent="0.15">
      <c r="B311" s="327"/>
      <c r="C311" s="52" t="s">
        <v>50</v>
      </c>
      <c r="D311" s="73"/>
      <c r="E311" s="95"/>
      <c r="F311" s="103"/>
      <c r="G311" s="103"/>
      <c r="H311" s="103"/>
      <c r="I311" s="103"/>
      <c r="J311" s="103"/>
      <c r="K311" s="104"/>
      <c r="L311" s="206"/>
      <c r="M311" s="206"/>
      <c r="N311" s="95"/>
      <c r="O311" s="53"/>
      <c r="P311" s="95"/>
      <c r="Q311" s="53"/>
      <c r="R311" s="225"/>
      <c r="S311" s="161"/>
      <c r="T311" s="327"/>
      <c r="U311" s="52" t="s">
        <v>50</v>
      </c>
      <c r="V311" s="73"/>
      <c r="W311" s="95"/>
      <c r="X311" s="103"/>
      <c r="Y311" s="103"/>
      <c r="Z311" s="103"/>
      <c r="AA311" s="103"/>
      <c r="AB311" s="103"/>
      <c r="AC311" s="104"/>
      <c r="AD311" s="104"/>
      <c r="AE311" s="104"/>
      <c r="AF311" s="95"/>
      <c r="AG311" s="53"/>
      <c r="AH311" s="95"/>
      <c r="AI311" s="53"/>
      <c r="AJ311" s="225"/>
      <c r="AK311" s="169"/>
      <c r="AL311" s="327"/>
      <c r="AM311" s="150" t="str">
        <f t="shared" si="296"/>
        <v/>
      </c>
      <c r="AN311" s="212" t="str">
        <f t="shared" si="297"/>
        <v/>
      </c>
      <c r="AO311" s="212" t="str">
        <f t="shared" si="298"/>
        <v/>
      </c>
      <c r="AP311" s="212" t="str">
        <f t="shared" si="299"/>
        <v/>
      </c>
      <c r="AQ311" s="151" t="str">
        <f t="shared" si="300"/>
        <v/>
      </c>
      <c r="AR311" s="68"/>
      <c r="AS311" s="69"/>
      <c r="AT311" s="68"/>
    </row>
    <row r="312" spans="2:46" ht="13.5" customHeight="1" thickBot="1" x14ac:dyDescent="0.2">
      <c r="B312" s="328"/>
      <c r="C312" s="54" t="s">
        <v>51</v>
      </c>
      <c r="D312" s="74"/>
      <c r="E312" s="98"/>
      <c r="F312" s="105"/>
      <c r="G312" s="105"/>
      <c r="H312" s="105"/>
      <c r="I312" s="105"/>
      <c r="J312" s="105"/>
      <c r="K312" s="106"/>
      <c r="L312" s="207"/>
      <c r="M312" s="207"/>
      <c r="N312" s="98"/>
      <c r="O312" s="66"/>
      <c r="P312" s="98"/>
      <c r="Q312" s="66"/>
      <c r="R312" s="226"/>
      <c r="S312" s="161"/>
      <c r="T312" s="328"/>
      <c r="U312" s="54" t="s">
        <v>51</v>
      </c>
      <c r="V312" s="74"/>
      <c r="W312" s="98"/>
      <c r="X312" s="105"/>
      <c r="Y312" s="105"/>
      <c r="Z312" s="105"/>
      <c r="AA312" s="105"/>
      <c r="AB312" s="105"/>
      <c r="AC312" s="106"/>
      <c r="AD312" s="106"/>
      <c r="AE312" s="106"/>
      <c r="AF312" s="98"/>
      <c r="AG312" s="66"/>
      <c r="AH312" s="98"/>
      <c r="AI312" s="66"/>
      <c r="AJ312" s="226"/>
      <c r="AK312" s="169"/>
      <c r="AL312" s="328"/>
      <c r="AM312" s="213" t="str">
        <f t="shared" si="296"/>
        <v/>
      </c>
      <c r="AN312" s="214" t="str">
        <f t="shared" si="297"/>
        <v/>
      </c>
      <c r="AO312" s="214" t="str">
        <f t="shared" si="298"/>
        <v/>
      </c>
      <c r="AP312" s="214" t="str">
        <f t="shared" si="299"/>
        <v/>
      </c>
      <c r="AQ312" s="215" t="str">
        <f t="shared" si="300"/>
        <v/>
      </c>
      <c r="AR312" s="68"/>
      <c r="AS312" s="69"/>
      <c r="AT312" s="68"/>
    </row>
    <row r="313" spans="2:46" ht="13.5" customHeight="1" x14ac:dyDescent="0.15">
      <c r="B313" s="326" t="s">
        <v>147</v>
      </c>
      <c r="C313" s="50" t="s">
        <v>46</v>
      </c>
      <c r="D313" s="71"/>
      <c r="E313" s="93"/>
      <c r="F313" s="101"/>
      <c r="G313" s="101"/>
      <c r="H313" s="101"/>
      <c r="I313" s="101"/>
      <c r="J313" s="101"/>
      <c r="K313" s="102"/>
      <c r="L313" s="205"/>
      <c r="M313" s="205"/>
      <c r="N313" s="93"/>
      <c r="O313" s="51"/>
      <c r="P313" s="93"/>
      <c r="Q313" s="51"/>
      <c r="R313" s="224"/>
      <c r="S313" s="161"/>
      <c r="T313" s="326" t="s">
        <v>147</v>
      </c>
      <c r="U313" s="50" t="s">
        <v>46</v>
      </c>
      <c r="V313" s="71"/>
      <c r="W313" s="93"/>
      <c r="X313" s="101"/>
      <c r="Y313" s="101"/>
      <c r="Z313" s="101"/>
      <c r="AA313" s="101"/>
      <c r="AB313" s="101"/>
      <c r="AC313" s="102"/>
      <c r="AD313" s="102"/>
      <c r="AE313" s="102"/>
      <c r="AF313" s="93"/>
      <c r="AG313" s="51"/>
      <c r="AH313" s="93"/>
      <c r="AI313" s="51"/>
      <c r="AJ313" s="224"/>
      <c r="AK313" s="169"/>
      <c r="AL313" s="326" t="s">
        <v>147</v>
      </c>
      <c r="AM313" s="210" t="str">
        <f>IF(OR(X313="",F313=""),"",X313-F313)</f>
        <v/>
      </c>
      <c r="AN313" s="171" t="str">
        <f>IF(OR(Y313="",G313=""),"",Y313-G313)</f>
        <v/>
      </c>
      <c r="AO313" s="171" t="str">
        <f>IF(OR(Z313="",H313=""),"",Z313-H313)</f>
        <v/>
      </c>
      <c r="AP313" s="171" t="str">
        <f>IF(OR(AA313="",I313=""),"",AA313-I313)</f>
        <v/>
      </c>
      <c r="AQ313" s="211" t="str">
        <f>IF(OR(AB313="",J313=""),"",AB313-J313)</f>
        <v/>
      </c>
      <c r="AR313" s="68"/>
      <c r="AS313" s="69"/>
      <c r="AT313" s="68"/>
    </row>
    <row r="314" spans="2:46" ht="13.5" customHeight="1" x14ac:dyDescent="0.15">
      <c r="B314" s="327"/>
      <c r="C314" s="52" t="s">
        <v>47</v>
      </c>
      <c r="D314" s="73"/>
      <c r="E314" s="95"/>
      <c r="F314" s="103"/>
      <c r="G314" s="103"/>
      <c r="H314" s="103"/>
      <c r="I314" s="103"/>
      <c r="J314" s="103"/>
      <c r="K314" s="104"/>
      <c r="L314" s="206"/>
      <c r="M314" s="206"/>
      <c r="N314" s="95"/>
      <c r="O314" s="53"/>
      <c r="P314" s="95"/>
      <c r="Q314" s="53"/>
      <c r="R314" s="225"/>
      <c r="S314" s="161"/>
      <c r="T314" s="327"/>
      <c r="U314" s="52" t="s">
        <v>47</v>
      </c>
      <c r="V314" s="73"/>
      <c r="W314" s="95"/>
      <c r="X314" s="103"/>
      <c r="Y314" s="103"/>
      <c r="Z314" s="103"/>
      <c r="AA314" s="103"/>
      <c r="AB314" s="103"/>
      <c r="AC314" s="104"/>
      <c r="AD314" s="104"/>
      <c r="AE314" s="104"/>
      <c r="AF314" s="95"/>
      <c r="AG314" s="53"/>
      <c r="AH314" s="95"/>
      <c r="AI314" s="53"/>
      <c r="AJ314" s="225"/>
      <c r="AK314" s="169"/>
      <c r="AL314" s="327"/>
      <c r="AM314" s="150" t="str">
        <f t="shared" ref="AM314:AM317" si="301">IF(OR(X314="",F314=""),"",X314-F314)</f>
        <v/>
      </c>
      <c r="AN314" s="212" t="str">
        <f t="shared" ref="AN314:AN317" si="302">IF(OR(Y314="",G314=""),"",Y314-G314)</f>
        <v/>
      </c>
      <c r="AO314" s="212" t="str">
        <f t="shared" ref="AO314:AO317" si="303">IF(OR(Z314="",H314=""),"",Z314-H314)</f>
        <v/>
      </c>
      <c r="AP314" s="212" t="str">
        <f t="shared" ref="AP314:AP317" si="304">IF(OR(AA314="",I314=""),"",AA314-I314)</f>
        <v/>
      </c>
      <c r="AQ314" s="151" t="str">
        <f t="shared" ref="AQ314:AQ317" si="305">IF(OR(AB314="",J314=""),"",AB314-J314)</f>
        <v/>
      </c>
      <c r="AR314" s="68"/>
      <c r="AS314" s="69"/>
      <c r="AT314" s="68"/>
    </row>
    <row r="315" spans="2:46" ht="13.5" customHeight="1" x14ac:dyDescent="0.15">
      <c r="B315" s="327"/>
      <c r="C315" s="52" t="s">
        <v>48</v>
      </c>
      <c r="D315" s="73"/>
      <c r="E315" s="95"/>
      <c r="F315" s="103"/>
      <c r="G315" s="103"/>
      <c r="H315" s="103"/>
      <c r="I315" s="103"/>
      <c r="J315" s="103"/>
      <c r="K315" s="104"/>
      <c r="L315" s="206"/>
      <c r="M315" s="206"/>
      <c r="N315" s="95"/>
      <c r="O315" s="53"/>
      <c r="P315" s="95"/>
      <c r="Q315" s="53"/>
      <c r="R315" s="225"/>
      <c r="S315" s="161"/>
      <c r="T315" s="327"/>
      <c r="U315" s="52" t="s">
        <v>48</v>
      </c>
      <c r="V315" s="73"/>
      <c r="W315" s="95"/>
      <c r="X315" s="103"/>
      <c r="Y315" s="103"/>
      <c r="Z315" s="103"/>
      <c r="AA315" s="103"/>
      <c r="AB315" s="103"/>
      <c r="AC315" s="104"/>
      <c r="AD315" s="104"/>
      <c r="AE315" s="104"/>
      <c r="AF315" s="95"/>
      <c r="AG315" s="53"/>
      <c r="AH315" s="95"/>
      <c r="AI315" s="53"/>
      <c r="AJ315" s="225"/>
      <c r="AK315" s="169"/>
      <c r="AL315" s="327"/>
      <c r="AM315" s="150" t="str">
        <f t="shared" si="301"/>
        <v/>
      </c>
      <c r="AN315" s="212" t="str">
        <f t="shared" si="302"/>
        <v/>
      </c>
      <c r="AO315" s="212" t="str">
        <f t="shared" si="303"/>
        <v/>
      </c>
      <c r="AP315" s="212" t="str">
        <f t="shared" si="304"/>
        <v/>
      </c>
      <c r="AQ315" s="151" t="str">
        <f t="shared" si="305"/>
        <v/>
      </c>
      <c r="AR315" s="68"/>
      <c r="AS315" s="69"/>
      <c r="AT315" s="68"/>
    </row>
    <row r="316" spans="2:46" ht="13.5" customHeight="1" x14ac:dyDescent="0.15">
      <c r="B316" s="327"/>
      <c r="C316" s="52" t="s">
        <v>50</v>
      </c>
      <c r="D316" s="73"/>
      <c r="E316" s="95"/>
      <c r="F316" s="103"/>
      <c r="G316" s="103"/>
      <c r="H316" s="103"/>
      <c r="I316" s="103"/>
      <c r="J316" s="103"/>
      <c r="K316" s="104"/>
      <c r="L316" s="206"/>
      <c r="M316" s="206"/>
      <c r="N316" s="95"/>
      <c r="O316" s="53"/>
      <c r="P316" s="95"/>
      <c r="Q316" s="53"/>
      <c r="R316" s="225"/>
      <c r="S316" s="161"/>
      <c r="T316" s="327"/>
      <c r="U316" s="52" t="s">
        <v>50</v>
      </c>
      <c r="V316" s="73"/>
      <c r="W316" s="95"/>
      <c r="X316" s="103"/>
      <c r="Y316" s="103"/>
      <c r="Z316" s="103"/>
      <c r="AA316" s="103"/>
      <c r="AB316" s="103"/>
      <c r="AC316" s="104"/>
      <c r="AD316" s="104"/>
      <c r="AE316" s="104"/>
      <c r="AF316" s="95"/>
      <c r="AG316" s="53"/>
      <c r="AH316" s="95"/>
      <c r="AI316" s="53"/>
      <c r="AJ316" s="225"/>
      <c r="AK316" s="169"/>
      <c r="AL316" s="327"/>
      <c r="AM316" s="150" t="str">
        <f t="shared" si="301"/>
        <v/>
      </c>
      <c r="AN316" s="212" t="str">
        <f t="shared" si="302"/>
        <v/>
      </c>
      <c r="AO316" s="212" t="str">
        <f t="shared" si="303"/>
        <v/>
      </c>
      <c r="AP316" s="212" t="str">
        <f t="shared" si="304"/>
        <v/>
      </c>
      <c r="AQ316" s="151" t="str">
        <f t="shared" si="305"/>
        <v/>
      </c>
      <c r="AR316" s="68"/>
      <c r="AS316" s="69"/>
      <c r="AT316" s="68"/>
    </row>
    <row r="317" spans="2:46" ht="13.5" customHeight="1" thickBot="1" x14ac:dyDescent="0.2">
      <c r="B317" s="328"/>
      <c r="C317" s="52" t="s">
        <v>51</v>
      </c>
      <c r="D317" s="74"/>
      <c r="E317" s="98"/>
      <c r="F317" s="105"/>
      <c r="G317" s="105"/>
      <c r="H317" s="105"/>
      <c r="I317" s="105"/>
      <c r="J317" s="105"/>
      <c r="K317" s="106"/>
      <c r="L317" s="207"/>
      <c r="M317" s="207"/>
      <c r="N317" s="98"/>
      <c r="O317" s="66"/>
      <c r="P317" s="98"/>
      <c r="Q317" s="66"/>
      <c r="R317" s="225"/>
      <c r="S317" s="161"/>
      <c r="T317" s="328"/>
      <c r="U317" s="52" t="s">
        <v>51</v>
      </c>
      <c r="V317" s="74"/>
      <c r="W317" s="98"/>
      <c r="X317" s="105"/>
      <c r="Y317" s="105"/>
      <c r="Z317" s="105"/>
      <c r="AA317" s="105"/>
      <c r="AB317" s="105"/>
      <c r="AC317" s="106"/>
      <c r="AD317" s="106"/>
      <c r="AE317" s="106"/>
      <c r="AF317" s="98"/>
      <c r="AG317" s="66"/>
      <c r="AH317" s="98"/>
      <c r="AI317" s="66"/>
      <c r="AJ317" s="225"/>
      <c r="AK317" s="169"/>
      <c r="AL317" s="328"/>
      <c r="AM317" s="213" t="str">
        <f t="shared" si="301"/>
        <v/>
      </c>
      <c r="AN317" s="214" t="str">
        <f t="shared" si="302"/>
        <v/>
      </c>
      <c r="AO317" s="214" t="str">
        <f t="shared" si="303"/>
        <v/>
      </c>
      <c r="AP317" s="214" t="str">
        <f t="shared" si="304"/>
        <v/>
      </c>
      <c r="AQ317" s="215" t="str">
        <f t="shared" si="305"/>
        <v/>
      </c>
      <c r="AR317" s="68"/>
      <c r="AS317" s="69"/>
      <c r="AT317" s="68"/>
    </row>
    <row r="318" spans="2:46" ht="13.5" customHeight="1" x14ac:dyDescent="0.15">
      <c r="B318" s="326" t="s">
        <v>148</v>
      </c>
      <c r="C318" s="50" t="s">
        <v>46</v>
      </c>
      <c r="D318" s="71"/>
      <c r="E318" s="93"/>
      <c r="F318" s="101"/>
      <c r="G318" s="101"/>
      <c r="H318" s="101"/>
      <c r="I318" s="101"/>
      <c r="J318" s="101"/>
      <c r="K318" s="102"/>
      <c r="L318" s="205"/>
      <c r="M318" s="205"/>
      <c r="N318" s="93"/>
      <c r="O318" s="51"/>
      <c r="P318" s="93"/>
      <c r="Q318" s="51"/>
      <c r="R318" s="224"/>
      <c r="S318" s="161"/>
      <c r="T318" s="326" t="s">
        <v>148</v>
      </c>
      <c r="U318" s="50" t="s">
        <v>46</v>
      </c>
      <c r="V318" s="71"/>
      <c r="W318" s="93"/>
      <c r="X318" s="101"/>
      <c r="Y318" s="101"/>
      <c r="Z318" s="101"/>
      <c r="AA318" s="101"/>
      <c r="AB318" s="101"/>
      <c r="AC318" s="102"/>
      <c r="AD318" s="102"/>
      <c r="AE318" s="102"/>
      <c r="AF318" s="93"/>
      <c r="AG318" s="51"/>
      <c r="AH318" s="93"/>
      <c r="AI318" s="51"/>
      <c r="AJ318" s="224"/>
      <c r="AK318" s="169"/>
      <c r="AL318" s="326" t="s">
        <v>148</v>
      </c>
      <c r="AM318" s="210" t="str">
        <f>IF(OR(X318="",F318=""),"",X318-F318)</f>
        <v/>
      </c>
      <c r="AN318" s="171" t="str">
        <f>IF(OR(Y318="",G318=""),"",Y318-G318)</f>
        <v/>
      </c>
      <c r="AO318" s="171" t="str">
        <f>IF(OR(Z318="",H318=""),"",Z318-H318)</f>
        <v/>
      </c>
      <c r="AP318" s="171" t="str">
        <f>IF(OR(AA318="",I318=""),"",AA318-I318)</f>
        <v/>
      </c>
      <c r="AQ318" s="211" t="str">
        <f>IF(OR(AB318="",J318=""),"",AB318-J318)</f>
        <v/>
      </c>
      <c r="AR318" s="68"/>
      <c r="AS318" s="69"/>
      <c r="AT318" s="68"/>
    </row>
    <row r="319" spans="2:46" ht="13.5" customHeight="1" x14ac:dyDescent="0.15">
      <c r="B319" s="327"/>
      <c r="C319" s="52" t="s">
        <v>47</v>
      </c>
      <c r="D319" s="73"/>
      <c r="E319" s="95"/>
      <c r="F319" s="103"/>
      <c r="G319" s="103"/>
      <c r="H319" s="103"/>
      <c r="I319" s="103"/>
      <c r="J319" s="103"/>
      <c r="K319" s="104"/>
      <c r="L319" s="206"/>
      <c r="M319" s="206"/>
      <c r="N319" s="95"/>
      <c r="O319" s="53"/>
      <c r="P319" s="95"/>
      <c r="Q319" s="53"/>
      <c r="R319" s="225"/>
      <c r="S319" s="161"/>
      <c r="T319" s="327"/>
      <c r="U319" s="52" t="s">
        <v>47</v>
      </c>
      <c r="V319" s="73"/>
      <c r="W319" s="95"/>
      <c r="X319" s="103"/>
      <c r="Y319" s="103"/>
      <c r="Z319" s="103"/>
      <c r="AA319" s="103"/>
      <c r="AB319" s="103"/>
      <c r="AC319" s="104"/>
      <c r="AD319" s="104"/>
      <c r="AE319" s="104"/>
      <c r="AF319" s="95"/>
      <c r="AG319" s="53"/>
      <c r="AH319" s="95"/>
      <c r="AI319" s="53"/>
      <c r="AJ319" s="225"/>
      <c r="AK319" s="169"/>
      <c r="AL319" s="327"/>
      <c r="AM319" s="150" t="str">
        <f t="shared" ref="AM319:AM322" si="306">IF(OR(X319="",F319=""),"",X319-F319)</f>
        <v/>
      </c>
      <c r="AN319" s="212" t="str">
        <f t="shared" ref="AN319:AN322" si="307">IF(OR(Y319="",G319=""),"",Y319-G319)</f>
        <v/>
      </c>
      <c r="AO319" s="212" t="str">
        <f t="shared" ref="AO319:AO322" si="308">IF(OR(Z319="",H319=""),"",Z319-H319)</f>
        <v/>
      </c>
      <c r="AP319" s="212" t="str">
        <f t="shared" ref="AP319:AP322" si="309">IF(OR(AA319="",I319=""),"",AA319-I319)</f>
        <v/>
      </c>
      <c r="AQ319" s="151" t="str">
        <f t="shared" ref="AQ319:AQ322" si="310">IF(OR(AB319="",J319=""),"",AB319-J319)</f>
        <v/>
      </c>
      <c r="AR319" s="68"/>
      <c r="AS319" s="69"/>
      <c r="AT319" s="68"/>
    </row>
    <row r="320" spans="2:46" ht="13.5" customHeight="1" x14ac:dyDescent="0.15">
      <c r="B320" s="327"/>
      <c r="C320" s="52" t="s">
        <v>48</v>
      </c>
      <c r="D320" s="73"/>
      <c r="E320" s="95"/>
      <c r="F320" s="103"/>
      <c r="G320" s="103"/>
      <c r="H320" s="103"/>
      <c r="I320" s="103"/>
      <c r="J320" s="103"/>
      <c r="K320" s="104"/>
      <c r="L320" s="206"/>
      <c r="M320" s="206"/>
      <c r="N320" s="95"/>
      <c r="O320" s="53"/>
      <c r="P320" s="95"/>
      <c r="Q320" s="53"/>
      <c r="R320" s="225"/>
      <c r="S320" s="161"/>
      <c r="T320" s="327"/>
      <c r="U320" s="52" t="s">
        <v>48</v>
      </c>
      <c r="V320" s="73"/>
      <c r="W320" s="95"/>
      <c r="X320" s="103"/>
      <c r="Y320" s="103"/>
      <c r="Z320" s="103"/>
      <c r="AA320" s="103"/>
      <c r="AB320" s="103"/>
      <c r="AC320" s="104"/>
      <c r="AD320" s="104"/>
      <c r="AE320" s="104"/>
      <c r="AF320" s="95"/>
      <c r="AG320" s="53"/>
      <c r="AH320" s="95"/>
      <c r="AI320" s="53"/>
      <c r="AJ320" s="225"/>
      <c r="AK320" s="169"/>
      <c r="AL320" s="327"/>
      <c r="AM320" s="150" t="str">
        <f t="shared" si="306"/>
        <v/>
      </c>
      <c r="AN320" s="212" t="str">
        <f t="shared" si="307"/>
        <v/>
      </c>
      <c r="AO320" s="212" t="str">
        <f t="shared" si="308"/>
        <v/>
      </c>
      <c r="AP320" s="212" t="str">
        <f t="shared" si="309"/>
        <v/>
      </c>
      <c r="AQ320" s="151" t="str">
        <f t="shared" si="310"/>
        <v/>
      </c>
      <c r="AR320" s="68"/>
      <c r="AS320" s="69"/>
      <c r="AT320" s="68"/>
    </row>
    <row r="321" spans="2:46" ht="13.5" customHeight="1" x14ac:dyDescent="0.15">
      <c r="B321" s="327"/>
      <c r="C321" s="52" t="s">
        <v>50</v>
      </c>
      <c r="D321" s="73"/>
      <c r="E321" s="95"/>
      <c r="F321" s="103"/>
      <c r="G321" s="103"/>
      <c r="H321" s="103"/>
      <c r="I321" s="103"/>
      <c r="J321" s="103"/>
      <c r="K321" s="104"/>
      <c r="L321" s="206"/>
      <c r="M321" s="206"/>
      <c r="N321" s="95"/>
      <c r="O321" s="53"/>
      <c r="P321" s="95"/>
      <c r="Q321" s="53"/>
      <c r="R321" s="225"/>
      <c r="S321" s="161"/>
      <c r="T321" s="327"/>
      <c r="U321" s="52" t="s">
        <v>50</v>
      </c>
      <c r="V321" s="73"/>
      <c r="W321" s="95"/>
      <c r="X321" s="103"/>
      <c r="Y321" s="103"/>
      <c r="Z321" s="103"/>
      <c r="AA321" s="103"/>
      <c r="AB321" s="103"/>
      <c r="AC321" s="104"/>
      <c r="AD321" s="104"/>
      <c r="AE321" s="104"/>
      <c r="AF321" s="95"/>
      <c r="AG321" s="53"/>
      <c r="AH321" s="95"/>
      <c r="AI321" s="53"/>
      <c r="AJ321" s="225"/>
      <c r="AK321" s="169"/>
      <c r="AL321" s="327"/>
      <c r="AM321" s="150" t="str">
        <f t="shared" si="306"/>
        <v/>
      </c>
      <c r="AN321" s="212" t="str">
        <f t="shared" si="307"/>
        <v/>
      </c>
      <c r="AO321" s="212" t="str">
        <f t="shared" si="308"/>
        <v/>
      </c>
      <c r="AP321" s="212" t="str">
        <f t="shared" si="309"/>
        <v/>
      </c>
      <c r="AQ321" s="151" t="str">
        <f t="shared" si="310"/>
        <v/>
      </c>
      <c r="AR321" s="68"/>
      <c r="AS321" s="69"/>
      <c r="AT321" s="68"/>
    </row>
    <row r="322" spans="2:46" ht="13.5" customHeight="1" thickBot="1" x14ac:dyDescent="0.2">
      <c r="B322" s="328"/>
      <c r="C322" s="52" t="s">
        <v>51</v>
      </c>
      <c r="D322" s="74"/>
      <c r="E322" s="98"/>
      <c r="F322" s="105"/>
      <c r="G322" s="105"/>
      <c r="H322" s="105"/>
      <c r="I322" s="105"/>
      <c r="J322" s="105"/>
      <c r="K322" s="106"/>
      <c r="L322" s="207"/>
      <c r="M322" s="207"/>
      <c r="N322" s="98"/>
      <c r="O322" s="66"/>
      <c r="P322" s="98"/>
      <c r="Q322" s="66"/>
      <c r="R322" s="225"/>
      <c r="S322" s="161"/>
      <c r="T322" s="328"/>
      <c r="U322" s="52" t="s">
        <v>51</v>
      </c>
      <c r="V322" s="74"/>
      <c r="W322" s="98"/>
      <c r="X322" s="105"/>
      <c r="Y322" s="105"/>
      <c r="Z322" s="105"/>
      <c r="AA322" s="105"/>
      <c r="AB322" s="105"/>
      <c r="AC322" s="106"/>
      <c r="AD322" s="106"/>
      <c r="AE322" s="106"/>
      <c r="AF322" s="98"/>
      <c r="AG322" s="66"/>
      <c r="AH322" s="98"/>
      <c r="AI322" s="66"/>
      <c r="AJ322" s="225"/>
      <c r="AK322" s="169"/>
      <c r="AL322" s="328"/>
      <c r="AM322" s="213" t="str">
        <f t="shared" si="306"/>
        <v/>
      </c>
      <c r="AN322" s="214" t="str">
        <f t="shared" si="307"/>
        <v/>
      </c>
      <c r="AO322" s="214" t="str">
        <f t="shared" si="308"/>
        <v/>
      </c>
      <c r="AP322" s="214" t="str">
        <f t="shared" si="309"/>
        <v/>
      </c>
      <c r="AQ322" s="215" t="str">
        <f t="shared" si="310"/>
        <v/>
      </c>
      <c r="AR322" s="68"/>
      <c r="AS322" s="69"/>
      <c r="AT322" s="68"/>
    </row>
    <row r="323" spans="2:46" ht="13.5" customHeight="1" x14ac:dyDescent="0.15">
      <c r="B323" s="326" t="s">
        <v>149</v>
      </c>
      <c r="C323" s="50" t="s">
        <v>46</v>
      </c>
      <c r="D323" s="71"/>
      <c r="E323" s="93"/>
      <c r="F323" s="101"/>
      <c r="G323" s="101"/>
      <c r="H323" s="101"/>
      <c r="I323" s="101"/>
      <c r="J323" s="101"/>
      <c r="K323" s="102"/>
      <c r="L323" s="205"/>
      <c r="M323" s="205"/>
      <c r="N323" s="93"/>
      <c r="O323" s="51"/>
      <c r="P323" s="93"/>
      <c r="Q323" s="51"/>
      <c r="R323" s="224"/>
      <c r="S323" s="161"/>
      <c r="T323" s="326" t="s">
        <v>149</v>
      </c>
      <c r="U323" s="50" t="s">
        <v>46</v>
      </c>
      <c r="V323" s="71"/>
      <c r="W323" s="93"/>
      <c r="X323" s="101"/>
      <c r="Y323" s="101"/>
      <c r="Z323" s="101"/>
      <c r="AA323" s="101"/>
      <c r="AB323" s="101"/>
      <c r="AC323" s="102"/>
      <c r="AD323" s="102"/>
      <c r="AE323" s="102"/>
      <c r="AF323" s="93"/>
      <c r="AG323" s="51"/>
      <c r="AH323" s="93"/>
      <c r="AI323" s="51"/>
      <c r="AJ323" s="224"/>
      <c r="AK323" s="169"/>
      <c r="AL323" s="326" t="s">
        <v>149</v>
      </c>
      <c r="AM323" s="210" t="str">
        <f>IF(OR(X323="",F323=""),"",X323-F323)</f>
        <v/>
      </c>
      <c r="AN323" s="171" t="str">
        <f>IF(OR(Y323="",G323=""),"",Y323-G323)</f>
        <v/>
      </c>
      <c r="AO323" s="171" t="str">
        <f>IF(OR(Z323="",H323=""),"",Z323-H323)</f>
        <v/>
      </c>
      <c r="AP323" s="171" t="str">
        <f>IF(OR(AA323="",I323=""),"",AA323-I323)</f>
        <v/>
      </c>
      <c r="AQ323" s="211" t="str">
        <f>IF(OR(AB323="",J323=""),"",AB323-J323)</f>
        <v/>
      </c>
      <c r="AR323" s="68"/>
      <c r="AS323" s="69"/>
      <c r="AT323" s="68"/>
    </row>
    <row r="324" spans="2:46" ht="13.5" customHeight="1" x14ac:dyDescent="0.15">
      <c r="B324" s="327"/>
      <c r="C324" s="52" t="s">
        <v>47</v>
      </c>
      <c r="D324" s="73"/>
      <c r="E324" s="95"/>
      <c r="F324" s="103"/>
      <c r="G324" s="103"/>
      <c r="H324" s="103"/>
      <c r="I324" s="103"/>
      <c r="J324" s="103"/>
      <c r="K324" s="104"/>
      <c r="L324" s="206"/>
      <c r="M324" s="206"/>
      <c r="N324" s="95"/>
      <c r="O324" s="53"/>
      <c r="P324" s="95"/>
      <c r="Q324" s="53"/>
      <c r="R324" s="225"/>
      <c r="S324" s="161"/>
      <c r="T324" s="327"/>
      <c r="U324" s="52" t="s">
        <v>47</v>
      </c>
      <c r="V324" s="73"/>
      <c r="W324" s="95"/>
      <c r="X324" s="103"/>
      <c r="Y324" s="103"/>
      <c r="Z324" s="103"/>
      <c r="AA324" s="103"/>
      <c r="AB324" s="103"/>
      <c r="AC324" s="104"/>
      <c r="AD324" s="104"/>
      <c r="AE324" s="104"/>
      <c r="AF324" s="95"/>
      <c r="AG324" s="53"/>
      <c r="AH324" s="95"/>
      <c r="AI324" s="53"/>
      <c r="AJ324" s="225"/>
      <c r="AK324" s="169"/>
      <c r="AL324" s="327"/>
      <c r="AM324" s="150" t="str">
        <f t="shared" ref="AM324:AM327" si="311">IF(OR(X324="",F324=""),"",X324-F324)</f>
        <v/>
      </c>
      <c r="AN324" s="212" t="str">
        <f t="shared" ref="AN324:AN327" si="312">IF(OR(Y324="",G324=""),"",Y324-G324)</f>
        <v/>
      </c>
      <c r="AO324" s="212" t="str">
        <f t="shared" ref="AO324:AO327" si="313">IF(OR(Z324="",H324=""),"",Z324-H324)</f>
        <v/>
      </c>
      <c r="AP324" s="212" t="str">
        <f t="shared" ref="AP324:AP327" si="314">IF(OR(AA324="",I324=""),"",AA324-I324)</f>
        <v/>
      </c>
      <c r="AQ324" s="151" t="str">
        <f t="shared" ref="AQ324:AQ327" si="315">IF(OR(AB324="",J324=""),"",AB324-J324)</f>
        <v/>
      </c>
      <c r="AR324" s="68"/>
      <c r="AS324" s="69"/>
      <c r="AT324" s="68"/>
    </row>
    <row r="325" spans="2:46" ht="13.5" customHeight="1" x14ac:dyDescent="0.15">
      <c r="B325" s="327"/>
      <c r="C325" s="52" t="s">
        <v>48</v>
      </c>
      <c r="D325" s="73"/>
      <c r="E325" s="95"/>
      <c r="F325" s="103"/>
      <c r="G325" s="103"/>
      <c r="H325" s="103"/>
      <c r="I325" s="103"/>
      <c r="J325" s="103"/>
      <c r="K325" s="104"/>
      <c r="L325" s="206"/>
      <c r="M325" s="206"/>
      <c r="N325" s="95"/>
      <c r="O325" s="53"/>
      <c r="P325" s="95"/>
      <c r="Q325" s="53"/>
      <c r="R325" s="225"/>
      <c r="S325" s="161"/>
      <c r="T325" s="327"/>
      <c r="U325" s="52" t="s">
        <v>48</v>
      </c>
      <c r="V325" s="73"/>
      <c r="W325" s="95"/>
      <c r="X325" s="103"/>
      <c r="Y325" s="103"/>
      <c r="Z325" s="103"/>
      <c r="AA325" s="103"/>
      <c r="AB325" s="103"/>
      <c r="AC325" s="104"/>
      <c r="AD325" s="104"/>
      <c r="AE325" s="104"/>
      <c r="AF325" s="95"/>
      <c r="AG325" s="53"/>
      <c r="AH325" s="95"/>
      <c r="AI325" s="53"/>
      <c r="AJ325" s="225"/>
      <c r="AK325" s="169"/>
      <c r="AL325" s="327"/>
      <c r="AM325" s="150" t="str">
        <f t="shared" si="311"/>
        <v/>
      </c>
      <c r="AN325" s="212" t="str">
        <f t="shared" si="312"/>
        <v/>
      </c>
      <c r="AO325" s="212" t="str">
        <f t="shared" si="313"/>
        <v/>
      </c>
      <c r="AP325" s="212" t="str">
        <f t="shared" si="314"/>
        <v/>
      </c>
      <c r="AQ325" s="151" t="str">
        <f t="shared" si="315"/>
        <v/>
      </c>
      <c r="AR325" s="68"/>
      <c r="AS325" s="69"/>
      <c r="AT325" s="68"/>
    </row>
    <row r="326" spans="2:46" ht="13.5" customHeight="1" x14ac:dyDescent="0.15">
      <c r="B326" s="327"/>
      <c r="C326" s="52" t="s">
        <v>50</v>
      </c>
      <c r="D326" s="73"/>
      <c r="E326" s="95"/>
      <c r="F326" s="103"/>
      <c r="G326" s="103"/>
      <c r="H326" s="103"/>
      <c r="I326" s="103"/>
      <c r="J326" s="103"/>
      <c r="K326" s="104"/>
      <c r="L326" s="206"/>
      <c r="M326" s="206"/>
      <c r="N326" s="95"/>
      <c r="O326" s="53"/>
      <c r="P326" s="95"/>
      <c r="Q326" s="53"/>
      <c r="R326" s="225"/>
      <c r="S326" s="161"/>
      <c r="T326" s="327"/>
      <c r="U326" s="52" t="s">
        <v>50</v>
      </c>
      <c r="V326" s="73"/>
      <c r="W326" s="95"/>
      <c r="X326" s="103"/>
      <c r="Y326" s="103"/>
      <c r="Z326" s="103"/>
      <c r="AA326" s="103"/>
      <c r="AB326" s="103"/>
      <c r="AC326" s="104"/>
      <c r="AD326" s="104"/>
      <c r="AE326" s="104"/>
      <c r="AF326" s="95"/>
      <c r="AG326" s="53"/>
      <c r="AH326" s="95"/>
      <c r="AI326" s="53"/>
      <c r="AJ326" s="225"/>
      <c r="AK326" s="169"/>
      <c r="AL326" s="327"/>
      <c r="AM326" s="150" t="str">
        <f t="shared" si="311"/>
        <v/>
      </c>
      <c r="AN326" s="212" t="str">
        <f t="shared" si="312"/>
        <v/>
      </c>
      <c r="AO326" s="212" t="str">
        <f t="shared" si="313"/>
        <v/>
      </c>
      <c r="AP326" s="212" t="str">
        <f t="shared" si="314"/>
        <v/>
      </c>
      <c r="AQ326" s="151" t="str">
        <f t="shared" si="315"/>
        <v/>
      </c>
      <c r="AR326" s="68"/>
      <c r="AS326" s="69"/>
      <c r="AT326" s="68"/>
    </row>
    <row r="327" spans="2:46" ht="13.5" customHeight="1" thickBot="1" x14ac:dyDescent="0.2">
      <c r="B327" s="328"/>
      <c r="C327" s="52" t="s">
        <v>51</v>
      </c>
      <c r="D327" s="74"/>
      <c r="E327" s="98"/>
      <c r="F327" s="105"/>
      <c r="G327" s="105"/>
      <c r="H327" s="105"/>
      <c r="I327" s="105"/>
      <c r="J327" s="105"/>
      <c r="K327" s="106"/>
      <c r="L327" s="207"/>
      <c r="M327" s="207"/>
      <c r="N327" s="98"/>
      <c r="O327" s="66"/>
      <c r="P327" s="98"/>
      <c r="Q327" s="66"/>
      <c r="R327" s="225"/>
      <c r="S327" s="161"/>
      <c r="T327" s="328"/>
      <c r="U327" s="52" t="s">
        <v>51</v>
      </c>
      <c r="V327" s="74"/>
      <c r="W327" s="98"/>
      <c r="X327" s="105"/>
      <c r="Y327" s="105"/>
      <c r="Z327" s="105"/>
      <c r="AA327" s="105"/>
      <c r="AB327" s="105"/>
      <c r="AC327" s="106"/>
      <c r="AD327" s="106"/>
      <c r="AE327" s="106"/>
      <c r="AF327" s="98"/>
      <c r="AG327" s="66"/>
      <c r="AH327" s="98"/>
      <c r="AI327" s="66"/>
      <c r="AJ327" s="225"/>
      <c r="AK327" s="169"/>
      <c r="AL327" s="328"/>
      <c r="AM327" s="213" t="str">
        <f t="shared" si="311"/>
        <v/>
      </c>
      <c r="AN327" s="214" t="str">
        <f t="shared" si="312"/>
        <v/>
      </c>
      <c r="AO327" s="214" t="str">
        <f t="shared" si="313"/>
        <v/>
      </c>
      <c r="AP327" s="214" t="str">
        <f t="shared" si="314"/>
        <v/>
      </c>
      <c r="AQ327" s="215" t="str">
        <f t="shared" si="315"/>
        <v/>
      </c>
      <c r="AR327" s="68"/>
      <c r="AS327" s="69"/>
      <c r="AT327" s="68"/>
    </row>
    <row r="328" spans="2:46" ht="13.5" customHeight="1" x14ac:dyDescent="0.15">
      <c r="B328" s="326" t="s">
        <v>150</v>
      </c>
      <c r="C328" s="50" t="s">
        <v>46</v>
      </c>
      <c r="D328" s="71"/>
      <c r="E328" s="93"/>
      <c r="F328" s="101"/>
      <c r="G328" s="101"/>
      <c r="H328" s="101"/>
      <c r="I328" s="101"/>
      <c r="J328" s="101"/>
      <c r="K328" s="102"/>
      <c r="L328" s="205"/>
      <c r="M328" s="205"/>
      <c r="N328" s="93"/>
      <c r="O328" s="51"/>
      <c r="P328" s="93"/>
      <c r="Q328" s="51"/>
      <c r="R328" s="224"/>
      <c r="S328" s="161"/>
      <c r="T328" s="326" t="s">
        <v>150</v>
      </c>
      <c r="U328" s="50" t="s">
        <v>46</v>
      </c>
      <c r="V328" s="71"/>
      <c r="W328" s="93"/>
      <c r="X328" s="101"/>
      <c r="Y328" s="101"/>
      <c r="Z328" s="101"/>
      <c r="AA328" s="101"/>
      <c r="AB328" s="101"/>
      <c r="AC328" s="102"/>
      <c r="AD328" s="102"/>
      <c r="AE328" s="102"/>
      <c r="AF328" s="93"/>
      <c r="AG328" s="51"/>
      <c r="AH328" s="93"/>
      <c r="AI328" s="51"/>
      <c r="AJ328" s="224"/>
      <c r="AK328" s="169"/>
      <c r="AL328" s="326" t="s">
        <v>150</v>
      </c>
      <c r="AM328" s="210" t="str">
        <f>IF(OR(X328="",F328=""),"",X328-F328)</f>
        <v/>
      </c>
      <c r="AN328" s="171" t="str">
        <f>IF(OR(Y328="",G328=""),"",Y328-G328)</f>
        <v/>
      </c>
      <c r="AO328" s="171" t="str">
        <f>IF(OR(Z328="",H328=""),"",Z328-H328)</f>
        <v/>
      </c>
      <c r="AP328" s="171" t="str">
        <f>IF(OR(AA328="",I328=""),"",AA328-I328)</f>
        <v/>
      </c>
      <c r="AQ328" s="211" t="str">
        <f>IF(OR(AB328="",J328=""),"",AB328-J328)</f>
        <v/>
      </c>
      <c r="AR328" s="68"/>
      <c r="AS328" s="69"/>
      <c r="AT328" s="68"/>
    </row>
    <row r="329" spans="2:46" ht="13.5" customHeight="1" x14ac:dyDescent="0.15">
      <c r="B329" s="327"/>
      <c r="C329" s="52" t="s">
        <v>47</v>
      </c>
      <c r="D329" s="73"/>
      <c r="E329" s="95"/>
      <c r="F329" s="103"/>
      <c r="G329" s="103"/>
      <c r="H329" s="103"/>
      <c r="I329" s="103"/>
      <c r="J329" s="103"/>
      <c r="K329" s="104"/>
      <c r="L329" s="206"/>
      <c r="M329" s="206"/>
      <c r="N329" s="95"/>
      <c r="O329" s="53"/>
      <c r="P329" s="95"/>
      <c r="Q329" s="53"/>
      <c r="R329" s="225"/>
      <c r="S329" s="161"/>
      <c r="T329" s="327"/>
      <c r="U329" s="52" t="s">
        <v>47</v>
      </c>
      <c r="V329" s="73"/>
      <c r="W329" s="95"/>
      <c r="X329" s="103"/>
      <c r="Y329" s="103"/>
      <c r="Z329" s="103"/>
      <c r="AA329" s="103"/>
      <c r="AB329" s="103"/>
      <c r="AC329" s="104"/>
      <c r="AD329" s="104"/>
      <c r="AE329" s="104"/>
      <c r="AF329" s="95"/>
      <c r="AG329" s="53"/>
      <c r="AH329" s="95"/>
      <c r="AI329" s="53"/>
      <c r="AJ329" s="225"/>
      <c r="AK329" s="169"/>
      <c r="AL329" s="327"/>
      <c r="AM329" s="150" t="str">
        <f t="shared" ref="AM329:AM332" si="316">IF(OR(X329="",F329=""),"",X329-F329)</f>
        <v/>
      </c>
      <c r="AN329" s="212" t="str">
        <f t="shared" ref="AN329:AN332" si="317">IF(OR(Y329="",G329=""),"",Y329-G329)</f>
        <v/>
      </c>
      <c r="AO329" s="212" t="str">
        <f t="shared" ref="AO329:AO332" si="318">IF(OR(Z329="",H329=""),"",Z329-H329)</f>
        <v/>
      </c>
      <c r="AP329" s="212" t="str">
        <f t="shared" ref="AP329:AP332" si="319">IF(OR(AA329="",I329=""),"",AA329-I329)</f>
        <v/>
      </c>
      <c r="AQ329" s="151" t="str">
        <f t="shared" ref="AQ329:AQ332" si="320">IF(OR(AB329="",J329=""),"",AB329-J329)</f>
        <v/>
      </c>
      <c r="AR329" s="68"/>
      <c r="AS329" s="69"/>
      <c r="AT329" s="68"/>
    </row>
    <row r="330" spans="2:46" ht="13.5" customHeight="1" x14ac:dyDescent="0.15">
      <c r="B330" s="327"/>
      <c r="C330" s="52" t="s">
        <v>48</v>
      </c>
      <c r="D330" s="73"/>
      <c r="E330" s="95"/>
      <c r="F330" s="103"/>
      <c r="G330" s="103"/>
      <c r="H330" s="103"/>
      <c r="I330" s="103"/>
      <c r="J330" s="103"/>
      <c r="K330" s="104"/>
      <c r="L330" s="206"/>
      <c r="M330" s="206"/>
      <c r="N330" s="95"/>
      <c r="O330" s="53"/>
      <c r="P330" s="95"/>
      <c r="Q330" s="53"/>
      <c r="R330" s="225"/>
      <c r="S330" s="161"/>
      <c r="T330" s="327"/>
      <c r="U330" s="52" t="s">
        <v>48</v>
      </c>
      <c r="V330" s="73"/>
      <c r="W330" s="95"/>
      <c r="X330" s="103"/>
      <c r="Y330" s="103"/>
      <c r="Z330" s="103"/>
      <c r="AA330" s="103"/>
      <c r="AB330" s="103"/>
      <c r="AC330" s="104"/>
      <c r="AD330" s="104"/>
      <c r="AE330" s="104"/>
      <c r="AF330" s="95"/>
      <c r="AG330" s="53"/>
      <c r="AH330" s="95"/>
      <c r="AI330" s="53"/>
      <c r="AJ330" s="225"/>
      <c r="AK330" s="169"/>
      <c r="AL330" s="327"/>
      <c r="AM330" s="150" t="str">
        <f t="shared" si="316"/>
        <v/>
      </c>
      <c r="AN330" s="212" t="str">
        <f t="shared" si="317"/>
        <v/>
      </c>
      <c r="AO330" s="212" t="str">
        <f t="shared" si="318"/>
        <v/>
      </c>
      <c r="AP330" s="212" t="str">
        <f t="shared" si="319"/>
        <v/>
      </c>
      <c r="AQ330" s="151" t="str">
        <f t="shared" si="320"/>
        <v/>
      </c>
      <c r="AR330" s="68"/>
      <c r="AS330" s="69"/>
      <c r="AT330" s="68"/>
    </row>
    <row r="331" spans="2:46" ht="13.5" customHeight="1" x14ac:dyDescent="0.15">
      <c r="B331" s="327"/>
      <c r="C331" s="52" t="s">
        <v>50</v>
      </c>
      <c r="D331" s="73"/>
      <c r="E331" s="95"/>
      <c r="F331" s="103"/>
      <c r="G331" s="103"/>
      <c r="H331" s="103"/>
      <c r="I331" s="103"/>
      <c r="J331" s="103"/>
      <c r="K331" s="104"/>
      <c r="L331" s="206"/>
      <c r="M331" s="206"/>
      <c r="N331" s="95"/>
      <c r="O331" s="53"/>
      <c r="P331" s="95"/>
      <c r="Q331" s="53"/>
      <c r="R331" s="225"/>
      <c r="S331" s="161"/>
      <c r="T331" s="327"/>
      <c r="U331" s="52" t="s">
        <v>50</v>
      </c>
      <c r="V331" s="73"/>
      <c r="W331" s="95"/>
      <c r="X331" s="103"/>
      <c r="Y331" s="103"/>
      <c r="Z331" s="103"/>
      <c r="AA331" s="103"/>
      <c r="AB331" s="103"/>
      <c r="AC331" s="104"/>
      <c r="AD331" s="104"/>
      <c r="AE331" s="104"/>
      <c r="AF331" s="95"/>
      <c r="AG331" s="53"/>
      <c r="AH331" s="95"/>
      <c r="AI331" s="53"/>
      <c r="AJ331" s="225"/>
      <c r="AK331" s="169"/>
      <c r="AL331" s="327"/>
      <c r="AM331" s="150" t="str">
        <f t="shared" si="316"/>
        <v/>
      </c>
      <c r="AN331" s="212" t="str">
        <f t="shared" si="317"/>
        <v/>
      </c>
      <c r="AO331" s="212" t="str">
        <f t="shared" si="318"/>
        <v/>
      </c>
      <c r="AP331" s="212" t="str">
        <f t="shared" si="319"/>
        <v/>
      </c>
      <c r="AQ331" s="151" t="str">
        <f t="shared" si="320"/>
        <v/>
      </c>
      <c r="AR331" s="68"/>
      <c r="AS331" s="69"/>
      <c r="AT331" s="68"/>
    </row>
    <row r="332" spans="2:46" ht="13.5" customHeight="1" thickBot="1" x14ac:dyDescent="0.2">
      <c r="B332" s="328"/>
      <c r="C332" s="52" t="s">
        <v>51</v>
      </c>
      <c r="D332" s="74"/>
      <c r="E332" s="98"/>
      <c r="F332" s="105"/>
      <c r="G332" s="105"/>
      <c r="H332" s="105"/>
      <c r="I332" s="105"/>
      <c r="J332" s="105"/>
      <c r="K332" s="106"/>
      <c r="L332" s="207"/>
      <c r="M332" s="207"/>
      <c r="N332" s="98"/>
      <c r="O332" s="66"/>
      <c r="P332" s="98"/>
      <c r="Q332" s="66"/>
      <c r="R332" s="225"/>
      <c r="S332" s="161"/>
      <c r="T332" s="328"/>
      <c r="U332" s="52" t="s">
        <v>51</v>
      </c>
      <c r="V332" s="74"/>
      <c r="W332" s="98"/>
      <c r="X332" s="105"/>
      <c r="Y332" s="105"/>
      <c r="Z332" s="105"/>
      <c r="AA332" s="105"/>
      <c r="AB332" s="105"/>
      <c r="AC332" s="106"/>
      <c r="AD332" s="106"/>
      <c r="AE332" s="106"/>
      <c r="AF332" s="98"/>
      <c r="AG332" s="66"/>
      <c r="AH332" s="98"/>
      <c r="AI332" s="66"/>
      <c r="AJ332" s="225"/>
      <c r="AK332" s="169"/>
      <c r="AL332" s="328"/>
      <c r="AM332" s="213" t="str">
        <f t="shared" si="316"/>
        <v/>
      </c>
      <c r="AN332" s="214" t="str">
        <f t="shared" si="317"/>
        <v/>
      </c>
      <c r="AO332" s="214" t="str">
        <f t="shared" si="318"/>
        <v/>
      </c>
      <c r="AP332" s="214" t="str">
        <f t="shared" si="319"/>
        <v/>
      </c>
      <c r="AQ332" s="215" t="str">
        <f t="shared" si="320"/>
        <v/>
      </c>
      <c r="AR332" s="68"/>
      <c r="AS332" s="69"/>
      <c r="AT332" s="68"/>
    </row>
    <row r="333" spans="2:46" ht="13.5" customHeight="1" x14ac:dyDescent="0.15">
      <c r="B333" s="326" t="s">
        <v>151</v>
      </c>
      <c r="C333" s="50" t="s">
        <v>46</v>
      </c>
      <c r="D333" s="71"/>
      <c r="E333" s="93"/>
      <c r="F333" s="101"/>
      <c r="G333" s="101"/>
      <c r="H333" s="101"/>
      <c r="I333" s="101"/>
      <c r="J333" s="101"/>
      <c r="K333" s="102"/>
      <c r="L333" s="205"/>
      <c r="M333" s="205"/>
      <c r="N333" s="93"/>
      <c r="O333" s="51"/>
      <c r="P333" s="93"/>
      <c r="Q333" s="51"/>
      <c r="R333" s="224"/>
      <c r="S333" s="161"/>
      <c r="T333" s="326" t="s">
        <v>151</v>
      </c>
      <c r="U333" s="50" t="s">
        <v>46</v>
      </c>
      <c r="V333" s="71"/>
      <c r="W333" s="93"/>
      <c r="X333" s="101"/>
      <c r="Y333" s="101"/>
      <c r="Z333" s="101"/>
      <c r="AA333" s="101"/>
      <c r="AB333" s="101"/>
      <c r="AC333" s="102"/>
      <c r="AD333" s="102"/>
      <c r="AE333" s="102"/>
      <c r="AF333" s="93"/>
      <c r="AG333" s="51"/>
      <c r="AH333" s="93"/>
      <c r="AI333" s="51"/>
      <c r="AJ333" s="224"/>
      <c r="AK333" s="169"/>
      <c r="AL333" s="326" t="s">
        <v>151</v>
      </c>
      <c r="AM333" s="210" t="str">
        <f>IF(OR(X333="",F333=""),"",X333-F333)</f>
        <v/>
      </c>
      <c r="AN333" s="171" t="str">
        <f>IF(OR(Y333="",G333=""),"",Y333-G333)</f>
        <v/>
      </c>
      <c r="AO333" s="171" t="str">
        <f>IF(OR(Z333="",H333=""),"",Z333-H333)</f>
        <v/>
      </c>
      <c r="AP333" s="171" t="str">
        <f>IF(OR(AA333="",I333=""),"",AA333-I333)</f>
        <v/>
      </c>
      <c r="AQ333" s="211" t="str">
        <f>IF(OR(AB333="",J333=""),"",AB333-J333)</f>
        <v/>
      </c>
      <c r="AR333" s="68"/>
      <c r="AS333" s="69"/>
      <c r="AT333" s="68"/>
    </row>
    <row r="334" spans="2:46" ht="13.5" customHeight="1" x14ac:dyDescent="0.15">
      <c r="B334" s="327"/>
      <c r="C334" s="52" t="s">
        <v>47</v>
      </c>
      <c r="D334" s="73"/>
      <c r="E334" s="95"/>
      <c r="F334" s="103"/>
      <c r="G334" s="103"/>
      <c r="H334" s="103"/>
      <c r="I334" s="103"/>
      <c r="J334" s="103"/>
      <c r="K334" s="104"/>
      <c r="L334" s="206"/>
      <c r="M334" s="206"/>
      <c r="N334" s="95"/>
      <c r="O334" s="53"/>
      <c r="P334" s="95"/>
      <c r="Q334" s="53"/>
      <c r="R334" s="225"/>
      <c r="S334" s="161"/>
      <c r="T334" s="327"/>
      <c r="U334" s="52" t="s">
        <v>47</v>
      </c>
      <c r="V334" s="73"/>
      <c r="W334" s="95"/>
      <c r="X334" s="103"/>
      <c r="Y334" s="103"/>
      <c r="Z334" s="103"/>
      <c r="AA334" s="103"/>
      <c r="AB334" s="103"/>
      <c r="AC334" s="104"/>
      <c r="AD334" s="104"/>
      <c r="AE334" s="104"/>
      <c r="AF334" s="95"/>
      <c r="AG334" s="53"/>
      <c r="AH334" s="95"/>
      <c r="AI334" s="53"/>
      <c r="AJ334" s="225"/>
      <c r="AK334" s="169"/>
      <c r="AL334" s="327"/>
      <c r="AM334" s="150" t="str">
        <f t="shared" ref="AM334:AM337" si="321">IF(OR(X334="",F334=""),"",X334-F334)</f>
        <v/>
      </c>
      <c r="AN334" s="212" t="str">
        <f t="shared" ref="AN334:AN337" si="322">IF(OR(Y334="",G334=""),"",Y334-G334)</f>
        <v/>
      </c>
      <c r="AO334" s="212" t="str">
        <f t="shared" ref="AO334:AO337" si="323">IF(OR(Z334="",H334=""),"",Z334-H334)</f>
        <v/>
      </c>
      <c r="AP334" s="212" t="str">
        <f t="shared" ref="AP334:AP337" si="324">IF(OR(AA334="",I334=""),"",AA334-I334)</f>
        <v/>
      </c>
      <c r="AQ334" s="151" t="str">
        <f t="shared" ref="AQ334:AQ337" si="325">IF(OR(AB334="",J334=""),"",AB334-J334)</f>
        <v/>
      </c>
      <c r="AR334" s="68"/>
      <c r="AS334" s="69"/>
      <c r="AT334" s="68"/>
    </row>
    <row r="335" spans="2:46" ht="13.5" customHeight="1" x14ac:dyDescent="0.15">
      <c r="B335" s="327"/>
      <c r="C335" s="52" t="s">
        <v>48</v>
      </c>
      <c r="D335" s="73"/>
      <c r="E335" s="95"/>
      <c r="F335" s="103"/>
      <c r="G335" s="103"/>
      <c r="H335" s="103"/>
      <c r="I335" s="103"/>
      <c r="J335" s="103"/>
      <c r="K335" s="104"/>
      <c r="L335" s="206"/>
      <c r="M335" s="206"/>
      <c r="N335" s="95"/>
      <c r="O335" s="53"/>
      <c r="P335" s="95"/>
      <c r="Q335" s="53"/>
      <c r="R335" s="225"/>
      <c r="S335" s="161"/>
      <c r="T335" s="327"/>
      <c r="U335" s="52" t="s">
        <v>48</v>
      </c>
      <c r="V335" s="73"/>
      <c r="W335" s="95"/>
      <c r="X335" s="103"/>
      <c r="Y335" s="103"/>
      <c r="Z335" s="103"/>
      <c r="AA335" s="103"/>
      <c r="AB335" s="103"/>
      <c r="AC335" s="104"/>
      <c r="AD335" s="104"/>
      <c r="AE335" s="104"/>
      <c r="AF335" s="95"/>
      <c r="AG335" s="53"/>
      <c r="AH335" s="95"/>
      <c r="AI335" s="53"/>
      <c r="AJ335" s="225"/>
      <c r="AK335" s="169"/>
      <c r="AL335" s="327"/>
      <c r="AM335" s="150" t="str">
        <f t="shared" si="321"/>
        <v/>
      </c>
      <c r="AN335" s="212" t="str">
        <f t="shared" si="322"/>
        <v/>
      </c>
      <c r="AO335" s="212" t="str">
        <f t="shared" si="323"/>
        <v/>
      </c>
      <c r="AP335" s="212" t="str">
        <f t="shared" si="324"/>
        <v/>
      </c>
      <c r="AQ335" s="151" t="str">
        <f t="shared" si="325"/>
        <v/>
      </c>
      <c r="AR335" s="68"/>
      <c r="AS335" s="69"/>
      <c r="AT335" s="68"/>
    </row>
    <row r="336" spans="2:46" ht="13.5" customHeight="1" x14ac:dyDescent="0.15">
      <c r="B336" s="327"/>
      <c r="C336" s="52" t="s">
        <v>50</v>
      </c>
      <c r="D336" s="73"/>
      <c r="E336" s="95"/>
      <c r="F336" s="103"/>
      <c r="G336" s="103"/>
      <c r="H336" s="103"/>
      <c r="I336" s="103"/>
      <c r="J336" s="103"/>
      <c r="K336" s="104"/>
      <c r="L336" s="206"/>
      <c r="M336" s="206"/>
      <c r="N336" s="95"/>
      <c r="O336" s="53"/>
      <c r="P336" s="95"/>
      <c r="Q336" s="53"/>
      <c r="R336" s="225"/>
      <c r="S336" s="161"/>
      <c r="T336" s="327"/>
      <c r="U336" s="52" t="s">
        <v>50</v>
      </c>
      <c r="V336" s="73"/>
      <c r="W336" s="95"/>
      <c r="X336" s="103"/>
      <c r="Y336" s="103"/>
      <c r="Z336" s="103"/>
      <c r="AA336" s="103"/>
      <c r="AB336" s="103"/>
      <c r="AC336" s="104"/>
      <c r="AD336" s="104"/>
      <c r="AE336" s="104"/>
      <c r="AF336" s="95"/>
      <c r="AG336" s="53"/>
      <c r="AH336" s="95"/>
      <c r="AI336" s="53"/>
      <c r="AJ336" s="225"/>
      <c r="AK336" s="169"/>
      <c r="AL336" s="327"/>
      <c r="AM336" s="150" t="str">
        <f t="shared" si="321"/>
        <v/>
      </c>
      <c r="AN336" s="212" t="str">
        <f t="shared" si="322"/>
        <v/>
      </c>
      <c r="AO336" s="212" t="str">
        <f t="shared" si="323"/>
        <v/>
      </c>
      <c r="AP336" s="212" t="str">
        <f t="shared" si="324"/>
        <v/>
      </c>
      <c r="AQ336" s="151" t="str">
        <f t="shared" si="325"/>
        <v/>
      </c>
      <c r="AR336" s="68"/>
      <c r="AS336" s="69"/>
      <c r="AT336" s="68"/>
    </row>
    <row r="337" spans="2:46" ht="13.5" customHeight="1" thickBot="1" x14ac:dyDescent="0.2">
      <c r="B337" s="328"/>
      <c r="C337" s="54" t="s">
        <v>51</v>
      </c>
      <c r="D337" s="74"/>
      <c r="E337" s="98"/>
      <c r="F337" s="105"/>
      <c r="G337" s="105"/>
      <c r="H337" s="105"/>
      <c r="I337" s="105"/>
      <c r="J337" s="105"/>
      <c r="K337" s="106"/>
      <c r="L337" s="207"/>
      <c r="M337" s="207"/>
      <c r="N337" s="98"/>
      <c r="O337" s="66"/>
      <c r="P337" s="98"/>
      <c r="Q337" s="66"/>
      <c r="R337" s="226"/>
      <c r="S337" s="161"/>
      <c r="T337" s="328"/>
      <c r="U337" s="54" t="s">
        <v>51</v>
      </c>
      <c r="V337" s="74"/>
      <c r="W337" s="98"/>
      <c r="X337" s="105"/>
      <c r="Y337" s="105"/>
      <c r="Z337" s="105"/>
      <c r="AA337" s="105"/>
      <c r="AB337" s="105"/>
      <c r="AC337" s="106"/>
      <c r="AD337" s="106"/>
      <c r="AE337" s="106"/>
      <c r="AF337" s="98"/>
      <c r="AG337" s="66"/>
      <c r="AH337" s="98"/>
      <c r="AI337" s="66"/>
      <c r="AJ337" s="226"/>
      <c r="AK337" s="169"/>
      <c r="AL337" s="328"/>
      <c r="AM337" s="213" t="str">
        <f t="shared" si="321"/>
        <v/>
      </c>
      <c r="AN337" s="214" t="str">
        <f t="shared" si="322"/>
        <v/>
      </c>
      <c r="AO337" s="214" t="str">
        <f t="shared" si="323"/>
        <v/>
      </c>
      <c r="AP337" s="214" t="str">
        <f t="shared" si="324"/>
        <v/>
      </c>
      <c r="AQ337" s="215" t="str">
        <f t="shared" si="325"/>
        <v/>
      </c>
      <c r="AR337" s="68"/>
      <c r="AS337" s="69"/>
      <c r="AT337" s="68"/>
    </row>
    <row r="338" spans="2:46" ht="13.5" customHeight="1" x14ac:dyDescent="0.15">
      <c r="B338" s="326" t="s">
        <v>152</v>
      </c>
      <c r="C338" s="50" t="s">
        <v>46</v>
      </c>
      <c r="D338" s="71"/>
      <c r="E338" s="93"/>
      <c r="F338" s="101"/>
      <c r="G338" s="101"/>
      <c r="H338" s="101"/>
      <c r="I338" s="101"/>
      <c r="J338" s="101"/>
      <c r="K338" s="102"/>
      <c r="L338" s="205"/>
      <c r="M338" s="205"/>
      <c r="N338" s="93"/>
      <c r="O338" s="51"/>
      <c r="P338" s="93"/>
      <c r="Q338" s="51"/>
      <c r="R338" s="224"/>
      <c r="S338" s="161"/>
      <c r="T338" s="326" t="s">
        <v>152</v>
      </c>
      <c r="U338" s="50" t="s">
        <v>46</v>
      </c>
      <c r="V338" s="71"/>
      <c r="W338" s="93"/>
      <c r="X338" s="101"/>
      <c r="Y338" s="101"/>
      <c r="Z338" s="101"/>
      <c r="AA338" s="101"/>
      <c r="AB338" s="101"/>
      <c r="AC338" s="102"/>
      <c r="AD338" s="102"/>
      <c r="AE338" s="102"/>
      <c r="AF338" s="93"/>
      <c r="AG338" s="51"/>
      <c r="AH338" s="93"/>
      <c r="AI338" s="51"/>
      <c r="AJ338" s="224"/>
      <c r="AK338" s="169"/>
      <c r="AL338" s="326" t="s">
        <v>152</v>
      </c>
      <c r="AM338" s="210" t="str">
        <f>IF(OR(X338="",F338=""),"",X338-F338)</f>
        <v/>
      </c>
      <c r="AN338" s="171" t="str">
        <f>IF(OR(Y338="",G338=""),"",Y338-G338)</f>
        <v/>
      </c>
      <c r="AO338" s="171" t="str">
        <f>IF(OR(Z338="",H338=""),"",Z338-H338)</f>
        <v/>
      </c>
      <c r="AP338" s="171" t="str">
        <f>IF(OR(AA338="",I338=""),"",AA338-I338)</f>
        <v/>
      </c>
      <c r="AQ338" s="211" t="str">
        <f>IF(OR(AB338="",J338=""),"",AB338-J338)</f>
        <v/>
      </c>
      <c r="AR338" s="68"/>
      <c r="AS338" s="69"/>
      <c r="AT338" s="68"/>
    </row>
    <row r="339" spans="2:46" ht="13.5" customHeight="1" x14ac:dyDescent="0.15">
      <c r="B339" s="327"/>
      <c r="C339" s="52" t="s">
        <v>47</v>
      </c>
      <c r="D339" s="73"/>
      <c r="E339" s="95"/>
      <c r="F339" s="103"/>
      <c r="G339" s="103"/>
      <c r="H339" s="103"/>
      <c r="I339" s="103"/>
      <c r="J339" s="103"/>
      <c r="K339" s="104"/>
      <c r="L339" s="206"/>
      <c r="M339" s="206"/>
      <c r="N339" s="95"/>
      <c r="O339" s="53"/>
      <c r="P339" s="95"/>
      <c r="Q339" s="53"/>
      <c r="R339" s="225"/>
      <c r="S339" s="161"/>
      <c r="T339" s="327"/>
      <c r="U339" s="52" t="s">
        <v>47</v>
      </c>
      <c r="V339" s="73"/>
      <c r="W339" s="95"/>
      <c r="X339" s="103"/>
      <c r="Y339" s="103"/>
      <c r="Z339" s="103"/>
      <c r="AA339" s="103"/>
      <c r="AB339" s="103"/>
      <c r="AC339" s="104"/>
      <c r="AD339" s="104"/>
      <c r="AE339" s="104"/>
      <c r="AF339" s="95"/>
      <c r="AG339" s="53"/>
      <c r="AH339" s="95"/>
      <c r="AI339" s="53"/>
      <c r="AJ339" s="225"/>
      <c r="AK339" s="169"/>
      <c r="AL339" s="327"/>
      <c r="AM339" s="150" t="str">
        <f t="shared" ref="AM339:AM342" si="326">IF(OR(X339="",F339=""),"",X339-F339)</f>
        <v/>
      </c>
      <c r="AN339" s="212" t="str">
        <f t="shared" ref="AN339:AN342" si="327">IF(OR(Y339="",G339=""),"",Y339-G339)</f>
        <v/>
      </c>
      <c r="AO339" s="212" t="str">
        <f t="shared" ref="AO339:AO342" si="328">IF(OR(Z339="",H339=""),"",Z339-H339)</f>
        <v/>
      </c>
      <c r="AP339" s="212" t="str">
        <f t="shared" ref="AP339:AP342" si="329">IF(OR(AA339="",I339=""),"",AA339-I339)</f>
        <v/>
      </c>
      <c r="AQ339" s="151" t="str">
        <f t="shared" ref="AQ339:AQ342" si="330">IF(OR(AB339="",J339=""),"",AB339-J339)</f>
        <v/>
      </c>
      <c r="AR339" s="68"/>
      <c r="AS339" s="69"/>
      <c r="AT339" s="68"/>
    </row>
    <row r="340" spans="2:46" ht="13.5" customHeight="1" x14ac:dyDescent="0.15">
      <c r="B340" s="327"/>
      <c r="C340" s="52" t="s">
        <v>48</v>
      </c>
      <c r="D340" s="73"/>
      <c r="E340" s="95"/>
      <c r="F340" s="103"/>
      <c r="G340" s="103"/>
      <c r="H340" s="103"/>
      <c r="I340" s="103"/>
      <c r="J340" s="103"/>
      <c r="K340" s="104"/>
      <c r="L340" s="206"/>
      <c r="M340" s="206"/>
      <c r="N340" s="95"/>
      <c r="O340" s="53"/>
      <c r="P340" s="95"/>
      <c r="Q340" s="53"/>
      <c r="R340" s="225"/>
      <c r="S340" s="161"/>
      <c r="T340" s="327"/>
      <c r="U340" s="52" t="s">
        <v>48</v>
      </c>
      <c r="V340" s="73"/>
      <c r="W340" s="95"/>
      <c r="X340" s="103"/>
      <c r="Y340" s="103"/>
      <c r="Z340" s="103"/>
      <c r="AA340" s="103"/>
      <c r="AB340" s="103"/>
      <c r="AC340" s="104"/>
      <c r="AD340" s="104"/>
      <c r="AE340" s="104"/>
      <c r="AF340" s="95"/>
      <c r="AG340" s="53"/>
      <c r="AH340" s="95"/>
      <c r="AI340" s="53"/>
      <c r="AJ340" s="225"/>
      <c r="AK340" s="169"/>
      <c r="AL340" s="327"/>
      <c r="AM340" s="150" t="str">
        <f t="shared" si="326"/>
        <v/>
      </c>
      <c r="AN340" s="212" t="str">
        <f t="shared" si="327"/>
        <v/>
      </c>
      <c r="AO340" s="212" t="str">
        <f t="shared" si="328"/>
        <v/>
      </c>
      <c r="AP340" s="212" t="str">
        <f t="shared" si="329"/>
        <v/>
      </c>
      <c r="AQ340" s="151" t="str">
        <f t="shared" si="330"/>
        <v/>
      </c>
      <c r="AR340" s="68"/>
      <c r="AS340" s="69"/>
      <c r="AT340" s="68"/>
    </row>
    <row r="341" spans="2:46" ht="13.5" customHeight="1" x14ac:dyDescent="0.15">
      <c r="B341" s="327"/>
      <c r="C341" s="52" t="s">
        <v>50</v>
      </c>
      <c r="D341" s="73"/>
      <c r="E341" s="95"/>
      <c r="F341" s="103"/>
      <c r="G341" s="103"/>
      <c r="H341" s="103"/>
      <c r="I341" s="103"/>
      <c r="J341" s="103"/>
      <c r="K341" s="104"/>
      <c r="L341" s="206"/>
      <c r="M341" s="206"/>
      <c r="N341" s="95"/>
      <c r="O341" s="53"/>
      <c r="P341" s="95"/>
      <c r="Q341" s="53"/>
      <c r="R341" s="225"/>
      <c r="S341" s="161"/>
      <c r="T341" s="327"/>
      <c r="U341" s="52" t="s">
        <v>50</v>
      </c>
      <c r="V341" s="73"/>
      <c r="W341" s="95"/>
      <c r="X341" s="103"/>
      <c r="Y341" s="103"/>
      <c r="Z341" s="103"/>
      <c r="AA341" s="103"/>
      <c r="AB341" s="103"/>
      <c r="AC341" s="104"/>
      <c r="AD341" s="104"/>
      <c r="AE341" s="104"/>
      <c r="AF341" s="95"/>
      <c r="AG341" s="53"/>
      <c r="AH341" s="95"/>
      <c r="AI341" s="53"/>
      <c r="AJ341" s="225"/>
      <c r="AK341" s="169"/>
      <c r="AL341" s="327"/>
      <c r="AM341" s="150" t="str">
        <f t="shared" si="326"/>
        <v/>
      </c>
      <c r="AN341" s="212" t="str">
        <f t="shared" si="327"/>
        <v/>
      </c>
      <c r="AO341" s="212" t="str">
        <f t="shared" si="328"/>
        <v/>
      </c>
      <c r="AP341" s="212" t="str">
        <f t="shared" si="329"/>
        <v/>
      </c>
      <c r="AQ341" s="151" t="str">
        <f t="shared" si="330"/>
        <v/>
      </c>
      <c r="AR341" s="68"/>
      <c r="AS341" s="69"/>
      <c r="AT341" s="68"/>
    </row>
    <row r="342" spans="2:46" ht="13.5" customHeight="1" thickBot="1" x14ac:dyDescent="0.2">
      <c r="B342" s="328"/>
      <c r="C342" s="52" t="s">
        <v>51</v>
      </c>
      <c r="D342" s="74"/>
      <c r="E342" s="98"/>
      <c r="F342" s="105"/>
      <c r="G342" s="105"/>
      <c r="H342" s="105"/>
      <c r="I342" s="105"/>
      <c r="J342" s="105"/>
      <c r="K342" s="106"/>
      <c r="L342" s="207"/>
      <c r="M342" s="207"/>
      <c r="N342" s="98"/>
      <c r="O342" s="66"/>
      <c r="P342" s="98"/>
      <c r="Q342" s="66"/>
      <c r="R342" s="225"/>
      <c r="S342" s="161"/>
      <c r="T342" s="328"/>
      <c r="U342" s="52" t="s">
        <v>51</v>
      </c>
      <c r="V342" s="74"/>
      <c r="W342" s="98"/>
      <c r="X342" s="105"/>
      <c r="Y342" s="105"/>
      <c r="Z342" s="105"/>
      <c r="AA342" s="105"/>
      <c r="AB342" s="105"/>
      <c r="AC342" s="106"/>
      <c r="AD342" s="106"/>
      <c r="AE342" s="106"/>
      <c r="AF342" s="98"/>
      <c r="AG342" s="66"/>
      <c r="AH342" s="98"/>
      <c r="AI342" s="66"/>
      <c r="AJ342" s="225"/>
      <c r="AK342" s="169"/>
      <c r="AL342" s="328"/>
      <c r="AM342" s="213" t="str">
        <f t="shared" si="326"/>
        <v/>
      </c>
      <c r="AN342" s="214" t="str">
        <f t="shared" si="327"/>
        <v/>
      </c>
      <c r="AO342" s="214" t="str">
        <f t="shared" si="328"/>
        <v/>
      </c>
      <c r="AP342" s="214" t="str">
        <f t="shared" si="329"/>
        <v/>
      </c>
      <c r="AQ342" s="215" t="str">
        <f t="shared" si="330"/>
        <v/>
      </c>
      <c r="AR342" s="68"/>
      <c r="AS342" s="69"/>
      <c r="AT342" s="68"/>
    </row>
    <row r="343" spans="2:46" ht="13.5" customHeight="1" x14ac:dyDescent="0.15">
      <c r="B343" s="326" t="s">
        <v>153</v>
      </c>
      <c r="C343" s="50" t="s">
        <v>46</v>
      </c>
      <c r="D343" s="71"/>
      <c r="E343" s="93"/>
      <c r="F343" s="101"/>
      <c r="G343" s="101"/>
      <c r="H343" s="101"/>
      <c r="I343" s="101"/>
      <c r="J343" s="101"/>
      <c r="K343" s="102"/>
      <c r="L343" s="205"/>
      <c r="M343" s="205"/>
      <c r="N343" s="93"/>
      <c r="O343" s="51"/>
      <c r="P343" s="93"/>
      <c r="Q343" s="51"/>
      <c r="R343" s="224"/>
      <c r="S343" s="161"/>
      <c r="T343" s="326" t="s">
        <v>153</v>
      </c>
      <c r="U343" s="50" t="s">
        <v>46</v>
      </c>
      <c r="V343" s="71"/>
      <c r="W343" s="93"/>
      <c r="X343" s="101"/>
      <c r="Y343" s="101"/>
      <c r="Z343" s="101"/>
      <c r="AA343" s="101"/>
      <c r="AB343" s="101"/>
      <c r="AC343" s="102"/>
      <c r="AD343" s="102"/>
      <c r="AE343" s="102"/>
      <c r="AF343" s="93"/>
      <c r="AG343" s="51"/>
      <c r="AH343" s="93"/>
      <c r="AI343" s="51"/>
      <c r="AJ343" s="224"/>
      <c r="AK343" s="169"/>
      <c r="AL343" s="326" t="s">
        <v>153</v>
      </c>
      <c r="AM343" s="210" t="str">
        <f>IF(OR(X343="",F343=""),"",X343-F343)</f>
        <v/>
      </c>
      <c r="AN343" s="171" t="str">
        <f>IF(OR(Y343="",G343=""),"",Y343-G343)</f>
        <v/>
      </c>
      <c r="AO343" s="171" t="str">
        <f>IF(OR(Z343="",H343=""),"",Z343-H343)</f>
        <v/>
      </c>
      <c r="AP343" s="171" t="str">
        <f>IF(OR(AA343="",I343=""),"",AA343-I343)</f>
        <v/>
      </c>
      <c r="AQ343" s="211" t="str">
        <f>IF(OR(AB343="",J343=""),"",AB343-J343)</f>
        <v/>
      </c>
      <c r="AR343" s="68"/>
      <c r="AS343" s="69"/>
      <c r="AT343" s="68"/>
    </row>
    <row r="344" spans="2:46" ht="13.5" customHeight="1" x14ac:dyDescent="0.15">
      <c r="B344" s="327"/>
      <c r="C344" s="52" t="s">
        <v>47</v>
      </c>
      <c r="D344" s="73"/>
      <c r="E344" s="95"/>
      <c r="F344" s="103"/>
      <c r="G344" s="103"/>
      <c r="H344" s="103"/>
      <c r="I344" s="103"/>
      <c r="J344" s="103"/>
      <c r="K344" s="104"/>
      <c r="L344" s="206"/>
      <c r="M344" s="206"/>
      <c r="N344" s="95"/>
      <c r="O344" s="53"/>
      <c r="P344" s="95"/>
      <c r="Q344" s="53"/>
      <c r="R344" s="225"/>
      <c r="S344" s="161"/>
      <c r="T344" s="327"/>
      <c r="U344" s="52" t="s">
        <v>47</v>
      </c>
      <c r="V344" s="73"/>
      <c r="W344" s="95"/>
      <c r="X344" s="103"/>
      <c r="Y344" s="103"/>
      <c r="Z344" s="103"/>
      <c r="AA344" s="103"/>
      <c r="AB344" s="103"/>
      <c r="AC344" s="104"/>
      <c r="AD344" s="104"/>
      <c r="AE344" s="104"/>
      <c r="AF344" s="95"/>
      <c r="AG344" s="53"/>
      <c r="AH344" s="95"/>
      <c r="AI344" s="53"/>
      <c r="AJ344" s="225"/>
      <c r="AK344" s="169"/>
      <c r="AL344" s="327"/>
      <c r="AM344" s="150" t="str">
        <f t="shared" ref="AM344:AM347" si="331">IF(OR(X344="",F344=""),"",X344-F344)</f>
        <v/>
      </c>
      <c r="AN344" s="212" t="str">
        <f t="shared" ref="AN344:AN347" si="332">IF(OR(Y344="",G344=""),"",Y344-G344)</f>
        <v/>
      </c>
      <c r="AO344" s="212" t="str">
        <f t="shared" ref="AO344:AO347" si="333">IF(OR(Z344="",H344=""),"",Z344-H344)</f>
        <v/>
      </c>
      <c r="AP344" s="212" t="str">
        <f t="shared" ref="AP344:AP347" si="334">IF(OR(AA344="",I344=""),"",AA344-I344)</f>
        <v/>
      </c>
      <c r="AQ344" s="151" t="str">
        <f t="shared" ref="AQ344:AQ347" si="335">IF(OR(AB344="",J344=""),"",AB344-J344)</f>
        <v/>
      </c>
      <c r="AR344" s="68"/>
      <c r="AS344" s="69"/>
      <c r="AT344" s="68"/>
    </row>
    <row r="345" spans="2:46" ht="13.5" customHeight="1" x14ac:dyDescent="0.15">
      <c r="B345" s="327"/>
      <c r="C345" s="52" t="s">
        <v>48</v>
      </c>
      <c r="D345" s="73"/>
      <c r="E345" s="95"/>
      <c r="F345" s="103"/>
      <c r="G345" s="103"/>
      <c r="H345" s="103"/>
      <c r="I345" s="103"/>
      <c r="J345" s="103"/>
      <c r="K345" s="104"/>
      <c r="L345" s="206"/>
      <c r="M345" s="206"/>
      <c r="N345" s="95"/>
      <c r="O345" s="53"/>
      <c r="P345" s="95"/>
      <c r="Q345" s="53"/>
      <c r="R345" s="225"/>
      <c r="S345" s="161"/>
      <c r="T345" s="327"/>
      <c r="U345" s="52" t="s">
        <v>48</v>
      </c>
      <c r="V345" s="73"/>
      <c r="W345" s="95"/>
      <c r="X345" s="103"/>
      <c r="Y345" s="103"/>
      <c r="Z345" s="103"/>
      <c r="AA345" s="103"/>
      <c r="AB345" s="103"/>
      <c r="AC345" s="104"/>
      <c r="AD345" s="104"/>
      <c r="AE345" s="104"/>
      <c r="AF345" s="95"/>
      <c r="AG345" s="53"/>
      <c r="AH345" s="95"/>
      <c r="AI345" s="53"/>
      <c r="AJ345" s="225"/>
      <c r="AK345" s="169"/>
      <c r="AL345" s="327"/>
      <c r="AM345" s="150" t="str">
        <f t="shared" si="331"/>
        <v/>
      </c>
      <c r="AN345" s="212" t="str">
        <f t="shared" si="332"/>
        <v/>
      </c>
      <c r="AO345" s="212" t="str">
        <f t="shared" si="333"/>
        <v/>
      </c>
      <c r="AP345" s="212" t="str">
        <f t="shared" si="334"/>
        <v/>
      </c>
      <c r="AQ345" s="151" t="str">
        <f t="shared" si="335"/>
        <v/>
      </c>
      <c r="AR345" s="68"/>
      <c r="AS345" s="69"/>
      <c r="AT345" s="68"/>
    </row>
    <row r="346" spans="2:46" ht="13.5" customHeight="1" x14ac:dyDescent="0.15">
      <c r="B346" s="327"/>
      <c r="C346" s="52" t="s">
        <v>50</v>
      </c>
      <c r="D346" s="73"/>
      <c r="E346" s="95"/>
      <c r="F346" s="103"/>
      <c r="G346" s="103"/>
      <c r="H346" s="103"/>
      <c r="I346" s="103"/>
      <c r="J346" s="103"/>
      <c r="K346" s="104"/>
      <c r="L346" s="206"/>
      <c r="M346" s="206"/>
      <c r="N346" s="95"/>
      <c r="O346" s="53"/>
      <c r="P346" s="95"/>
      <c r="Q346" s="53"/>
      <c r="R346" s="225"/>
      <c r="S346" s="161"/>
      <c r="T346" s="327"/>
      <c r="U346" s="52" t="s">
        <v>50</v>
      </c>
      <c r="V346" s="73"/>
      <c r="W346" s="95"/>
      <c r="X346" s="103"/>
      <c r="Y346" s="103"/>
      <c r="Z346" s="103"/>
      <c r="AA346" s="103"/>
      <c r="AB346" s="103"/>
      <c r="AC346" s="104"/>
      <c r="AD346" s="104"/>
      <c r="AE346" s="104"/>
      <c r="AF346" s="95"/>
      <c r="AG346" s="53"/>
      <c r="AH346" s="95"/>
      <c r="AI346" s="53"/>
      <c r="AJ346" s="225"/>
      <c r="AK346" s="169"/>
      <c r="AL346" s="327"/>
      <c r="AM346" s="150" t="str">
        <f t="shared" si="331"/>
        <v/>
      </c>
      <c r="AN346" s="212" t="str">
        <f t="shared" si="332"/>
        <v/>
      </c>
      <c r="AO346" s="212" t="str">
        <f t="shared" si="333"/>
        <v/>
      </c>
      <c r="AP346" s="212" t="str">
        <f t="shared" si="334"/>
        <v/>
      </c>
      <c r="AQ346" s="151" t="str">
        <f t="shared" si="335"/>
        <v/>
      </c>
      <c r="AR346" s="68"/>
      <c r="AS346" s="69"/>
      <c r="AT346" s="68"/>
    </row>
    <row r="347" spans="2:46" ht="13.5" customHeight="1" thickBot="1" x14ac:dyDescent="0.2">
      <c r="B347" s="328"/>
      <c r="C347" s="52" t="s">
        <v>51</v>
      </c>
      <c r="D347" s="74"/>
      <c r="E347" s="98"/>
      <c r="F347" s="105"/>
      <c r="G347" s="105"/>
      <c r="H347" s="105"/>
      <c r="I347" s="105"/>
      <c r="J347" s="105"/>
      <c r="K347" s="106"/>
      <c r="L347" s="207"/>
      <c r="M347" s="207"/>
      <c r="N347" s="98"/>
      <c r="O347" s="66"/>
      <c r="P347" s="98"/>
      <c r="Q347" s="66"/>
      <c r="R347" s="225"/>
      <c r="S347" s="161"/>
      <c r="T347" s="328"/>
      <c r="U347" s="52" t="s">
        <v>51</v>
      </c>
      <c r="V347" s="74"/>
      <c r="W347" s="98"/>
      <c r="X347" s="105"/>
      <c r="Y347" s="105"/>
      <c r="Z347" s="105"/>
      <c r="AA347" s="105"/>
      <c r="AB347" s="105"/>
      <c r="AC347" s="106"/>
      <c r="AD347" s="106"/>
      <c r="AE347" s="106"/>
      <c r="AF347" s="98"/>
      <c r="AG347" s="66"/>
      <c r="AH347" s="98"/>
      <c r="AI347" s="66"/>
      <c r="AJ347" s="225"/>
      <c r="AK347" s="169"/>
      <c r="AL347" s="328"/>
      <c r="AM347" s="213" t="str">
        <f t="shared" si="331"/>
        <v/>
      </c>
      <c r="AN347" s="214" t="str">
        <f t="shared" si="332"/>
        <v/>
      </c>
      <c r="AO347" s="214" t="str">
        <f t="shared" si="333"/>
        <v/>
      </c>
      <c r="AP347" s="214" t="str">
        <f t="shared" si="334"/>
        <v/>
      </c>
      <c r="AQ347" s="215" t="str">
        <f t="shared" si="335"/>
        <v/>
      </c>
      <c r="AR347" s="68"/>
      <c r="AS347" s="69"/>
      <c r="AT347" s="68"/>
    </row>
    <row r="348" spans="2:46" ht="13.5" customHeight="1" x14ac:dyDescent="0.15">
      <c r="B348" s="326" t="s">
        <v>154</v>
      </c>
      <c r="C348" s="50" t="s">
        <v>46</v>
      </c>
      <c r="D348" s="71"/>
      <c r="E348" s="93"/>
      <c r="F348" s="101"/>
      <c r="G348" s="101"/>
      <c r="H348" s="101"/>
      <c r="I348" s="101"/>
      <c r="J348" s="101"/>
      <c r="K348" s="102"/>
      <c r="L348" s="205"/>
      <c r="M348" s="205"/>
      <c r="N348" s="93"/>
      <c r="O348" s="51"/>
      <c r="P348" s="93"/>
      <c r="Q348" s="51"/>
      <c r="R348" s="224"/>
      <c r="S348" s="161"/>
      <c r="T348" s="326" t="s">
        <v>154</v>
      </c>
      <c r="U348" s="50" t="s">
        <v>46</v>
      </c>
      <c r="V348" s="71"/>
      <c r="W348" s="93"/>
      <c r="X348" s="101"/>
      <c r="Y348" s="101"/>
      <c r="Z348" s="101"/>
      <c r="AA348" s="101"/>
      <c r="AB348" s="101"/>
      <c r="AC348" s="102"/>
      <c r="AD348" s="102"/>
      <c r="AE348" s="102"/>
      <c r="AF348" s="93"/>
      <c r="AG348" s="51"/>
      <c r="AH348" s="93"/>
      <c r="AI348" s="51"/>
      <c r="AJ348" s="224"/>
      <c r="AK348" s="169"/>
      <c r="AL348" s="326" t="s">
        <v>154</v>
      </c>
      <c r="AM348" s="210" t="str">
        <f>IF(OR(X348="",F348=""),"",X348-F348)</f>
        <v/>
      </c>
      <c r="AN348" s="171" t="str">
        <f>IF(OR(Y348="",G348=""),"",Y348-G348)</f>
        <v/>
      </c>
      <c r="AO348" s="171" t="str">
        <f>IF(OR(Z348="",H348=""),"",Z348-H348)</f>
        <v/>
      </c>
      <c r="AP348" s="171" t="str">
        <f>IF(OR(AA348="",I348=""),"",AA348-I348)</f>
        <v/>
      </c>
      <c r="AQ348" s="211" t="str">
        <f>IF(OR(AB348="",J348=""),"",AB348-J348)</f>
        <v/>
      </c>
      <c r="AR348" s="68"/>
      <c r="AS348" s="69"/>
      <c r="AT348" s="68"/>
    </row>
    <row r="349" spans="2:46" ht="13.5" customHeight="1" x14ac:dyDescent="0.15">
      <c r="B349" s="327"/>
      <c r="C349" s="52" t="s">
        <v>47</v>
      </c>
      <c r="D349" s="73"/>
      <c r="E349" s="95"/>
      <c r="F349" s="103"/>
      <c r="G349" s="103"/>
      <c r="H349" s="103"/>
      <c r="I349" s="103"/>
      <c r="J349" s="103"/>
      <c r="K349" s="104"/>
      <c r="L349" s="206"/>
      <c r="M349" s="206"/>
      <c r="N349" s="95"/>
      <c r="O349" s="53"/>
      <c r="P349" s="95"/>
      <c r="Q349" s="53"/>
      <c r="R349" s="225"/>
      <c r="S349" s="161"/>
      <c r="T349" s="327"/>
      <c r="U349" s="52" t="s">
        <v>47</v>
      </c>
      <c r="V349" s="73"/>
      <c r="W349" s="95"/>
      <c r="X349" s="103"/>
      <c r="Y349" s="103"/>
      <c r="Z349" s="103"/>
      <c r="AA349" s="103"/>
      <c r="AB349" s="103"/>
      <c r="AC349" s="104"/>
      <c r="AD349" s="104"/>
      <c r="AE349" s="104"/>
      <c r="AF349" s="95"/>
      <c r="AG349" s="53"/>
      <c r="AH349" s="95"/>
      <c r="AI349" s="53"/>
      <c r="AJ349" s="225"/>
      <c r="AK349" s="169"/>
      <c r="AL349" s="327"/>
      <c r="AM349" s="150" t="str">
        <f t="shared" ref="AM349:AM352" si="336">IF(OR(X349="",F349=""),"",X349-F349)</f>
        <v/>
      </c>
      <c r="AN349" s="212" t="str">
        <f t="shared" ref="AN349:AN352" si="337">IF(OR(Y349="",G349=""),"",Y349-G349)</f>
        <v/>
      </c>
      <c r="AO349" s="212" t="str">
        <f t="shared" ref="AO349:AO352" si="338">IF(OR(Z349="",H349=""),"",Z349-H349)</f>
        <v/>
      </c>
      <c r="AP349" s="212" t="str">
        <f t="shared" ref="AP349:AP352" si="339">IF(OR(AA349="",I349=""),"",AA349-I349)</f>
        <v/>
      </c>
      <c r="AQ349" s="151" t="str">
        <f t="shared" ref="AQ349:AQ352" si="340">IF(OR(AB349="",J349=""),"",AB349-J349)</f>
        <v/>
      </c>
      <c r="AR349" s="68"/>
      <c r="AS349" s="69"/>
      <c r="AT349" s="68"/>
    </row>
    <row r="350" spans="2:46" ht="13.5" customHeight="1" x14ac:dyDescent="0.15">
      <c r="B350" s="327"/>
      <c r="C350" s="52" t="s">
        <v>48</v>
      </c>
      <c r="D350" s="73"/>
      <c r="E350" s="95"/>
      <c r="F350" s="103"/>
      <c r="G350" s="103"/>
      <c r="H350" s="103"/>
      <c r="I350" s="103"/>
      <c r="J350" s="103"/>
      <c r="K350" s="104"/>
      <c r="L350" s="206"/>
      <c r="M350" s="206"/>
      <c r="N350" s="95"/>
      <c r="O350" s="53"/>
      <c r="P350" s="95"/>
      <c r="Q350" s="53"/>
      <c r="R350" s="225"/>
      <c r="S350" s="161"/>
      <c r="T350" s="327"/>
      <c r="U350" s="52" t="s">
        <v>48</v>
      </c>
      <c r="V350" s="73"/>
      <c r="W350" s="95"/>
      <c r="X350" s="103"/>
      <c r="Y350" s="103"/>
      <c r="Z350" s="103"/>
      <c r="AA350" s="103"/>
      <c r="AB350" s="103"/>
      <c r="AC350" s="104"/>
      <c r="AD350" s="104"/>
      <c r="AE350" s="104"/>
      <c r="AF350" s="95"/>
      <c r="AG350" s="53"/>
      <c r="AH350" s="95"/>
      <c r="AI350" s="53"/>
      <c r="AJ350" s="225"/>
      <c r="AK350" s="169"/>
      <c r="AL350" s="327"/>
      <c r="AM350" s="150" t="str">
        <f t="shared" si="336"/>
        <v/>
      </c>
      <c r="AN350" s="212" t="str">
        <f t="shared" si="337"/>
        <v/>
      </c>
      <c r="AO350" s="212" t="str">
        <f t="shared" si="338"/>
        <v/>
      </c>
      <c r="AP350" s="212" t="str">
        <f t="shared" si="339"/>
        <v/>
      </c>
      <c r="AQ350" s="151" t="str">
        <f t="shared" si="340"/>
        <v/>
      </c>
      <c r="AR350" s="68"/>
      <c r="AS350" s="69"/>
      <c r="AT350" s="68"/>
    </row>
    <row r="351" spans="2:46" ht="13.5" customHeight="1" x14ac:dyDescent="0.15">
      <c r="B351" s="327"/>
      <c r="C351" s="52" t="s">
        <v>50</v>
      </c>
      <c r="D351" s="73"/>
      <c r="E351" s="95"/>
      <c r="F351" s="103"/>
      <c r="G351" s="103"/>
      <c r="H351" s="103"/>
      <c r="I351" s="103"/>
      <c r="J351" s="103"/>
      <c r="K351" s="104"/>
      <c r="L351" s="206"/>
      <c r="M351" s="206"/>
      <c r="N351" s="95"/>
      <c r="O351" s="53"/>
      <c r="P351" s="95"/>
      <c r="Q351" s="53"/>
      <c r="R351" s="225"/>
      <c r="S351" s="161"/>
      <c r="T351" s="327"/>
      <c r="U351" s="52" t="s">
        <v>50</v>
      </c>
      <c r="V351" s="73"/>
      <c r="W351" s="95"/>
      <c r="X351" s="103"/>
      <c r="Y351" s="103"/>
      <c r="Z351" s="103"/>
      <c r="AA351" s="103"/>
      <c r="AB351" s="103"/>
      <c r="AC351" s="104"/>
      <c r="AD351" s="104"/>
      <c r="AE351" s="104"/>
      <c r="AF351" s="95"/>
      <c r="AG351" s="53"/>
      <c r="AH351" s="95"/>
      <c r="AI351" s="53"/>
      <c r="AJ351" s="225"/>
      <c r="AK351" s="169"/>
      <c r="AL351" s="327"/>
      <c r="AM351" s="150" t="str">
        <f t="shared" si="336"/>
        <v/>
      </c>
      <c r="AN351" s="212" t="str">
        <f t="shared" si="337"/>
        <v/>
      </c>
      <c r="AO351" s="212" t="str">
        <f t="shared" si="338"/>
        <v/>
      </c>
      <c r="AP351" s="212" t="str">
        <f t="shared" si="339"/>
        <v/>
      </c>
      <c r="AQ351" s="151" t="str">
        <f t="shared" si="340"/>
        <v/>
      </c>
      <c r="AR351" s="68"/>
      <c r="AS351" s="69"/>
      <c r="AT351" s="68"/>
    </row>
    <row r="352" spans="2:46" ht="13.5" customHeight="1" thickBot="1" x14ac:dyDescent="0.2">
      <c r="B352" s="328"/>
      <c r="C352" s="52" t="s">
        <v>51</v>
      </c>
      <c r="D352" s="74"/>
      <c r="E352" s="98"/>
      <c r="F352" s="105"/>
      <c r="G352" s="105"/>
      <c r="H352" s="105"/>
      <c r="I352" s="105"/>
      <c r="J352" s="105"/>
      <c r="K352" s="106"/>
      <c r="L352" s="207"/>
      <c r="M352" s="207"/>
      <c r="N352" s="98"/>
      <c r="O352" s="66"/>
      <c r="P352" s="98"/>
      <c r="Q352" s="66"/>
      <c r="R352" s="225"/>
      <c r="S352" s="161"/>
      <c r="T352" s="328"/>
      <c r="U352" s="52" t="s">
        <v>51</v>
      </c>
      <c r="V352" s="74"/>
      <c r="W352" s="98"/>
      <c r="X352" s="105"/>
      <c r="Y352" s="105"/>
      <c r="Z352" s="105"/>
      <c r="AA352" s="105"/>
      <c r="AB352" s="105"/>
      <c r="AC352" s="106"/>
      <c r="AD352" s="106"/>
      <c r="AE352" s="106"/>
      <c r="AF352" s="98"/>
      <c r="AG352" s="66"/>
      <c r="AH352" s="98"/>
      <c r="AI352" s="66"/>
      <c r="AJ352" s="225"/>
      <c r="AK352" s="169"/>
      <c r="AL352" s="328"/>
      <c r="AM352" s="213" t="str">
        <f t="shared" si="336"/>
        <v/>
      </c>
      <c r="AN352" s="214" t="str">
        <f t="shared" si="337"/>
        <v/>
      </c>
      <c r="AO352" s="214" t="str">
        <f t="shared" si="338"/>
        <v/>
      </c>
      <c r="AP352" s="214" t="str">
        <f t="shared" si="339"/>
        <v/>
      </c>
      <c r="AQ352" s="215" t="str">
        <f t="shared" si="340"/>
        <v/>
      </c>
      <c r="AR352" s="68"/>
      <c r="AS352" s="69"/>
      <c r="AT352" s="68"/>
    </row>
    <row r="353" spans="2:46" ht="13.5" customHeight="1" x14ac:dyDescent="0.15">
      <c r="B353" s="326" t="s">
        <v>155</v>
      </c>
      <c r="C353" s="50" t="s">
        <v>46</v>
      </c>
      <c r="D353" s="71"/>
      <c r="E353" s="93"/>
      <c r="F353" s="101"/>
      <c r="G353" s="101"/>
      <c r="H353" s="101"/>
      <c r="I353" s="101"/>
      <c r="J353" s="101"/>
      <c r="K353" s="102"/>
      <c r="L353" s="205"/>
      <c r="M353" s="205"/>
      <c r="N353" s="93"/>
      <c r="O353" s="51"/>
      <c r="P353" s="93"/>
      <c r="Q353" s="51"/>
      <c r="R353" s="224"/>
      <c r="S353" s="161"/>
      <c r="T353" s="326" t="s">
        <v>155</v>
      </c>
      <c r="U353" s="50" t="s">
        <v>46</v>
      </c>
      <c r="V353" s="71"/>
      <c r="W353" s="93"/>
      <c r="X353" s="101"/>
      <c r="Y353" s="101"/>
      <c r="Z353" s="101"/>
      <c r="AA353" s="101"/>
      <c r="AB353" s="101"/>
      <c r="AC353" s="102"/>
      <c r="AD353" s="102"/>
      <c r="AE353" s="102"/>
      <c r="AF353" s="93"/>
      <c r="AG353" s="51"/>
      <c r="AH353" s="93"/>
      <c r="AI353" s="51"/>
      <c r="AJ353" s="224"/>
      <c r="AK353" s="169"/>
      <c r="AL353" s="326" t="s">
        <v>155</v>
      </c>
      <c r="AM353" s="210" t="str">
        <f>IF(OR(X353="",F353=""),"",X353-F353)</f>
        <v/>
      </c>
      <c r="AN353" s="171" t="str">
        <f>IF(OR(Y353="",G353=""),"",Y353-G353)</f>
        <v/>
      </c>
      <c r="AO353" s="171" t="str">
        <f>IF(OR(Z353="",H353=""),"",Z353-H353)</f>
        <v/>
      </c>
      <c r="AP353" s="171" t="str">
        <f>IF(OR(AA353="",I353=""),"",AA353-I353)</f>
        <v/>
      </c>
      <c r="AQ353" s="211" t="str">
        <f>IF(OR(AB353="",J353=""),"",AB353-J353)</f>
        <v/>
      </c>
      <c r="AR353" s="68"/>
      <c r="AS353" s="69"/>
      <c r="AT353" s="68"/>
    </row>
    <row r="354" spans="2:46" ht="13.5" customHeight="1" x14ac:dyDescent="0.15">
      <c r="B354" s="327"/>
      <c r="C354" s="52" t="s">
        <v>47</v>
      </c>
      <c r="D354" s="73"/>
      <c r="E354" s="95"/>
      <c r="F354" s="103"/>
      <c r="G354" s="103"/>
      <c r="H354" s="103"/>
      <c r="I354" s="103"/>
      <c r="J354" s="103"/>
      <c r="K354" s="104"/>
      <c r="L354" s="206"/>
      <c r="M354" s="206"/>
      <c r="N354" s="95"/>
      <c r="O354" s="53"/>
      <c r="P354" s="95"/>
      <c r="Q354" s="53"/>
      <c r="R354" s="225"/>
      <c r="S354" s="161"/>
      <c r="T354" s="327"/>
      <c r="U354" s="52" t="s">
        <v>47</v>
      </c>
      <c r="V354" s="73"/>
      <c r="W354" s="95"/>
      <c r="X354" s="103"/>
      <c r="Y354" s="103"/>
      <c r="Z354" s="103"/>
      <c r="AA354" s="103"/>
      <c r="AB354" s="103"/>
      <c r="AC354" s="104"/>
      <c r="AD354" s="104"/>
      <c r="AE354" s="104"/>
      <c r="AF354" s="95"/>
      <c r="AG354" s="53"/>
      <c r="AH354" s="95"/>
      <c r="AI354" s="53"/>
      <c r="AJ354" s="225"/>
      <c r="AK354" s="169"/>
      <c r="AL354" s="327"/>
      <c r="AM354" s="150" t="str">
        <f t="shared" ref="AM354:AM357" si="341">IF(OR(X354="",F354=""),"",X354-F354)</f>
        <v/>
      </c>
      <c r="AN354" s="212" t="str">
        <f t="shared" ref="AN354:AN357" si="342">IF(OR(Y354="",G354=""),"",Y354-G354)</f>
        <v/>
      </c>
      <c r="AO354" s="212" t="str">
        <f t="shared" ref="AO354:AO357" si="343">IF(OR(Z354="",H354=""),"",Z354-H354)</f>
        <v/>
      </c>
      <c r="AP354" s="212" t="str">
        <f t="shared" ref="AP354:AP357" si="344">IF(OR(AA354="",I354=""),"",AA354-I354)</f>
        <v/>
      </c>
      <c r="AQ354" s="151" t="str">
        <f t="shared" ref="AQ354:AQ357" si="345">IF(OR(AB354="",J354=""),"",AB354-J354)</f>
        <v/>
      </c>
      <c r="AR354" s="68"/>
      <c r="AS354" s="69"/>
      <c r="AT354" s="68"/>
    </row>
    <row r="355" spans="2:46" ht="13.5" customHeight="1" x14ac:dyDescent="0.15">
      <c r="B355" s="327"/>
      <c r="C355" s="52" t="s">
        <v>48</v>
      </c>
      <c r="D355" s="73"/>
      <c r="E355" s="95"/>
      <c r="F355" s="103"/>
      <c r="G355" s="103"/>
      <c r="H355" s="103"/>
      <c r="I355" s="103"/>
      <c r="J355" s="103"/>
      <c r="K355" s="104"/>
      <c r="L355" s="206"/>
      <c r="M355" s="206"/>
      <c r="N355" s="95"/>
      <c r="O355" s="53"/>
      <c r="P355" s="95"/>
      <c r="Q355" s="53"/>
      <c r="R355" s="225"/>
      <c r="S355" s="161"/>
      <c r="T355" s="327"/>
      <c r="U355" s="52" t="s">
        <v>48</v>
      </c>
      <c r="V355" s="73"/>
      <c r="W355" s="95"/>
      <c r="X355" s="103"/>
      <c r="Y355" s="103"/>
      <c r="Z355" s="103"/>
      <c r="AA355" s="103"/>
      <c r="AB355" s="103"/>
      <c r="AC355" s="104"/>
      <c r="AD355" s="104"/>
      <c r="AE355" s="104"/>
      <c r="AF355" s="95"/>
      <c r="AG355" s="53"/>
      <c r="AH355" s="95"/>
      <c r="AI355" s="53"/>
      <c r="AJ355" s="225"/>
      <c r="AK355" s="169"/>
      <c r="AL355" s="327"/>
      <c r="AM355" s="150" t="str">
        <f t="shared" si="341"/>
        <v/>
      </c>
      <c r="AN355" s="212" t="str">
        <f t="shared" si="342"/>
        <v/>
      </c>
      <c r="AO355" s="212" t="str">
        <f t="shared" si="343"/>
        <v/>
      </c>
      <c r="AP355" s="212" t="str">
        <f t="shared" si="344"/>
        <v/>
      </c>
      <c r="AQ355" s="151" t="str">
        <f t="shared" si="345"/>
        <v/>
      </c>
      <c r="AR355" s="68"/>
      <c r="AS355" s="69"/>
      <c r="AT355" s="68"/>
    </row>
    <row r="356" spans="2:46" ht="13.5" customHeight="1" x14ac:dyDescent="0.15">
      <c r="B356" s="327"/>
      <c r="C356" s="52" t="s">
        <v>50</v>
      </c>
      <c r="D356" s="73"/>
      <c r="E356" s="95"/>
      <c r="F356" s="103"/>
      <c r="G356" s="103"/>
      <c r="H356" s="103"/>
      <c r="I356" s="103"/>
      <c r="J356" s="103"/>
      <c r="K356" s="104"/>
      <c r="L356" s="206"/>
      <c r="M356" s="206"/>
      <c r="N356" s="95"/>
      <c r="O356" s="53"/>
      <c r="P356" s="95"/>
      <c r="Q356" s="53"/>
      <c r="R356" s="225"/>
      <c r="S356" s="161"/>
      <c r="T356" s="327"/>
      <c r="U356" s="52" t="s">
        <v>50</v>
      </c>
      <c r="V356" s="73"/>
      <c r="W356" s="95"/>
      <c r="X356" s="103"/>
      <c r="Y356" s="103"/>
      <c r="Z356" s="103"/>
      <c r="AA356" s="103"/>
      <c r="AB356" s="103"/>
      <c r="AC356" s="104"/>
      <c r="AD356" s="104"/>
      <c r="AE356" s="104"/>
      <c r="AF356" s="95"/>
      <c r="AG356" s="53"/>
      <c r="AH356" s="95"/>
      <c r="AI356" s="53"/>
      <c r="AJ356" s="225"/>
      <c r="AK356" s="169"/>
      <c r="AL356" s="327"/>
      <c r="AM356" s="150" t="str">
        <f t="shared" si="341"/>
        <v/>
      </c>
      <c r="AN356" s="212" t="str">
        <f t="shared" si="342"/>
        <v/>
      </c>
      <c r="AO356" s="212" t="str">
        <f t="shared" si="343"/>
        <v/>
      </c>
      <c r="AP356" s="212" t="str">
        <f t="shared" si="344"/>
        <v/>
      </c>
      <c r="AQ356" s="151" t="str">
        <f t="shared" si="345"/>
        <v/>
      </c>
      <c r="AR356" s="68"/>
      <c r="AS356" s="69"/>
      <c r="AT356" s="68"/>
    </row>
    <row r="357" spans="2:46" ht="13.5" customHeight="1" thickBot="1" x14ac:dyDescent="0.2">
      <c r="B357" s="328"/>
      <c r="C357" s="52" t="s">
        <v>51</v>
      </c>
      <c r="D357" s="74"/>
      <c r="E357" s="98"/>
      <c r="F357" s="105"/>
      <c r="G357" s="105"/>
      <c r="H357" s="105"/>
      <c r="I357" s="105"/>
      <c r="J357" s="105"/>
      <c r="K357" s="106"/>
      <c r="L357" s="207"/>
      <c r="M357" s="207"/>
      <c r="N357" s="98"/>
      <c r="O357" s="66"/>
      <c r="P357" s="98"/>
      <c r="Q357" s="66"/>
      <c r="R357" s="225"/>
      <c r="S357" s="161"/>
      <c r="T357" s="328"/>
      <c r="U357" s="52" t="s">
        <v>51</v>
      </c>
      <c r="V357" s="74"/>
      <c r="W357" s="98"/>
      <c r="X357" s="105"/>
      <c r="Y357" s="105"/>
      <c r="Z357" s="105"/>
      <c r="AA357" s="105"/>
      <c r="AB357" s="105"/>
      <c r="AC357" s="106"/>
      <c r="AD357" s="106"/>
      <c r="AE357" s="106"/>
      <c r="AF357" s="98"/>
      <c r="AG357" s="66"/>
      <c r="AH357" s="98"/>
      <c r="AI357" s="66"/>
      <c r="AJ357" s="225"/>
      <c r="AK357" s="169"/>
      <c r="AL357" s="328"/>
      <c r="AM357" s="213" t="str">
        <f t="shared" si="341"/>
        <v/>
      </c>
      <c r="AN357" s="214" t="str">
        <f t="shared" si="342"/>
        <v/>
      </c>
      <c r="AO357" s="214" t="str">
        <f t="shared" si="343"/>
        <v/>
      </c>
      <c r="AP357" s="214" t="str">
        <f t="shared" si="344"/>
        <v/>
      </c>
      <c r="AQ357" s="215" t="str">
        <f t="shared" si="345"/>
        <v/>
      </c>
      <c r="AR357" s="68"/>
      <c r="AS357" s="69"/>
      <c r="AT357" s="68"/>
    </row>
    <row r="358" spans="2:46" ht="13.5" customHeight="1" x14ac:dyDescent="0.15">
      <c r="B358" s="326" t="s">
        <v>156</v>
      </c>
      <c r="C358" s="50" t="s">
        <v>46</v>
      </c>
      <c r="D358" s="71"/>
      <c r="E358" s="93"/>
      <c r="F358" s="101"/>
      <c r="G358" s="101"/>
      <c r="H358" s="101"/>
      <c r="I358" s="101"/>
      <c r="J358" s="101"/>
      <c r="K358" s="102"/>
      <c r="L358" s="205"/>
      <c r="M358" s="205"/>
      <c r="N358" s="93"/>
      <c r="O358" s="51"/>
      <c r="P358" s="93"/>
      <c r="Q358" s="51"/>
      <c r="R358" s="224"/>
      <c r="S358" s="161"/>
      <c r="T358" s="326" t="s">
        <v>156</v>
      </c>
      <c r="U358" s="50" t="s">
        <v>46</v>
      </c>
      <c r="V358" s="71"/>
      <c r="W358" s="93"/>
      <c r="X358" s="101"/>
      <c r="Y358" s="101"/>
      <c r="Z358" s="101"/>
      <c r="AA358" s="101"/>
      <c r="AB358" s="101"/>
      <c r="AC358" s="102"/>
      <c r="AD358" s="102"/>
      <c r="AE358" s="102"/>
      <c r="AF358" s="93"/>
      <c r="AG358" s="51"/>
      <c r="AH358" s="93"/>
      <c r="AI358" s="51"/>
      <c r="AJ358" s="224"/>
      <c r="AK358" s="169"/>
      <c r="AL358" s="326" t="s">
        <v>156</v>
      </c>
      <c r="AM358" s="210" t="str">
        <f>IF(OR(X358="",F358=""),"",X358-F358)</f>
        <v/>
      </c>
      <c r="AN358" s="171" t="str">
        <f>IF(OR(Y358="",G358=""),"",Y358-G358)</f>
        <v/>
      </c>
      <c r="AO358" s="171" t="str">
        <f>IF(OR(Z358="",H358=""),"",Z358-H358)</f>
        <v/>
      </c>
      <c r="AP358" s="171" t="str">
        <f>IF(OR(AA358="",I358=""),"",AA358-I358)</f>
        <v/>
      </c>
      <c r="AQ358" s="211" t="str">
        <f>IF(OR(AB358="",J358=""),"",AB358-J358)</f>
        <v/>
      </c>
      <c r="AR358" s="68"/>
      <c r="AS358" s="69"/>
      <c r="AT358" s="68"/>
    </row>
    <row r="359" spans="2:46" ht="13.5" customHeight="1" x14ac:dyDescent="0.15">
      <c r="B359" s="327"/>
      <c r="C359" s="52" t="s">
        <v>47</v>
      </c>
      <c r="D359" s="73"/>
      <c r="E359" s="95"/>
      <c r="F359" s="103"/>
      <c r="G359" s="103"/>
      <c r="H359" s="103"/>
      <c r="I359" s="103"/>
      <c r="J359" s="103"/>
      <c r="K359" s="104"/>
      <c r="L359" s="206"/>
      <c r="M359" s="206"/>
      <c r="N359" s="95"/>
      <c r="O359" s="53"/>
      <c r="P359" s="95"/>
      <c r="Q359" s="53"/>
      <c r="R359" s="225"/>
      <c r="S359" s="161"/>
      <c r="T359" s="327"/>
      <c r="U359" s="52" t="s">
        <v>47</v>
      </c>
      <c r="V359" s="73"/>
      <c r="W359" s="95"/>
      <c r="X359" s="103"/>
      <c r="Y359" s="103"/>
      <c r="Z359" s="103"/>
      <c r="AA359" s="103"/>
      <c r="AB359" s="103"/>
      <c r="AC359" s="104"/>
      <c r="AD359" s="104"/>
      <c r="AE359" s="104"/>
      <c r="AF359" s="95"/>
      <c r="AG359" s="53"/>
      <c r="AH359" s="95"/>
      <c r="AI359" s="53"/>
      <c r="AJ359" s="225"/>
      <c r="AK359" s="169"/>
      <c r="AL359" s="327"/>
      <c r="AM359" s="150" t="str">
        <f t="shared" ref="AM359:AM362" si="346">IF(OR(X359="",F359=""),"",X359-F359)</f>
        <v/>
      </c>
      <c r="AN359" s="212" t="str">
        <f t="shared" ref="AN359:AN362" si="347">IF(OR(Y359="",G359=""),"",Y359-G359)</f>
        <v/>
      </c>
      <c r="AO359" s="212" t="str">
        <f t="shared" ref="AO359:AO362" si="348">IF(OR(Z359="",H359=""),"",Z359-H359)</f>
        <v/>
      </c>
      <c r="AP359" s="212" t="str">
        <f t="shared" ref="AP359:AP362" si="349">IF(OR(AA359="",I359=""),"",AA359-I359)</f>
        <v/>
      </c>
      <c r="AQ359" s="151" t="str">
        <f t="shared" ref="AQ359:AQ362" si="350">IF(OR(AB359="",J359=""),"",AB359-J359)</f>
        <v/>
      </c>
      <c r="AR359" s="68"/>
      <c r="AS359" s="69"/>
      <c r="AT359" s="68"/>
    </row>
    <row r="360" spans="2:46" ht="13.5" customHeight="1" x14ac:dyDescent="0.15">
      <c r="B360" s="327"/>
      <c r="C360" s="52" t="s">
        <v>48</v>
      </c>
      <c r="D360" s="73"/>
      <c r="E360" s="95"/>
      <c r="F360" s="103"/>
      <c r="G360" s="103"/>
      <c r="H360" s="103"/>
      <c r="I360" s="103"/>
      <c r="J360" s="103"/>
      <c r="K360" s="104"/>
      <c r="L360" s="206"/>
      <c r="M360" s="206"/>
      <c r="N360" s="95"/>
      <c r="O360" s="53"/>
      <c r="P360" s="95"/>
      <c r="Q360" s="53"/>
      <c r="R360" s="225"/>
      <c r="S360" s="161"/>
      <c r="T360" s="327"/>
      <c r="U360" s="52" t="s">
        <v>48</v>
      </c>
      <c r="V360" s="73"/>
      <c r="W360" s="95"/>
      <c r="X360" s="103"/>
      <c r="Y360" s="103"/>
      <c r="Z360" s="103"/>
      <c r="AA360" s="103"/>
      <c r="AB360" s="103"/>
      <c r="AC360" s="104"/>
      <c r="AD360" s="104"/>
      <c r="AE360" s="104"/>
      <c r="AF360" s="95"/>
      <c r="AG360" s="53"/>
      <c r="AH360" s="95"/>
      <c r="AI360" s="53"/>
      <c r="AJ360" s="225"/>
      <c r="AK360" s="169"/>
      <c r="AL360" s="327"/>
      <c r="AM360" s="150" t="str">
        <f t="shared" si="346"/>
        <v/>
      </c>
      <c r="AN360" s="212" t="str">
        <f t="shared" si="347"/>
        <v/>
      </c>
      <c r="AO360" s="212" t="str">
        <f t="shared" si="348"/>
        <v/>
      </c>
      <c r="AP360" s="212" t="str">
        <f t="shared" si="349"/>
        <v/>
      </c>
      <c r="AQ360" s="151" t="str">
        <f t="shared" si="350"/>
        <v/>
      </c>
      <c r="AR360" s="68"/>
      <c r="AS360" s="69"/>
      <c r="AT360" s="68"/>
    </row>
    <row r="361" spans="2:46" ht="13.5" customHeight="1" x14ac:dyDescent="0.15">
      <c r="B361" s="327"/>
      <c r="C361" s="52" t="s">
        <v>50</v>
      </c>
      <c r="D361" s="73"/>
      <c r="E361" s="95"/>
      <c r="F361" s="103"/>
      <c r="G361" s="103"/>
      <c r="H361" s="103"/>
      <c r="I361" s="103"/>
      <c r="J361" s="103"/>
      <c r="K361" s="104"/>
      <c r="L361" s="206"/>
      <c r="M361" s="206"/>
      <c r="N361" s="95"/>
      <c r="O361" s="53"/>
      <c r="P361" s="95"/>
      <c r="Q361" s="53"/>
      <c r="R361" s="225"/>
      <c r="S361" s="161"/>
      <c r="T361" s="327"/>
      <c r="U361" s="52" t="s">
        <v>50</v>
      </c>
      <c r="V361" s="73"/>
      <c r="W361" s="95"/>
      <c r="X361" s="103"/>
      <c r="Y361" s="103"/>
      <c r="Z361" s="103"/>
      <c r="AA361" s="103"/>
      <c r="AB361" s="103"/>
      <c r="AC361" s="104"/>
      <c r="AD361" s="104"/>
      <c r="AE361" s="104"/>
      <c r="AF361" s="95"/>
      <c r="AG361" s="53"/>
      <c r="AH361" s="95"/>
      <c r="AI361" s="53"/>
      <c r="AJ361" s="225"/>
      <c r="AK361" s="169"/>
      <c r="AL361" s="327"/>
      <c r="AM361" s="150" t="str">
        <f t="shared" si="346"/>
        <v/>
      </c>
      <c r="AN361" s="212" t="str">
        <f t="shared" si="347"/>
        <v/>
      </c>
      <c r="AO361" s="212" t="str">
        <f t="shared" si="348"/>
        <v/>
      </c>
      <c r="AP361" s="212" t="str">
        <f t="shared" si="349"/>
        <v/>
      </c>
      <c r="AQ361" s="151" t="str">
        <f t="shared" si="350"/>
        <v/>
      </c>
      <c r="AR361" s="68"/>
      <c r="AS361" s="69"/>
      <c r="AT361" s="68"/>
    </row>
    <row r="362" spans="2:46" ht="13.5" customHeight="1" thickBot="1" x14ac:dyDescent="0.2">
      <c r="B362" s="328"/>
      <c r="C362" s="54" t="s">
        <v>51</v>
      </c>
      <c r="D362" s="74"/>
      <c r="E362" s="98"/>
      <c r="F362" s="105"/>
      <c r="G362" s="105"/>
      <c r="H362" s="105"/>
      <c r="I362" s="105"/>
      <c r="J362" s="105"/>
      <c r="K362" s="106"/>
      <c r="L362" s="207"/>
      <c r="M362" s="207"/>
      <c r="N362" s="98"/>
      <c r="O362" s="66"/>
      <c r="P362" s="98"/>
      <c r="Q362" s="66"/>
      <c r="R362" s="226"/>
      <c r="S362" s="161"/>
      <c r="T362" s="328"/>
      <c r="U362" s="54" t="s">
        <v>51</v>
      </c>
      <c r="V362" s="74"/>
      <c r="W362" s="98"/>
      <c r="X362" s="105"/>
      <c r="Y362" s="105"/>
      <c r="Z362" s="105"/>
      <c r="AA362" s="105"/>
      <c r="AB362" s="105"/>
      <c r="AC362" s="106"/>
      <c r="AD362" s="106"/>
      <c r="AE362" s="106"/>
      <c r="AF362" s="98"/>
      <c r="AG362" s="66"/>
      <c r="AH362" s="98"/>
      <c r="AI362" s="66"/>
      <c r="AJ362" s="226"/>
      <c r="AK362" s="169"/>
      <c r="AL362" s="328"/>
      <c r="AM362" s="213" t="str">
        <f t="shared" si="346"/>
        <v/>
      </c>
      <c r="AN362" s="214" t="str">
        <f t="shared" si="347"/>
        <v/>
      </c>
      <c r="AO362" s="214" t="str">
        <f t="shared" si="348"/>
        <v/>
      </c>
      <c r="AP362" s="214" t="str">
        <f t="shared" si="349"/>
        <v/>
      </c>
      <c r="AQ362" s="215" t="str">
        <f t="shared" si="350"/>
        <v/>
      </c>
      <c r="AR362" s="68"/>
      <c r="AS362" s="69"/>
      <c r="AT362" s="68"/>
    </row>
    <row r="363" spans="2:46" ht="13.5" customHeight="1" x14ac:dyDescent="0.15">
      <c r="B363" s="326" t="s">
        <v>157</v>
      </c>
      <c r="C363" s="50" t="s">
        <v>46</v>
      </c>
      <c r="D363" s="71"/>
      <c r="E363" s="93"/>
      <c r="F363" s="101"/>
      <c r="G363" s="101"/>
      <c r="H363" s="101"/>
      <c r="I363" s="101"/>
      <c r="J363" s="101"/>
      <c r="K363" s="102"/>
      <c r="L363" s="205"/>
      <c r="M363" s="205"/>
      <c r="N363" s="93"/>
      <c r="O363" s="51"/>
      <c r="P363" s="93"/>
      <c r="Q363" s="51"/>
      <c r="R363" s="224"/>
      <c r="S363" s="161"/>
      <c r="T363" s="326" t="s">
        <v>157</v>
      </c>
      <c r="U363" s="50" t="s">
        <v>46</v>
      </c>
      <c r="V363" s="71"/>
      <c r="W363" s="93"/>
      <c r="X363" s="101"/>
      <c r="Y363" s="101"/>
      <c r="Z363" s="101"/>
      <c r="AA363" s="101"/>
      <c r="AB363" s="101"/>
      <c r="AC363" s="102"/>
      <c r="AD363" s="102"/>
      <c r="AE363" s="102"/>
      <c r="AF363" s="93"/>
      <c r="AG363" s="51"/>
      <c r="AH363" s="93"/>
      <c r="AI363" s="51"/>
      <c r="AJ363" s="224"/>
      <c r="AK363" s="169"/>
      <c r="AL363" s="326" t="s">
        <v>157</v>
      </c>
      <c r="AM363" s="210" t="str">
        <f>IF(OR(X363="",F363=""),"",X363-F363)</f>
        <v/>
      </c>
      <c r="AN363" s="171" t="str">
        <f>IF(OR(Y363="",G363=""),"",Y363-G363)</f>
        <v/>
      </c>
      <c r="AO363" s="171" t="str">
        <f>IF(OR(Z363="",H363=""),"",Z363-H363)</f>
        <v/>
      </c>
      <c r="AP363" s="171" t="str">
        <f>IF(OR(AA363="",I363=""),"",AA363-I363)</f>
        <v/>
      </c>
      <c r="AQ363" s="211" t="str">
        <f>IF(OR(AB363="",J363=""),"",AB363-J363)</f>
        <v/>
      </c>
      <c r="AR363" s="68"/>
      <c r="AS363" s="69"/>
      <c r="AT363" s="68"/>
    </row>
    <row r="364" spans="2:46" ht="13.5" customHeight="1" x14ac:dyDescent="0.15">
      <c r="B364" s="327"/>
      <c r="C364" s="52" t="s">
        <v>47</v>
      </c>
      <c r="D364" s="73"/>
      <c r="E364" s="95"/>
      <c r="F364" s="103"/>
      <c r="G364" s="103"/>
      <c r="H364" s="103"/>
      <c r="I364" s="103"/>
      <c r="J364" s="103"/>
      <c r="K364" s="104"/>
      <c r="L364" s="206"/>
      <c r="M364" s="206"/>
      <c r="N364" s="95"/>
      <c r="O364" s="53"/>
      <c r="P364" s="95"/>
      <c r="Q364" s="53"/>
      <c r="R364" s="225"/>
      <c r="S364" s="161"/>
      <c r="T364" s="327"/>
      <c r="U364" s="52" t="s">
        <v>47</v>
      </c>
      <c r="V364" s="73"/>
      <c r="W364" s="95"/>
      <c r="X364" s="103"/>
      <c r="Y364" s="103"/>
      <c r="Z364" s="103"/>
      <c r="AA364" s="103"/>
      <c r="AB364" s="103"/>
      <c r="AC364" s="104"/>
      <c r="AD364" s="104"/>
      <c r="AE364" s="104"/>
      <c r="AF364" s="95"/>
      <c r="AG364" s="53"/>
      <c r="AH364" s="95"/>
      <c r="AI364" s="53"/>
      <c r="AJ364" s="225"/>
      <c r="AK364" s="169"/>
      <c r="AL364" s="327"/>
      <c r="AM364" s="150" t="str">
        <f t="shared" ref="AM364:AM367" si="351">IF(OR(X364="",F364=""),"",X364-F364)</f>
        <v/>
      </c>
      <c r="AN364" s="212" t="str">
        <f t="shared" ref="AN364:AN367" si="352">IF(OR(Y364="",G364=""),"",Y364-G364)</f>
        <v/>
      </c>
      <c r="AO364" s="212" t="str">
        <f t="shared" ref="AO364:AO367" si="353">IF(OR(Z364="",H364=""),"",Z364-H364)</f>
        <v/>
      </c>
      <c r="AP364" s="212" t="str">
        <f t="shared" ref="AP364:AP367" si="354">IF(OR(AA364="",I364=""),"",AA364-I364)</f>
        <v/>
      </c>
      <c r="AQ364" s="151" t="str">
        <f t="shared" ref="AQ364:AQ367" si="355">IF(OR(AB364="",J364=""),"",AB364-J364)</f>
        <v/>
      </c>
      <c r="AR364" s="68"/>
      <c r="AS364" s="69"/>
      <c r="AT364" s="68"/>
    </row>
    <row r="365" spans="2:46" ht="13.5" customHeight="1" x14ac:dyDescent="0.15">
      <c r="B365" s="327"/>
      <c r="C365" s="52" t="s">
        <v>48</v>
      </c>
      <c r="D365" s="73"/>
      <c r="E365" s="95"/>
      <c r="F365" s="103"/>
      <c r="G365" s="103"/>
      <c r="H365" s="103"/>
      <c r="I365" s="103"/>
      <c r="J365" s="103"/>
      <c r="K365" s="104"/>
      <c r="L365" s="206"/>
      <c r="M365" s="206"/>
      <c r="N365" s="95"/>
      <c r="O365" s="53"/>
      <c r="P365" s="95"/>
      <c r="Q365" s="53"/>
      <c r="R365" s="225"/>
      <c r="S365" s="161"/>
      <c r="T365" s="327"/>
      <c r="U365" s="52" t="s">
        <v>48</v>
      </c>
      <c r="V365" s="73"/>
      <c r="W365" s="95"/>
      <c r="X365" s="103"/>
      <c r="Y365" s="103"/>
      <c r="Z365" s="103"/>
      <c r="AA365" s="103"/>
      <c r="AB365" s="103"/>
      <c r="AC365" s="104"/>
      <c r="AD365" s="104"/>
      <c r="AE365" s="104"/>
      <c r="AF365" s="95"/>
      <c r="AG365" s="53"/>
      <c r="AH365" s="95"/>
      <c r="AI365" s="53"/>
      <c r="AJ365" s="225"/>
      <c r="AK365" s="169"/>
      <c r="AL365" s="327"/>
      <c r="AM365" s="150" t="str">
        <f t="shared" si="351"/>
        <v/>
      </c>
      <c r="AN365" s="212" t="str">
        <f t="shared" si="352"/>
        <v/>
      </c>
      <c r="AO365" s="212" t="str">
        <f t="shared" si="353"/>
        <v/>
      </c>
      <c r="AP365" s="212" t="str">
        <f t="shared" si="354"/>
        <v/>
      </c>
      <c r="AQ365" s="151" t="str">
        <f t="shared" si="355"/>
        <v/>
      </c>
      <c r="AR365" s="68"/>
      <c r="AS365" s="69"/>
      <c r="AT365" s="68"/>
    </row>
    <row r="366" spans="2:46" ht="13.5" customHeight="1" x14ac:dyDescent="0.15">
      <c r="B366" s="327"/>
      <c r="C366" s="52" t="s">
        <v>50</v>
      </c>
      <c r="D366" s="73"/>
      <c r="E366" s="95"/>
      <c r="F366" s="103"/>
      <c r="G366" s="103"/>
      <c r="H366" s="103"/>
      <c r="I366" s="103"/>
      <c r="J366" s="103"/>
      <c r="K366" s="104"/>
      <c r="L366" s="206"/>
      <c r="M366" s="206"/>
      <c r="N366" s="95"/>
      <c r="O366" s="53"/>
      <c r="P366" s="95"/>
      <c r="Q366" s="53"/>
      <c r="R366" s="225"/>
      <c r="S366" s="161"/>
      <c r="T366" s="327"/>
      <c r="U366" s="52" t="s">
        <v>50</v>
      </c>
      <c r="V366" s="73"/>
      <c r="W366" s="95"/>
      <c r="X366" s="103"/>
      <c r="Y366" s="103"/>
      <c r="Z366" s="103"/>
      <c r="AA366" s="103"/>
      <c r="AB366" s="103"/>
      <c r="AC366" s="104"/>
      <c r="AD366" s="104"/>
      <c r="AE366" s="104"/>
      <c r="AF366" s="95"/>
      <c r="AG366" s="53"/>
      <c r="AH366" s="95"/>
      <c r="AI366" s="53"/>
      <c r="AJ366" s="225"/>
      <c r="AK366" s="169"/>
      <c r="AL366" s="327"/>
      <c r="AM366" s="150" t="str">
        <f t="shared" si="351"/>
        <v/>
      </c>
      <c r="AN366" s="212" t="str">
        <f t="shared" si="352"/>
        <v/>
      </c>
      <c r="AO366" s="212" t="str">
        <f t="shared" si="353"/>
        <v/>
      </c>
      <c r="AP366" s="212" t="str">
        <f t="shared" si="354"/>
        <v/>
      </c>
      <c r="AQ366" s="151" t="str">
        <f t="shared" si="355"/>
        <v/>
      </c>
      <c r="AR366" s="68"/>
      <c r="AS366" s="69"/>
      <c r="AT366" s="68"/>
    </row>
    <row r="367" spans="2:46" ht="13.5" customHeight="1" thickBot="1" x14ac:dyDescent="0.2">
      <c r="B367" s="328"/>
      <c r="C367" s="52" t="s">
        <v>51</v>
      </c>
      <c r="D367" s="74"/>
      <c r="E367" s="98"/>
      <c r="F367" s="105"/>
      <c r="G367" s="105"/>
      <c r="H367" s="105"/>
      <c r="I367" s="105"/>
      <c r="J367" s="105"/>
      <c r="K367" s="106"/>
      <c r="L367" s="207"/>
      <c r="M367" s="207"/>
      <c r="N367" s="98"/>
      <c r="O367" s="66"/>
      <c r="P367" s="98"/>
      <c r="Q367" s="66"/>
      <c r="R367" s="225"/>
      <c r="S367" s="161"/>
      <c r="T367" s="328"/>
      <c r="U367" s="52" t="s">
        <v>51</v>
      </c>
      <c r="V367" s="74"/>
      <c r="W367" s="98"/>
      <c r="X367" s="105"/>
      <c r="Y367" s="105"/>
      <c r="Z367" s="105"/>
      <c r="AA367" s="105"/>
      <c r="AB367" s="105"/>
      <c r="AC367" s="106"/>
      <c r="AD367" s="106"/>
      <c r="AE367" s="106"/>
      <c r="AF367" s="98"/>
      <c r="AG367" s="66"/>
      <c r="AH367" s="98"/>
      <c r="AI367" s="66"/>
      <c r="AJ367" s="225"/>
      <c r="AK367" s="169"/>
      <c r="AL367" s="328"/>
      <c r="AM367" s="213" t="str">
        <f t="shared" si="351"/>
        <v/>
      </c>
      <c r="AN367" s="214" t="str">
        <f t="shared" si="352"/>
        <v/>
      </c>
      <c r="AO367" s="214" t="str">
        <f t="shared" si="353"/>
        <v/>
      </c>
      <c r="AP367" s="214" t="str">
        <f t="shared" si="354"/>
        <v/>
      </c>
      <c r="AQ367" s="215" t="str">
        <f t="shared" si="355"/>
        <v/>
      </c>
      <c r="AR367" s="68"/>
      <c r="AS367" s="69"/>
      <c r="AT367" s="68"/>
    </row>
    <row r="368" spans="2:46" ht="13.5" customHeight="1" x14ac:dyDescent="0.15">
      <c r="B368" s="326" t="s">
        <v>158</v>
      </c>
      <c r="C368" s="50" t="s">
        <v>46</v>
      </c>
      <c r="D368" s="71"/>
      <c r="E368" s="93"/>
      <c r="F368" s="101"/>
      <c r="G368" s="101"/>
      <c r="H368" s="101"/>
      <c r="I368" s="101"/>
      <c r="J368" s="101"/>
      <c r="K368" s="102"/>
      <c r="L368" s="205"/>
      <c r="M368" s="205"/>
      <c r="N368" s="93"/>
      <c r="O368" s="51"/>
      <c r="P368" s="93"/>
      <c r="Q368" s="51"/>
      <c r="R368" s="224"/>
      <c r="S368" s="161"/>
      <c r="T368" s="326" t="s">
        <v>158</v>
      </c>
      <c r="U368" s="50" t="s">
        <v>46</v>
      </c>
      <c r="V368" s="71"/>
      <c r="W368" s="93"/>
      <c r="X368" s="101"/>
      <c r="Y368" s="101"/>
      <c r="Z368" s="101"/>
      <c r="AA368" s="101"/>
      <c r="AB368" s="101"/>
      <c r="AC368" s="102"/>
      <c r="AD368" s="102"/>
      <c r="AE368" s="102"/>
      <c r="AF368" s="93"/>
      <c r="AG368" s="51"/>
      <c r="AH368" s="93"/>
      <c r="AI368" s="51"/>
      <c r="AJ368" s="224"/>
      <c r="AK368" s="169"/>
      <c r="AL368" s="326" t="s">
        <v>158</v>
      </c>
      <c r="AM368" s="210" t="str">
        <f>IF(OR(X368="",F368=""),"",X368-F368)</f>
        <v/>
      </c>
      <c r="AN368" s="171" t="str">
        <f>IF(OR(Y368="",G368=""),"",Y368-G368)</f>
        <v/>
      </c>
      <c r="AO368" s="171" t="str">
        <f>IF(OR(Z368="",H368=""),"",Z368-H368)</f>
        <v/>
      </c>
      <c r="AP368" s="171" t="str">
        <f>IF(OR(AA368="",I368=""),"",AA368-I368)</f>
        <v/>
      </c>
      <c r="AQ368" s="211" t="str">
        <f>IF(OR(AB368="",J368=""),"",AB368-J368)</f>
        <v/>
      </c>
      <c r="AR368" s="68"/>
      <c r="AS368" s="69"/>
      <c r="AT368" s="68"/>
    </row>
    <row r="369" spans="2:46" ht="13.5" customHeight="1" x14ac:dyDescent="0.15">
      <c r="B369" s="327"/>
      <c r="C369" s="52" t="s">
        <v>47</v>
      </c>
      <c r="D369" s="73"/>
      <c r="E369" s="95"/>
      <c r="F369" s="103"/>
      <c r="G369" s="103"/>
      <c r="H369" s="103"/>
      <c r="I369" s="103"/>
      <c r="J369" s="103"/>
      <c r="K369" s="104"/>
      <c r="L369" s="206"/>
      <c r="M369" s="206"/>
      <c r="N369" s="95"/>
      <c r="O369" s="53"/>
      <c r="P369" s="95"/>
      <c r="Q369" s="53"/>
      <c r="R369" s="225"/>
      <c r="S369" s="161"/>
      <c r="T369" s="327"/>
      <c r="U369" s="52" t="s">
        <v>47</v>
      </c>
      <c r="V369" s="73"/>
      <c r="W369" s="95"/>
      <c r="X369" s="103"/>
      <c r="Y369" s="103"/>
      <c r="Z369" s="103"/>
      <c r="AA369" s="103"/>
      <c r="AB369" s="103"/>
      <c r="AC369" s="104"/>
      <c r="AD369" s="104"/>
      <c r="AE369" s="104"/>
      <c r="AF369" s="95"/>
      <c r="AG369" s="53"/>
      <c r="AH369" s="95"/>
      <c r="AI369" s="53"/>
      <c r="AJ369" s="225"/>
      <c r="AK369" s="169"/>
      <c r="AL369" s="327"/>
      <c r="AM369" s="150" t="str">
        <f t="shared" ref="AM369:AM372" si="356">IF(OR(X369="",F369=""),"",X369-F369)</f>
        <v/>
      </c>
      <c r="AN369" s="212" t="str">
        <f t="shared" ref="AN369:AN372" si="357">IF(OR(Y369="",G369=""),"",Y369-G369)</f>
        <v/>
      </c>
      <c r="AO369" s="212" t="str">
        <f t="shared" ref="AO369:AO372" si="358">IF(OR(Z369="",H369=""),"",Z369-H369)</f>
        <v/>
      </c>
      <c r="AP369" s="212" t="str">
        <f t="shared" ref="AP369:AP372" si="359">IF(OR(AA369="",I369=""),"",AA369-I369)</f>
        <v/>
      </c>
      <c r="AQ369" s="151" t="str">
        <f t="shared" ref="AQ369:AQ372" si="360">IF(OR(AB369="",J369=""),"",AB369-J369)</f>
        <v/>
      </c>
      <c r="AR369" s="68"/>
      <c r="AS369" s="69"/>
      <c r="AT369" s="68"/>
    </row>
    <row r="370" spans="2:46" ht="13.5" customHeight="1" x14ac:dyDescent="0.15">
      <c r="B370" s="327"/>
      <c r="C370" s="52" t="s">
        <v>48</v>
      </c>
      <c r="D370" s="73"/>
      <c r="E370" s="95"/>
      <c r="F370" s="103"/>
      <c r="G370" s="103"/>
      <c r="H370" s="103"/>
      <c r="I370" s="103"/>
      <c r="J370" s="103"/>
      <c r="K370" s="104"/>
      <c r="L370" s="206"/>
      <c r="M370" s="206"/>
      <c r="N370" s="95"/>
      <c r="O370" s="53"/>
      <c r="P370" s="95"/>
      <c r="Q370" s="53"/>
      <c r="R370" s="225"/>
      <c r="S370" s="161"/>
      <c r="T370" s="327"/>
      <c r="U370" s="52" t="s">
        <v>48</v>
      </c>
      <c r="V370" s="73"/>
      <c r="W370" s="95"/>
      <c r="X370" s="103"/>
      <c r="Y370" s="103"/>
      <c r="Z370" s="103"/>
      <c r="AA370" s="103"/>
      <c r="AB370" s="103"/>
      <c r="AC370" s="104"/>
      <c r="AD370" s="104"/>
      <c r="AE370" s="104"/>
      <c r="AF370" s="95"/>
      <c r="AG370" s="53"/>
      <c r="AH370" s="95"/>
      <c r="AI370" s="53"/>
      <c r="AJ370" s="225"/>
      <c r="AK370" s="169"/>
      <c r="AL370" s="327"/>
      <c r="AM370" s="150" t="str">
        <f t="shared" si="356"/>
        <v/>
      </c>
      <c r="AN370" s="212" t="str">
        <f t="shared" si="357"/>
        <v/>
      </c>
      <c r="AO370" s="212" t="str">
        <f t="shared" si="358"/>
        <v/>
      </c>
      <c r="AP370" s="212" t="str">
        <f t="shared" si="359"/>
        <v/>
      </c>
      <c r="AQ370" s="151" t="str">
        <f t="shared" si="360"/>
        <v/>
      </c>
      <c r="AR370" s="68"/>
      <c r="AS370" s="69"/>
      <c r="AT370" s="68"/>
    </row>
    <row r="371" spans="2:46" ht="13.5" customHeight="1" x14ac:dyDescent="0.15">
      <c r="B371" s="327"/>
      <c r="C371" s="52" t="s">
        <v>50</v>
      </c>
      <c r="D371" s="73"/>
      <c r="E371" s="95"/>
      <c r="F371" s="103"/>
      <c r="G371" s="103"/>
      <c r="H371" s="103"/>
      <c r="I371" s="103"/>
      <c r="J371" s="103"/>
      <c r="K371" s="104"/>
      <c r="L371" s="206"/>
      <c r="M371" s="206"/>
      <c r="N371" s="95"/>
      <c r="O371" s="53"/>
      <c r="P371" s="95"/>
      <c r="Q371" s="53"/>
      <c r="R371" s="225"/>
      <c r="S371" s="161"/>
      <c r="T371" s="327"/>
      <c r="U371" s="52" t="s">
        <v>50</v>
      </c>
      <c r="V371" s="73"/>
      <c r="W371" s="95"/>
      <c r="X371" s="103"/>
      <c r="Y371" s="103"/>
      <c r="Z371" s="103"/>
      <c r="AA371" s="103"/>
      <c r="AB371" s="103"/>
      <c r="AC371" s="104"/>
      <c r="AD371" s="104"/>
      <c r="AE371" s="104"/>
      <c r="AF371" s="95"/>
      <c r="AG371" s="53"/>
      <c r="AH371" s="95"/>
      <c r="AI371" s="53"/>
      <c r="AJ371" s="225"/>
      <c r="AK371" s="169"/>
      <c r="AL371" s="327"/>
      <c r="AM371" s="150" t="str">
        <f t="shared" si="356"/>
        <v/>
      </c>
      <c r="AN371" s="212" t="str">
        <f t="shared" si="357"/>
        <v/>
      </c>
      <c r="AO371" s="212" t="str">
        <f t="shared" si="358"/>
        <v/>
      </c>
      <c r="AP371" s="212" t="str">
        <f t="shared" si="359"/>
        <v/>
      </c>
      <c r="AQ371" s="151" t="str">
        <f t="shared" si="360"/>
        <v/>
      </c>
      <c r="AR371" s="68"/>
      <c r="AS371" s="69"/>
      <c r="AT371" s="68"/>
    </row>
    <row r="372" spans="2:46" ht="13.5" customHeight="1" thickBot="1" x14ac:dyDescent="0.2">
      <c r="B372" s="328"/>
      <c r="C372" s="52" t="s">
        <v>51</v>
      </c>
      <c r="D372" s="74"/>
      <c r="E372" s="98"/>
      <c r="F372" s="105"/>
      <c r="G372" s="105"/>
      <c r="H372" s="105"/>
      <c r="I372" s="105"/>
      <c r="J372" s="105"/>
      <c r="K372" s="106"/>
      <c r="L372" s="207"/>
      <c r="M372" s="207"/>
      <c r="N372" s="98"/>
      <c r="O372" s="66"/>
      <c r="P372" s="98"/>
      <c r="Q372" s="66"/>
      <c r="R372" s="225"/>
      <c r="S372" s="161"/>
      <c r="T372" s="328"/>
      <c r="U372" s="52" t="s">
        <v>51</v>
      </c>
      <c r="V372" s="74"/>
      <c r="W372" s="98"/>
      <c r="X372" s="105"/>
      <c r="Y372" s="105"/>
      <c r="Z372" s="105"/>
      <c r="AA372" s="105"/>
      <c r="AB372" s="105"/>
      <c r="AC372" s="106"/>
      <c r="AD372" s="106"/>
      <c r="AE372" s="106"/>
      <c r="AF372" s="98"/>
      <c r="AG372" s="66"/>
      <c r="AH372" s="98"/>
      <c r="AI372" s="66"/>
      <c r="AJ372" s="225"/>
      <c r="AK372" s="169"/>
      <c r="AL372" s="328"/>
      <c r="AM372" s="213" t="str">
        <f t="shared" si="356"/>
        <v/>
      </c>
      <c r="AN372" s="214" t="str">
        <f t="shared" si="357"/>
        <v/>
      </c>
      <c r="AO372" s="214" t="str">
        <f t="shared" si="358"/>
        <v/>
      </c>
      <c r="AP372" s="214" t="str">
        <f t="shared" si="359"/>
        <v/>
      </c>
      <c r="AQ372" s="215" t="str">
        <f t="shared" si="360"/>
        <v/>
      </c>
      <c r="AR372" s="68"/>
      <c r="AS372" s="69"/>
      <c r="AT372" s="68"/>
    </row>
    <row r="373" spans="2:46" ht="13.5" customHeight="1" x14ac:dyDescent="0.15">
      <c r="B373" s="326" t="s">
        <v>159</v>
      </c>
      <c r="C373" s="50" t="s">
        <v>46</v>
      </c>
      <c r="D373" s="71"/>
      <c r="E373" s="93"/>
      <c r="F373" s="101"/>
      <c r="G373" s="101"/>
      <c r="H373" s="101"/>
      <c r="I373" s="101"/>
      <c r="J373" s="101"/>
      <c r="K373" s="102"/>
      <c r="L373" s="205"/>
      <c r="M373" s="205"/>
      <c r="N373" s="93"/>
      <c r="O373" s="51"/>
      <c r="P373" s="93"/>
      <c r="Q373" s="51"/>
      <c r="R373" s="224"/>
      <c r="S373" s="161"/>
      <c r="T373" s="326" t="s">
        <v>159</v>
      </c>
      <c r="U373" s="50" t="s">
        <v>46</v>
      </c>
      <c r="V373" s="71"/>
      <c r="W373" s="93"/>
      <c r="X373" s="101"/>
      <c r="Y373" s="101"/>
      <c r="Z373" s="101"/>
      <c r="AA373" s="101"/>
      <c r="AB373" s="101"/>
      <c r="AC373" s="102"/>
      <c r="AD373" s="102"/>
      <c r="AE373" s="102"/>
      <c r="AF373" s="93"/>
      <c r="AG373" s="51"/>
      <c r="AH373" s="93"/>
      <c r="AI373" s="51"/>
      <c r="AJ373" s="224"/>
      <c r="AK373" s="169"/>
      <c r="AL373" s="326" t="s">
        <v>159</v>
      </c>
      <c r="AM373" s="210" t="str">
        <f>IF(OR(X373="",F373=""),"",X373-F373)</f>
        <v/>
      </c>
      <c r="AN373" s="171" t="str">
        <f>IF(OR(Y373="",G373=""),"",Y373-G373)</f>
        <v/>
      </c>
      <c r="AO373" s="171" t="str">
        <f>IF(OR(Z373="",H373=""),"",Z373-H373)</f>
        <v/>
      </c>
      <c r="AP373" s="171" t="str">
        <f>IF(OR(AA373="",I373=""),"",AA373-I373)</f>
        <v/>
      </c>
      <c r="AQ373" s="211" t="str">
        <f>IF(OR(AB373="",J373=""),"",AB373-J373)</f>
        <v/>
      </c>
      <c r="AR373" s="68"/>
      <c r="AS373" s="69"/>
      <c r="AT373" s="68"/>
    </row>
    <row r="374" spans="2:46" ht="13.5" customHeight="1" x14ac:dyDescent="0.15">
      <c r="B374" s="327"/>
      <c r="C374" s="52" t="s">
        <v>47</v>
      </c>
      <c r="D374" s="73"/>
      <c r="E374" s="95"/>
      <c r="F374" s="103"/>
      <c r="G374" s="103"/>
      <c r="H374" s="103"/>
      <c r="I374" s="103"/>
      <c r="J374" s="103"/>
      <c r="K374" s="104"/>
      <c r="L374" s="206"/>
      <c r="M374" s="206"/>
      <c r="N374" s="95"/>
      <c r="O374" s="53"/>
      <c r="P374" s="95"/>
      <c r="Q374" s="53"/>
      <c r="R374" s="225"/>
      <c r="S374" s="161"/>
      <c r="T374" s="327"/>
      <c r="U374" s="52" t="s">
        <v>47</v>
      </c>
      <c r="V374" s="73"/>
      <c r="W374" s="95"/>
      <c r="X374" s="103"/>
      <c r="Y374" s="103"/>
      <c r="Z374" s="103"/>
      <c r="AA374" s="103"/>
      <c r="AB374" s="103"/>
      <c r="AC374" s="104"/>
      <c r="AD374" s="104"/>
      <c r="AE374" s="104"/>
      <c r="AF374" s="95"/>
      <c r="AG374" s="53"/>
      <c r="AH374" s="95"/>
      <c r="AI374" s="53"/>
      <c r="AJ374" s="225"/>
      <c r="AK374" s="169"/>
      <c r="AL374" s="327"/>
      <c r="AM374" s="150" t="str">
        <f t="shared" ref="AM374:AM377" si="361">IF(OR(X374="",F374=""),"",X374-F374)</f>
        <v/>
      </c>
      <c r="AN374" s="212" t="str">
        <f t="shared" ref="AN374:AN377" si="362">IF(OR(Y374="",G374=""),"",Y374-G374)</f>
        <v/>
      </c>
      <c r="AO374" s="212" t="str">
        <f t="shared" ref="AO374:AO377" si="363">IF(OR(Z374="",H374=""),"",Z374-H374)</f>
        <v/>
      </c>
      <c r="AP374" s="212" t="str">
        <f t="shared" ref="AP374:AP377" si="364">IF(OR(AA374="",I374=""),"",AA374-I374)</f>
        <v/>
      </c>
      <c r="AQ374" s="151" t="str">
        <f t="shared" ref="AQ374:AQ377" si="365">IF(OR(AB374="",J374=""),"",AB374-J374)</f>
        <v/>
      </c>
      <c r="AR374" s="68"/>
      <c r="AS374" s="69"/>
      <c r="AT374" s="68"/>
    </row>
    <row r="375" spans="2:46" ht="13.5" customHeight="1" x14ac:dyDescent="0.15">
      <c r="B375" s="327"/>
      <c r="C375" s="52" t="s">
        <v>48</v>
      </c>
      <c r="D375" s="73"/>
      <c r="E375" s="95"/>
      <c r="F375" s="103"/>
      <c r="G375" s="103"/>
      <c r="H375" s="103"/>
      <c r="I375" s="103"/>
      <c r="J375" s="103"/>
      <c r="K375" s="104"/>
      <c r="L375" s="206"/>
      <c r="M375" s="206"/>
      <c r="N375" s="95"/>
      <c r="O375" s="53"/>
      <c r="P375" s="95"/>
      <c r="Q375" s="53"/>
      <c r="R375" s="225"/>
      <c r="S375" s="161"/>
      <c r="T375" s="327"/>
      <c r="U375" s="52" t="s">
        <v>48</v>
      </c>
      <c r="V375" s="73"/>
      <c r="W375" s="95"/>
      <c r="X375" s="103"/>
      <c r="Y375" s="103"/>
      <c r="Z375" s="103"/>
      <c r="AA375" s="103"/>
      <c r="AB375" s="103"/>
      <c r="AC375" s="104"/>
      <c r="AD375" s="104"/>
      <c r="AE375" s="104"/>
      <c r="AF375" s="95"/>
      <c r="AG375" s="53"/>
      <c r="AH375" s="95"/>
      <c r="AI375" s="53"/>
      <c r="AJ375" s="225"/>
      <c r="AK375" s="169"/>
      <c r="AL375" s="327"/>
      <c r="AM375" s="150" t="str">
        <f t="shared" si="361"/>
        <v/>
      </c>
      <c r="AN375" s="212" t="str">
        <f t="shared" si="362"/>
        <v/>
      </c>
      <c r="AO375" s="212" t="str">
        <f t="shared" si="363"/>
        <v/>
      </c>
      <c r="AP375" s="212" t="str">
        <f t="shared" si="364"/>
        <v/>
      </c>
      <c r="AQ375" s="151" t="str">
        <f t="shared" si="365"/>
        <v/>
      </c>
      <c r="AR375" s="68"/>
      <c r="AS375" s="69"/>
      <c r="AT375" s="68"/>
    </row>
    <row r="376" spans="2:46" ht="13.5" customHeight="1" x14ac:dyDescent="0.15">
      <c r="B376" s="327"/>
      <c r="C376" s="52" t="s">
        <v>50</v>
      </c>
      <c r="D376" s="73"/>
      <c r="E376" s="95"/>
      <c r="F376" s="103"/>
      <c r="G376" s="103"/>
      <c r="H376" s="103"/>
      <c r="I376" s="103"/>
      <c r="J376" s="103"/>
      <c r="K376" s="104"/>
      <c r="L376" s="206"/>
      <c r="M376" s="206"/>
      <c r="N376" s="95"/>
      <c r="O376" s="53"/>
      <c r="P376" s="95"/>
      <c r="Q376" s="53"/>
      <c r="R376" s="225"/>
      <c r="S376" s="161"/>
      <c r="T376" s="327"/>
      <c r="U376" s="52" t="s">
        <v>50</v>
      </c>
      <c r="V376" s="73"/>
      <c r="W376" s="95"/>
      <c r="X376" s="103"/>
      <c r="Y376" s="103"/>
      <c r="Z376" s="103"/>
      <c r="AA376" s="103"/>
      <c r="AB376" s="103"/>
      <c r="AC376" s="104"/>
      <c r="AD376" s="104"/>
      <c r="AE376" s="104"/>
      <c r="AF376" s="95"/>
      <c r="AG376" s="53"/>
      <c r="AH376" s="95"/>
      <c r="AI376" s="53"/>
      <c r="AJ376" s="225"/>
      <c r="AK376" s="169"/>
      <c r="AL376" s="327"/>
      <c r="AM376" s="150" t="str">
        <f t="shared" si="361"/>
        <v/>
      </c>
      <c r="AN376" s="212" t="str">
        <f t="shared" si="362"/>
        <v/>
      </c>
      <c r="AO376" s="212" t="str">
        <f t="shared" si="363"/>
        <v/>
      </c>
      <c r="AP376" s="212" t="str">
        <f t="shared" si="364"/>
        <v/>
      </c>
      <c r="AQ376" s="151" t="str">
        <f t="shared" si="365"/>
        <v/>
      </c>
      <c r="AR376" s="68"/>
      <c r="AS376" s="69"/>
      <c r="AT376" s="68"/>
    </row>
    <row r="377" spans="2:46" ht="13.5" customHeight="1" thickBot="1" x14ac:dyDescent="0.2">
      <c r="B377" s="328"/>
      <c r="C377" s="52" t="s">
        <v>51</v>
      </c>
      <c r="D377" s="74"/>
      <c r="E377" s="98"/>
      <c r="F377" s="105"/>
      <c r="G377" s="105"/>
      <c r="H377" s="105"/>
      <c r="I377" s="105"/>
      <c r="J377" s="105"/>
      <c r="K377" s="106"/>
      <c r="L377" s="207"/>
      <c r="M377" s="207"/>
      <c r="N377" s="98"/>
      <c r="O377" s="66"/>
      <c r="P377" s="98"/>
      <c r="Q377" s="66"/>
      <c r="R377" s="225"/>
      <c r="S377" s="161"/>
      <c r="T377" s="328"/>
      <c r="U377" s="52" t="s">
        <v>51</v>
      </c>
      <c r="V377" s="74"/>
      <c r="W377" s="98"/>
      <c r="X377" s="105"/>
      <c r="Y377" s="105"/>
      <c r="Z377" s="105"/>
      <c r="AA377" s="105"/>
      <c r="AB377" s="105"/>
      <c r="AC377" s="106"/>
      <c r="AD377" s="106"/>
      <c r="AE377" s="106"/>
      <c r="AF377" s="98"/>
      <c r="AG377" s="66"/>
      <c r="AH377" s="98"/>
      <c r="AI377" s="66"/>
      <c r="AJ377" s="225"/>
      <c r="AK377" s="169"/>
      <c r="AL377" s="328"/>
      <c r="AM377" s="213" t="str">
        <f t="shared" si="361"/>
        <v/>
      </c>
      <c r="AN377" s="214" t="str">
        <f t="shared" si="362"/>
        <v/>
      </c>
      <c r="AO377" s="214" t="str">
        <f t="shared" si="363"/>
        <v/>
      </c>
      <c r="AP377" s="214" t="str">
        <f t="shared" si="364"/>
        <v/>
      </c>
      <c r="AQ377" s="215" t="str">
        <f t="shared" si="365"/>
        <v/>
      </c>
      <c r="AR377" s="68"/>
      <c r="AS377" s="69"/>
      <c r="AT377" s="68"/>
    </row>
    <row r="378" spans="2:46" ht="13.5" customHeight="1" x14ac:dyDescent="0.15">
      <c r="B378" s="326" t="s">
        <v>160</v>
      </c>
      <c r="C378" s="50" t="s">
        <v>46</v>
      </c>
      <c r="D378" s="71"/>
      <c r="E378" s="93"/>
      <c r="F378" s="101"/>
      <c r="G378" s="101"/>
      <c r="H378" s="101"/>
      <c r="I378" s="101"/>
      <c r="J378" s="101"/>
      <c r="K378" s="102"/>
      <c r="L378" s="205"/>
      <c r="M378" s="205"/>
      <c r="N378" s="93"/>
      <c r="O378" s="51"/>
      <c r="P378" s="93"/>
      <c r="Q378" s="51"/>
      <c r="R378" s="224"/>
      <c r="S378" s="161"/>
      <c r="T378" s="326" t="s">
        <v>160</v>
      </c>
      <c r="U378" s="50" t="s">
        <v>46</v>
      </c>
      <c r="V378" s="71"/>
      <c r="W378" s="93"/>
      <c r="X378" s="101"/>
      <c r="Y378" s="101"/>
      <c r="Z378" s="101"/>
      <c r="AA378" s="101"/>
      <c r="AB378" s="101"/>
      <c r="AC378" s="102"/>
      <c r="AD378" s="102"/>
      <c r="AE378" s="102"/>
      <c r="AF378" s="93"/>
      <c r="AG378" s="51"/>
      <c r="AH378" s="93"/>
      <c r="AI378" s="51"/>
      <c r="AJ378" s="224"/>
      <c r="AK378" s="169"/>
      <c r="AL378" s="326" t="s">
        <v>160</v>
      </c>
      <c r="AM378" s="210" t="str">
        <f>IF(OR(X378="",F378=""),"",X378-F378)</f>
        <v/>
      </c>
      <c r="AN378" s="171" t="str">
        <f>IF(OR(Y378="",G378=""),"",Y378-G378)</f>
        <v/>
      </c>
      <c r="AO378" s="171" t="str">
        <f>IF(OR(Z378="",H378=""),"",Z378-H378)</f>
        <v/>
      </c>
      <c r="AP378" s="171" t="str">
        <f>IF(OR(AA378="",I378=""),"",AA378-I378)</f>
        <v/>
      </c>
      <c r="AQ378" s="211" t="str">
        <f>IF(OR(AB378="",J378=""),"",AB378-J378)</f>
        <v/>
      </c>
      <c r="AR378" s="68"/>
      <c r="AS378" s="69"/>
      <c r="AT378" s="68"/>
    </row>
    <row r="379" spans="2:46" ht="13.5" customHeight="1" x14ac:dyDescent="0.15">
      <c r="B379" s="327"/>
      <c r="C379" s="52" t="s">
        <v>47</v>
      </c>
      <c r="D379" s="73"/>
      <c r="E379" s="95"/>
      <c r="F379" s="103"/>
      <c r="G379" s="103"/>
      <c r="H379" s="103"/>
      <c r="I379" s="103"/>
      <c r="J379" s="103"/>
      <c r="K379" s="104"/>
      <c r="L379" s="206"/>
      <c r="M379" s="206"/>
      <c r="N379" s="95"/>
      <c r="O379" s="53"/>
      <c r="P379" s="95"/>
      <c r="Q379" s="53"/>
      <c r="R379" s="225"/>
      <c r="S379" s="161"/>
      <c r="T379" s="327"/>
      <c r="U379" s="52" t="s">
        <v>47</v>
      </c>
      <c r="V379" s="73"/>
      <c r="W379" s="95"/>
      <c r="X379" s="103"/>
      <c r="Y379" s="103"/>
      <c r="Z379" s="103"/>
      <c r="AA379" s="103"/>
      <c r="AB379" s="103"/>
      <c r="AC379" s="104"/>
      <c r="AD379" s="104"/>
      <c r="AE379" s="104"/>
      <c r="AF379" s="95"/>
      <c r="AG379" s="53"/>
      <c r="AH379" s="95"/>
      <c r="AI379" s="53"/>
      <c r="AJ379" s="225"/>
      <c r="AK379" s="169"/>
      <c r="AL379" s="327"/>
      <c r="AM379" s="150" t="str">
        <f t="shared" ref="AM379:AM382" si="366">IF(OR(X379="",F379=""),"",X379-F379)</f>
        <v/>
      </c>
      <c r="AN379" s="212" t="str">
        <f t="shared" ref="AN379:AN382" si="367">IF(OR(Y379="",G379=""),"",Y379-G379)</f>
        <v/>
      </c>
      <c r="AO379" s="212" t="str">
        <f t="shared" ref="AO379:AO382" si="368">IF(OR(Z379="",H379=""),"",Z379-H379)</f>
        <v/>
      </c>
      <c r="AP379" s="212" t="str">
        <f t="shared" ref="AP379:AP382" si="369">IF(OR(AA379="",I379=""),"",AA379-I379)</f>
        <v/>
      </c>
      <c r="AQ379" s="151" t="str">
        <f t="shared" ref="AQ379:AQ382" si="370">IF(OR(AB379="",J379=""),"",AB379-J379)</f>
        <v/>
      </c>
      <c r="AR379" s="68"/>
      <c r="AS379" s="69"/>
      <c r="AT379" s="68"/>
    </row>
    <row r="380" spans="2:46" ht="13.5" customHeight="1" x14ac:dyDescent="0.15">
      <c r="B380" s="327"/>
      <c r="C380" s="52" t="s">
        <v>48</v>
      </c>
      <c r="D380" s="73"/>
      <c r="E380" s="95"/>
      <c r="F380" s="103"/>
      <c r="G380" s="103"/>
      <c r="H380" s="103"/>
      <c r="I380" s="103"/>
      <c r="J380" s="103"/>
      <c r="K380" s="104"/>
      <c r="L380" s="206"/>
      <c r="M380" s="206"/>
      <c r="N380" s="95"/>
      <c r="O380" s="53"/>
      <c r="P380" s="95"/>
      <c r="Q380" s="53"/>
      <c r="R380" s="225"/>
      <c r="S380" s="161"/>
      <c r="T380" s="327"/>
      <c r="U380" s="52" t="s">
        <v>48</v>
      </c>
      <c r="V380" s="73"/>
      <c r="W380" s="95"/>
      <c r="X380" s="103"/>
      <c r="Y380" s="103"/>
      <c r="Z380" s="103"/>
      <c r="AA380" s="103"/>
      <c r="AB380" s="103"/>
      <c r="AC380" s="104"/>
      <c r="AD380" s="104"/>
      <c r="AE380" s="104"/>
      <c r="AF380" s="95"/>
      <c r="AG380" s="53"/>
      <c r="AH380" s="95"/>
      <c r="AI380" s="53"/>
      <c r="AJ380" s="225"/>
      <c r="AK380" s="169"/>
      <c r="AL380" s="327"/>
      <c r="AM380" s="150" t="str">
        <f t="shared" si="366"/>
        <v/>
      </c>
      <c r="AN380" s="212" t="str">
        <f t="shared" si="367"/>
        <v/>
      </c>
      <c r="AO380" s="212" t="str">
        <f t="shared" si="368"/>
        <v/>
      </c>
      <c r="AP380" s="212" t="str">
        <f t="shared" si="369"/>
        <v/>
      </c>
      <c r="AQ380" s="151" t="str">
        <f t="shared" si="370"/>
        <v/>
      </c>
      <c r="AR380" s="68"/>
      <c r="AS380" s="69"/>
      <c r="AT380" s="68"/>
    </row>
    <row r="381" spans="2:46" ht="13.5" customHeight="1" x14ac:dyDescent="0.15">
      <c r="B381" s="327"/>
      <c r="C381" s="52" t="s">
        <v>50</v>
      </c>
      <c r="D381" s="73"/>
      <c r="E381" s="95"/>
      <c r="F381" s="103"/>
      <c r="G381" s="103"/>
      <c r="H381" s="103"/>
      <c r="I381" s="103"/>
      <c r="J381" s="103"/>
      <c r="K381" s="104"/>
      <c r="L381" s="206"/>
      <c r="M381" s="206"/>
      <c r="N381" s="95"/>
      <c r="O381" s="53"/>
      <c r="P381" s="95"/>
      <c r="Q381" s="53"/>
      <c r="R381" s="225"/>
      <c r="S381" s="161"/>
      <c r="T381" s="327"/>
      <c r="U381" s="52" t="s">
        <v>50</v>
      </c>
      <c r="V381" s="73"/>
      <c r="W381" s="95"/>
      <c r="X381" s="103"/>
      <c r="Y381" s="103"/>
      <c r="Z381" s="103"/>
      <c r="AA381" s="103"/>
      <c r="AB381" s="103"/>
      <c r="AC381" s="104"/>
      <c r="AD381" s="104"/>
      <c r="AE381" s="104"/>
      <c r="AF381" s="95"/>
      <c r="AG381" s="53"/>
      <c r="AH381" s="95"/>
      <c r="AI381" s="53"/>
      <c r="AJ381" s="225"/>
      <c r="AK381" s="169"/>
      <c r="AL381" s="327"/>
      <c r="AM381" s="150" t="str">
        <f t="shared" si="366"/>
        <v/>
      </c>
      <c r="AN381" s="212" t="str">
        <f t="shared" si="367"/>
        <v/>
      </c>
      <c r="AO381" s="212" t="str">
        <f t="shared" si="368"/>
        <v/>
      </c>
      <c r="AP381" s="212" t="str">
        <f t="shared" si="369"/>
        <v/>
      </c>
      <c r="AQ381" s="151" t="str">
        <f t="shared" si="370"/>
        <v/>
      </c>
      <c r="AR381" s="68"/>
      <c r="AS381" s="69"/>
      <c r="AT381" s="68"/>
    </row>
    <row r="382" spans="2:46" ht="13.5" customHeight="1" thickBot="1" x14ac:dyDescent="0.2">
      <c r="B382" s="328"/>
      <c r="C382" s="52" t="s">
        <v>51</v>
      </c>
      <c r="D382" s="74"/>
      <c r="E382" s="98"/>
      <c r="F382" s="105"/>
      <c r="G382" s="105"/>
      <c r="H382" s="105"/>
      <c r="I382" s="105"/>
      <c r="J382" s="105"/>
      <c r="K382" s="106"/>
      <c r="L382" s="207"/>
      <c r="M382" s="207"/>
      <c r="N382" s="98"/>
      <c r="O382" s="66"/>
      <c r="P382" s="98"/>
      <c r="Q382" s="66"/>
      <c r="R382" s="225"/>
      <c r="S382" s="161"/>
      <c r="T382" s="328"/>
      <c r="U382" s="52" t="s">
        <v>51</v>
      </c>
      <c r="V382" s="74"/>
      <c r="W382" s="98"/>
      <c r="X382" s="105"/>
      <c r="Y382" s="105"/>
      <c r="Z382" s="105"/>
      <c r="AA382" s="105"/>
      <c r="AB382" s="105"/>
      <c r="AC382" s="106"/>
      <c r="AD382" s="106"/>
      <c r="AE382" s="106"/>
      <c r="AF382" s="98"/>
      <c r="AG382" s="66"/>
      <c r="AH382" s="98"/>
      <c r="AI382" s="66"/>
      <c r="AJ382" s="225"/>
      <c r="AK382" s="169"/>
      <c r="AL382" s="328"/>
      <c r="AM382" s="213" t="str">
        <f t="shared" si="366"/>
        <v/>
      </c>
      <c r="AN382" s="214" t="str">
        <f t="shared" si="367"/>
        <v/>
      </c>
      <c r="AO382" s="214" t="str">
        <f t="shared" si="368"/>
        <v/>
      </c>
      <c r="AP382" s="214" t="str">
        <f t="shared" si="369"/>
        <v/>
      </c>
      <c r="AQ382" s="215" t="str">
        <f t="shared" si="370"/>
        <v/>
      </c>
      <c r="AR382" s="68"/>
      <c r="AS382" s="69"/>
      <c r="AT382" s="68"/>
    </row>
    <row r="383" spans="2:46" ht="13.5" customHeight="1" x14ac:dyDescent="0.15">
      <c r="B383" s="326" t="s">
        <v>161</v>
      </c>
      <c r="C383" s="50" t="s">
        <v>46</v>
      </c>
      <c r="D383" s="71"/>
      <c r="E383" s="93"/>
      <c r="F383" s="101"/>
      <c r="G383" s="101"/>
      <c r="H383" s="101"/>
      <c r="I383" s="101"/>
      <c r="J383" s="101"/>
      <c r="K383" s="102"/>
      <c r="L383" s="205"/>
      <c r="M383" s="205"/>
      <c r="N383" s="93"/>
      <c r="O383" s="51"/>
      <c r="P383" s="93"/>
      <c r="Q383" s="51"/>
      <c r="R383" s="224"/>
      <c r="S383" s="161"/>
      <c r="T383" s="326" t="s">
        <v>161</v>
      </c>
      <c r="U383" s="50" t="s">
        <v>46</v>
      </c>
      <c r="V383" s="71"/>
      <c r="W383" s="93"/>
      <c r="X383" s="101"/>
      <c r="Y383" s="101"/>
      <c r="Z383" s="101"/>
      <c r="AA383" s="101"/>
      <c r="AB383" s="101"/>
      <c r="AC383" s="102"/>
      <c r="AD383" s="102"/>
      <c r="AE383" s="102"/>
      <c r="AF383" s="93"/>
      <c r="AG383" s="51"/>
      <c r="AH383" s="93"/>
      <c r="AI383" s="51"/>
      <c r="AJ383" s="224"/>
      <c r="AK383" s="169"/>
      <c r="AL383" s="326" t="s">
        <v>161</v>
      </c>
      <c r="AM383" s="210" t="str">
        <f>IF(OR(X383="",F383=""),"",X383-F383)</f>
        <v/>
      </c>
      <c r="AN383" s="171" t="str">
        <f>IF(OR(Y383="",G383=""),"",Y383-G383)</f>
        <v/>
      </c>
      <c r="AO383" s="171" t="str">
        <f>IF(OR(Z383="",H383=""),"",Z383-H383)</f>
        <v/>
      </c>
      <c r="AP383" s="171" t="str">
        <f>IF(OR(AA383="",I383=""),"",AA383-I383)</f>
        <v/>
      </c>
      <c r="AQ383" s="211" t="str">
        <f>IF(OR(AB383="",J383=""),"",AB383-J383)</f>
        <v/>
      </c>
      <c r="AR383" s="68"/>
      <c r="AS383" s="69"/>
      <c r="AT383" s="68"/>
    </row>
    <row r="384" spans="2:46" ht="13.5" customHeight="1" x14ac:dyDescent="0.15">
      <c r="B384" s="327"/>
      <c r="C384" s="52" t="s">
        <v>47</v>
      </c>
      <c r="D384" s="73"/>
      <c r="E384" s="95"/>
      <c r="F384" s="103"/>
      <c r="G384" s="103"/>
      <c r="H384" s="103"/>
      <c r="I384" s="103"/>
      <c r="J384" s="103"/>
      <c r="K384" s="104"/>
      <c r="L384" s="206"/>
      <c r="M384" s="206"/>
      <c r="N384" s="95"/>
      <c r="O384" s="53"/>
      <c r="P384" s="95"/>
      <c r="Q384" s="53"/>
      <c r="R384" s="225"/>
      <c r="S384" s="161"/>
      <c r="T384" s="327"/>
      <c r="U384" s="52" t="s">
        <v>47</v>
      </c>
      <c r="V384" s="73"/>
      <c r="W384" s="95"/>
      <c r="X384" s="103"/>
      <c r="Y384" s="103"/>
      <c r="Z384" s="103"/>
      <c r="AA384" s="103"/>
      <c r="AB384" s="103"/>
      <c r="AC384" s="104"/>
      <c r="AD384" s="104"/>
      <c r="AE384" s="104"/>
      <c r="AF384" s="95"/>
      <c r="AG384" s="53"/>
      <c r="AH384" s="95"/>
      <c r="AI384" s="53"/>
      <c r="AJ384" s="225"/>
      <c r="AK384" s="169"/>
      <c r="AL384" s="327"/>
      <c r="AM384" s="150" t="str">
        <f t="shared" ref="AM384:AM387" si="371">IF(OR(X384="",F384=""),"",X384-F384)</f>
        <v/>
      </c>
      <c r="AN384" s="212" t="str">
        <f t="shared" ref="AN384:AN387" si="372">IF(OR(Y384="",G384=""),"",Y384-G384)</f>
        <v/>
      </c>
      <c r="AO384" s="212" t="str">
        <f t="shared" ref="AO384:AO387" si="373">IF(OR(Z384="",H384=""),"",Z384-H384)</f>
        <v/>
      </c>
      <c r="AP384" s="212" t="str">
        <f t="shared" ref="AP384:AP387" si="374">IF(OR(AA384="",I384=""),"",AA384-I384)</f>
        <v/>
      </c>
      <c r="AQ384" s="151" t="str">
        <f t="shared" ref="AQ384:AQ387" si="375">IF(OR(AB384="",J384=""),"",AB384-J384)</f>
        <v/>
      </c>
      <c r="AR384" s="68"/>
      <c r="AS384" s="69"/>
      <c r="AT384" s="68"/>
    </row>
    <row r="385" spans="2:46" ht="13.5" customHeight="1" x14ac:dyDescent="0.15">
      <c r="B385" s="327"/>
      <c r="C385" s="52" t="s">
        <v>48</v>
      </c>
      <c r="D385" s="73"/>
      <c r="E385" s="95"/>
      <c r="F385" s="103"/>
      <c r="G385" s="103"/>
      <c r="H385" s="103"/>
      <c r="I385" s="103"/>
      <c r="J385" s="103"/>
      <c r="K385" s="104"/>
      <c r="L385" s="206"/>
      <c r="M385" s="206"/>
      <c r="N385" s="95"/>
      <c r="O385" s="53"/>
      <c r="P385" s="95"/>
      <c r="Q385" s="53"/>
      <c r="R385" s="225"/>
      <c r="S385" s="161"/>
      <c r="T385" s="327"/>
      <c r="U385" s="52" t="s">
        <v>48</v>
      </c>
      <c r="V385" s="73"/>
      <c r="W385" s="95"/>
      <c r="X385" s="103"/>
      <c r="Y385" s="103"/>
      <c r="Z385" s="103"/>
      <c r="AA385" s="103"/>
      <c r="AB385" s="103"/>
      <c r="AC385" s="104"/>
      <c r="AD385" s="104"/>
      <c r="AE385" s="104"/>
      <c r="AF385" s="95"/>
      <c r="AG385" s="53"/>
      <c r="AH385" s="95"/>
      <c r="AI385" s="53"/>
      <c r="AJ385" s="225"/>
      <c r="AK385" s="169"/>
      <c r="AL385" s="327"/>
      <c r="AM385" s="150" t="str">
        <f t="shared" si="371"/>
        <v/>
      </c>
      <c r="AN385" s="212" t="str">
        <f t="shared" si="372"/>
        <v/>
      </c>
      <c r="AO385" s="212" t="str">
        <f t="shared" si="373"/>
        <v/>
      </c>
      <c r="AP385" s="212" t="str">
        <f t="shared" si="374"/>
        <v/>
      </c>
      <c r="AQ385" s="151" t="str">
        <f t="shared" si="375"/>
        <v/>
      </c>
      <c r="AR385" s="68"/>
      <c r="AS385" s="69"/>
      <c r="AT385" s="68"/>
    </row>
    <row r="386" spans="2:46" ht="13.5" customHeight="1" x14ac:dyDescent="0.15">
      <c r="B386" s="327"/>
      <c r="C386" s="52" t="s">
        <v>50</v>
      </c>
      <c r="D386" s="73"/>
      <c r="E386" s="95"/>
      <c r="F386" s="103"/>
      <c r="G386" s="103"/>
      <c r="H386" s="103"/>
      <c r="I386" s="103"/>
      <c r="J386" s="103"/>
      <c r="K386" s="104"/>
      <c r="L386" s="206"/>
      <c r="M386" s="206"/>
      <c r="N386" s="95"/>
      <c r="O386" s="53"/>
      <c r="P386" s="95"/>
      <c r="Q386" s="53"/>
      <c r="R386" s="225"/>
      <c r="S386" s="161"/>
      <c r="T386" s="327"/>
      <c r="U386" s="52" t="s">
        <v>50</v>
      </c>
      <c r="V386" s="73"/>
      <c r="W386" s="95"/>
      <c r="X386" s="103"/>
      <c r="Y386" s="103"/>
      <c r="Z386" s="103"/>
      <c r="AA386" s="103"/>
      <c r="AB386" s="103"/>
      <c r="AC386" s="104"/>
      <c r="AD386" s="104"/>
      <c r="AE386" s="104"/>
      <c r="AF386" s="95"/>
      <c r="AG386" s="53"/>
      <c r="AH386" s="95"/>
      <c r="AI386" s="53"/>
      <c r="AJ386" s="225"/>
      <c r="AK386" s="169"/>
      <c r="AL386" s="327"/>
      <c r="AM386" s="150" t="str">
        <f t="shared" si="371"/>
        <v/>
      </c>
      <c r="AN386" s="212" t="str">
        <f t="shared" si="372"/>
        <v/>
      </c>
      <c r="AO386" s="212" t="str">
        <f t="shared" si="373"/>
        <v/>
      </c>
      <c r="AP386" s="212" t="str">
        <f t="shared" si="374"/>
        <v/>
      </c>
      <c r="AQ386" s="151" t="str">
        <f t="shared" si="375"/>
        <v/>
      </c>
      <c r="AR386" s="68"/>
      <c r="AS386" s="69"/>
      <c r="AT386" s="68"/>
    </row>
    <row r="387" spans="2:46" ht="13.5" customHeight="1" thickBot="1" x14ac:dyDescent="0.2">
      <c r="B387" s="328"/>
      <c r="C387" s="54" t="s">
        <v>51</v>
      </c>
      <c r="D387" s="74"/>
      <c r="E387" s="98"/>
      <c r="F387" s="105"/>
      <c r="G387" s="105"/>
      <c r="H387" s="105"/>
      <c r="I387" s="105"/>
      <c r="J387" s="105"/>
      <c r="K387" s="106"/>
      <c r="L387" s="207"/>
      <c r="M387" s="207"/>
      <c r="N387" s="98"/>
      <c r="O387" s="66"/>
      <c r="P387" s="98"/>
      <c r="Q387" s="66"/>
      <c r="R387" s="226"/>
      <c r="S387" s="161"/>
      <c r="T387" s="328"/>
      <c r="U387" s="54" t="s">
        <v>51</v>
      </c>
      <c r="V387" s="74"/>
      <c r="W387" s="98"/>
      <c r="X387" s="105"/>
      <c r="Y387" s="105"/>
      <c r="Z387" s="105"/>
      <c r="AA387" s="105"/>
      <c r="AB387" s="105"/>
      <c r="AC387" s="106"/>
      <c r="AD387" s="106"/>
      <c r="AE387" s="106"/>
      <c r="AF387" s="98"/>
      <c r="AG387" s="66"/>
      <c r="AH387" s="98"/>
      <c r="AI387" s="66"/>
      <c r="AJ387" s="226"/>
      <c r="AK387" s="169"/>
      <c r="AL387" s="328"/>
      <c r="AM387" s="213" t="str">
        <f t="shared" si="371"/>
        <v/>
      </c>
      <c r="AN387" s="214" t="str">
        <f t="shared" si="372"/>
        <v/>
      </c>
      <c r="AO387" s="214" t="str">
        <f t="shared" si="373"/>
        <v/>
      </c>
      <c r="AP387" s="214" t="str">
        <f t="shared" si="374"/>
        <v/>
      </c>
      <c r="AQ387" s="215" t="str">
        <f t="shared" si="375"/>
        <v/>
      </c>
      <c r="AR387" s="68"/>
      <c r="AS387" s="69"/>
      <c r="AT387" s="68"/>
    </row>
    <row r="388" spans="2:46" ht="13.5" customHeight="1" x14ac:dyDescent="0.15">
      <c r="B388" s="326" t="s">
        <v>162</v>
      </c>
      <c r="C388" s="50" t="s">
        <v>46</v>
      </c>
      <c r="D388" s="71"/>
      <c r="E388" s="93"/>
      <c r="F388" s="101"/>
      <c r="G388" s="101"/>
      <c r="H388" s="101"/>
      <c r="I388" s="101"/>
      <c r="J388" s="101"/>
      <c r="K388" s="102"/>
      <c r="L388" s="205"/>
      <c r="M388" s="205"/>
      <c r="N388" s="93"/>
      <c r="O388" s="51"/>
      <c r="P388" s="93"/>
      <c r="Q388" s="51"/>
      <c r="R388" s="224"/>
      <c r="S388" s="161"/>
      <c r="T388" s="326" t="s">
        <v>162</v>
      </c>
      <c r="U388" s="50" t="s">
        <v>46</v>
      </c>
      <c r="V388" s="71"/>
      <c r="W388" s="93"/>
      <c r="X388" s="101"/>
      <c r="Y388" s="101"/>
      <c r="Z388" s="101"/>
      <c r="AA388" s="101"/>
      <c r="AB388" s="101"/>
      <c r="AC388" s="102"/>
      <c r="AD388" s="102"/>
      <c r="AE388" s="102"/>
      <c r="AF388" s="93"/>
      <c r="AG388" s="51"/>
      <c r="AH388" s="93"/>
      <c r="AI388" s="51"/>
      <c r="AJ388" s="224"/>
      <c r="AK388" s="169"/>
      <c r="AL388" s="326" t="s">
        <v>162</v>
      </c>
      <c r="AM388" s="210" t="str">
        <f>IF(OR(X388="",F388=""),"",X388-F388)</f>
        <v/>
      </c>
      <c r="AN388" s="171" t="str">
        <f>IF(OR(Y388="",G388=""),"",Y388-G388)</f>
        <v/>
      </c>
      <c r="AO388" s="171" t="str">
        <f>IF(OR(Z388="",H388=""),"",Z388-H388)</f>
        <v/>
      </c>
      <c r="AP388" s="171" t="str">
        <f>IF(OR(AA388="",I388=""),"",AA388-I388)</f>
        <v/>
      </c>
      <c r="AQ388" s="211" t="str">
        <f>IF(OR(AB388="",J388=""),"",AB388-J388)</f>
        <v/>
      </c>
      <c r="AR388" s="68"/>
      <c r="AS388" s="69"/>
      <c r="AT388" s="68"/>
    </row>
    <row r="389" spans="2:46" ht="13.5" customHeight="1" x14ac:dyDescent="0.15">
      <c r="B389" s="327"/>
      <c r="C389" s="52" t="s">
        <v>47</v>
      </c>
      <c r="D389" s="73"/>
      <c r="E389" s="95"/>
      <c r="F389" s="103"/>
      <c r="G389" s="103"/>
      <c r="H389" s="103"/>
      <c r="I389" s="103"/>
      <c r="J389" s="103"/>
      <c r="K389" s="104"/>
      <c r="L389" s="206"/>
      <c r="M389" s="206"/>
      <c r="N389" s="95"/>
      <c r="O389" s="53"/>
      <c r="P389" s="95"/>
      <c r="Q389" s="53"/>
      <c r="R389" s="225"/>
      <c r="S389" s="161"/>
      <c r="T389" s="327"/>
      <c r="U389" s="52" t="s">
        <v>47</v>
      </c>
      <c r="V389" s="73"/>
      <c r="W389" s="95"/>
      <c r="X389" s="103"/>
      <c r="Y389" s="103"/>
      <c r="Z389" s="103"/>
      <c r="AA389" s="103"/>
      <c r="AB389" s="103"/>
      <c r="AC389" s="104"/>
      <c r="AD389" s="104"/>
      <c r="AE389" s="104"/>
      <c r="AF389" s="95"/>
      <c r="AG389" s="53"/>
      <c r="AH389" s="95"/>
      <c r="AI389" s="53"/>
      <c r="AJ389" s="225"/>
      <c r="AK389" s="169"/>
      <c r="AL389" s="327"/>
      <c r="AM389" s="150" t="str">
        <f t="shared" ref="AM389:AM392" si="376">IF(OR(X389="",F389=""),"",X389-F389)</f>
        <v/>
      </c>
      <c r="AN389" s="212" t="str">
        <f t="shared" ref="AN389:AN392" si="377">IF(OR(Y389="",G389=""),"",Y389-G389)</f>
        <v/>
      </c>
      <c r="AO389" s="212" t="str">
        <f t="shared" ref="AO389:AO392" si="378">IF(OR(Z389="",H389=""),"",Z389-H389)</f>
        <v/>
      </c>
      <c r="AP389" s="212" t="str">
        <f t="shared" ref="AP389:AP392" si="379">IF(OR(AA389="",I389=""),"",AA389-I389)</f>
        <v/>
      </c>
      <c r="AQ389" s="151" t="str">
        <f t="shared" ref="AQ389:AQ392" si="380">IF(OR(AB389="",J389=""),"",AB389-J389)</f>
        <v/>
      </c>
      <c r="AR389" s="68"/>
      <c r="AS389" s="69"/>
      <c r="AT389" s="68"/>
    </row>
    <row r="390" spans="2:46" ht="13.5" customHeight="1" x14ac:dyDescent="0.15">
      <c r="B390" s="327"/>
      <c r="C390" s="52" t="s">
        <v>48</v>
      </c>
      <c r="D390" s="73"/>
      <c r="E390" s="95"/>
      <c r="F390" s="103"/>
      <c r="G390" s="103"/>
      <c r="H390" s="103"/>
      <c r="I390" s="103"/>
      <c r="J390" s="103"/>
      <c r="K390" s="104"/>
      <c r="L390" s="206"/>
      <c r="M390" s="206"/>
      <c r="N390" s="95"/>
      <c r="O390" s="53"/>
      <c r="P390" s="95"/>
      <c r="Q390" s="53"/>
      <c r="R390" s="225"/>
      <c r="S390" s="161"/>
      <c r="T390" s="327"/>
      <c r="U390" s="52" t="s">
        <v>48</v>
      </c>
      <c r="V390" s="73"/>
      <c r="W390" s="95"/>
      <c r="X390" s="103"/>
      <c r="Y390" s="103"/>
      <c r="Z390" s="103"/>
      <c r="AA390" s="103"/>
      <c r="AB390" s="103"/>
      <c r="AC390" s="104"/>
      <c r="AD390" s="104"/>
      <c r="AE390" s="104"/>
      <c r="AF390" s="95"/>
      <c r="AG390" s="53"/>
      <c r="AH390" s="95"/>
      <c r="AI390" s="53"/>
      <c r="AJ390" s="225"/>
      <c r="AK390" s="169"/>
      <c r="AL390" s="327"/>
      <c r="AM390" s="150" t="str">
        <f t="shared" si="376"/>
        <v/>
      </c>
      <c r="AN390" s="212" t="str">
        <f t="shared" si="377"/>
        <v/>
      </c>
      <c r="AO390" s="212" t="str">
        <f t="shared" si="378"/>
        <v/>
      </c>
      <c r="AP390" s="212" t="str">
        <f t="shared" si="379"/>
        <v/>
      </c>
      <c r="AQ390" s="151" t="str">
        <f t="shared" si="380"/>
        <v/>
      </c>
      <c r="AR390" s="68"/>
      <c r="AS390" s="69"/>
      <c r="AT390" s="68"/>
    </row>
    <row r="391" spans="2:46" ht="13.5" customHeight="1" x14ac:dyDescent="0.15">
      <c r="B391" s="327"/>
      <c r="C391" s="52" t="s">
        <v>50</v>
      </c>
      <c r="D391" s="73"/>
      <c r="E391" s="95"/>
      <c r="F391" s="103"/>
      <c r="G391" s="103"/>
      <c r="H391" s="103"/>
      <c r="I391" s="103"/>
      <c r="J391" s="103"/>
      <c r="K391" s="104"/>
      <c r="L391" s="206"/>
      <c r="M391" s="206"/>
      <c r="N391" s="95"/>
      <c r="O391" s="53"/>
      <c r="P391" s="95"/>
      <c r="Q391" s="53"/>
      <c r="R391" s="225"/>
      <c r="S391" s="161"/>
      <c r="T391" s="327"/>
      <c r="U391" s="52" t="s">
        <v>50</v>
      </c>
      <c r="V391" s="73"/>
      <c r="W391" s="95"/>
      <c r="X391" s="103"/>
      <c r="Y391" s="103"/>
      <c r="Z391" s="103"/>
      <c r="AA391" s="103"/>
      <c r="AB391" s="103"/>
      <c r="AC391" s="104"/>
      <c r="AD391" s="104"/>
      <c r="AE391" s="104"/>
      <c r="AF391" s="95"/>
      <c r="AG391" s="53"/>
      <c r="AH391" s="95"/>
      <c r="AI391" s="53"/>
      <c r="AJ391" s="225"/>
      <c r="AK391" s="169"/>
      <c r="AL391" s="327"/>
      <c r="AM391" s="150" t="str">
        <f t="shared" si="376"/>
        <v/>
      </c>
      <c r="AN391" s="212" t="str">
        <f t="shared" si="377"/>
        <v/>
      </c>
      <c r="AO391" s="212" t="str">
        <f t="shared" si="378"/>
        <v/>
      </c>
      <c r="AP391" s="212" t="str">
        <f t="shared" si="379"/>
        <v/>
      </c>
      <c r="AQ391" s="151" t="str">
        <f t="shared" si="380"/>
        <v/>
      </c>
      <c r="AR391" s="68"/>
      <c r="AS391" s="69"/>
      <c r="AT391" s="68"/>
    </row>
    <row r="392" spans="2:46" ht="13.5" customHeight="1" thickBot="1" x14ac:dyDescent="0.2">
      <c r="B392" s="328"/>
      <c r="C392" s="52" t="s">
        <v>51</v>
      </c>
      <c r="D392" s="74"/>
      <c r="E392" s="98"/>
      <c r="F392" s="105"/>
      <c r="G392" s="105"/>
      <c r="H392" s="105"/>
      <c r="I392" s="105"/>
      <c r="J392" s="105"/>
      <c r="K392" s="106"/>
      <c r="L392" s="207"/>
      <c r="M392" s="207"/>
      <c r="N392" s="98"/>
      <c r="O392" s="66"/>
      <c r="P392" s="98"/>
      <c r="Q392" s="66"/>
      <c r="R392" s="225"/>
      <c r="S392" s="161"/>
      <c r="T392" s="328"/>
      <c r="U392" s="52" t="s">
        <v>51</v>
      </c>
      <c r="V392" s="74"/>
      <c r="W392" s="98"/>
      <c r="X392" s="105"/>
      <c r="Y392" s="105"/>
      <c r="Z392" s="105"/>
      <c r="AA392" s="105"/>
      <c r="AB392" s="105"/>
      <c r="AC392" s="106"/>
      <c r="AD392" s="106"/>
      <c r="AE392" s="106"/>
      <c r="AF392" s="98"/>
      <c r="AG392" s="66"/>
      <c r="AH392" s="98"/>
      <c r="AI392" s="66"/>
      <c r="AJ392" s="225"/>
      <c r="AK392" s="169"/>
      <c r="AL392" s="328"/>
      <c r="AM392" s="213" t="str">
        <f t="shared" si="376"/>
        <v/>
      </c>
      <c r="AN392" s="214" t="str">
        <f t="shared" si="377"/>
        <v/>
      </c>
      <c r="AO392" s="214" t="str">
        <f t="shared" si="378"/>
        <v/>
      </c>
      <c r="AP392" s="214" t="str">
        <f t="shared" si="379"/>
        <v/>
      </c>
      <c r="AQ392" s="215" t="str">
        <f t="shared" si="380"/>
        <v/>
      </c>
      <c r="AR392" s="68"/>
      <c r="AS392" s="69"/>
      <c r="AT392" s="68"/>
    </row>
    <row r="393" spans="2:46" ht="13.5" customHeight="1" x14ac:dyDescent="0.15">
      <c r="B393" s="326" t="s">
        <v>163</v>
      </c>
      <c r="C393" s="50" t="s">
        <v>46</v>
      </c>
      <c r="D393" s="71"/>
      <c r="E393" s="93"/>
      <c r="F393" s="101"/>
      <c r="G393" s="101"/>
      <c r="H393" s="101"/>
      <c r="I393" s="101"/>
      <c r="J393" s="101"/>
      <c r="K393" s="102"/>
      <c r="L393" s="205"/>
      <c r="M393" s="205"/>
      <c r="N393" s="93"/>
      <c r="O393" s="51"/>
      <c r="P393" s="93"/>
      <c r="Q393" s="51"/>
      <c r="R393" s="224"/>
      <c r="S393" s="161"/>
      <c r="T393" s="326" t="s">
        <v>163</v>
      </c>
      <c r="U393" s="50" t="s">
        <v>46</v>
      </c>
      <c r="V393" s="71"/>
      <c r="W393" s="93"/>
      <c r="X393" s="101"/>
      <c r="Y393" s="101"/>
      <c r="Z393" s="101"/>
      <c r="AA393" s="101"/>
      <c r="AB393" s="101"/>
      <c r="AC393" s="102"/>
      <c r="AD393" s="102"/>
      <c r="AE393" s="102"/>
      <c r="AF393" s="93"/>
      <c r="AG393" s="51"/>
      <c r="AH393" s="93"/>
      <c r="AI393" s="51"/>
      <c r="AJ393" s="224"/>
      <c r="AK393" s="169"/>
      <c r="AL393" s="326" t="s">
        <v>163</v>
      </c>
      <c r="AM393" s="210" t="str">
        <f>IF(OR(X393="",F393=""),"",X393-F393)</f>
        <v/>
      </c>
      <c r="AN393" s="171" t="str">
        <f>IF(OR(Y393="",G393=""),"",Y393-G393)</f>
        <v/>
      </c>
      <c r="AO393" s="171" t="str">
        <f>IF(OR(Z393="",H393=""),"",Z393-H393)</f>
        <v/>
      </c>
      <c r="AP393" s="171" t="str">
        <f>IF(OR(AA393="",I393=""),"",AA393-I393)</f>
        <v/>
      </c>
      <c r="AQ393" s="211" t="str">
        <f>IF(OR(AB393="",J393=""),"",AB393-J393)</f>
        <v/>
      </c>
      <c r="AR393" s="68"/>
      <c r="AS393" s="69"/>
      <c r="AT393" s="68"/>
    </row>
    <row r="394" spans="2:46" ht="13.5" customHeight="1" x14ac:dyDescent="0.15">
      <c r="B394" s="327"/>
      <c r="C394" s="52" t="s">
        <v>47</v>
      </c>
      <c r="D394" s="73"/>
      <c r="E394" s="95"/>
      <c r="F394" s="103"/>
      <c r="G394" s="103"/>
      <c r="H394" s="103"/>
      <c r="I394" s="103"/>
      <c r="J394" s="103"/>
      <c r="K394" s="104"/>
      <c r="L394" s="206"/>
      <c r="M394" s="206"/>
      <c r="N394" s="95"/>
      <c r="O394" s="53"/>
      <c r="P394" s="95"/>
      <c r="Q394" s="53"/>
      <c r="R394" s="225"/>
      <c r="S394" s="161"/>
      <c r="T394" s="327"/>
      <c r="U394" s="52" t="s">
        <v>47</v>
      </c>
      <c r="V394" s="73"/>
      <c r="W394" s="95"/>
      <c r="X394" s="103"/>
      <c r="Y394" s="103"/>
      <c r="Z394" s="103"/>
      <c r="AA394" s="103"/>
      <c r="AB394" s="103"/>
      <c r="AC394" s="104"/>
      <c r="AD394" s="104"/>
      <c r="AE394" s="104"/>
      <c r="AF394" s="95"/>
      <c r="AG394" s="53"/>
      <c r="AH394" s="95"/>
      <c r="AI394" s="53"/>
      <c r="AJ394" s="225"/>
      <c r="AK394" s="169"/>
      <c r="AL394" s="327"/>
      <c r="AM394" s="150" t="str">
        <f t="shared" ref="AM394:AM397" si="381">IF(OR(X394="",F394=""),"",X394-F394)</f>
        <v/>
      </c>
      <c r="AN394" s="212" t="str">
        <f t="shared" ref="AN394:AN397" si="382">IF(OR(Y394="",G394=""),"",Y394-G394)</f>
        <v/>
      </c>
      <c r="AO394" s="212" t="str">
        <f t="shared" ref="AO394:AO397" si="383">IF(OR(Z394="",H394=""),"",Z394-H394)</f>
        <v/>
      </c>
      <c r="AP394" s="212" t="str">
        <f t="shared" ref="AP394:AP397" si="384">IF(OR(AA394="",I394=""),"",AA394-I394)</f>
        <v/>
      </c>
      <c r="AQ394" s="151" t="str">
        <f t="shared" ref="AQ394:AQ397" si="385">IF(OR(AB394="",J394=""),"",AB394-J394)</f>
        <v/>
      </c>
      <c r="AR394" s="68"/>
      <c r="AS394" s="69"/>
      <c r="AT394" s="68"/>
    </row>
    <row r="395" spans="2:46" ht="13.5" customHeight="1" x14ac:dyDescent="0.15">
      <c r="B395" s="327"/>
      <c r="C395" s="52" t="s">
        <v>48</v>
      </c>
      <c r="D395" s="73"/>
      <c r="E395" s="95"/>
      <c r="F395" s="103"/>
      <c r="G395" s="103"/>
      <c r="H395" s="103"/>
      <c r="I395" s="103"/>
      <c r="J395" s="103"/>
      <c r="K395" s="104"/>
      <c r="L395" s="206"/>
      <c r="M395" s="206"/>
      <c r="N395" s="95"/>
      <c r="O395" s="53"/>
      <c r="P395" s="95"/>
      <c r="Q395" s="53"/>
      <c r="R395" s="225"/>
      <c r="S395" s="161"/>
      <c r="T395" s="327"/>
      <c r="U395" s="52" t="s">
        <v>48</v>
      </c>
      <c r="V395" s="73"/>
      <c r="W395" s="95"/>
      <c r="X395" s="103"/>
      <c r="Y395" s="103"/>
      <c r="Z395" s="103"/>
      <c r="AA395" s="103"/>
      <c r="AB395" s="103"/>
      <c r="AC395" s="104"/>
      <c r="AD395" s="104"/>
      <c r="AE395" s="104"/>
      <c r="AF395" s="95"/>
      <c r="AG395" s="53"/>
      <c r="AH395" s="95"/>
      <c r="AI395" s="53"/>
      <c r="AJ395" s="225"/>
      <c r="AK395" s="169"/>
      <c r="AL395" s="327"/>
      <c r="AM395" s="150" t="str">
        <f t="shared" si="381"/>
        <v/>
      </c>
      <c r="AN395" s="212" t="str">
        <f t="shared" si="382"/>
        <v/>
      </c>
      <c r="AO395" s="212" t="str">
        <f t="shared" si="383"/>
        <v/>
      </c>
      <c r="AP395" s="212" t="str">
        <f t="shared" si="384"/>
        <v/>
      </c>
      <c r="AQ395" s="151" t="str">
        <f t="shared" si="385"/>
        <v/>
      </c>
      <c r="AR395" s="68"/>
      <c r="AS395" s="69"/>
      <c r="AT395" s="68"/>
    </row>
    <row r="396" spans="2:46" ht="13.5" customHeight="1" x14ac:dyDescent="0.15">
      <c r="B396" s="327"/>
      <c r="C396" s="52" t="s">
        <v>50</v>
      </c>
      <c r="D396" s="73"/>
      <c r="E396" s="95"/>
      <c r="F396" s="103"/>
      <c r="G396" s="103"/>
      <c r="H396" s="103"/>
      <c r="I396" s="103"/>
      <c r="J396" s="103"/>
      <c r="K396" s="104"/>
      <c r="L396" s="206"/>
      <c r="M396" s="206"/>
      <c r="N396" s="95"/>
      <c r="O396" s="53"/>
      <c r="P396" s="95"/>
      <c r="Q396" s="53"/>
      <c r="R396" s="225"/>
      <c r="S396" s="161"/>
      <c r="T396" s="327"/>
      <c r="U396" s="52" t="s">
        <v>50</v>
      </c>
      <c r="V396" s="73"/>
      <c r="W396" s="95"/>
      <c r="X396" s="103"/>
      <c r="Y396" s="103"/>
      <c r="Z396" s="103"/>
      <c r="AA396" s="103"/>
      <c r="AB396" s="103"/>
      <c r="AC396" s="104"/>
      <c r="AD396" s="104"/>
      <c r="AE396" s="104"/>
      <c r="AF396" s="95"/>
      <c r="AG396" s="53"/>
      <c r="AH396" s="95"/>
      <c r="AI396" s="53"/>
      <c r="AJ396" s="225"/>
      <c r="AK396" s="169"/>
      <c r="AL396" s="327"/>
      <c r="AM396" s="150" t="str">
        <f t="shared" si="381"/>
        <v/>
      </c>
      <c r="AN396" s="212" t="str">
        <f t="shared" si="382"/>
        <v/>
      </c>
      <c r="AO396" s="212" t="str">
        <f t="shared" si="383"/>
        <v/>
      </c>
      <c r="AP396" s="212" t="str">
        <f t="shared" si="384"/>
        <v/>
      </c>
      <c r="AQ396" s="151" t="str">
        <f t="shared" si="385"/>
        <v/>
      </c>
      <c r="AR396" s="68"/>
      <c r="AS396" s="69"/>
      <c r="AT396" s="68"/>
    </row>
    <row r="397" spans="2:46" ht="13.5" customHeight="1" thickBot="1" x14ac:dyDescent="0.2">
      <c r="B397" s="328"/>
      <c r="C397" s="52" t="s">
        <v>51</v>
      </c>
      <c r="D397" s="74"/>
      <c r="E397" s="98"/>
      <c r="F397" s="105"/>
      <c r="G397" s="105"/>
      <c r="H397" s="105"/>
      <c r="I397" s="105"/>
      <c r="J397" s="105"/>
      <c r="K397" s="106"/>
      <c r="L397" s="207"/>
      <c r="M397" s="207"/>
      <c r="N397" s="98"/>
      <c r="O397" s="66"/>
      <c r="P397" s="98"/>
      <c r="Q397" s="66"/>
      <c r="R397" s="225"/>
      <c r="S397" s="161"/>
      <c r="T397" s="328"/>
      <c r="U397" s="52" t="s">
        <v>51</v>
      </c>
      <c r="V397" s="74"/>
      <c r="W397" s="98"/>
      <c r="X397" s="105"/>
      <c r="Y397" s="105"/>
      <c r="Z397" s="105"/>
      <c r="AA397" s="105"/>
      <c r="AB397" s="105"/>
      <c r="AC397" s="106"/>
      <c r="AD397" s="106"/>
      <c r="AE397" s="106"/>
      <c r="AF397" s="98"/>
      <c r="AG397" s="66"/>
      <c r="AH397" s="98"/>
      <c r="AI397" s="66"/>
      <c r="AJ397" s="225"/>
      <c r="AK397" s="169"/>
      <c r="AL397" s="328"/>
      <c r="AM397" s="213" t="str">
        <f t="shared" si="381"/>
        <v/>
      </c>
      <c r="AN397" s="214" t="str">
        <f t="shared" si="382"/>
        <v/>
      </c>
      <c r="AO397" s="214" t="str">
        <f t="shared" si="383"/>
        <v/>
      </c>
      <c r="AP397" s="214" t="str">
        <f t="shared" si="384"/>
        <v/>
      </c>
      <c r="AQ397" s="215" t="str">
        <f t="shared" si="385"/>
        <v/>
      </c>
      <c r="AR397" s="68"/>
      <c r="AS397" s="69"/>
      <c r="AT397" s="68"/>
    </row>
    <row r="398" spans="2:46" ht="13.5" customHeight="1" x14ac:dyDescent="0.15">
      <c r="B398" s="326" t="s">
        <v>164</v>
      </c>
      <c r="C398" s="50" t="s">
        <v>46</v>
      </c>
      <c r="D398" s="71"/>
      <c r="E398" s="93"/>
      <c r="F398" s="101"/>
      <c r="G398" s="101"/>
      <c r="H398" s="101"/>
      <c r="I398" s="101"/>
      <c r="J398" s="101"/>
      <c r="K398" s="102"/>
      <c r="L398" s="205"/>
      <c r="M398" s="205"/>
      <c r="N398" s="93"/>
      <c r="O398" s="51"/>
      <c r="P398" s="93"/>
      <c r="Q398" s="51"/>
      <c r="R398" s="224"/>
      <c r="S398" s="161"/>
      <c r="T398" s="326" t="s">
        <v>164</v>
      </c>
      <c r="U398" s="50" t="s">
        <v>46</v>
      </c>
      <c r="V398" s="71"/>
      <c r="W398" s="93"/>
      <c r="X398" s="101"/>
      <c r="Y398" s="101"/>
      <c r="Z398" s="101"/>
      <c r="AA398" s="101"/>
      <c r="AB398" s="101"/>
      <c r="AC398" s="102"/>
      <c r="AD398" s="102"/>
      <c r="AE398" s="102"/>
      <c r="AF398" s="93"/>
      <c r="AG398" s="51"/>
      <c r="AH398" s="93"/>
      <c r="AI398" s="51"/>
      <c r="AJ398" s="224"/>
      <c r="AK398" s="169"/>
      <c r="AL398" s="326" t="s">
        <v>164</v>
      </c>
      <c r="AM398" s="210" t="str">
        <f>IF(OR(X398="",F398=""),"",X398-F398)</f>
        <v/>
      </c>
      <c r="AN398" s="171" t="str">
        <f>IF(OR(Y398="",G398=""),"",Y398-G398)</f>
        <v/>
      </c>
      <c r="AO398" s="171" t="str">
        <f>IF(OR(Z398="",H398=""),"",Z398-H398)</f>
        <v/>
      </c>
      <c r="AP398" s="171" t="str">
        <f>IF(OR(AA398="",I398=""),"",AA398-I398)</f>
        <v/>
      </c>
      <c r="AQ398" s="211" t="str">
        <f>IF(OR(AB398="",J398=""),"",AB398-J398)</f>
        <v/>
      </c>
      <c r="AR398" s="68"/>
      <c r="AS398" s="69"/>
      <c r="AT398" s="68"/>
    </row>
    <row r="399" spans="2:46" ht="13.5" customHeight="1" x14ac:dyDescent="0.15">
      <c r="B399" s="327"/>
      <c r="C399" s="52" t="s">
        <v>47</v>
      </c>
      <c r="D399" s="73"/>
      <c r="E399" s="95"/>
      <c r="F399" s="103"/>
      <c r="G399" s="103"/>
      <c r="H399" s="103"/>
      <c r="I399" s="103"/>
      <c r="J399" s="103"/>
      <c r="K399" s="104"/>
      <c r="L399" s="206"/>
      <c r="M399" s="206"/>
      <c r="N399" s="95"/>
      <c r="O399" s="53"/>
      <c r="P399" s="95"/>
      <c r="Q399" s="53"/>
      <c r="R399" s="225"/>
      <c r="S399" s="161"/>
      <c r="T399" s="327"/>
      <c r="U399" s="52" t="s">
        <v>47</v>
      </c>
      <c r="V399" s="73"/>
      <c r="W399" s="95"/>
      <c r="X399" s="103"/>
      <c r="Y399" s="103"/>
      <c r="Z399" s="103"/>
      <c r="AA399" s="103"/>
      <c r="AB399" s="103"/>
      <c r="AC399" s="104"/>
      <c r="AD399" s="104"/>
      <c r="AE399" s="104"/>
      <c r="AF399" s="95"/>
      <c r="AG399" s="53"/>
      <c r="AH399" s="95"/>
      <c r="AI399" s="53"/>
      <c r="AJ399" s="225"/>
      <c r="AK399" s="169"/>
      <c r="AL399" s="327"/>
      <c r="AM399" s="150" t="str">
        <f t="shared" ref="AM399:AM402" si="386">IF(OR(X399="",F399=""),"",X399-F399)</f>
        <v/>
      </c>
      <c r="AN399" s="212" t="str">
        <f t="shared" ref="AN399:AN402" si="387">IF(OR(Y399="",G399=""),"",Y399-G399)</f>
        <v/>
      </c>
      <c r="AO399" s="212" t="str">
        <f t="shared" ref="AO399:AO402" si="388">IF(OR(Z399="",H399=""),"",Z399-H399)</f>
        <v/>
      </c>
      <c r="AP399" s="212" t="str">
        <f t="shared" ref="AP399:AP402" si="389">IF(OR(AA399="",I399=""),"",AA399-I399)</f>
        <v/>
      </c>
      <c r="AQ399" s="151" t="str">
        <f t="shared" ref="AQ399:AQ402" si="390">IF(OR(AB399="",J399=""),"",AB399-J399)</f>
        <v/>
      </c>
      <c r="AR399" s="68"/>
      <c r="AS399" s="69"/>
      <c r="AT399" s="68"/>
    </row>
    <row r="400" spans="2:46" ht="13.5" customHeight="1" x14ac:dyDescent="0.15">
      <c r="B400" s="327"/>
      <c r="C400" s="52" t="s">
        <v>48</v>
      </c>
      <c r="D400" s="73"/>
      <c r="E400" s="95"/>
      <c r="F400" s="103"/>
      <c r="G400" s="103"/>
      <c r="H400" s="103"/>
      <c r="I400" s="103"/>
      <c r="J400" s="103"/>
      <c r="K400" s="104"/>
      <c r="L400" s="206"/>
      <c r="M400" s="206"/>
      <c r="N400" s="95"/>
      <c r="O400" s="53"/>
      <c r="P400" s="95"/>
      <c r="Q400" s="53"/>
      <c r="R400" s="225"/>
      <c r="S400" s="161"/>
      <c r="T400" s="327"/>
      <c r="U400" s="52" t="s">
        <v>48</v>
      </c>
      <c r="V400" s="73"/>
      <c r="W400" s="95"/>
      <c r="X400" s="103"/>
      <c r="Y400" s="103"/>
      <c r="Z400" s="103"/>
      <c r="AA400" s="103"/>
      <c r="AB400" s="103"/>
      <c r="AC400" s="104"/>
      <c r="AD400" s="104"/>
      <c r="AE400" s="104"/>
      <c r="AF400" s="95"/>
      <c r="AG400" s="53"/>
      <c r="AH400" s="95"/>
      <c r="AI400" s="53"/>
      <c r="AJ400" s="225"/>
      <c r="AK400" s="169"/>
      <c r="AL400" s="327"/>
      <c r="AM400" s="150" t="str">
        <f t="shared" si="386"/>
        <v/>
      </c>
      <c r="AN400" s="212" t="str">
        <f t="shared" si="387"/>
        <v/>
      </c>
      <c r="AO400" s="212" t="str">
        <f t="shared" si="388"/>
        <v/>
      </c>
      <c r="AP400" s="212" t="str">
        <f t="shared" si="389"/>
        <v/>
      </c>
      <c r="AQ400" s="151" t="str">
        <f t="shared" si="390"/>
        <v/>
      </c>
      <c r="AR400" s="68"/>
      <c r="AS400" s="69"/>
      <c r="AT400" s="68"/>
    </row>
    <row r="401" spans="2:46" ht="13.5" customHeight="1" x14ac:dyDescent="0.15">
      <c r="B401" s="327"/>
      <c r="C401" s="52" t="s">
        <v>50</v>
      </c>
      <c r="D401" s="73"/>
      <c r="E401" s="95"/>
      <c r="F401" s="103"/>
      <c r="G401" s="103"/>
      <c r="H401" s="103"/>
      <c r="I401" s="103"/>
      <c r="J401" s="103"/>
      <c r="K401" s="104"/>
      <c r="L401" s="206"/>
      <c r="M401" s="206"/>
      <c r="N401" s="95"/>
      <c r="O401" s="53"/>
      <c r="P401" s="95"/>
      <c r="Q401" s="53"/>
      <c r="R401" s="225"/>
      <c r="S401" s="161"/>
      <c r="T401" s="327"/>
      <c r="U401" s="52" t="s">
        <v>50</v>
      </c>
      <c r="V401" s="73"/>
      <c r="W401" s="95"/>
      <c r="X401" s="103"/>
      <c r="Y401" s="103"/>
      <c r="Z401" s="103"/>
      <c r="AA401" s="103"/>
      <c r="AB401" s="103"/>
      <c r="AC401" s="104"/>
      <c r="AD401" s="104"/>
      <c r="AE401" s="104"/>
      <c r="AF401" s="95"/>
      <c r="AG401" s="53"/>
      <c r="AH401" s="95"/>
      <c r="AI401" s="53"/>
      <c r="AJ401" s="225"/>
      <c r="AK401" s="169"/>
      <c r="AL401" s="327"/>
      <c r="AM401" s="150" t="str">
        <f t="shared" si="386"/>
        <v/>
      </c>
      <c r="AN401" s="212" t="str">
        <f t="shared" si="387"/>
        <v/>
      </c>
      <c r="AO401" s="212" t="str">
        <f t="shared" si="388"/>
        <v/>
      </c>
      <c r="AP401" s="212" t="str">
        <f t="shared" si="389"/>
        <v/>
      </c>
      <c r="AQ401" s="151" t="str">
        <f t="shared" si="390"/>
        <v/>
      </c>
      <c r="AR401" s="68"/>
      <c r="AS401" s="69"/>
      <c r="AT401" s="68"/>
    </row>
    <row r="402" spans="2:46" ht="13.5" customHeight="1" thickBot="1" x14ac:dyDescent="0.2">
      <c r="B402" s="328"/>
      <c r="C402" s="52" t="s">
        <v>51</v>
      </c>
      <c r="D402" s="74"/>
      <c r="E402" s="98"/>
      <c r="F402" s="105"/>
      <c r="G402" s="105"/>
      <c r="H402" s="105"/>
      <c r="I402" s="105"/>
      <c r="J402" s="105"/>
      <c r="K402" s="106"/>
      <c r="L402" s="207"/>
      <c r="M402" s="207"/>
      <c r="N402" s="98"/>
      <c r="O402" s="66"/>
      <c r="P402" s="98"/>
      <c r="Q402" s="66"/>
      <c r="R402" s="225"/>
      <c r="S402" s="161"/>
      <c r="T402" s="328"/>
      <c r="U402" s="52" t="s">
        <v>51</v>
      </c>
      <c r="V402" s="74"/>
      <c r="W402" s="98"/>
      <c r="X402" s="105"/>
      <c r="Y402" s="105"/>
      <c r="Z402" s="105"/>
      <c r="AA402" s="105"/>
      <c r="AB402" s="105"/>
      <c r="AC402" s="106"/>
      <c r="AD402" s="106"/>
      <c r="AE402" s="106"/>
      <c r="AF402" s="98"/>
      <c r="AG402" s="66"/>
      <c r="AH402" s="98"/>
      <c r="AI402" s="66"/>
      <c r="AJ402" s="225"/>
      <c r="AK402" s="169"/>
      <c r="AL402" s="328"/>
      <c r="AM402" s="213" t="str">
        <f t="shared" si="386"/>
        <v/>
      </c>
      <c r="AN402" s="214" t="str">
        <f t="shared" si="387"/>
        <v/>
      </c>
      <c r="AO402" s="214" t="str">
        <f t="shared" si="388"/>
        <v/>
      </c>
      <c r="AP402" s="214" t="str">
        <f t="shared" si="389"/>
        <v/>
      </c>
      <c r="AQ402" s="215" t="str">
        <f t="shared" si="390"/>
        <v/>
      </c>
      <c r="AR402" s="68"/>
      <c r="AS402" s="69"/>
      <c r="AT402" s="68"/>
    </row>
    <row r="403" spans="2:46" ht="13.5" customHeight="1" x14ac:dyDescent="0.15">
      <c r="B403" s="326" t="s">
        <v>165</v>
      </c>
      <c r="C403" s="50" t="s">
        <v>46</v>
      </c>
      <c r="D403" s="71"/>
      <c r="E403" s="93"/>
      <c r="F403" s="101"/>
      <c r="G403" s="101"/>
      <c r="H403" s="101"/>
      <c r="I403" s="101"/>
      <c r="J403" s="101"/>
      <c r="K403" s="102"/>
      <c r="L403" s="205"/>
      <c r="M403" s="205"/>
      <c r="N403" s="93"/>
      <c r="O403" s="51"/>
      <c r="P403" s="93"/>
      <c r="Q403" s="51"/>
      <c r="R403" s="224"/>
      <c r="S403" s="161"/>
      <c r="T403" s="326" t="s">
        <v>165</v>
      </c>
      <c r="U403" s="50" t="s">
        <v>46</v>
      </c>
      <c r="V403" s="71"/>
      <c r="W403" s="93"/>
      <c r="X403" s="101"/>
      <c r="Y403" s="101"/>
      <c r="Z403" s="101"/>
      <c r="AA403" s="101"/>
      <c r="AB403" s="101"/>
      <c r="AC403" s="102"/>
      <c r="AD403" s="102"/>
      <c r="AE403" s="102"/>
      <c r="AF403" s="93"/>
      <c r="AG403" s="51"/>
      <c r="AH403" s="93"/>
      <c r="AI403" s="51"/>
      <c r="AJ403" s="224"/>
      <c r="AK403" s="169"/>
      <c r="AL403" s="326" t="s">
        <v>165</v>
      </c>
      <c r="AM403" s="210" t="str">
        <f>IF(OR(X403="",F403=""),"",X403-F403)</f>
        <v/>
      </c>
      <c r="AN403" s="171" t="str">
        <f>IF(OR(Y403="",G403=""),"",Y403-G403)</f>
        <v/>
      </c>
      <c r="AO403" s="171" t="str">
        <f>IF(OR(Z403="",H403=""),"",Z403-H403)</f>
        <v/>
      </c>
      <c r="AP403" s="171" t="str">
        <f>IF(OR(AA403="",I403=""),"",AA403-I403)</f>
        <v/>
      </c>
      <c r="AQ403" s="211" t="str">
        <f>IF(OR(AB403="",J403=""),"",AB403-J403)</f>
        <v/>
      </c>
      <c r="AR403" s="68"/>
      <c r="AS403" s="69"/>
      <c r="AT403" s="68"/>
    </row>
    <row r="404" spans="2:46" ht="13.5" customHeight="1" x14ac:dyDescent="0.15">
      <c r="B404" s="327"/>
      <c r="C404" s="52" t="s">
        <v>47</v>
      </c>
      <c r="D404" s="73"/>
      <c r="E404" s="95"/>
      <c r="F404" s="103"/>
      <c r="G404" s="103"/>
      <c r="H404" s="103"/>
      <c r="I404" s="103"/>
      <c r="J404" s="103"/>
      <c r="K404" s="104"/>
      <c r="L404" s="206"/>
      <c r="M404" s="206"/>
      <c r="N404" s="95"/>
      <c r="O404" s="53"/>
      <c r="P404" s="95"/>
      <c r="Q404" s="53"/>
      <c r="R404" s="225"/>
      <c r="S404" s="161"/>
      <c r="T404" s="327"/>
      <c r="U404" s="52" t="s">
        <v>47</v>
      </c>
      <c r="V404" s="73"/>
      <c r="W404" s="95"/>
      <c r="X404" s="103"/>
      <c r="Y404" s="103"/>
      <c r="Z404" s="103"/>
      <c r="AA404" s="103"/>
      <c r="AB404" s="103"/>
      <c r="AC404" s="104"/>
      <c r="AD404" s="104"/>
      <c r="AE404" s="104"/>
      <c r="AF404" s="95"/>
      <c r="AG404" s="53"/>
      <c r="AH404" s="95"/>
      <c r="AI404" s="53"/>
      <c r="AJ404" s="225"/>
      <c r="AK404" s="169"/>
      <c r="AL404" s="327"/>
      <c r="AM404" s="150" t="str">
        <f t="shared" ref="AM404:AM407" si="391">IF(OR(X404="",F404=""),"",X404-F404)</f>
        <v/>
      </c>
      <c r="AN404" s="212" t="str">
        <f t="shared" ref="AN404:AN407" si="392">IF(OR(Y404="",G404=""),"",Y404-G404)</f>
        <v/>
      </c>
      <c r="AO404" s="212" t="str">
        <f t="shared" ref="AO404:AO407" si="393">IF(OR(Z404="",H404=""),"",Z404-H404)</f>
        <v/>
      </c>
      <c r="AP404" s="212" t="str">
        <f t="shared" ref="AP404:AP407" si="394">IF(OR(AA404="",I404=""),"",AA404-I404)</f>
        <v/>
      </c>
      <c r="AQ404" s="151" t="str">
        <f t="shared" ref="AQ404:AQ407" si="395">IF(OR(AB404="",J404=""),"",AB404-J404)</f>
        <v/>
      </c>
      <c r="AR404" s="68"/>
      <c r="AS404" s="69"/>
      <c r="AT404" s="68"/>
    </row>
    <row r="405" spans="2:46" ht="13.5" customHeight="1" x14ac:dyDescent="0.15">
      <c r="B405" s="327"/>
      <c r="C405" s="52" t="s">
        <v>48</v>
      </c>
      <c r="D405" s="73"/>
      <c r="E405" s="95"/>
      <c r="F405" s="103"/>
      <c r="G405" s="103"/>
      <c r="H405" s="103"/>
      <c r="I405" s="103"/>
      <c r="J405" s="103"/>
      <c r="K405" s="104"/>
      <c r="L405" s="206"/>
      <c r="M405" s="206"/>
      <c r="N405" s="95"/>
      <c r="O405" s="53"/>
      <c r="P405" s="95"/>
      <c r="Q405" s="53"/>
      <c r="R405" s="225"/>
      <c r="S405" s="161"/>
      <c r="T405" s="327"/>
      <c r="U405" s="52" t="s">
        <v>48</v>
      </c>
      <c r="V405" s="73"/>
      <c r="W405" s="95"/>
      <c r="X405" s="103"/>
      <c r="Y405" s="103"/>
      <c r="Z405" s="103"/>
      <c r="AA405" s="103"/>
      <c r="AB405" s="103"/>
      <c r="AC405" s="104"/>
      <c r="AD405" s="104"/>
      <c r="AE405" s="104"/>
      <c r="AF405" s="95"/>
      <c r="AG405" s="53"/>
      <c r="AH405" s="95"/>
      <c r="AI405" s="53"/>
      <c r="AJ405" s="225"/>
      <c r="AK405" s="169"/>
      <c r="AL405" s="327"/>
      <c r="AM405" s="150" t="str">
        <f t="shared" si="391"/>
        <v/>
      </c>
      <c r="AN405" s="212" t="str">
        <f t="shared" si="392"/>
        <v/>
      </c>
      <c r="AO405" s="212" t="str">
        <f t="shared" si="393"/>
        <v/>
      </c>
      <c r="AP405" s="212" t="str">
        <f t="shared" si="394"/>
        <v/>
      </c>
      <c r="AQ405" s="151" t="str">
        <f t="shared" si="395"/>
        <v/>
      </c>
      <c r="AR405" s="68"/>
      <c r="AS405" s="69"/>
      <c r="AT405" s="68"/>
    </row>
    <row r="406" spans="2:46" ht="13.5" customHeight="1" x14ac:dyDescent="0.15">
      <c r="B406" s="327"/>
      <c r="C406" s="52" t="s">
        <v>50</v>
      </c>
      <c r="D406" s="73"/>
      <c r="E406" s="95"/>
      <c r="F406" s="103"/>
      <c r="G406" s="103"/>
      <c r="H406" s="103"/>
      <c r="I406" s="103"/>
      <c r="J406" s="103"/>
      <c r="K406" s="104"/>
      <c r="L406" s="206"/>
      <c r="M406" s="206"/>
      <c r="N406" s="95"/>
      <c r="O406" s="53"/>
      <c r="P406" s="95"/>
      <c r="Q406" s="53"/>
      <c r="R406" s="225"/>
      <c r="S406" s="161"/>
      <c r="T406" s="327"/>
      <c r="U406" s="52" t="s">
        <v>50</v>
      </c>
      <c r="V406" s="73"/>
      <c r="W406" s="95"/>
      <c r="X406" s="103"/>
      <c r="Y406" s="103"/>
      <c r="Z406" s="103"/>
      <c r="AA406" s="103"/>
      <c r="AB406" s="103"/>
      <c r="AC406" s="104"/>
      <c r="AD406" s="104"/>
      <c r="AE406" s="104"/>
      <c r="AF406" s="95"/>
      <c r="AG406" s="53"/>
      <c r="AH406" s="95"/>
      <c r="AI406" s="53"/>
      <c r="AJ406" s="225"/>
      <c r="AK406" s="169"/>
      <c r="AL406" s="327"/>
      <c r="AM406" s="150" t="str">
        <f t="shared" si="391"/>
        <v/>
      </c>
      <c r="AN406" s="212" t="str">
        <f t="shared" si="392"/>
        <v/>
      </c>
      <c r="AO406" s="212" t="str">
        <f t="shared" si="393"/>
        <v/>
      </c>
      <c r="AP406" s="212" t="str">
        <f t="shared" si="394"/>
        <v/>
      </c>
      <c r="AQ406" s="151" t="str">
        <f t="shared" si="395"/>
        <v/>
      </c>
      <c r="AR406" s="68"/>
      <c r="AS406" s="69"/>
      <c r="AT406" s="68"/>
    </row>
    <row r="407" spans="2:46" ht="13.5" customHeight="1" thickBot="1" x14ac:dyDescent="0.2">
      <c r="B407" s="328"/>
      <c r="C407" s="52" t="s">
        <v>51</v>
      </c>
      <c r="D407" s="74"/>
      <c r="E407" s="98"/>
      <c r="F407" s="105"/>
      <c r="G407" s="105"/>
      <c r="H407" s="105"/>
      <c r="I407" s="105"/>
      <c r="J407" s="105"/>
      <c r="K407" s="106"/>
      <c r="L407" s="207"/>
      <c r="M407" s="207"/>
      <c r="N407" s="98"/>
      <c r="O407" s="66"/>
      <c r="P407" s="98"/>
      <c r="Q407" s="66"/>
      <c r="R407" s="225"/>
      <c r="S407" s="161"/>
      <c r="T407" s="328"/>
      <c r="U407" s="52" t="s">
        <v>51</v>
      </c>
      <c r="V407" s="74"/>
      <c r="W407" s="98"/>
      <c r="X407" s="105"/>
      <c r="Y407" s="105"/>
      <c r="Z407" s="105"/>
      <c r="AA407" s="105"/>
      <c r="AB407" s="105"/>
      <c r="AC407" s="106"/>
      <c r="AD407" s="106"/>
      <c r="AE407" s="106"/>
      <c r="AF407" s="98"/>
      <c r="AG407" s="66"/>
      <c r="AH407" s="98"/>
      <c r="AI407" s="66"/>
      <c r="AJ407" s="225"/>
      <c r="AK407" s="169"/>
      <c r="AL407" s="328"/>
      <c r="AM407" s="213" t="str">
        <f t="shared" si="391"/>
        <v/>
      </c>
      <c r="AN407" s="214" t="str">
        <f t="shared" si="392"/>
        <v/>
      </c>
      <c r="AO407" s="214" t="str">
        <f t="shared" si="393"/>
        <v/>
      </c>
      <c r="AP407" s="214" t="str">
        <f t="shared" si="394"/>
        <v/>
      </c>
      <c r="AQ407" s="215" t="str">
        <f t="shared" si="395"/>
        <v/>
      </c>
      <c r="AR407" s="68"/>
      <c r="AS407" s="69"/>
      <c r="AT407" s="68"/>
    </row>
    <row r="408" spans="2:46" ht="13.5" customHeight="1" x14ac:dyDescent="0.15">
      <c r="B408" s="326" t="s">
        <v>166</v>
      </c>
      <c r="C408" s="50" t="s">
        <v>46</v>
      </c>
      <c r="D408" s="71"/>
      <c r="E408" s="93"/>
      <c r="F408" s="101"/>
      <c r="G408" s="101"/>
      <c r="H408" s="101"/>
      <c r="I408" s="101"/>
      <c r="J408" s="101"/>
      <c r="K408" s="102"/>
      <c r="L408" s="205"/>
      <c r="M408" s="205"/>
      <c r="N408" s="93"/>
      <c r="O408" s="51"/>
      <c r="P408" s="93"/>
      <c r="Q408" s="51"/>
      <c r="R408" s="224"/>
      <c r="S408" s="161"/>
      <c r="T408" s="326" t="s">
        <v>166</v>
      </c>
      <c r="U408" s="50" t="s">
        <v>46</v>
      </c>
      <c r="V408" s="71"/>
      <c r="W408" s="93"/>
      <c r="X408" s="101"/>
      <c r="Y408" s="101"/>
      <c r="Z408" s="101"/>
      <c r="AA408" s="101"/>
      <c r="AB408" s="101"/>
      <c r="AC408" s="102"/>
      <c r="AD408" s="102"/>
      <c r="AE408" s="102"/>
      <c r="AF408" s="93"/>
      <c r="AG408" s="51"/>
      <c r="AH408" s="93"/>
      <c r="AI408" s="51"/>
      <c r="AJ408" s="224"/>
      <c r="AK408" s="169"/>
      <c r="AL408" s="326" t="s">
        <v>166</v>
      </c>
      <c r="AM408" s="210" t="str">
        <f>IF(OR(X408="",F408=""),"",X408-F408)</f>
        <v/>
      </c>
      <c r="AN408" s="171" t="str">
        <f>IF(OR(Y408="",G408=""),"",Y408-G408)</f>
        <v/>
      </c>
      <c r="AO408" s="171" t="str">
        <f>IF(OR(Z408="",H408=""),"",Z408-H408)</f>
        <v/>
      </c>
      <c r="AP408" s="171" t="str">
        <f>IF(OR(AA408="",I408=""),"",AA408-I408)</f>
        <v/>
      </c>
      <c r="AQ408" s="211" t="str">
        <f>IF(OR(AB408="",J408=""),"",AB408-J408)</f>
        <v/>
      </c>
      <c r="AR408" s="68"/>
      <c r="AS408" s="69"/>
      <c r="AT408" s="68"/>
    </row>
    <row r="409" spans="2:46" ht="13.5" customHeight="1" x14ac:dyDescent="0.15">
      <c r="B409" s="327"/>
      <c r="C409" s="52" t="s">
        <v>47</v>
      </c>
      <c r="D409" s="73"/>
      <c r="E409" s="95"/>
      <c r="F409" s="103"/>
      <c r="G409" s="103"/>
      <c r="H409" s="103"/>
      <c r="I409" s="103"/>
      <c r="J409" s="103"/>
      <c r="K409" s="104"/>
      <c r="L409" s="206"/>
      <c r="M409" s="206"/>
      <c r="N409" s="95"/>
      <c r="O409" s="53"/>
      <c r="P409" s="95"/>
      <c r="Q409" s="53"/>
      <c r="R409" s="225"/>
      <c r="S409" s="161"/>
      <c r="T409" s="327"/>
      <c r="U409" s="52" t="s">
        <v>47</v>
      </c>
      <c r="V409" s="73"/>
      <c r="W409" s="95"/>
      <c r="X409" s="103"/>
      <c r="Y409" s="103"/>
      <c r="Z409" s="103"/>
      <c r="AA409" s="103"/>
      <c r="AB409" s="103"/>
      <c r="AC409" s="104"/>
      <c r="AD409" s="104"/>
      <c r="AE409" s="104"/>
      <c r="AF409" s="95"/>
      <c r="AG409" s="53"/>
      <c r="AH409" s="95"/>
      <c r="AI409" s="53"/>
      <c r="AJ409" s="225"/>
      <c r="AK409" s="169"/>
      <c r="AL409" s="327"/>
      <c r="AM409" s="150" t="str">
        <f t="shared" ref="AM409:AM412" si="396">IF(OR(X409="",F409=""),"",X409-F409)</f>
        <v/>
      </c>
      <c r="AN409" s="212" t="str">
        <f t="shared" ref="AN409:AN412" si="397">IF(OR(Y409="",G409=""),"",Y409-G409)</f>
        <v/>
      </c>
      <c r="AO409" s="212" t="str">
        <f t="shared" ref="AO409:AO412" si="398">IF(OR(Z409="",H409=""),"",Z409-H409)</f>
        <v/>
      </c>
      <c r="AP409" s="212" t="str">
        <f t="shared" ref="AP409:AP412" si="399">IF(OR(AA409="",I409=""),"",AA409-I409)</f>
        <v/>
      </c>
      <c r="AQ409" s="151" t="str">
        <f t="shared" ref="AQ409:AQ412" si="400">IF(OR(AB409="",J409=""),"",AB409-J409)</f>
        <v/>
      </c>
      <c r="AR409" s="68"/>
      <c r="AS409" s="69"/>
      <c r="AT409" s="68"/>
    </row>
    <row r="410" spans="2:46" ht="13.5" customHeight="1" x14ac:dyDescent="0.15">
      <c r="B410" s="327"/>
      <c r="C410" s="52" t="s">
        <v>48</v>
      </c>
      <c r="D410" s="73"/>
      <c r="E410" s="95"/>
      <c r="F410" s="103"/>
      <c r="G410" s="103"/>
      <c r="H410" s="103"/>
      <c r="I410" s="103"/>
      <c r="J410" s="103"/>
      <c r="K410" s="104"/>
      <c r="L410" s="206"/>
      <c r="M410" s="206"/>
      <c r="N410" s="95"/>
      <c r="O410" s="53"/>
      <c r="P410" s="95"/>
      <c r="Q410" s="53"/>
      <c r="R410" s="225"/>
      <c r="S410" s="161"/>
      <c r="T410" s="327"/>
      <c r="U410" s="52" t="s">
        <v>48</v>
      </c>
      <c r="V410" s="73"/>
      <c r="W410" s="95"/>
      <c r="X410" s="103"/>
      <c r="Y410" s="103"/>
      <c r="Z410" s="103"/>
      <c r="AA410" s="103"/>
      <c r="AB410" s="103"/>
      <c r="AC410" s="104"/>
      <c r="AD410" s="104"/>
      <c r="AE410" s="104"/>
      <c r="AF410" s="95"/>
      <c r="AG410" s="53"/>
      <c r="AH410" s="95"/>
      <c r="AI410" s="53"/>
      <c r="AJ410" s="225"/>
      <c r="AK410" s="169"/>
      <c r="AL410" s="327"/>
      <c r="AM410" s="150" t="str">
        <f t="shared" si="396"/>
        <v/>
      </c>
      <c r="AN410" s="212" t="str">
        <f t="shared" si="397"/>
        <v/>
      </c>
      <c r="AO410" s="212" t="str">
        <f t="shared" si="398"/>
        <v/>
      </c>
      <c r="AP410" s="212" t="str">
        <f t="shared" si="399"/>
        <v/>
      </c>
      <c r="AQ410" s="151" t="str">
        <f t="shared" si="400"/>
        <v/>
      </c>
      <c r="AR410" s="68"/>
      <c r="AS410" s="69"/>
      <c r="AT410" s="68"/>
    </row>
    <row r="411" spans="2:46" ht="13.5" customHeight="1" x14ac:dyDescent="0.15">
      <c r="B411" s="327"/>
      <c r="C411" s="52" t="s">
        <v>50</v>
      </c>
      <c r="D411" s="73"/>
      <c r="E411" s="95"/>
      <c r="F411" s="103"/>
      <c r="G411" s="103"/>
      <c r="H411" s="103"/>
      <c r="I411" s="103"/>
      <c r="J411" s="103"/>
      <c r="K411" s="104"/>
      <c r="L411" s="206"/>
      <c r="M411" s="206"/>
      <c r="N411" s="95"/>
      <c r="O411" s="53"/>
      <c r="P411" s="95"/>
      <c r="Q411" s="53"/>
      <c r="R411" s="225"/>
      <c r="S411" s="161"/>
      <c r="T411" s="327"/>
      <c r="U411" s="52" t="s">
        <v>50</v>
      </c>
      <c r="V411" s="73"/>
      <c r="W411" s="95"/>
      <c r="X411" s="103"/>
      <c r="Y411" s="103"/>
      <c r="Z411" s="103"/>
      <c r="AA411" s="103"/>
      <c r="AB411" s="103"/>
      <c r="AC411" s="104"/>
      <c r="AD411" s="104"/>
      <c r="AE411" s="104"/>
      <c r="AF411" s="95"/>
      <c r="AG411" s="53"/>
      <c r="AH411" s="95"/>
      <c r="AI411" s="53"/>
      <c r="AJ411" s="225"/>
      <c r="AK411" s="169"/>
      <c r="AL411" s="327"/>
      <c r="AM411" s="150" t="str">
        <f t="shared" si="396"/>
        <v/>
      </c>
      <c r="AN411" s="212" t="str">
        <f t="shared" si="397"/>
        <v/>
      </c>
      <c r="AO411" s="212" t="str">
        <f t="shared" si="398"/>
        <v/>
      </c>
      <c r="AP411" s="212" t="str">
        <f t="shared" si="399"/>
        <v/>
      </c>
      <c r="AQ411" s="151" t="str">
        <f t="shared" si="400"/>
        <v/>
      </c>
      <c r="AR411" s="68"/>
      <c r="AS411" s="69"/>
      <c r="AT411" s="68"/>
    </row>
    <row r="412" spans="2:46" ht="13.5" customHeight="1" thickBot="1" x14ac:dyDescent="0.2">
      <c r="B412" s="328"/>
      <c r="C412" s="54" t="s">
        <v>51</v>
      </c>
      <c r="D412" s="74"/>
      <c r="E412" s="98"/>
      <c r="F412" s="105"/>
      <c r="G412" s="105"/>
      <c r="H412" s="105"/>
      <c r="I412" s="105"/>
      <c r="J412" s="105"/>
      <c r="K412" s="106"/>
      <c r="L412" s="207"/>
      <c r="M412" s="207"/>
      <c r="N412" s="98"/>
      <c r="O412" s="66"/>
      <c r="P412" s="98"/>
      <c r="Q412" s="66"/>
      <c r="R412" s="226"/>
      <c r="S412" s="161"/>
      <c r="T412" s="328"/>
      <c r="U412" s="54" t="s">
        <v>51</v>
      </c>
      <c r="V412" s="74"/>
      <c r="W412" s="98"/>
      <c r="X412" s="105"/>
      <c r="Y412" s="105"/>
      <c r="Z412" s="105"/>
      <c r="AA412" s="105"/>
      <c r="AB412" s="105"/>
      <c r="AC412" s="106"/>
      <c r="AD412" s="106"/>
      <c r="AE412" s="106"/>
      <c r="AF412" s="98"/>
      <c r="AG412" s="66"/>
      <c r="AH412" s="98"/>
      <c r="AI412" s="66"/>
      <c r="AJ412" s="226"/>
      <c r="AK412" s="169"/>
      <c r="AL412" s="328"/>
      <c r="AM412" s="213" t="str">
        <f t="shared" si="396"/>
        <v/>
      </c>
      <c r="AN412" s="214" t="str">
        <f t="shared" si="397"/>
        <v/>
      </c>
      <c r="AO412" s="214" t="str">
        <f t="shared" si="398"/>
        <v/>
      </c>
      <c r="AP412" s="214" t="str">
        <f t="shared" si="399"/>
        <v/>
      </c>
      <c r="AQ412" s="215" t="str">
        <f t="shared" si="400"/>
        <v/>
      </c>
      <c r="AR412" s="68"/>
      <c r="AS412" s="69"/>
      <c r="AT412" s="68"/>
    </row>
    <row r="413" spans="2:46" ht="13.5" customHeight="1" x14ac:dyDescent="0.15">
      <c r="B413" s="326" t="s">
        <v>167</v>
      </c>
      <c r="C413" s="50" t="s">
        <v>46</v>
      </c>
      <c r="D413" s="71"/>
      <c r="E413" s="93"/>
      <c r="F413" s="101"/>
      <c r="G413" s="101"/>
      <c r="H413" s="101"/>
      <c r="I413" s="101"/>
      <c r="J413" s="101"/>
      <c r="K413" s="102"/>
      <c r="L413" s="205"/>
      <c r="M413" s="205"/>
      <c r="N413" s="93"/>
      <c r="O413" s="51"/>
      <c r="P413" s="93"/>
      <c r="Q413" s="51"/>
      <c r="R413" s="224"/>
      <c r="S413" s="161"/>
      <c r="T413" s="326" t="s">
        <v>167</v>
      </c>
      <c r="U413" s="50" t="s">
        <v>46</v>
      </c>
      <c r="V413" s="71"/>
      <c r="W413" s="93"/>
      <c r="X413" s="101"/>
      <c r="Y413" s="101"/>
      <c r="Z413" s="101"/>
      <c r="AA413" s="101"/>
      <c r="AB413" s="101"/>
      <c r="AC413" s="102"/>
      <c r="AD413" s="102"/>
      <c r="AE413" s="102"/>
      <c r="AF413" s="93"/>
      <c r="AG413" s="51"/>
      <c r="AH413" s="93"/>
      <c r="AI413" s="51"/>
      <c r="AJ413" s="224"/>
      <c r="AK413" s="169"/>
      <c r="AL413" s="326" t="s">
        <v>167</v>
      </c>
      <c r="AM413" s="210" t="str">
        <f>IF(OR(X413="",F413=""),"",X413-F413)</f>
        <v/>
      </c>
      <c r="AN413" s="171" t="str">
        <f>IF(OR(Y413="",G413=""),"",Y413-G413)</f>
        <v/>
      </c>
      <c r="AO413" s="171" t="str">
        <f>IF(OR(Z413="",H413=""),"",Z413-H413)</f>
        <v/>
      </c>
      <c r="AP413" s="171" t="str">
        <f>IF(OR(AA413="",I413=""),"",AA413-I413)</f>
        <v/>
      </c>
      <c r="AQ413" s="211" t="str">
        <f>IF(OR(AB413="",J413=""),"",AB413-J413)</f>
        <v/>
      </c>
      <c r="AR413" s="68"/>
      <c r="AS413" s="69"/>
      <c r="AT413" s="68"/>
    </row>
    <row r="414" spans="2:46" ht="13.5" customHeight="1" x14ac:dyDescent="0.15">
      <c r="B414" s="327"/>
      <c r="C414" s="52" t="s">
        <v>47</v>
      </c>
      <c r="D414" s="73"/>
      <c r="E414" s="95"/>
      <c r="F414" s="103"/>
      <c r="G414" s="103"/>
      <c r="H414" s="103"/>
      <c r="I414" s="103"/>
      <c r="J414" s="103"/>
      <c r="K414" s="104"/>
      <c r="L414" s="206"/>
      <c r="M414" s="206"/>
      <c r="N414" s="95"/>
      <c r="O414" s="53"/>
      <c r="P414" s="95"/>
      <c r="Q414" s="53"/>
      <c r="R414" s="225"/>
      <c r="S414" s="161"/>
      <c r="T414" s="327"/>
      <c r="U414" s="52" t="s">
        <v>47</v>
      </c>
      <c r="V414" s="73"/>
      <c r="W414" s="95"/>
      <c r="X414" s="103"/>
      <c r="Y414" s="103"/>
      <c r="Z414" s="103"/>
      <c r="AA414" s="103"/>
      <c r="AB414" s="103"/>
      <c r="AC414" s="104"/>
      <c r="AD414" s="104"/>
      <c r="AE414" s="104"/>
      <c r="AF414" s="95"/>
      <c r="AG414" s="53"/>
      <c r="AH414" s="95"/>
      <c r="AI414" s="53"/>
      <c r="AJ414" s="225"/>
      <c r="AK414" s="169"/>
      <c r="AL414" s="327"/>
      <c r="AM414" s="150" t="str">
        <f t="shared" ref="AM414:AM417" si="401">IF(OR(X414="",F414=""),"",X414-F414)</f>
        <v/>
      </c>
      <c r="AN414" s="212" t="str">
        <f t="shared" ref="AN414:AN417" si="402">IF(OR(Y414="",G414=""),"",Y414-G414)</f>
        <v/>
      </c>
      <c r="AO414" s="212" t="str">
        <f t="shared" ref="AO414:AO417" si="403">IF(OR(Z414="",H414=""),"",Z414-H414)</f>
        <v/>
      </c>
      <c r="AP414" s="212" t="str">
        <f t="shared" ref="AP414:AP417" si="404">IF(OR(AA414="",I414=""),"",AA414-I414)</f>
        <v/>
      </c>
      <c r="AQ414" s="151" t="str">
        <f t="shared" ref="AQ414:AQ417" si="405">IF(OR(AB414="",J414=""),"",AB414-J414)</f>
        <v/>
      </c>
      <c r="AR414" s="68"/>
      <c r="AS414" s="69"/>
      <c r="AT414" s="68"/>
    </row>
    <row r="415" spans="2:46" ht="13.5" customHeight="1" x14ac:dyDescent="0.15">
      <c r="B415" s="327"/>
      <c r="C415" s="52" t="s">
        <v>48</v>
      </c>
      <c r="D415" s="73"/>
      <c r="E415" s="95"/>
      <c r="F415" s="103"/>
      <c r="G415" s="103"/>
      <c r="H415" s="103"/>
      <c r="I415" s="103"/>
      <c r="J415" s="103"/>
      <c r="K415" s="104"/>
      <c r="L415" s="206"/>
      <c r="M415" s="206"/>
      <c r="N415" s="95"/>
      <c r="O415" s="53"/>
      <c r="P415" s="95"/>
      <c r="Q415" s="53"/>
      <c r="R415" s="225"/>
      <c r="S415" s="161"/>
      <c r="T415" s="327"/>
      <c r="U415" s="52" t="s">
        <v>48</v>
      </c>
      <c r="V415" s="73"/>
      <c r="W415" s="95"/>
      <c r="X415" s="103"/>
      <c r="Y415" s="103"/>
      <c r="Z415" s="103"/>
      <c r="AA415" s="103"/>
      <c r="AB415" s="103"/>
      <c r="AC415" s="104"/>
      <c r="AD415" s="104"/>
      <c r="AE415" s="104"/>
      <c r="AF415" s="95"/>
      <c r="AG415" s="53"/>
      <c r="AH415" s="95"/>
      <c r="AI415" s="53"/>
      <c r="AJ415" s="225"/>
      <c r="AK415" s="169"/>
      <c r="AL415" s="327"/>
      <c r="AM415" s="150" t="str">
        <f t="shared" si="401"/>
        <v/>
      </c>
      <c r="AN415" s="212" t="str">
        <f t="shared" si="402"/>
        <v/>
      </c>
      <c r="AO415" s="212" t="str">
        <f t="shared" si="403"/>
        <v/>
      </c>
      <c r="AP415" s="212" t="str">
        <f t="shared" si="404"/>
        <v/>
      </c>
      <c r="AQ415" s="151" t="str">
        <f t="shared" si="405"/>
        <v/>
      </c>
      <c r="AR415" s="68"/>
      <c r="AS415" s="69"/>
      <c r="AT415" s="68"/>
    </row>
    <row r="416" spans="2:46" ht="13.5" customHeight="1" x14ac:dyDescent="0.15">
      <c r="B416" s="327"/>
      <c r="C416" s="52" t="s">
        <v>50</v>
      </c>
      <c r="D416" s="73"/>
      <c r="E416" s="95"/>
      <c r="F416" s="103"/>
      <c r="G416" s="103"/>
      <c r="H416" s="103"/>
      <c r="I416" s="103"/>
      <c r="J416" s="103"/>
      <c r="K416" s="104"/>
      <c r="L416" s="206"/>
      <c r="M416" s="206"/>
      <c r="N416" s="95"/>
      <c r="O416" s="53"/>
      <c r="P416" s="95"/>
      <c r="Q416" s="53"/>
      <c r="R416" s="225"/>
      <c r="S416" s="161"/>
      <c r="T416" s="327"/>
      <c r="U416" s="52" t="s">
        <v>50</v>
      </c>
      <c r="V416" s="73"/>
      <c r="W416" s="95"/>
      <c r="X416" s="103"/>
      <c r="Y416" s="103"/>
      <c r="Z416" s="103"/>
      <c r="AA416" s="103"/>
      <c r="AB416" s="103"/>
      <c r="AC416" s="104"/>
      <c r="AD416" s="104"/>
      <c r="AE416" s="104"/>
      <c r="AF416" s="95"/>
      <c r="AG416" s="53"/>
      <c r="AH416" s="95"/>
      <c r="AI416" s="53"/>
      <c r="AJ416" s="225"/>
      <c r="AK416" s="169"/>
      <c r="AL416" s="327"/>
      <c r="AM416" s="150" t="str">
        <f t="shared" si="401"/>
        <v/>
      </c>
      <c r="AN416" s="212" t="str">
        <f t="shared" si="402"/>
        <v/>
      </c>
      <c r="AO416" s="212" t="str">
        <f t="shared" si="403"/>
        <v/>
      </c>
      <c r="AP416" s="212" t="str">
        <f t="shared" si="404"/>
        <v/>
      </c>
      <c r="AQ416" s="151" t="str">
        <f t="shared" si="405"/>
        <v/>
      </c>
      <c r="AR416" s="68"/>
      <c r="AS416" s="69"/>
      <c r="AT416" s="68"/>
    </row>
    <row r="417" spans="2:46" ht="13.5" customHeight="1" thickBot="1" x14ac:dyDescent="0.2">
      <c r="B417" s="328"/>
      <c r="C417" s="52" t="s">
        <v>51</v>
      </c>
      <c r="D417" s="74"/>
      <c r="E417" s="98"/>
      <c r="F417" s="105"/>
      <c r="G417" s="105"/>
      <c r="H417" s="105"/>
      <c r="I417" s="105"/>
      <c r="J417" s="105"/>
      <c r="K417" s="106"/>
      <c r="L417" s="207"/>
      <c r="M417" s="207"/>
      <c r="N417" s="98"/>
      <c r="O417" s="66"/>
      <c r="P417" s="98"/>
      <c r="Q417" s="66"/>
      <c r="R417" s="225"/>
      <c r="S417" s="161"/>
      <c r="T417" s="328"/>
      <c r="U417" s="52" t="s">
        <v>51</v>
      </c>
      <c r="V417" s="74"/>
      <c r="W417" s="98"/>
      <c r="X417" s="105"/>
      <c r="Y417" s="105"/>
      <c r="Z417" s="105"/>
      <c r="AA417" s="105"/>
      <c r="AB417" s="105"/>
      <c r="AC417" s="106"/>
      <c r="AD417" s="106"/>
      <c r="AE417" s="106"/>
      <c r="AF417" s="98"/>
      <c r="AG417" s="66"/>
      <c r="AH417" s="98"/>
      <c r="AI417" s="66"/>
      <c r="AJ417" s="225"/>
      <c r="AK417" s="169"/>
      <c r="AL417" s="328"/>
      <c r="AM417" s="213" t="str">
        <f t="shared" si="401"/>
        <v/>
      </c>
      <c r="AN417" s="214" t="str">
        <f t="shared" si="402"/>
        <v/>
      </c>
      <c r="AO417" s="214" t="str">
        <f t="shared" si="403"/>
        <v/>
      </c>
      <c r="AP417" s="214" t="str">
        <f t="shared" si="404"/>
        <v/>
      </c>
      <c r="AQ417" s="215" t="str">
        <f t="shared" si="405"/>
        <v/>
      </c>
      <c r="AR417" s="68"/>
      <c r="AS417" s="69"/>
      <c r="AT417" s="68"/>
    </row>
    <row r="418" spans="2:46" ht="13.5" customHeight="1" x14ac:dyDescent="0.15">
      <c r="B418" s="326" t="s">
        <v>168</v>
      </c>
      <c r="C418" s="50" t="s">
        <v>46</v>
      </c>
      <c r="D418" s="71"/>
      <c r="E418" s="93"/>
      <c r="F418" s="101"/>
      <c r="G418" s="101"/>
      <c r="H418" s="101"/>
      <c r="I418" s="101"/>
      <c r="J418" s="101"/>
      <c r="K418" s="102"/>
      <c r="L418" s="205"/>
      <c r="M418" s="205"/>
      <c r="N418" s="93"/>
      <c r="O418" s="51"/>
      <c r="P418" s="93"/>
      <c r="Q418" s="51"/>
      <c r="R418" s="224"/>
      <c r="S418" s="161"/>
      <c r="T418" s="326" t="s">
        <v>168</v>
      </c>
      <c r="U418" s="50" t="s">
        <v>46</v>
      </c>
      <c r="V418" s="71"/>
      <c r="W418" s="93"/>
      <c r="X418" s="101"/>
      <c r="Y418" s="101"/>
      <c r="Z418" s="101"/>
      <c r="AA418" s="101"/>
      <c r="AB418" s="101"/>
      <c r="AC418" s="102"/>
      <c r="AD418" s="102"/>
      <c r="AE418" s="102"/>
      <c r="AF418" s="93"/>
      <c r="AG418" s="51"/>
      <c r="AH418" s="93"/>
      <c r="AI418" s="51"/>
      <c r="AJ418" s="224"/>
      <c r="AK418" s="169"/>
      <c r="AL418" s="326" t="s">
        <v>168</v>
      </c>
      <c r="AM418" s="210" t="str">
        <f>IF(OR(X418="",F418=""),"",X418-F418)</f>
        <v/>
      </c>
      <c r="AN418" s="171" t="str">
        <f>IF(OR(Y418="",G418=""),"",Y418-G418)</f>
        <v/>
      </c>
      <c r="AO418" s="171" t="str">
        <f>IF(OR(Z418="",H418=""),"",Z418-H418)</f>
        <v/>
      </c>
      <c r="AP418" s="171" t="str">
        <f>IF(OR(AA418="",I418=""),"",AA418-I418)</f>
        <v/>
      </c>
      <c r="AQ418" s="211" t="str">
        <f>IF(OR(AB418="",J418=""),"",AB418-J418)</f>
        <v/>
      </c>
      <c r="AR418" s="68"/>
      <c r="AS418" s="69"/>
      <c r="AT418" s="68"/>
    </row>
    <row r="419" spans="2:46" ht="13.5" customHeight="1" x14ac:dyDescent="0.15">
      <c r="B419" s="327"/>
      <c r="C419" s="52" t="s">
        <v>47</v>
      </c>
      <c r="D419" s="73"/>
      <c r="E419" s="95"/>
      <c r="F419" s="103"/>
      <c r="G419" s="103"/>
      <c r="H419" s="103"/>
      <c r="I419" s="103"/>
      <c r="J419" s="103"/>
      <c r="K419" s="104"/>
      <c r="L419" s="206"/>
      <c r="M419" s="206"/>
      <c r="N419" s="95"/>
      <c r="O419" s="53"/>
      <c r="P419" s="95"/>
      <c r="Q419" s="53"/>
      <c r="R419" s="225"/>
      <c r="S419" s="161"/>
      <c r="T419" s="327"/>
      <c r="U419" s="52" t="s">
        <v>47</v>
      </c>
      <c r="V419" s="73"/>
      <c r="W419" s="95"/>
      <c r="X419" s="103"/>
      <c r="Y419" s="103"/>
      <c r="Z419" s="103"/>
      <c r="AA419" s="103"/>
      <c r="AB419" s="103"/>
      <c r="AC419" s="104"/>
      <c r="AD419" s="104"/>
      <c r="AE419" s="104"/>
      <c r="AF419" s="95"/>
      <c r="AG419" s="53"/>
      <c r="AH419" s="95"/>
      <c r="AI419" s="53"/>
      <c r="AJ419" s="225"/>
      <c r="AK419" s="169"/>
      <c r="AL419" s="327"/>
      <c r="AM419" s="150" t="str">
        <f t="shared" ref="AM419:AM422" si="406">IF(OR(X419="",F419=""),"",X419-F419)</f>
        <v/>
      </c>
      <c r="AN419" s="212" t="str">
        <f t="shared" ref="AN419:AN422" si="407">IF(OR(Y419="",G419=""),"",Y419-G419)</f>
        <v/>
      </c>
      <c r="AO419" s="212" t="str">
        <f t="shared" ref="AO419:AO422" si="408">IF(OR(Z419="",H419=""),"",Z419-H419)</f>
        <v/>
      </c>
      <c r="AP419" s="212" t="str">
        <f t="shared" ref="AP419:AP422" si="409">IF(OR(AA419="",I419=""),"",AA419-I419)</f>
        <v/>
      </c>
      <c r="AQ419" s="151" t="str">
        <f t="shared" ref="AQ419:AQ422" si="410">IF(OR(AB419="",J419=""),"",AB419-J419)</f>
        <v/>
      </c>
      <c r="AR419" s="68"/>
      <c r="AS419" s="69"/>
      <c r="AT419" s="68"/>
    </row>
    <row r="420" spans="2:46" ht="13.5" customHeight="1" x14ac:dyDescent="0.15">
      <c r="B420" s="327"/>
      <c r="C420" s="52" t="s">
        <v>48</v>
      </c>
      <c r="D420" s="73"/>
      <c r="E420" s="95"/>
      <c r="F420" s="103"/>
      <c r="G420" s="103"/>
      <c r="H420" s="103"/>
      <c r="I420" s="103"/>
      <c r="J420" s="103"/>
      <c r="K420" s="104"/>
      <c r="L420" s="206"/>
      <c r="M420" s="206"/>
      <c r="N420" s="95"/>
      <c r="O420" s="53"/>
      <c r="P420" s="95"/>
      <c r="Q420" s="53"/>
      <c r="R420" s="225"/>
      <c r="S420" s="161"/>
      <c r="T420" s="327"/>
      <c r="U420" s="52" t="s">
        <v>48</v>
      </c>
      <c r="V420" s="73"/>
      <c r="W420" s="95"/>
      <c r="X420" s="103"/>
      <c r="Y420" s="103"/>
      <c r="Z420" s="103"/>
      <c r="AA420" s="103"/>
      <c r="AB420" s="103"/>
      <c r="AC420" s="104"/>
      <c r="AD420" s="104"/>
      <c r="AE420" s="104"/>
      <c r="AF420" s="95"/>
      <c r="AG420" s="53"/>
      <c r="AH420" s="95"/>
      <c r="AI420" s="53"/>
      <c r="AJ420" s="225"/>
      <c r="AK420" s="169"/>
      <c r="AL420" s="327"/>
      <c r="AM420" s="150" t="str">
        <f t="shared" si="406"/>
        <v/>
      </c>
      <c r="AN420" s="212" t="str">
        <f t="shared" si="407"/>
        <v/>
      </c>
      <c r="AO420" s="212" t="str">
        <f t="shared" si="408"/>
        <v/>
      </c>
      <c r="AP420" s="212" t="str">
        <f t="shared" si="409"/>
        <v/>
      </c>
      <c r="AQ420" s="151" t="str">
        <f t="shared" si="410"/>
        <v/>
      </c>
      <c r="AR420" s="68"/>
      <c r="AS420" s="69"/>
      <c r="AT420" s="68"/>
    </row>
    <row r="421" spans="2:46" ht="13.5" customHeight="1" x14ac:dyDescent="0.15">
      <c r="B421" s="327"/>
      <c r="C421" s="52" t="s">
        <v>50</v>
      </c>
      <c r="D421" s="73"/>
      <c r="E421" s="95"/>
      <c r="F421" s="103"/>
      <c r="G421" s="103"/>
      <c r="H421" s="103"/>
      <c r="I421" s="103"/>
      <c r="J421" s="103"/>
      <c r="K421" s="104"/>
      <c r="L421" s="206"/>
      <c r="M421" s="206"/>
      <c r="N421" s="95"/>
      <c r="O421" s="53"/>
      <c r="P421" s="95"/>
      <c r="Q421" s="53"/>
      <c r="R421" s="225"/>
      <c r="S421" s="161"/>
      <c r="T421" s="327"/>
      <c r="U421" s="52" t="s">
        <v>50</v>
      </c>
      <c r="V421" s="73"/>
      <c r="W421" s="95"/>
      <c r="X421" s="103"/>
      <c r="Y421" s="103"/>
      <c r="Z421" s="103"/>
      <c r="AA421" s="103"/>
      <c r="AB421" s="103"/>
      <c r="AC421" s="104"/>
      <c r="AD421" s="104"/>
      <c r="AE421" s="104"/>
      <c r="AF421" s="95"/>
      <c r="AG421" s="53"/>
      <c r="AH421" s="95"/>
      <c r="AI421" s="53"/>
      <c r="AJ421" s="225"/>
      <c r="AK421" s="169"/>
      <c r="AL421" s="327"/>
      <c r="AM421" s="150" t="str">
        <f t="shared" si="406"/>
        <v/>
      </c>
      <c r="AN421" s="212" t="str">
        <f t="shared" si="407"/>
        <v/>
      </c>
      <c r="AO421" s="212" t="str">
        <f t="shared" si="408"/>
        <v/>
      </c>
      <c r="AP421" s="212" t="str">
        <f t="shared" si="409"/>
        <v/>
      </c>
      <c r="AQ421" s="151" t="str">
        <f t="shared" si="410"/>
        <v/>
      </c>
      <c r="AR421" s="68"/>
      <c r="AS421" s="69"/>
      <c r="AT421" s="68"/>
    </row>
    <row r="422" spans="2:46" ht="13.5" customHeight="1" thickBot="1" x14ac:dyDescent="0.2">
      <c r="B422" s="328"/>
      <c r="C422" s="52" t="s">
        <v>51</v>
      </c>
      <c r="D422" s="74"/>
      <c r="E422" s="98"/>
      <c r="F422" s="105"/>
      <c r="G422" s="105"/>
      <c r="H422" s="105"/>
      <c r="I422" s="105"/>
      <c r="J422" s="105"/>
      <c r="K422" s="106"/>
      <c r="L422" s="207"/>
      <c r="M422" s="207"/>
      <c r="N422" s="98"/>
      <c r="O422" s="66"/>
      <c r="P422" s="98"/>
      <c r="Q422" s="66"/>
      <c r="R422" s="225"/>
      <c r="S422" s="161"/>
      <c r="T422" s="328"/>
      <c r="U422" s="52" t="s">
        <v>51</v>
      </c>
      <c r="V422" s="74"/>
      <c r="W422" s="98"/>
      <c r="X422" s="105"/>
      <c r="Y422" s="105"/>
      <c r="Z422" s="105"/>
      <c r="AA422" s="105"/>
      <c r="AB422" s="105"/>
      <c r="AC422" s="106"/>
      <c r="AD422" s="106"/>
      <c r="AE422" s="106"/>
      <c r="AF422" s="98"/>
      <c r="AG422" s="66"/>
      <c r="AH422" s="98"/>
      <c r="AI422" s="66"/>
      <c r="AJ422" s="225"/>
      <c r="AK422" s="169"/>
      <c r="AL422" s="328"/>
      <c r="AM422" s="213" t="str">
        <f t="shared" si="406"/>
        <v/>
      </c>
      <c r="AN422" s="214" t="str">
        <f t="shared" si="407"/>
        <v/>
      </c>
      <c r="AO422" s="214" t="str">
        <f t="shared" si="408"/>
        <v/>
      </c>
      <c r="AP422" s="214" t="str">
        <f t="shared" si="409"/>
        <v/>
      </c>
      <c r="AQ422" s="215" t="str">
        <f t="shared" si="410"/>
        <v/>
      </c>
      <c r="AR422" s="68"/>
      <c r="AS422" s="69"/>
      <c r="AT422" s="68"/>
    </row>
    <row r="423" spans="2:46" ht="13.5" customHeight="1" x14ac:dyDescent="0.15">
      <c r="B423" s="326" t="s">
        <v>169</v>
      </c>
      <c r="C423" s="50" t="s">
        <v>46</v>
      </c>
      <c r="D423" s="71"/>
      <c r="E423" s="93"/>
      <c r="F423" s="101"/>
      <c r="G423" s="101"/>
      <c r="H423" s="101"/>
      <c r="I423" s="101"/>
      <c r="J423" s="101"/>
      <c r="K423" s="102"/>
      <c r="L423" s="205"/>
      <c r="M423" s="205"/>
      <c r="N423" s="93"/>
      <c r="O423" s="51"/>
      <c r="P423" s="93"/>
      <c r="Q423" s="51"/>
      <c r="R423" s="224"/>
      <c r="S423" s="161"/>
      <c r="T423" s="326" t="s">
        <v>169</v>
      </c>
      <c r="U423" s="50" t="s">
        <v>46</v>
      </c>
      <c r="V423" s="71"/>
      <c r="W423" s="93"/>
      <c r="X423" s="101"/>
      <c r="Y423" s="101"/>
      <c r="Z423" s="101"/>
      <c r="AA423" s="101"/>
      <c r="AB423" s="101"/>
      <c r="AC423" s="102"/>
      <c r="AD423" s="102"/>
      <c r="AE423" s="102"/>
      <c r="AF423" s="93"/>
      <c r="AG423" s="51"/>
      <c r="AH423" s="93"/>
      <c r="AI423" s="51"/>
      <c r="AJ423" s="224"/>
      <c r="AK423" s="169"/>
      <c r="AL423" s="326" t="s">
        <v>169</v>
      </c>
      <c r="AM423" s="210" t="str">
        <f>IF(OR(X423="",F423=""),"",X423-F423)</f>
        <v/>
      </c>
      <c r="AN423" s="171" t="str">
        <f>IF(OR(Y423="",G423=""),"",Y423-G423)</f>
        <v/>
      </c>
      <c r="AO423" s="171" t="str">
        <f>IF(OR(Z423="",H423=""),"",Z423-H423)</f>
        <v/>
      </c>
      <c r="AP423" s="171" t="str">
        <f>IF(OR(AA423="",I423=""),"",AA423-I423)</f>
        <v/>
      </c>
      <c r="AQ423" s="211" t="str">
        <f>IF(OR(AB423="",J423=""),"",AB423-J423)</f>
        <v/>
      </c>
      <c r="AR423" s="68"/>
      <c r="AS423" s="69"/>
      <c r="AT423" s="68"/>
    </row>
    <row r="424" spans="2:46" ht="13.5" customHeight="1" x14ac:dyDescent="0.15">
      <c r="B424" s="327"/>
      <c r="C424" s="52" t="s">
        <v>47</v>
      </c>
      <c r="D424" s="73"/>
      <c r="E424" s="95"/>
      <c r="F424" s="103"/>
      <c r="G424" s="103"/>
      <c r="H424" s="103"/>
      <c r="I424" s="103"/>
      <c r="J424" s="103"/>
      <c r="K424" s="104"/>
      <c r="L424" s="206"/>
      <c r="M424" s="206"/>
      <c r="N424" s="95"/>
      <c r="O424" s="53"/>
      <c r="P424" s="95"/>
      <c r="Q424" s="53"/>
      <c r="R424" s="225"/>
      <c r="S424" s="161"/>
      <c r="T424" s="327"/>
      <c r="U424" s="52" t="s">
        <v>47</v>
      </c>
      <c r="V424" s="73"/>
      <c r="W424" s="95"/>
      <c r="X424" s="103"/>
      <c r="Y424" s="103"/>
      <c r="Z424" s="103"/>
      <c r="AA424" s="103"/>
      <c r="AB424" s="103"/>
      <c r="AC424" s="104"/>
      <c r="AD424" s="104"/>
      <c r="AE424" s="104"/>
      <c r="AF424" s="95"/>
      <c r="AG424" s="53"/>
      <c r="AH424" s="95"/>
      <c r="AI424" s="53"/>
      <c r="AJ424" s="225"/>
      <c r="AK424" s="169"/>
      <c r="AL424" s="327"/>
      <c r="AM424" s="150" t="str">
        <f t="shared" ref="AM424:AM427" si="411">IF(OR(X424="",F424=""),"",X424-F424)</f>
        <v/>
      </c>
      <c r="AN424" s="212" t="str">
        <f t="shared" ref="AN424:AN427" si="412">IF(OR(Y424="",G424=""),"",Y424-G424)</f>
        <v/>
      </c>
      <c r="AO424" s="212" t="str">
        <f t="shared" ref="AO424:AO427" si="413">IF(OR(Z424="",H424=""),"",Z424-H424)</f>
        <v/>
      </c>
      <c r="AP424" s="212" t="str">
        <f t="shared" ref="AP424:AP427" si="414">IF(OR(AA424="",I424=""),"",AA424-I424)</f>
        <v/>
      </c>
      <c r="AQ424" s="151" t="str">
        <f t="shared" ref="AQ424:AQ427" si="415">IF(OR(AB424="",J424=""),"",AB424-J424)</f>
        <v/>
      </c>
      <c r="AR424" s="68"/>
      <c r="AS424" s="69"/>
      <c r="AT424" s="68"/>
    </row>
    <row r="425" spans="2:46" ht="13.5" customHeight="1" x14ac:dyDescent="0.15">
      <c r="B425" s="327"/>
      <c r="C425" s="52" t="s">
        <v>48</v>
      </c>
      <c r="D425" s="73"/>
      <c r="E425" s="95"/>
      <c r="F425" s="103"/>
      <c r="G425" s="103"/>
      <c r="H425" s="103"/>
      <c r="I425" s="103"/>
      <c r="J425" s="103"/>
      <c r="K425" s="104"/>
      <c r="L425" s="206"/>
      <c r="M425" s="206"/>
      <c r="N425" s="95"/>
      <c r="O425" s="53"/>
      <c r="P425" s="95"/>
      <c r="Q425" s="53"/>
      <c r="R425" s="225"/>
      <c r="S425" s="161"/>
      <c r="T425" s="327"/>
      <c r="U425" s="52" t="s">
        <v>48</v>
      </c>
      <c r="V425" s="73"/>
      <c r="W425" s="95"/>
      <c r="X425" s="103"/>
      <c r="Y425" s="103"/>
      <c r="Z425" s="103"/>
      <c r="AA425" s="103"/>
      <c r="AB425" s="103"/>
      <c r="AC425" s="104"/>
      <c r="AD425" s="104"/>
      <c r="AE425" s="104"/>
      <c r="AF425" s="95"/>
      <c r="AG425" s="53"/>
      <c r="AH425" s="95"/>
      <c r="AI425" s="53"/>
      <c r="AJ425" s="225"/>
      <c r="AK425" s="169"/>
      <c r="AL425" s="327"/>
      <c r="AM425" s="150" t="str">
        <f t="shared" si="411"/>
        <v/>
      </c>
      <c r="AN425" s="212" t="str">
        <f t="shared" si="412"/>
        <v/>
      </c>
      <c r="AO425" s="212" t="str">
        <f t="shared" si="413"/>
        <v/>
      </c>
      <c r="AP425" s="212" t="str">
        <f t="shared" si="414"/>
        <v/>
      </c>
      <c r="AQ425" s="151" t="str">
        <f t="shared" si="415"/>
        <v/>
      </c>
      <c r="AR425" s="68"/>
      <c r="AS425" s="69"/>
      <c r="AT425" s="68"/>
    </row>
    <row r="426" spans="2:46" ht="13.5" customHeight="1" x14ac:dyDescent="0.15">
      <c r="B426" s="327"/>
      <c r="C426" s="52" t="s">
        <v>50</v>
      </c>
      <c r="D426" s="73"/>
      <c r="E426" s="95"/>
      <c r="F426" s="103"/>
      <c r="G426" s="103"/>
      <c r="H426" s="103"/>
      <c r="I426" s="103"/>
      <c r="J426" s="103"/>
      <c r="K426" s="104"/>
      <c r="L426" s="206"/>
      <c r="M426" s="206"/>
      <c r="N426" s="95"/>
      <c r="O426" s="53"/>
      <c r="P426" s="95"/>
      <c r="Q426" s="53"/>
      <c r="R426" s="225"/>
      <c r="S426" s="161"/>
      <c r="T426" s="327"/>
      <c r="U426" s="52" t="s">
        <v>50</v>
      </c>
      <c r="V426" s="73"/>
      <c r="W426" s="95"/>
      <c r="X426" s="103"/>
      <c r="Y426" s="103"/>
      <c r="Z426" s="103"/>
      <c r="AA426" s="103"/>
      <c r="AB426" s="103"/>
      <c r="AC426" s="104"/>
      <c r="AD426" s="104"/>
      <c r="AE426" s="104"/>
      <c r="AF426" s="95"/>
      <c r="AG426" s="53"/>
      <c r="AH426" s="95"/>
      <c r="AI426" s="53"/>
      <c r="AJ426" s="225"/>
      <c r="AK426" s="169"/>
      <c r="AL426" s="327"/>
      <c r="AM426" s="150" t="str">
        <f t="shared" si="411"/>
        <v/>
      </c>
      <c r="AN426" s="212" t="str">
        <f t="shared" si="412"/>
        <v/>
      </c>
      <c r="AO426" s="212" t="str">
        <f t="shared" si="413"/>
        <v/>
      </c>
      <c r="AP426" s="212" t="str">
        <f t="shared" si="414"/>
        <v/>
      </c>
      <c r="AQ426" s="151" t="str">
        <f t="shared" si="415"/>
        <v/>
      </c>
      <c r="AR426" s="68"/>
      <c r="AS426" s="69"/>
      <c r="AT426" s="68"/>
    </row>
    <row r="427" spans="2:46" ht="13.5" customHeight="1" thickBot="1" x14ac:dyDescent="0.2">
      <c r="B427" s="328"/>
      <c r="C427" s="52" t="s">
        <v>51</v>
      </c>
      <c r="D427" s="74"/>
      <c r="E427" s="98"/>
      <c r="F427" s="105"/>
      <c r="G427" s="105"/>
      <c r="H427" s="105"/>
      <c r="I427" s="105"/>
      <c r="J427" s="105"/>
      <c r="K427" s="106"/>
      <c r="L427" s="207"/>
      <c r="M427" s="207"/>
      <c r="N427" s="98"/>
      <c r="O427" s="66"/>
      <c r="P427" s="98"/>
      <c r="Q427" s="66"/>
      <c r="R427" s="225"/>
      <c r="S427" s="161"/>
      <c r="T427" s="328"/>
      <c r="U427" s="52" t="s">
        <v>51</v>
      </c>
      <c r="V427" s="74"/>
      <c r="W427" s="98"/>
      <c r="X427" s="105"/>
      <c r="Y427" s="105"/>
      <c r="Z427" s="105"/>
      <c r="AA427" s="105"/>
      <c r="AB427" s="105"/>
      <c r="AC427" s="106"/>
      <c r="AD427" s="106"/>
      <c r="AE427" s="106"/>
      <c r="AF427" s="98"/>
      <c r="AG427" s="66"/>
      <c r="AH427" s="98"/>
      <c r="AI427" s="66"/>
      <c r="AJ427" s="225"/>
      <c r="AK427" s="169"/>
      <c r="AL427" s="328"/>
      <c r="AM427" s="213" t="str">
        <f t="shared" si="411"/>
        <v/>
      </c>
      <c r="AN427" s="214" t="str">
        <f t="shared" si="412"/>
        <v/>
      </c>
      <c r="AO427" s="214" t="str">
        <f t="shared" si="413"/>
        <v/>
      </c>
      <c r="AP427" s="214" t="str">
        <f t="shared" si="414"/>
        <v/>
      </c>
      <c r="AQ427" s="215" t="str">
        <f t="shared" si="415"/>
        <v/>
      </c>
      <c r="AR427" s="68"/>
      <c r="AS427" s="69"/>
      <c r="AT427" s="68"/>
    </row>
    <row r="428" spans="2:46" ht="13.5" customHeight="1" x14ac:dyDescent="0.15">
      <c r="B428" s="326" t="s">
        <v>170</v>
      </c>
      <c r="C428" s="50" t="s">
        <v>46</v>
      </c>
      <c r="D428" s="71"/>
      <c r="E428" s="93"/>
      <c r="F428" s="101"/>
      <c r="G428" s="101"/>
      <c r="H428" s="101"/>
      <c r="I428" s="101"/>
      <c r="J428" s="101"/>
      <c r="K428" s="102"/>
      <c r="L428" s="205"/>
      <c r="M428" s="205"/>
      <c r="N428" s="93"/>
      <c r="O428" s="51"/>
      <c r="P428" s="93"/>
      <c r="Q428" s="51"/>
      <c r="R428" s="224"/>
      <c r="S428" s="161"/>
      <c r="T428" s="326" t="s">
        <v>170</v>
      </c>
      <c r="U428" s="50" t="s">
        <v>46</v>
      </c>
      <c r="V428" s="71"/>
      <c r="W428" s="93"/>
      <c r="X428" s="101"/>
      <c r="Y428" s="101"/>
      <c r="Z428" s="101"/>
      <c r="AA428" s="101"/>
      <c r="AB428" s="101"/>
      <c r="AC428" s="102"/>
      <c r="AD428" s="102"/>
      <c r="AE428" s="102"/>
      <c r="AF428" s="93"/>
      <c r="AG428" s="51"/>
      <c r="AH428" s="93"/>
      <c r="AI428" s="51"/>
      <c r="AJ428" s="224"/>
      <c r="AK428" s="169"/>
      <c r="AL428" s="326" t="s">
        <v>170</v>
      </c>
      <c r="AM428" s="210" t="str">
        <f>IF(OR(X428="",F428=""),"",X428-F428)</f>
        <v/>
      </c>
      <c r="AN428" s="171" t="str">
        <f>IF(OR(Y428="",G428=""),"",Y428-G428)</f>
        <v/>
      </c>
      <c r="AO428" s="171" t="str">
        <f>IF(OR(Z428="",H428=""),"",Z428-H428)</f>
        <v/>
      </c>
      <c r="AP428" s="171" t="str">
        <f>IF(OR(AA428="",I428=""),"",AA428-I428)</f>
        <v/>
      </c>
      <c r="AQ428" s="211" t="str">
        <f>IF(OR(AB428="",J428=""),"",AB428-J428)</f>
        <v/>
      </c>
      <c r="AR428" s="68"/>
      <c r="AS428" s="69"/>
      <c r="AT428" s="68"/>
    </row>
    <row r="429" spans="2:46" ht="13.5" customHeight="1" x14ac:dyDescent="0.15">
      <c r="B429" s="327"/>
      <c r="C429" s="52" t="s">
        <v>47</v>
      </c>
      <c r="D429" s="73"/>
      <c r="E429" s="95"/>
      <c r="F429" s="103"/>
      <c r="G429" s="103"/>
      <c r="H429" s="103"/>
      <c r="I429" s="103"/>
      <c r="J429" s="103"/>
      <c r="K429" s="104"/>
      <c r="L429" s="206"/>
      <c r="M429" s="206"/>
      <c r="N429" s="95"/>
      <c r="O429" s="53"/>
      <c r="P429" s="95"/>
      <c r="Q429" s="53"/>
      <c r="R429" s="225"/>
      <c r="S429" s="161"/>
      <c r="T429" s="327"/>
      <c r="U429" s="52" t="s">
        <v>47</v>
      </c>
      <c r="V429" s="73"/>
      <c r="W429" s="95"/>
      <c r="X429" s="103"/>
      <c r="Y429" s="103"/>
      <c r="Z429" s="103"/>
      <c r="AA429" s="103"/>
      <c r="AB429" s="103"/>
      <c r="AC429" s="104"/>
      <c r="AD429" s="104"/>
      <c r="AE429" s="104"/>
      <c r="AF429" s="95"/>
      <c r="AG429" s="53"/>
      <c r="AH429" s="95"/>
      <c r="AI429" s="53"/>
      <c r="AJ429" s="225"/>
      <c r="AK429" s="169"/>
      <c r="AL429" s="327"/>
      <c r="AM429" s="150" t="str">
        <f t="shared" ref="AM429:AM432" si="416">IF(OR(X429="",F429=""),"",X429-F429)</f>
        <v/>
      </c>
      <c r="AN429" s="212" t="str">
        <f t="shared" ref="AN429:AN432" si="417">IF(OR(Y429="",G429=""),"",Y429-G429)</f>
        <v/>
      </c>
      <c r="AO429" s="212" t="str">
        <f t="shared" ref="AO429:AO432" si="418">IF(OR(Z429="",H429=""),"",Z429-H429)</f>
        <v/>
      </c>
      <c r="AP429" s="212" t="str">
        <f t="shared" ref="AP429:AP432" si="419">IF(OR(AA429="",I429=""),"",AA429-I429)</f>
        <v/>
      </c>
      <c r="AQ429" s="151" t="str">
        <f t="shared" ref="AQ429:AQ432" si="420">IF(OR(AB429="",J429=""),"",AB429-J429)</f>
        <v/>
      </c>
      <c r="AR429" s="68"/>
      <c r="AS429" s="69"/>
      <c r="AT429" s="68"/>
    </row>
    <row r="430" spans="2:46" ht="13.5" customHeight="1" x14ac:dyDescent="0.15">
      <c r="B430" s="327"/>
      <c r="C430" s="52" t="s">
        <v>48</v>
      </c>
      <c r="D430" s="73"/>
      <c r="E430" s="95"/>
      <c r="F430" s="103"/>
      <c r="G430" s="103"/>
      <c r="H430" s="103"/>
      <c r="I430" s="103"/>
      <c r="J430" s="103"/>
      <c r="K430" s="104"/>
      <c r="L430" s="206"/>
      <c r="M430" s="206"/>
      <c r="N430" s="95"/>
      <c r="O430" s="53"/>
      <c r="P430" s="95"/>
      <c r="Q430" s="53"/>
      <c r="R430" s="225"/>
      <c r="S430" s="161"/>
      <c r="T430" s="327"/>
      <c r="U430" s="52" t="s">
        <v>48</v>
      </c>
      <c r="V430" s="73"/>
      <c r="W430" s="95"/>
      <c r="X430" s="103"/>
      <c r="Y430" s="103"/>
      <c r="Z430" s="103"/>
      <c r="AA430" s="103"/>
      <c r="AB430" s="103"/>
      <c r="AC430" s="104"/>
      <c r="AD430" s="104"/>
      <c r="AE430" s="104"/>
      <c r="AF430" s="95"/>
      <c r="AG430" s="53"/>
      <c r="AH430" s="95"/>
      <c r="AI430" s="53"/>
      <c r="AJ430" s="225"/>
      <c r="AK430" s="169"/>
      <c r="AL430" s="327"/>
      <c r="AM430" s="150" t="str">
        <f t="shared" si="416"/>
        <v/>
      </c>
      <c r="AN430" s="212" t="str">
        <f t="shared" si="417"/>
        <v/>
      </c>
      <c r="AO430" s="212" t="str">
        <f t="shared" si="418"/>
        <v/>
      </c>
      <c r="AP430" s="212" t="str">
        <f t="shared" si="419"/>
        <v/>
      </c>
      <c r="AQ430" s="151" t="str">
        <f t="shared" si="420"/>
        <v/>
      </c>
      <c r="AR430" s="68"/>
      <c r="AS430" s="69"/>
      <c r="AT430" s="68"/>
    </row>
    <row r="431" spans="2:46" ht="13.5" customHeight="1" x14ac:dyDescent="0.15">
      <c r="B431" s="327"/>
      <c r="C431" s="52" t="s">
        <v>50</v>
      </c>
      <c r="D431" s="73"/>
      <c r="E431" s="95"/>
      <c r="F431" s="103"/>
      <c r="G431" s="103"/>
      <c r="H431" s="103"/>
      <c r="I431" s="103"/>
      <c r="J431" s="103"/>
      <c r="K431" s="104"/>
      <c r="L431" s="206"/>
      <c r="M431" s="206"/>
      <c r="N431" s="95"/>
      <c r="O431" s="53"/>
      <c r="P431" s="95"/>
      <c r="Q431" s="53"/>
      <c r="R431" s="225"/>
      <c r="S431" s="161"/>
      <c r="T431" s="327"/>
      <c r="U431" s="52" t="s">
        <v>50</v>
      </c>
      <c r="V431" s="73"/>
      <c r="W431" s="95"/>
      <c r="X431" s="103"/>
      <c r="Y431" s="103"/>
      <c r="Z431" s="103"/>
      <c r="AA431" s="103"/>
      <c r="AB431" s="103"/>
      <c r="AC431" s="104"/>
      <c r="AD431" s="104"/>
      <c r="AE431" s="104"/>
      <c r="AF431" s="95"/>
      <c r="AG431" s="53"/>
      <c r="AH431" s="95"/>
      <c r="AI431" s="53"/>
      <c r="AJ431" s="225"/>
      <c r="AK431" s="169"/>
      <c r="AL431" s="327"/>
      <c r="AM431" s="150" t="str">
        <f t="shared" si="416"/>
        <v/>
      </c>
      <c r="AN431" s="212" t="str">
        <f t="shared" si="417"/>
        <v/>
      </c>
      <c r="AO431" s="212" t="str">
        <f t="shared" si="418"/>
        <v/>
      </c>
      <c r="AP431" s="212" t="str">
        <f t="shared" si="419"/>
        <v/>
      </c>
      <c r="AQ431" s="151" t="str">
        <f t="shared" si="420"/>
        <v/>
      </c>
      <c r="AR431" s="68"/>
      <c r="AS431" s="69"/>
      <c r="AT431" s="68"/>
    </row>
    <row r="432" spans="2:46" ht="13.5" customHeight="1" thickBot="1" x14ac:dyDescent="0.2">
      <c r="B432" s="328"/>
      <c r="C432" s="52" t="s">
        <v>51</v>
      </c>
      <c r="D432" s="74"/>
      <c r="E432" s="98"/>
      <c r="F432" s="105"/>
      <c r="G432" s="105"/>
      <c r="H432" s="105"/>
      <c r="I432" s="105"/>
      <c r="J432" s="105"/>
      <c r="K432" s="106"/>
      <c r="L432" s="207"/>
      <c r="M432" s="207"/>
      <c r="N432" s="98"/>
      <c r="O432" s="66"/>
      <c r="P432" s="98"/>
      <c r="Q432" s="66"/>
      <c r="R432" s="225"/>
      <c r="S432" s="161"/>
      <c r="T432" s="328"/>
      <c r="U432" s="52" t="s">
        <v>51</v>
      </c>
      <c r="V432" s="74"/>
      <c r="W432" s="98"/>
      <c r="X432" s="105"/>
      <c r="Y432" s="105"/>
      <c r="Z432" s="105"/>
      <c r="AA432" s="105"/>
      <c r="AB432" s="105"/>
      <c r="AC432" s="106"/>
      <c r="AD432" s="106"/>
      <c r="AE432" s="106"/>
      <c r="AF432" s="98"/>
      <c r="AG432" s="66"/>
      <c r="AH432" s="98"/>
      <c r="AI432" s="66"/>
      <c r="AJ432" s="225"/>
      <c r="AK432" s="169"/>
      <c r="AL432" s="328"/>
      <c r="AM432" s="213" t="str">
        <f t="shared" si="416"/>
        <v/>
      </c>
      <c r="AN432" s="214" t="str">
        <f t="shared" si="417"/>
        <v/>
      </c>
      <c r="AO432" s="214" t="str">
        <f t="shared" si="418"/>
        <v/>
      </c>
      <c r="AP432" s="214" t="str">
        <f t="shared" si="419"/>
        <v/>
      </c>
      <c r="AQ432" s="215" t="str">
        <f t="shared" si="420"/>
        <v/>
      </c>
      <c r="AR432" s="68"/>
      <c r="AS432" s="69"/>
      <c r="AT432" s="68"/>
    </row>
    <row r="433" spans="2:46" ht="13.5" customHeight="1" x14ac:dyDescent="0.15">
      <c r="B433" s="326" t="s">
        <v>171</v>
      </c>
      <c r="C433" s="50" t="s">
        <v>46</v>
      </c>
      <c r="D433" s="71"/>
      <c r="E433" s="93"/>
      <c r="F433" s="101"/>
      <c r="G433" s="101"/>
      <c r="H433" s="101"/>
      <c r="I433" s="101"/>
      <c r="J433" s="101"/>
      <c r="K433" s="102"/>
      <c r="L433" s="205"/>
      <c r="M433" s="205"/>
      <c r="N433" s="93"/>
      <c r="O433" s="51"/>
      <c r="P433" s="93"/>
      <c r="Q433" s="51"/>
      <c r="R433" s="224"/>
      <c r="S433" s="161"/>
      <c r="T433" s="326" t="s">
        <v>171</v>
      </c>
      <c r="U433" s="50" t="s">
        <v>46</v>
      </c>
      <c r="V433" s="71"/>
      <c r="W433" s="93"/>
      <c r="X433" s="101"/>
      <c r="Y433" s="101"/>
      <c r="Z433" s="101"/>
      <c r="AA433" s="101"/>
      <c r="AB433" s="101"/>
      <c r="AC433" s="102"/>
      <c r="AD433" s="102"/>
      <c r="AE433" s="102"/>
      <c r="AF433" s="93"/>
      <c r="AG433" s="51"/>
      <c r="AH433" s="93"/>
      <c r="AI433" s="51"/>
      <c r="AJ433" s="224"/>
      <c r="AK433" s="169"/>
      <c r="AL433" s="326" t="s">
        <v>171</v>
      </c>
      <c r="AM433" s="210" t="str">
        <f>IF(OR(X433="",F433=""),"",X433-F433)</f>
        <v/>
      </c>
      <c r="AN433" s="171" t="str">
        <f>IF(OR(Y433="",G433=""),"",Y433-G433)</f>
        <v/>
      </c>
      <c r="AO433" s="171" t="str">
        <f>IF(OR(Z433="",H433=""),"",Z433-H433)</f>
        <v/>
      </c>
      <c r="AP433" s="171" t="str">
        <f>IF(OR(AA433="",I433=""),"",AA433-I433)</f>
        <v/>
      </c>
      <c r="AQ433" s="211" t="str">
        <f>IF(OR(AB433="",J433=""),"",AB433-J433)</f>
        <v/>
      </c>
      <c r="AR433" s="68"/>
      <c r="AS433" s="69"/>
      <c r="AT433" s="68"/>
    </row>
    <row r="434" spans="2:46" ht="13.5" customHeight="1" x14ac:dyDescent="0.15">
      <c r="B434" s="327"/>
      <c r="C434" s="52" t="s">
        <v>47</v>
      </c>
      <c r="D434" s="73"/>
      <c r="E434" s="95"/>
      <c r="F434" s="103"/>
      <c r="G434" s="103"/>
      <c r="H434" s="103"/>
      <c r="I434" s="103"/>
      <c r="J434" s="103"/>
      <c r="K434" s="104"/>
      <c r="L434" s="206"/>
      <c r="M434" s="206"/>
      <c r="N434" s="95"/>
      <c r="O434" s="53"/>
      <c r="P434" s="95"/>
      <c r="Q434" s="53"/>
      <c r="R434" s="225"/>
      <c r="S434" s="161"/>
      <c r="T434" s="327"/>
      <c r="U434" s="52" t="s">
        <v>47</v>
      </c>
      <c r="V434" s="73"/>
      <c r="W434" s="95"/>
      <c r="X434" s="103"/>
      <c r="Y434" s="103"/>
      <c r="Z434" s="103"/>
      <c r="AA434" s="103"/>
      <c r="AB434" s="103"/>
      <c r="AC434" s="104"/>
      <c r="AD434" s="104"/>
      <c r="AE434" s="104"/>
      <c r="AF434" s="95"/>
      <c r="AG434" s="53"/>
      <c r="AH434" s="95"/>
      <c r="AI434" s="53"/>
      <c r="AJ434" s="225"/>
      <c r="AK434" s="169"/>
      <c r="AL434" s="327"/>
      <c r="AM434" s="150" t="str">
        <f t="shared" ref="AM434:AM437" si="421">IF(OR(X434="",F434=""),"",X434-F434)</f>
        <v/>
      </c>
      <c r="AN434" s="212" t="str">
        <f t="shared" ref="AN434:AN437" si="422">IF(OR(Y434="",G434=""),"",Y434-G434)</f>
        <v/>
      </c>
      <c r="AO434" s="212" t="str">
        <f t="shared" ref="AO434:AO437" si="423">IF(OR(Z434="",H434=""),"",Z434-H434)</f>
        <v/>
      </c>
      <c r="AP434" s="212" t="str">
        <f t="shared" ref="AP434:AP437" si="424">IF(OR(AA434="",I434=""),"",AA434-I434)</f>
        <v/>
      </c>
      <c r="AQ434" s="151" t="str">
        <f t="shared" ref="AQ434:AQ437" si="425">IF(OR(AB434="",J434=""),"",AB434-J434)</f>
        <v/>
      </c>
      <c r="AR434" s="68"/>
      <c r="AS434" s="69"/>
      <c r="AT434" s="68"/>
    </row>
    <row r="435" spans="2:46" ht="13.5" customHeight="1" x14ac:dyDescent="0.15">
      <c r="B435" s="327"/>
      <c r="C435" s="52" t="s">
        <v>48</v>
      </c>
      <c r="D435" s="73"/>
      <c r="E435" s="95"/>
      <c r="F435" s="103"/>
      <c r="G435" s="103"/>
      <c r="H435" s="103"/>
      <c r="I435" s="103"/>
      <c r="J435" s="103"/>
      <c r="K435" s="104"/>
      <c r="L435" s="206"/>
      <c r="M435" s="206"/>
      <c r="N435" s="95"/>
      <c r="O435" s="53"/>
      <c r="P435" s="95"/>
      <c r="Q435" s="53"/>
      <c r="R435" s="225"/>
      <c r="S435" s="161"/>
      <c r="T435" s="327"/>
      <c r="U435" s="52" t="s">
        <v>48</v>
      </c>
      <c r="V435" s="73"/>
      <c r="W435" s="95"/>
      <c r="X435" s="103"/>
      <c r="Y435" s="103"/>
      <c r="Z435" s="103"/>
      <c r="AA435" s="103"/>
      <c r="AB435" s="103"/>
      <c r="AC435" s="104"/>
      <c r="AD435" s="104"/>
      <c r="AE435" s="104"/>
      <c r="AF435" s="95"/>
      <c r="AG435" s="53"/>
      <c r="AH435" s="95"/>
      <c r="AI435" s="53"/>
      <c r="AJ435" s="225"/>
      <c r="AK435" s="169"/>
      <c r="AL435" s="327"/>
      <c r="AM435" s="150" t="str">
        <f t="shared" si="421"/>
        <v/>
      </c>
      <c r="AN435" s="212" t="str">
        <f t="shared" si="422"/>
        <v/>
      </c>
      <c r="AO435" s="212" t="str">
        <f t="shared" si="423"/>
        <v/>
      </c>
      <c r="AP435" s="212" t="str">
        <f t="shared" si="424"/>
        <v/>
      </c>
      <c r="AQ435" s="151" t="str">
        <f t="shared" si="425"/>
        <v/>
      </c>
      <c r="AR435" s="68"/>
      <c r="AS435" s="69"/>
      <c r="AT435" s="68"/>
    </row>
    <row r="436" spans="2:46" ht="13.5" customHeight="1" x14ac:dyDescent="0.15">
      <c r="B436" s="327"/>
      <c r="C436" s="52" t="s">
        <v>50</v>
      </c>
      <c r="D436" s="73"/>
      <c r="E436" s="95"/>
      <c r="F436" s="103"/>
      <c r="G436" s="103"/>
      <c r="H436" s="103"/>
      <c r="I436" s="103"/>
      <c r="J436" s="103"/>
      <c r="K436" s="104"/>
      <c r="L436" s="206"/>
      <c r="M436" s="206"/>
      <c r="N436" s="95"/>
      <c r="O436" s="53"/>
      <c r="P436" s="95"/>
      <c r="Q436" s="53"/>
      <c r="R436" s="225"/>
      <c r="S436" s="161"/>
      <c r="T436" s="327"/>
      <c r="U436" s="52" t="s">
        <v>50</v>
      </c>
      <c r="V436" s="73"/>
      <c r="W436" s="95"/>
      <c r="X436" s="103"/>
      <c r="Y436" s="103"/>
      <c r="Z436" s="103"/>
      <c r="AA436" s="103"/>
      <c r="AB436" s="103"/>
      <c r="AC436" s="104"/>
      <c r="AD436" s="104"/>
      <c r="AE436" s="104"/>
      <c r="AF436" s="95"/>
      <c r="AG436" s="53"/>
      <c r="AH436" s="95"/>
      <c r="AI436" s="53"/>
      <c r="AJ436" s="225"/>
      <c r="AK436" s="169"/>
      <c r="AL436" s="327"/>
      <c r="AM436" s="150" t="str">
        <f t="shared" si="421"/>
        <v/>
      </c>
      <c r="AN436" s="212" t="str">
        <f t="shared" si="422"/>
        <v/>
      </c>
      <c r="AO436" s="212" t="str">
        <f t="shared" si="423"/>
        <v/>
      </c>
      <c r="AP436" s="212" t="str">
        <f t="shared" si="424"/>
        <v/>
      </c>
      <c r="AQ436" s="151" t="str">
        <f t="shared" si="425"/>
        <v/>
      </c>
      <c r="AR436" s="68"/>
      <c r="AS436" s="69"/>
      <c r="AT436" s="68"/>
    </row>
    <row r="437" spans="2:46" ht="13.5" customHeight="1" thickBot="1" x14ac:dyDescent="0.2">
      <c r="B437" s="328"/>
      <c r="C437" s="54" t="s">
        <v>51</v>
      </c>
      <c r="D437" s="74"/>
      <c r="E437" s="98"/>
      <c r="F437" s="105"/>
      <c r="G437" s="105"/>
      <c r="H437" s="105"/>
      <c r="I437" s="105"/>
      <c r="J437" s="105"/>
      <c r="K437" s="106"/>
      <c r="L437" s="207"/>
      <c r="M437" s="207"/>
      <c r="N437" s="98"/>
      <c r="O437" s="66"/>
      <c r="P437" s="98"/>
      <c r="Q437" s="66"/>
      <c r="R437" s="226"/>
      <c r="S437" s="161"/>
      <c r="T437" s="328"/>
      <c r="U437" s="54" t="s">
        <v>51</v>
      </c>
      <c r="V437" s="74"/>
      <c r="W437" s="98"/>
      <c r="X437" s="105"/>
      <c r="Y437" s="105"/>
      <c r="Z437" s="105"/>
      <c r="AA437" s="105"/>
      <c r="AB437" s="105"/>
      <c r="AC437" s="106"/>
      <c r="AD437" s="106"/>
      <c r="AE437" s="106"/>
      <c r="AF437" s="98"/>
      <c r="AG437" s="66"/>
      <c r="AH437" s="98"/>
      <c r="AI437" s="66"/>
      <c r="AJ437" s="226"/>
      <c r="AK437" s="169"/>
      <c r="AL437" s="328"/>
      <c r="AM437" s="213" t="str">
        <f t="shared" si="421"/>
        <v/>
      </c>
      <c r="AN437" s="214" t="str">
        <f t="shared" si="422"/>
        <v/>
      </c>
      <c r="AO437" s="214" t="str">
        <f t="shared" si="423"/>
        <v/>
      </c>
      <c r="AP437" s="214" t="str">
        <f t="shared" si="424"/>
        <v/>
      </c>
      <c r="AQ437" s="215" t="str">
        <f t="shared" si="425"/>
        <v/>
      </c>
      <c r="AR437" s="68"/>
      <c r="AS437" s="69"/>
      <c r="AT437" s="68"/>
    </row>
    <row r="438" spans="2:46" ht="13.5" customHeight="1" x14ac:dyDescent="0.15">
      <c r="B438" s="326" t="s">
        <v>172</v>
      </c>
      <c r="C438" s="50" t="s">
        <v>46</v>
      </c>
      <c r="D438" s="71"/>
      <c r="E438" s="93"/>
      <c r="F438" s="101"/>
      <c r="G438" s="101"/>
      <c r="H438" s="101"/>
      <c r="I438" s="101"/>
      <c r="J438" s="101"/>
      <c r="K438" s="102"/>
      <c r="L438" s="205"/>
      <c r="M438" s="205"/>
      <c r="N438" s="93"/>
      <c r="O438" s="51"/>
      <c r="P438" s="93"/>
      <c r="Q438" s="51"/>
      <c r="R438" s="224"/>
      <c r="S438" s="161"/>
      <c r="T438" s="326" t="s">
        <v>172</v>
      </c>
      <c r="U438" s="50" t="s">
        <v>46</v>
      </c>
      <c r="V438" s="71"/>
      <c r="W438" s="93"/>
      <c r="X438" s="101"/>
      <c r="Y438" s="101"/>
      <c r="Z438" s="101"/>
      <c r="AA438" s="101"/>
      <c r="AB438" s="101"/>
      <c r="AC438" s="102"/>
      <c r="AD438" s="102"/>
      <c r="AE438" s="102"/>
      <c r="AF438" s="93"/>
      <c r="AG438" s="51"/>
      <c r="AH438" s="93"/>
      <c r="AI438" s="51"/>
      <c r="AJ438" s="224"/>
      <c r="AK438" s="169"/>
      <c r="AL438" s="326" t="s">
        <v>172</v>
      </c>
      <c r="AM438" s="210" t="str">
        <f>IF(OR(X438="",F438=""),"",X438-F438)</f>
        <v/>
      </c>
      <c r="AN438" s="171" t="str">
        <f>IF(OR(Y438="",G438=""),"",Y438-G438)</f>
        <v/>
      </c>
      <c r="AO438" s="171" t="str">
        <f>IF(OR(Z438="",H438=""),"",Z438-H438)</f>
        <v/>
      </c>
      <c r="AP438" s="171" t="str">
        <f>IF(OR(AA438="",I438=""),"",AA438-I438)</f>
        <v/>
      </c>
      <c r="AQ438" s="211" t="str">
        <f>IF(OR(AB438="",J438=""),"",AB438-J438)</f>
        <v/>
      </c>
      <c r="AR438" s="68"/>
      <c r="AS438" s="69"/>
      <c r="AT438" s="68"/>
    </row>
    <row r="439" spans="2:46" ht="13.5" customHeight="1" x14ac:dyDescent="0.15">
      <c r="B439" s="327"/>
      <c r="C439" s="52" t="s">
        <v>47</v>
      </c>
      <c r="D439" s="73"/>
      <c r="E439" s="95"/>
      <c r="F439" s="103"/>
      <c r="G439" s="103"/>
      <c r="H439" s="103"/>
      <c r="I439" s="103"/>
      <c r="J439" s="103"/>
      <c r="K439" s="104"/>
      <c r="L439" s="206"/>
      <c r="M439" s="206"/>
      <c r="N439" s="95"/>
      <c r="O439" s="53"/>
      <c r="P439" s="95"/>
      <c r="Q439" s="53"/>
      <c r="R439" s="225"/>
      <c r="S439" s="161"/>
      <c r="T439" s="327"/>
      <c r="U439" s="52" t="s">
        <v>47</v>
      </c>
      <c r="V439" s="73"/>
      <c r="W439" s="95"/>
      <c r="X439" s="103"/>
      <c r="Y439" s="103"/>
      <c r="Z439" s="103"/>
      <c r="AA439" s="103"/>
      <c r="AB439" s="103"/>
      <c r="AC439" s="104"/>
      <c r="AD439" s="104"/>
      <c r="AE439" s="104"/>
      <c r="AF439" s="95"/>
      <c r="AG439" s="53"/>
      <c r="AH439" s="95"/>
      <c r="AI439" s="53"/>
      <c r="AJ439" s="225"/>
      <c r="AK439" s="169"/>
      <c r="AL439" s="327"/>
      <c r="AM439" s="150" t="str">
        <f t="shared" ref="AM439:AM442" si="426">IF(OR(X439="",F439=""),"",X439-F439)</f>
        <v/>
      </c>
      <c r="AN439" s="212" t="str">
        <f t="shared" ref="AN439:AN442" si="427">IF(OR(Y439="",G439=""),"",Y439-G439)</f>
        <v/>
      </c>
      <c r="AO439" s="212" t="str">
        <f t="shared" ref="AO439:AO442" si="428">IF(OR(Z439="",H439=""),"",Z439-H439)</f>
        <v/>
      </c>
      <c r="AP439" s="212" t="str">
        <f t="shared" ref="AP439:AP442" si="429">IF(OR(AA439="",I439=""),"",AA439-I439)</f>
        <v/>
      </c>
      <c r="AQ439" s="151" t="str">
        <f t="shared" ref="AQ439:AQ442" si="430">IF(OR(AB439="",J439=""),"",AB439-J439)</f>
        <v/>
      </c>
      <c r="AR439" s="68"/>
      <c r="AS439" s="69"/>
      <c r="AT439" s="68"/>
    </row>
    <row r="440" spans="2:46" ht="13.5" customHeight="1" x14ac:dyDescent="0.15">
      <c r="B440" s="327"/>
      <c r="C440" s="52" t="s">
        <v>48</v>
      </c>
      <c r="D440" s="73"/>
      <c r="E440" s="95"/>
      <c r="F440" s="103"/>
      <c r="G440" s="103"/>
      <c r="H440" s="103"/>
      <c r="I440" s="103"/>
      <c r="J440" s="103"/>
      <c r="K440" s="104"/>
      <c r="L440" s="206"/>
      <c r="M440" s="206"/>
      <c r="N440" s="95"/>
      <c r="O440" s="53"/>
      <c r="P440" s="95"/>
      <c r="Q440" s="53"/>
      <c r="R440" s="225"/>
      <c r="S440" s="161"/>
      <c r="T440" s="327"/>
      <c r="U440" s="52" t="s">
        <v>48</v>
      </c>
      <c r="V440" s="73"/>
      <c r="W440" s="95"/>
      <c r="X440" s="103"/>
      <c r="Y440" s="103"/>
      <c r="Z440" s="103"/>
      <c r="AA440" s="103"/>
      <c r="AB440" s="103"/>
      <c r="AC440" s="104"/>
      <c r="AD440" s="104"/>
      <c r="AE440" s="104"/>
      <c r="AF440" s="95"/>
      <c r="AG440" s="53"/>
      <c r="AH440" s="95"/>
      <c r="AI440" s="53"/>
      <c r="AJ440" s="225"/>
      <c r="AK440" s="169"/>
      <c r="AL440" s="327"/>
      <c r="AM440" s="150" t="str">
        <f t="shared" si="426"/>
        <v/>
      </c>
      <c r="AN440" s="212" t="str">
        <f t="shared" si="427"/>
        <v/>
      </c>
      <c r="AO440" s="212" t="str">
        <f t="shared" si="428"/>
        <v/>
      </c>
      <c r="AP440" s="212" t="str">
        <f t="shared" si="429"/>
        <v/>
      </c>
      <c r="AQ440" s="151" t="str">
        <f t="shared" si="430"/>
        <v/>
      </c>
      <c r="AR440" s="68"/>
      <c r="AS440" s="69"/>
      <c r="AT440" s="68"/>
    </row>
    <row r="441" spans="2:46" ht="13.5" customHeight="1" x14ac:dyDescent="0.15">
      <c r="B441" s="327"/>
      <c r="C441" s="52" t="s">
        <v>50</v>
      </c>
      <c r="D441" s="73"/>
      <c r="E441" s="95"/>
      <c r="F441" s="103"/>
      <c r="G441" s="103"/>
      <c r="H441" s="103"/>
      <c r="I441" s="103"/>
      <c r="J441" s="103"/>
      <c r="K441" s="104"/>
      <c r="L441" s="206"/>
      <c r="M441" s="206"/>
      <c r="N441" s="95"/>
      <c r="O441" s="53"/>
      <c r="P441" s="95"/>
      <c r="Q441" s="53"/>
      <c r="R441" s="225"/>
      <c r="S441" s="161"/>
      <c r="T441" s="327"/>
      <c r="U441" s="52" t="s">
        <v>50</v>
      </c>
      <c r="V441" s="73"/>
      <c r="W441" s="95"/>
      <c r="X441" s="103"/>
      <c r="Y441" s="103"/>
      <c r="Z441" s="103"/>
      <c r="AA441" s="103"/>
      <c r="AB441" s="103"/>
      <c r="AC441" s="104"/>
      <c r="AD441" s="104"/>
      <c r="AE441" s="104"/>
      <c r="AF441" s="95"/>
      <c r="AG441" s="53"/>
      <c r="AH441" s="95"/>
      <c r="AI441" s="53"/>
      <c r="AJ441" s="225"/>
      <c r="AK441" s="169"/>
      <c r="AL441" s="327"/>
      <c r="AM441" s="150" t="str">
        <f t="shared" si="426"/>
        <v/>
      </c>
      <c r="AN441" s="212" t="str">
        <f t="shared" si="427"/>
        <v/>
      </c>
      <c r="AO441" s="212" t="str">
        <f t="shared" si="428"/>
        <v/>
      </c>
      <c r="AP441" s="212" t="str">
        <f t="shared" si="429"/>
        <v/>
      </c>
      <c r="AQ441" s="151" t="str">
        <f t="shared" si="430"/>
        <v/>
      </c>
      <c r="AR441" s="68"/>
      <c r="AS441" s="69"/>
      <c r="AT441" s="68"/>
    </row>
    <row r="442" spans="2:46" ht="13.5" customHeight="1" thickBot="1" x14ac:dyDescent="0.2">
      <c r="B442" s="328"/>
      <c r="C442" s="52" t="s">
        <v>51</v>
      </c>
      <c r="D442" s="74"/>
      <c r="E442" s="98"/>
      <c r="F442" s="105"/>
      <c r="G442" s="105"/>
      <c r="H442" s="105"/>
      <c r="I442" s="105"/>
      <c r="J442" s="105"/>
      <c r="K442" s="106"/>
      <c r="L442" s="207"/>
      <c r="M442" s="207"/>
      <c r="N442" s="98"/>
      <c r="O442" s="66"/>
      <c r="P442" s="98"/>
      <c r="Q442" s="66"/>
      <c r="R442" s="225"/>
      <c r="S442" s="161"/>
      <c r="T442" s="328"/>
      <c r="U442" s="52" t="s">
        <v>51</v>
      </c>
      <c r="V442" s="74"/>
      <c r="W442" s="98"/>
      <c r="X442" s="105"/>
      <c r="Y442" s="105"/>
      <c r="Z442" s="105"/>
      <c r="AA442" s="105"/>
      <c r="AB442" s="105"/>
      <c r="AC442" s="106"/>
      <c r="AD442" s="106"/>
      <c r="AE442" s="106"/>
      <c r="AF442" s="98"/>
      <c r="AG442" s="66"/>
      <c r="AH442" s="98"/>
      <c r="AI442" s="66"/>
      <c r="AJ442" s="225"/>
      <c r="AK442" s="169"/>
      <c r="AL442" s="328"/>
      <c r="AM442" s="213" t="str">
        <f t="shared" si="426"/>
        <v/>
      </c>
      <c r="AN442" s="214" t="str">
        <f t="shared" si="427"/>
        <v/>
      </c>
      <c r="AO442" s="214" t="str">
        <f t="shared" si="428"/>
        <v/>
      </c>
      <c r="AP442" s="214" t="str">
        <f t="shared" si="429"/>
        <v/>
      </c>
      <c r="AQ442" s="215" t="str">
        <f t="shared" si="430"/>
        <v/>
      </c>
      <c r="AR442" s="68"/>
      <c r="AS442" s="69"/>
      <c r="AT442" s="68"/>
    </row>
    <row r="443" spans="2:46" ht="13.5" customHeight="1" x14ac:dyDescent="0.15">
      <c r="B443" s="326" t="s">
        <v>173</v>
      </c>
      <c r="C443" s="50" t="s">
        <v>46</v>
      </c>
      <c r="D443" s="71"/>
      <c r="E443" s="93"/>
      <c r="F443" s="101"/>
      <c r="G443" s="101"/>
      <c r="H443" s="101"/>
      <c r="I443" s="101"/>
      <c r="J443" s="101"/>
      <c r="K443" s="102"/>
      <c r="L443" s="205"/>
      <c r="M443" s="205"/>
      <c r="N443" s="93"/>
      <c r="O443" s="51"/>
      <c r="P443" s="93"/>
      <c r="Q443" s="51"/>
      <c r="R443" s="224"/>
      <c r="S443" s="161"/>
      <c r="T443" s="326" t="s">
        <v>173</v>
      </c>
      <c r="U443" s="50" t="s">
        <v>46</v>
      </c>
      <c r="V443" s="71"/>
      <c r="W443" s="93"/>
      <c r="X443" s="101"/>
      <c r="Y443" s="101"/>
      <c r="Z443" s="101"/>
      <c r="AA443" s="101"/>
      <c r="AB443" s="101"/>
      <c r="AC443" s="102"/>
      <c r="AD443" s="102"/>
      <c r="AE443" s="102"/>
      <c r="AF443" s="93"/>
      <c r="AG443" s="51"/>
      <c r="AH443" s="93"/>
      <c r="AI443" s="51"/>
      <c r="AJ443" s="224"/>
      <c r="AK443" s="169"/>
      <c r="AL443" s="326" t="s">
        <v>173</v>
      </c>
      <c r="AM443" s="210" t="str">
        <f>IF(OR(X443="",F443=""),"",X443-F443)</f>
        <v/>
      </c>
      <c r="AN443" s="171" t="str">
        <f>IF(OR(Y443="",G443=""),"",Y443-G443)</f>
        <v/>
      </c>
      <c r="AO443" s="171" t="str">
        <f>IF(OR(Z443="",H443=""),"",Z443-H443)</f>
        <v/>
      </c>
      <c r="AP443" s="171" t="str">
        <f>IF(OR(AA443="",I443=""),"",AA443-I443)</f>
        <v/>
      </c>
      <c r="AQ443" s="211" t="str">
        <f>IF(OR(AB443="",J443=""),"",AB443-J443)</f>
        <v/>
      </c>
      <c r="AR443" s="68"/>
      <c r="AS443" s="69"/>
      <c r="AT443" s="68"/>
    </row>
    <row r="444" spans="2:46" ht="13.5" customHeight="1" x14ac:dyDescent="0.15">
      <c r="B444" s="327"/>
      <c r="C444" s="52" t="s">
        <v>47</v>
      </c>
      <c r="D444" s="73"/>
      <c r="E444" s="95"/>
      <c r="F444" s="103"/>
      <c r="G444" s="103"/>
      <c r="H444" s="103"/>
      <c r="I444" s="103"/>
      <c r="J444" s="103"/>
      <c r="K444" s="104"/>
      <c r="L444" s="206"/>
      <c r="M444" s="206"/>
      <c r="N444" s="95"/>
      <c r="O444" s="53"/>
      <c r="P444" s="95"/>
      <c r="Q444" s="53"/>
      <c r="R444" s="225"/>
      <c r="S444" s="161"/>
      <c r="T444" s="327"/>
      <c r="U444" s="52" t="s">
        <v>47</v>
      </c>
      <c r="V444" s="73"/>
      <c r="W444" s="95"/>
      <c r="X444" s="103"/>
      <c r="Y444" s="103"/>
      <c r="Z444" s="103"/>
      <c r="AA444" s="103"/>
      <c r="AB444" s="103"/>
      <c r="AC444" s="104"/>
      <c r="AD444" s="104"/>
      <c r="AE444" s="104"/>
      <c r="AF444" s="95"/>
      <c r="AG444" s="53"/>
      <c r="AH444" s="95"/>
      <c r="AI444" s="53"/>
      <c r="AJ444" s="225"/>
      <c r="AK444" s="169"/>
      <c r="AL444" s="327"/>
      <c r="AM444" s="150" t="str">
        <f t="shared" ref="AM444:AM447" si="431">IF(OR(X444="",F444=""),"",X444-F444)</f>
        <v/>
      </c>
      <c r="AN444" s="212" t="str">
        <f t="shared" ref="AN444:AN447" si="432">IF(OR(Y444="",G444=""),"",Y444-G444)</f>
        <v/>
      </c>
      <c r="AO444" s="212" t="str">
        <f t="shared" ref="AO444:AO447" si="433">IF(OR(Z444="",H444=""),"",Z444-H444)</f>
        <v/>
      </c>
      <c r="AP444" s="212" t="str">
        <f t="shared" ref="AP444:AP447" si="434">IF(OR(AA444="",I444=""),"",AA444-I444)</f>
        <v/>
      </c>
      <c r="AQ444" s="151" t="str">
        <f t="shared" ref="AQ444:AQ447" si="435">IF(OR(AB444="",J444=""),"",AB444-J444)</f>
        <v/>
      </c>
      <c r="AR444" s="68"/>
      <c r="AS444" s="69"/>
      <c r="AT444" s="68"/>
    </row>
    <row r="445" spans="2:46" ht="13.5" customHeight="1" x14ac:dyDescent="0.15">
      <c r="B445" s="327"/>
      <c r="C445" s="52" t="s">
        <v>48</v>
      </c>
      <c r="D445" s="73"/>
      <c r="E445" s="95"/>
      <c r="F445" s="103"/>
      <c r="G445" s="103"/>
      <c r="H445" s="103"/>
      <c r="I445" s="103"/>
      <c r="J445" s="103"/>
      <c r="K445" s="104"/>
      <c r="L445" s="206"/>
      <c r="M445" s="206"/>
      <c r="N445" s="95"/>
      <c r="O445" s="53"/>
      <c r="P445" s="95"/>
      <c r="Q445" s="53"/>
      <c r="R445" s="225"/>
      <c r="S445" s="161"/>
      <c r="T445" s="327"/>
      <c r="U445" s="52" t="s">
        <v>48</v>
      </c>
      <c r="V445" s="73"/>
      <c r="W445" s="95"/>
      <c r="X445" s="103"/>
      <c r="Y445" s="103"/>
      <c r="Z445" s="103"/>
      <c r="AA445" s="103"/>
      <c r="AB445" s="103"/>
      <c r="AC445" s="104"/>
      <c r="AD445" s="104"/>
      <c r="AE445" s="104"/>
      <c r="AF445" s="95"/>
      <c r="AG445" s="53"/>
      <c r="AH445" s="95"/>
      <c r="AI445" s="53"/>
      <c r="AJ445" s="225"/>
      <c r="AK445" s="169"/>
      <c r="AL445" s="327"/>
      <c r="AM445" s="150" t="str">
        <f t="shared" si="431"/>
        <v/>
      </c>
      <c r="AN445" s="212" t="str">
        <f t="shared" si="432"/>
        <v/>
      </c>
      <c r="AO445" s="212" t="str">
        <f t="shared" si="433"/>
        <v/>
      </c>
      <c r="AP445" s="212" t="str">
        <f t="shared" si="434"/>
        <v/>
      </c>
      <c r="AQ445" s="151" t="str">
        <f t="shared" si="435"/>
        <v/>
      </c>
      <c r="AR445" s="68"/>
      <c r="AS445" s="69"/>
      <c r="AT445" s="68"/>
    </row>
    <row r="446" spans="2:46" ht="13.5" customHeight="1" x14ac:dyDescent="0.15">
      <c r="B446" s="327"/>
      <c r="C446" s="52" t="s">
        <v>50</v>
      </c>
      <c r="D446" s="73"/>
      <c r="E446" s="95"/>
      <c r="F446" s="103"/>
      <c r="G446" s="103"/>
      <c r="H446" s="103"/>
      <c r="I446" s="103"/>
      <c r="J446" s="103"/>
      <c r="K446" s="104"/>
      <c r="L446" s="206"/>
      <c r="M446" s="206"/>
      <c r="N446" s="95"/>
      <c r="O446" s="53"/>
      <c r="P446" s="95"/>
      <c r="Q446" s="53"/>
      <c r="R446" s="225"/>
      <c r="S446" s="161"/>
      <c r="T446" s="327"/>
      <c r="U446" s="52" t="s">
        <v>50</v>
      </c>
      <c r="V446" s="73"/>
      <c r="W446" s="95"/>
      <c r="X446" s="103"/>
      <c r="Y446" s="103"/>
      <c r="Z446" s="103"/>
      <c r="AA446" s="103"/>
      <c r="AB446" s="103"/>
      <c r="AC446" s="104"/>
      <c r="AD446" s="104"/>
      <c r="AE446" s="104"/>
      <c r="AF446" s="95"/>
      <c r="AG446" s="53"/>
      <c r="AH446" s="95"/>
      <c r="AI446" s="53"/>
      <c r="AJ446" s="225"/>
      <c r="AK446" s="169"/>
      <c r="AL446" s="327"/>
      <c r="AM446" s="150" t="str">
        <f t="shared" si="431"/>
        <v/>
      </c>
      <c r="AN446" s="212" t="str">
        <f t="shared" si="432"/>
        <v/>
      </c>
      <c r="AO446" s="212" t="str">
        <f t="shared" si="433"/>
        <v/>
      </c>
      <c r="AP446" s="212" t="str">
        <f t="shared" si="434"/>
        <v/>
      </c>
      <c r="AQ446" s="151" t="str">
        <f t="shared" si="435"/>
        <v/>
      </c>
      <c r="AR446" s="68"/>
      <c r="AS446" s="69"/>
      <c r="AT446" s="68"/>
    </row>
    <row r="447" spans="2:46" ht="13.5" customHeight="1" thickBot="1" x14ac:dyDescent="0.2">
      <c r="B447" s="328"/>
      <c r="C447" s="52" t="s">
        <v>51</v>
      </c>
      <c r="D447" s="74"/>
      <c r="E447" s="98"/>
      <c r="F447" s="105"/>
      <c r="G447" s="105"/>
      <c r="H447" s="105"/>
      <c r="I447" s="105"/>
      <c r="J447" s="105"/>
      <c r="K447" s="106"/>
      <c r="L447" s="207"/>
      <c r="M447" s="207"/>
      <c r="N447" s="98"/>
      <c r="O447" s="66"/>
      <c r="P447" s="98"/>
      <c r="Q447" s="66"/>
      <c r="R447" s="225"/>
      <c r="S447" s="161"/>
      <c r="T447" s="328"/>
      <c r="U447" s="52" t="s">
        <v>51</v>
      </c>
      <c r="V447" s="74"/>
      <c r="W447" s="98"/>
      <c r="X447" s="105"/>
      <c r="Y447" s="105"/>
      <c r="Z447" s="105"/>
      <c r="AA447" s="105"/>
      <c r="AB447" s="105"/>
      <c r="AC447" s="106"/>
      <c r="AD447" s="106"/>
      <c r="AE447" s="106"/>
      <c r="AF447" s="98"/>
      <c r="AG447" s="66"/>
      <c r="AH447" s="98"/>
      <c r="AI447" s="66"/>
      <c r="AJ447" s="225"/>
      <c r="AK447" s="169"/>
      <c r="AL447" s="328"/>
      <c r="AM447" s="213" t="str">
        <f t="shared" si="431"/>
        <v/>
      </c>
      <c r="AN447" s="214" t="str">
        <f t="shared" si="432"/>
        <v/>
      </c>
      <c r="AO447" s="214" t="str">
        <f t="shared" si="433"/>
        <v/>
      </c>
      <c r="AP447" s="214" t="str">
        <f t="shared" si="434"/>
        <v/>
      </c>
      <c r="AQ447" s="215" t="str">
        <f t="shared" si="435"/>
        <v/>
      </c>
      <c r="AR447" s="68"/>
      <c r="AS447" s="69"/>
      <c r="AT447" s="68"/>
    </row>
    <row r="448" spans="2:46" ht="13.5" customHeight="1" x14ac:dyDescent="0.15">
      <c r="B448" s="326" t="s">
        <v>174</v>
      </c>
      <c r="C448" s="50" t="s">
        <v>46</v>
      </c>
      <c r="D448" s="71"/>
      <c r="E448" s="93"/>
      <c r="F448" s="101"/>
      <c r="G448" s="101"/>
      <c r="H448" s="101"/>
      <c r="I448" s="101"/>
      <c r="J448" s="101"/>
      <c r="K448" s="102"/>
      <c r="L448" s="205"/>
      <c r="M448" s="205"/>
      <c r="N448" s="93"/>
      <c r="O448" s="51"/>
      <c r="P448" s="93"/>
      <c r="Q448" s="51"/>
      <c r="R448" s="224"/>
      <c r="S448" s="161"/>
      <c r="T448" s="326" t="s">
        <v>174</v>
      </c>
      <c r="U448" s="50" t="s">
        <v>46</v>
      </c>
      <c r="V448" s="71"/>
      <c r="W448" s="93"/>
      <c r="X448" s="101"/>
      <c r="Y448" s="101"/>
      <c r="Z448" s="101"/>
      <c r="AA448" s="101"/>
      <c r="AB448" s="101"/>
      <c r="AC448" s="102"/>
      <c r="AD448" s="102"/>
      <c r="AE448" s="102"/>
      <c r="AF448" s="93"/>
      <c r="AG448" s="51"/>
      <c r="AH448" s="93"/>
      <c r="AI448" s="51"/>
      <c r="AJ448" s="224"/>
      <c r="AK448" s="169"/>
      <c r="AL448" s="326" t="s">
        <v>174</v>
      </c>
      <c r="AM448" s="210" t="str">
        <f>IF(OR(X448="",F448=""),"",X448-F448)</f>
        <v/>
      </c>
      <c r="AN448" s="171" t="str">
        <f>IF(OR(Y448="",G448=""),"",Y448-G448)</f>
        <v/>
      </c>
      <c r="AO448" s="171" t="str">
        <f>IF(OR(Z448="",H448=""),"",Z448-H448)</f>
        <v/>
      </c>
      <c r="AP448" s="171" t="str">
        <f>IF(OR(AA448="",I448=""),"",AA448-I448)</f>
        <v/>
      </c>
      <c r="AQ448" s="211" t="str">
        <f>IF(OR(AB448="",J448=""),"",AB448-J448)</f>
        <v/>
      </c>
      <c r="AR448" s="68"/>
      <c r="AS448" s="69"/>
      <c r="AT448" s="68"/>
    </row>
    <row r="449" spans="2:46" ht="13.5" customHeight="1" x14ac:dyDescent="0.15">
      <c r="B449" s="327"/>
      <c r="C449" s="52" t="s">
        <v>47</v>
      </c>
      <c r="D449" s="73"/>
      <c r="E449" s="95"/>
      <c r="F449" s="103"/>
      <c r="G449" s="103"/>
      <c r="H449" s="103"/>
      <c r="I449" s="103"/>
      <c r="J449" s="103"/>
      <c r="K449" s="104"/>
      <c r="L449" s="206"/>
      <c r="M449" s="206"/>
      <c r="N449" s="95"/>
      <c r="O449" s="53"/>
      <c r="P449" s="95"/>
      <c r="Q449" s="53"/>
      <c r="R449" s="225"/>
      <c r="S449" s="161"/>
      <c r="T449" s="327"/>
      <c r="U449" s="52" t="s">
        <v>47</v>
      </c>
      <c r="V449" s="73"/>
      <c r="W449" s="95"/>
      <c r="X449" s="103"/>
      <c r="Y449" s="103"/>
      <c r="Z449" s="103"/>
      <c r="AA449" s="103"/>
      <c r="AB449" s="103"/>
      <c r="AC449" s="104"/>
      <c r="AD449" s="104"/>
      <c r="AE449" s="104"/>
      <c r="AF449" s="95"/>
      <c r="AG449" s="53"/>
      <c r="AH449" s="95"/>
      <c r="AI449" s="53"/>
      <c r="AJ449" s="225"/>
      <c r="AK449" s="169"/>
      <c r="AL449" s="327"/>
      <c r="AM449" s="150" t="str">
        <f t="shared" ref="AM449:AM452" si="436">IF(OR(X449="",F449=""),"",X449-F449)</f>
        <v/>
      </c>
      <c r="AN449" s="212" t="str">
        <f t="shared" ref="AN449:AN452" si="437">IF(OR(Y449="",G449=""),"",Y449-G449)</f>
        <v/>
      </c>
      <c r="AO449" s="212" t="str">
        <f t="shared" ref="AO449:AO452" si="438">IF(OR(Z449="",H449=""),"",Z449-H449)</f>
        <v/>
      </c>
      <c r="AP449" s="212" t="str">
        <f t="shared" ref="AP449:AP452" si="439">IF(OR(AA449="",I449=""),"",AA449-I449)</f>
        <v/>
      </c>
      <c r="AQ449" s="151" t="str">
        <f t="shared" ref="AQ449:AQ452" si="440">IF(OR(AB449="",J449=""),"",AB449-J449)</f>
        <v/>
      </c>
      <c r="AR449" s="68"/>
      <c r="AS449" s="69"/>
      <c r="AT449" s="68"/>
    </row>
    <row r="450" spans="2:46" ht="13.5" customHeight="1" x14ac:dyDescent="0.15">
      <c r="B450" s="327"/>
      <c r="C450" s="52" t="s">
        <v>48</v>
      </c>
      <c r="D450" s="73"/>
      <c r="E450" s="95"/>
      <c r="F450" s="103"/>
      <c r="G450" s="103"/>
      <c r="H450" s="103"/>
      <c r="I450" s="103"/>
      <c r="J450" s="103"/>
      <c r="K450" s="104"/>
      <c r="L450" s="206"/>
      <c r="M450" s="206"/>
      <c r="N450" s="95"/>
      <c r="O450" s="53"/>
      <c r="P450" s="95"/>
      <c r="Q450" s="53"/>
      <c r="R450" s="225"/>
      <c r="S450" s="161"/>
      <c r="T450" s="327"/>
      <c r="U450" s="52" t="s">
        <v>48</v>
      </c>
      <c r="V450" s="73"/>
      <c r="W450" s="95"/>
      <c r="X450" s="103"/>
      <c r="Y450" s="103"/>
      <c r="Z450" s="103"/>
      <c r="AA450" s="103"/>
      <c r="AB450" s="103"/>
      <c r="AC450" s="104"/>
      <c r="AD450" s="104"/>
      <c r="AE450" s="104"/>
      <c r="AF450" s="95"/>
      <c r="AG450" s="53"/>
      <c r="AH450" s="95"/>
      <c r="AI450" s="53"/>
      <c r="AJ450" s="225"/>
      <c r="AK450" s="169"/>
      <c r="AL450" s="327"/>
      <c r="AM450" s="150" t="str">
        <f t="shared" si="436"/>
        <v/>
      </c>
      <c r="AN450" s="212" t="str">
        <f t="shared" si="437"/>
        <v/>
      </c>
      <c r="AO450" s="212" t="str">
        <f t="shared" si="438"/>
        <v/>
      </c>
      <c r="AP450" s="212" t="str">
        <f t="shared" si="439"/>
        <v/>
      </c>
      <c r="AQ450" s="151" t="str">
        <f t="shared" si="440"/>
        <v/>
      </c>
      <c r="AR450" s="68"/>
      <c r="AS450" s="69"/>
      <c r="AT450" s="68"/>
    </row>
    <row r="451" spans="2:46" ht="13.5" customHeight="1" x14ac:dyDescent="0.15">
      <c r="B451" s="327"/>
      <c r="C451" s="52" t="s">
        <v>50</v>
      </c>
      <c r="D451" s="73"/>
      <c r="E451" s="95"/>
      <c r="F451" s="103"/>
      <c r="G451" s="103"/>
      <c r="H451" s="103"/>
      <c r="I451" s="103"/>
      <c r="J451" s="103"/>
      <c r="K451" s="104"/>
      <c r="L451" s="206"/>
      <c r="M451" s="206"/>
      <c r="N451" s="95"/>
      <c r="O451" s="53"/>
      <c r="P451" s="95"/>
      <c r="Q451" s="53"/>
      <c r="R451" s="225"/>
      <c r="S451" s="161"/>
      <c r="T451" s="327"/>
      <c r="U451" s="52" t="s">
        <v>50</v>
      </c>
      <c r="V451" s="73"/>
      <c r="W451" s="95"/>
      <c r="X451" s="103"/>
      <c r="Y451" s="103"/>
      <c r="Z451" s="103"/>
      <c r="AA451" s="103"/>
      <c r="AB451" s="103"/>
      <c r="AC451" s="104"/>
      <c r="AD451" s="104"/>
      <c r="AE451" s="104"/>
      <c r="AF451" s="95"/>
      <c r="AG451" s="53"/>
      <c r="AH451" s="95"/>
      <c r="AI451" s="53"/>
      <c r="AJ451" s="225"/>
      <c r="AK451" s="169"/>
      <c r="AL451" s="327"/>
      <c r="AM451" s="150" t="str">
        <f t="shared" si="436"/>
        <v/>
      </c>
      <c r="AN451" s="212" t="str">
        <f t="shared" si="437"/>
        <v/>
      </c>
      <c r="AO451" s="212" t="str">
        <f t="shared" si="438"/>
        <v/>
      </c>
      <c r="AP451" s="212" t="str">
        <f t="shared" si="439"/>
        <v/>
      </c>
      <c r="AQ451" s="151" t="str">
        <f t="shared" si="440"/>
        <v/>
      </c>
      <c r="AR451" s="68"/>
      <c r="AS451" s="69"/>
      <c r="AT451" s="68"/>
    </row>
    <row r="452" spans="2:46" ht="13.5" customHeight="1" thickBot="1" x14ac:dyDescent="0.2">
      <c r="B452" s="328"/>
      <c r="C452" s="52" t="s">
        <v>51</v>
      </c>
      <c r="D452" s="74"/>
      <c r="E452" s="98"/>
      <c r="F452" s="105"/>
      <c r="G452" s="105"/>
      <c r="H452" s="105"/>
      <c r="I452" s="105"/>
      <c r="J452" s="105"/>
      <c r="K452" s="106"/>
      <c r="L452" s="207"/>
      <c r="M452" s="207"/>
      <c r="N452" s="98"/>
      <c r="O452" s="66"/>
      <c r="P452" s="98"/>
      <c r="Q452" s="66"/>
      <c r="R452" s="225"/>
      <c r="S452" s="161"/>
      <c r="T452" s="328"/>
      <c r="U452" s="52" t="s">
        <v>51</v>
      </c>
      <c r="V452" s="74"/>
      <c r="W452" s="98"/>
      <c r="X452" s="105"/>
      <c r="Y452" s="105"/>
      <c r="Z452" s="105"/>
      <c r="AA452" s="105"/>
      <c r="AB452" s="105"/>
      <c r="AC452" s="106"/>
      <c r="AD452" s="106"/>
      <c r="AE452" s="106"/>
      <c r="AF452" s="98"/>
      <c r="AG452" s="66"/>
      <c r="AH452" s="98"/>
      <c r="AI452" s="66"/>
      <c r="AJ452" s="225"/>
      <c r="AK452" s="169"/>
      <c r="AL452" s="328"/>
      <c r="AM452" s="213" t="str">
        <f t="shared" si="436"/>
        <v/>
      </c>
      <c r="AN452" s="214" t="str">
        <f t="shared" si="437"/>
        <v/>
      </c>
      <c r="AO452" s="214" t="str">
        <f t="shared" si="438"/>
        <v/>
      </c>
      <c r="AP452" s="214" t="str">
        <f t="shared" si="439"/>
        <v/>
      </c>
      <c r="AQ452" s="215" t="str">
        <f t="shared" si="440"/>
        <v/>
      </c>
      <c r="AR452" s="68"/>
      <c r="AS452" s="69"/>
      <c r="AT452" s="68"/>
    </row>
    <row r="453" spans="2:46" ht="13.5" customHeight="1" x14ac:dyDescent="0.15">
      <c r="B453" s="326" t="s">
        <v>175</v>
      </c>
      <c r="C453" s="50" t="s">
        <v>46</v>
      </c>
      <c r="D453" s="71"/>
      <c r="E453" s="93"/>
      <c r="F453" s="101"/>
      <c r="G453" s="101"/>
      <c r="H453" s="101"/>
      <c r="I453" s="101"/>
      <c r="J453" s="101"/>
      <c r="K453" s="102"/>
      <c r="L453" s="205"/>
      <c r="M453" s="205"/>
      <c r="N453" s="93"/>
      <c r="O453" s="51"/>
      <c r="P453" s="93"/>
      <c r="Q453" s="51"/>
      <c r="R453" s="224"/>
      <c r="S453" s="161"/>
      <c r="T453" s="326" t="s">
        <v>175</v>
      </c>
      <c r="U453" s="50" t="s">
        <v>46</v>
      </c>
      <c r="V453" s="71"/>
      <c r="W453" s="93"/>
      <c r="X453" s="101"/>
      <c r="Y453" s="101"/>
      <c r="Z453" s="101"/>
      <c r="AA453" s="101"/>
      <c r="AB453" s="101"/>
      <c r="AC453" s="102"/>
      <c r="AD453" s="102"/>
      <c r="AE453" s="102"/>
      <c r="AF453" s="93"/>
      <c r="AG453" s="51"/>
      <c r="AH453" s="93"/>
      <c r="AI453" s="51"/>
      <c r="AJ453" s="224"/>
      <c r="AK453" s="169"/>
      <c r="AL453" s="326" t="s">
        <v>175</v>
      </c>
      <c r="AM453" s="210" t="str">
        <f>IF(OR(X453="",F453=""),"",X453-F453)</f>
        <v/>
      </c>
      <c r="AN453" s="171" t="str">
        <f>IF(OR(Y453="",G453=""),"",Y453-G453)</f>
        <v/>
      </c>
      <c r="AO453" s="171" t="str">
        <f>IF(OR(Z453="",H453=""),"",Z453-H453)</f>
        <v/>
      </c>
      <c r="AP453" s="171" t="str">
        <f>IF(OR(AA453="",I453=""),"",AA453-I453)</f>
        <v/>
      </c>
      <c r="AQ453" s="211" t="str">
        <f>IF(OR(AB453="",J453=""),"",AB453-J453)</f>
        <v/>
      </c>
      <c r="AR453" s="68"/>
      <c r="AS453" s="69"/>
      <c r="AT453" s="68"/>
    </row>
    <row r="454" spans="2:46" ht="13.5" customHeight="1" x14ac:dyDescent="0.15">
      <c r="B454" s="327"/>
      <c r="C454" s="52" t="s">
        <v>47</v>
      </c>
      <c r="D454" s="73"/>
      <c r="E454" s="95"/>
      <c r="F454" s="103"/>
      <c r="G454" s="103"/>
      <c r="H454" s="103"/>
      <c r="I454" s="103"/>
      <c r="J454" s="103"/>
      <c r="K454" s="104"/>
      <c r="L454" s="206"/>
      <c r="M454" s="206"/>
      <c r="N454" s="95"/>
      <c r="O454" s="53"/>
      <c r="P454" s="95"/>
      <c r="Q454" s="53"/>
      <c r="R454" s="225"/>
      <c r="S454" s="161"/>
      <c r="T454" s="327"/>
      <c r="U454" s="52" t="s">
        <v>47</v>
      </c>
      <c r="V454" s="73"/>
      <c r="W454" s="95"/>
      <c r="X454" s="103"/>
      <c r="Y454" s="103"/>
      <c r="Z454" s="103"/>
      <c r="AA454" s="103"/>
      <c r="AB454" s="103"/>
      <c r="AC454" s="104"/>
      <c r="AD454" s="104"/>
      <c r="AE454" s="104"/>
      <c r="AF454" s="95"/>
      <c r="AG454" s="53"/>
      <c r="AH454" s="95"/>
      <c r="AI454" s="53"/>
      <c r="AJ454" s="225"/>
      <c r="AK454" s="169"/>
      <c r="AL454" s="327"/>
      <c r="AM454" s="150" t="str">
        <f t="shared" ref="AM454:AM457" si="441">IF(OR(X454="",F454=""),"",X454-F454)</f>
        <v/>
      </c>
      <c r="AN454" s="212" t="str">
        <f t="shared" ref="AN454:AN457" si="442">IF(OR(Y454="",G454=""),"",Y454-G454)</f>
        <v/>
      </c>
      <c r="AO454" s="212" t="str">
        <f t="shared" ref="AO454:AO457" si="443">IF(OR(Z454="",H454=""),"",Z454-H454)</f>
        <v/>
      </c>
      <c r="AP454" s="212" t="str">
        <f t="shared" ref="AP454:AP457" si="444">IF(OR(AA454="",I454=""),"",AA454-I454)</f>
        <v/>
      </c>
      <c r="AQ454" s="151" t="str">
        <f t="shared" ref="AQ454:AQ457" si="445">IF(OR(AB454="",J454=""),"",AB454-J454)</f>
        <v/>
      </c>
      <c r="AR454" s="68"/>
      <c r="AS454" s="69"/>
      <c r="AT454" s="68"/>
    </row>
    <row r="455" spans="2:46" ht="13.5" customHeight="1" x14ac:dyDescent="0.15">
      <c r="B455" s="327"/>
      <c r="C455" s="52" t="s">
        <v>48</v>
      </c>
      <c r="D455" s="73"/>
      <c r="E455" s="95"/>
      <c r="F455" s="103"/>
      <c r="G455" s="103"/>
      <c r="H455" s="103"/>
      <c r="I455" s="103"/>
      <c r="J455" s="103"/>
      <c r="K455" s="104"/>
      <c r="L455" s="206"/>
      <c r="M455" s="206"/>
      <c r="N455" s="95"/>
      <c r="O455" s="53"/>
      <c r="P455" s="95"/>
      <c r="Q455" s="53"/>
      <c r="R455" s="225"/>
      <c r="S455" s="161"/>
      <c r="T455" s="327"/>
      <c r="U455" s="52" t="s">
        <v>48</v>
      </c>
      <c r="V455" s="73"/>
      <c r="W455" s="95"/>
      <c r="X455" s="103"/>
      <c r="Y455" s="103"/>
      <c r="Z455" s="103"/>
      <c r="AA455" s="103"/>
      <c r="AB455" s="103"/>
      <c r="AC455" s="104"/>
      <c r="AD455" s="104"/>
      <c r="AE455" s="104"/>
      <c r="AF455" s="95"/>
      <c r="AG455" s="53"/>
      <c r="AH455" s="95"/>
      <c r="AI455" s="53"/>
      <c r="AJ455" s="225"/>
      <c r="AK455" s="169"/>
      <c r="AL455" s="327"/>
      <c r="AM455" s="150" t="str">
        <f t="shared" si="441"/>
        <v/>
      </c>
      <c r="AN455" s="212" t="str">
        <f t="shared" si="442"/>
        <v/>
      </c>
      <c r="AO455" s="212" t="str">
        <f t="shared" si="443"/>
        <v/>
      </c>
      <c r="AP455" s="212" t="str">
        <f t="shared" si="444"/>
        <v/>
      </c>
      <c r="AQ455" s="151" t="str">
        <f t="shared" si="445"/>
        <v/>
      </c>
      <c r="AR455" s="68"/>
      <c r="AS455" s="69"/>
      <c r="AT455" s="68"/>
    </row>
    <row r="456" spans="2:46" ht="13.5" customHeight="1" x14ac:dyDescent="0.15">
      <c r="B456" s="327"/>
      <c r="C456" s="52" t="s">
        <v>50</v>
      </c>
      <c r="D456" s="73"/>
      <c r="E456" s="95"/>
      <c r="F456" s="103"/>
      <c r="G456" s="103"/>
      <c r="H456" s="103"/>
      <c r="I456" s="103"/>
      <c r="J456" s="103"/>
      <c r="K456" s="104"/>
      <c r="L456" s="206"/>
      <c r="M456" s="206"/>
      <c r="N456" s="95"/>
      <c r="O456" s="53"/>
      <c r="P456" s="95"/>
      <c r="Q456" s="53"/>
      <c r="R456" s="225"/>
      <c r="S456" s="161"/>
      <c r="T456" s="327"/>
      <c r="U456" s="52" t="s">
        <v>50</v>
      </c>
      <c r="V456" s="73"/>
      <c r="W456" s="95"/>
      <c r="X456" s="103"/>
      <c r="Y456" s="103"/>
      <c r="Z456" s="103"/>
      <c r="AA456" s="103"/>
      <c r="AB456" s="103"/>
      <c r="AC456" s="104"/>
      <c r="AD456" s="104"/>
      <c r="AE456" s="104"/>
      <c r="AF456" s="95"/>
      <c r="AG456" s="53"/>
      <c r="AH456" s="95"/>
      <c r="AI456" s="53"/>
      <c r="AJ456" s="225"/>
      <c r="AK456" s="169"/>
      <c r="AL456" s="327"/>
      <c r="AM456" s="150" t="str">
        <f t="shared" si="441"/>
        <v/>
      </c>
      <c r="AN456" s="212" t="str">
        <f t="shared" si="442"/>
        <v/>
      </c>
      <c r="AO456" s="212" t="str">
        <f t="shared" si="443"/>
        <v/>
      </c>
      <c r="AP456" s="212" t="str">
        <f t="shared" si="444"/>
        <v/>
      </c>
      <c r="AQ456" s="151" t="str">
        <f t="shared" si="445"/>
        <v/>
      </c>
      <c r="AR456" s="68"/>
      <c r="AS456" s="69"/>
      <c r="AT456" s="68"/>
    </row>
    <row r="457" spans="2:46" ht="13.5" customHeight="1" thickBot="1" x14ac:dyDescent="0.2">
      <c r="B457" s="328"/>
      <c r="C457" s="52" t="s">
        <v>51</v>
      </c>
      <c r="D457" s="74"/>
      <c r="E457" s="98"/>
      <c r="F457" s="105"/>
      <c r="G457" s="105"/>
      <c r="H457" s="105"/>
      <c r="I457" s="105"/>
      <c r="J457" s="105"/>
      <c r="K457" s="106"/>
      <c r="L457" s="207"/>
      <c r="M457" s="207"/>
      <c r="N457" s="98"/>
      <c r="O457" s="66"/>
      <c r="P457" s="98"/>
      <c r="Q457" s="66"/>
      <c r="R457" s="225"/>
      <c r="S457" s="161"/>
      <c r="T457" s="328"/>
      <c r="U457" s="52" t="s">
        <v>51</v>
      </c>
      <c r="V457" s="74"/>
      <c r="W457" s="98"/>
      <c r="X457" s="105"/>
      <c r="Y457" s="105"/>
      <c r="Z457" s="105"/>
      <c r="AA457" s="105"/>
      <c r="AB457" s="105"/>
      <c r="AC457" s="106"/>
      <c r="AD457" s="106"/>
      <c r="AE457" s="106"/>
      <c r="AF457" s="98"/>
      <c r="AG457" s="66"/>
      <c r="AH457" s="98"/>
      <c r="AI457" s="66"/>
      <c r="AJ457" s="225"/>
      <c r="AK457" s="169"/>
      <c r="AL457" s="328"/>
      <c r="AM457" s="213" t="str">
        <f t="shared" si="441"/>
        <v/>
      </c>
      <c r="AN457" s="214" t="str">
        <f t="shared" si="442"/>
        <v/>
      </c>
      <c r="AO457" s="214" t="str">
        <f t="shared" si="443"/>
        <v/>
      </c>
      <c r="AP457" s="214" t="str">
        <f t="shared" si="444"/>
        <v/>
      </c>
      <c r="AQ457" s="215" t="str">
        <f t="shared" si="445"/>
        <v/>
      </c>
      <c r="AR457" s="68"/>
      <c r="AS457" s="69"/>
      <c r="AT457" s="68"/>
    </row>
    <row r="458" spans="2:46" ht="13.5" customHeight="1" x14ac:dyDescent="0.15">
      <c r="B458" s="326" t="s">
        <v>176</v>
      </c>
      <c r="C458" s="50" t="s">
        <v>46</v>
      </c>
      <c r="D458" s="71"/>
      <c r="E458" s="93"/>
      <c r="F458" s="101"/>
      <c r="G458" s="101"/>
      <c r="H458" s="101"/>
      <c r="I458" s="101"/>
      <c r="J458" s="101"/>
      <c r="K458" s="102"/>
      <c r="L458" s="205"/>
      <c r="M458" s="205"/>
      <c r="N458" s="93"/>
      <c r="O458" s="51"/>
      <c r="P458" s="93"/>
      <c r="Q458" s="51"/>
      <c r="R458" s="224"/>
      <c r="S458" s="161"/>
      <c r="T458" s="326" t="s">
        <v>176</v>
      </c>
      <c r="U458" s="50" t="s">
        <v>46</v>
      </c>
      <c r="V458" s="71"/>
      <c r="W458" s="93"/>
      <c r="X458" s="101"/>
      <c r="Y458" s="101"/>
      <c r="Z458" s="101"/>
      <c r="AA458" s="101"/>
      <c r="AB458" s="101"/>
      <c r="AC458" s="102"/>
      <c r="AD458" s="102"/>
      <c r="AE458" s="102"/>
      <c r="AF458" s="93"/>
      <c r="AG458" s="51"/>
      <c r="AH458" s="93"/>
      <c r="AI458" s="51"/>
      <c r="AJ458" s="224"/>
      <c r="AK458" s="169"/>
      <c r="AL458" s="326" t="s">
        <v>176</v>
      </c>
      <c r="AM458" s="210" t="str">
        <f>IF(OR(X458="",F458=""),"",X458-F458)</f>
        <v/>
      </c>
      <c r="AN458" s="171" t="str">
        <f>IF(OR(Y458="",G458=""),"",Y458-G458)</f>
        <v/>
      </c>
      <c r="AO458" s="171" t="str">
        <f>IF(OR(Z458="",H458=""),"",Z458-H458)</f>
        <v/>
      </c>
      <c r="AP458" s="171" t="str">
        <f>IF(OR(AA458="",I458=""),"",AA458-I458)</f>
        <v/>
      </c>
      <c r="AQ458" s="211" t="str">
        <f>IF(OR(AB458="",J458=""),"",AB458-J458)</f>
        <v/>
      </c>
      <c r="AR458" s="68"/>
      <c r="AS458" s="69"/>
      <c r="AT458" s="68"/>
    </row>
    <row r="459" spans="2:46" ht="13.5" customHeight="1" x14ac:dyDescent="0.15">
      <c r="B459" s="327"/>
      <c r="C459" s="52" t="s">
        <v>47</v>
      </c>
      <c r="D459" s="73"/>
      <c r="E459" s="95"/>
      <c r="F459" s="103"/>
      <c r="G459" s="103"/>
      <c r="H459" s="103"/>
      <c r="I459" s="103"/>
      <c r="J459" s="103"/>
      <c r="K459" s="104"/>
      <c r="L459" s="206"/>
      <c r="M459" s="206"/>
      <c r="N459" s="95"/>
      <c r="O459" s="53"/>
      <c r="P459" s="95"/>
      <c r="Q459" s="53"/>
      <c r="R459" s="225"/>
      <c r="S459" s="161"/>
      <c r="T459" s="327"/>
      <c r="U459" s="52" t="s">
        <v>47</v>
      </c>
      <c r="V459" s="73"/>
      <c r="W459" s="95"/>
      <c r="X459" s="103"/>
      <c r="Y459" s="103"/>
      <c r="Z459" s="103"/>
      <c r="AA459" s="103"/>
      <c r="AB459" s="103"/>
      <c r="AC459" s="104"/>
      <c r="AD459" s="104"/>
      <c r="AE459" s="104"/>
      <c r="AF459" s="95"/>
      <c r="AG459" s="53"/>
      <c r="AH459" s="95"/>
      <c r="AI459" s="53"/>
      <c r="AJ459" s="225"/>
      <c r="AK459" s="169"/>
      <c r="AL459" s="327"/>
      <c r="AM459" s="150" t="str">
        <f t="shared" ref="AM459:AM462" si="446">IF(OR(X459="",F459=""),"",X459-F459)</f>
        <v/>
      </c>
      <c r="AN459" s="212" t="str">
        <f t="shared" ref="AN459:AN462" si="447">IF(OR(Y459="",G459=""),"",Y459-G459)</f>
        <v/>
      </c>
      <c r="AO459" s="212" t="str">
        <f t="shared" ref="AO459:AO462" si="448">IF(OR(Z459="",H459=""),"",Z459-H459)</f>
        <v/>
      </c>
      <c r="AP459" s="212" t="str">
        <f t="shared" ref="AP459:AP462" si="449">IF(OR(AA459="",I459=""),"",AA459-I459)</f>
        <v/>
      </c>
      <c r="AQ459" s="151" t="str">
        <f t="shared" ref="AQ459:AQ462" si="450">IF(OR(AB459="",J459=""),"",AB459-J459)</f>
        <v/>
      </c>
      <c r="AR459" s="68"/>
      <c r="AS459" s="69"/>
      <c r="AT459" s="68"/>
    </row>
    <row r="460" spans="2:46" ht="13.5" customHeight="1" x14ac:dyDescent="0.15">
      <c r="B460" s="327"/>
      <c r="C460" s="52" t="s">
        <v>48</v>
      </c>
      <c r="D460" s="73"/>
      <c r="E460" s="95"/>
      <c r="F460" s="103"/>
      <c r="G460" s="103"/>
      <c r="H460" s="103"/>
      <c r="I460" s="103"/>
      <c r="J460" s="103"/>
      <c r="K460" s="104"/>
      <c r="L460" s="206"/>
      <c r="M460" s="206"/>
      <c r="N460" s="95"/>
      <c r="O460" s="53"/>
      <c r="P460" s="95"/>
      <c r="Q460" s="53"/>
      <c r="R460" s="225"/>
      <c r="S460" s="161"/>
      <c r="T460" s="327"/>
      <c r="U460" s="52" t="s">
        <v>48</v>
      </c>
      <c r="V460" s="73"/>
      <c r="W460" s="95"/>
      <c r="X460" s="103"/>
      <c r="Y460" s="103"/>
      <c r="Z460" s="103"/>
      <c r="AA460" s="103"/>
      <c r="AB460" s="103"/>
      <c r="AC460" s="104"/>
      <c r="AD460" s="104"/>
      <c r="AE460" s="104"/>
      <c r="AF460" s="95"/>
      <c r="AG460" s="53"/>
      <c r="AH460" s="95"/>
      <c r="AI460" s="53"/>
      <c r="AJ460" s="225"/>
      <c r="AK460" s="169"/>
      <c r="AL460" s="327"/>
      <c r="AM460" s="150" t="str">
        <f t="shared" si="446"/>
        <v/>
      </c>
      <c r="AN460" s="212" t="str">
        <f t="shared" si="447"/>
        <v/>
      </c>
      <c r="AO460" s="212" t="str">
        <f t="shared" si="448"/>
        <v/>
      </c>
      <c r="AP460" s="212" t="str">
        <f t="shared" si="449"/>
        <v/>
      </c>
      <c r="AQ460" s="151" t="str">
        <f t="shared" si="450"/>
        <v/>
      </c>
      <c r="AR460" s="68"/>
      <c r="AS460" s="69"/>
      <c r="AT460" s="68"/>
    </row>
    <row r="461" spans="2:46" ht="13.5" customHeight="1" x14ac:dyDescent="0.15">
      <c r="B461" s="327"/>
      <c r="C461" s="52" t="s">
        <v>50</v>
      </c>
      <c r="D461" s="73"/>
      <c r="E461" s="95"/>
      <c r="F461" s="103"/>
      <c r="G461" s="103"/>
      <c r="H461" s="103"/>
      <c r="I461" s="103"/>
      <c r="J461" s="103"/>
      <c r="K461" s="104"/>
      <c r="L461" s="206"/>
      <c r="M461" s="206"/>
      <c r="N461" s="95"/>
      <c r="O461" s="53"/>
      <c r="P461" s="95"/>
      <c r="Q461" s="53"/>
      <c r="R461" s="225"/>
      <c r="S461" s="161"/>
      <c r="T461" s="327"/>
      <c r="U461" s="52" t="s">
        <v>50</v>
      </c>
      <c r="V461" s="73"/>
      <c r="W461" s="95"/>
      <c r="X461" s="103"/>
      <c r="Y461" s="103"/>
      <c r="Z461" s="103"/>
      <c r="AA461" s="103"/>
      <c r="AB461" s="103"/>
      <c r="AC461" s="104"/>
      <c r="AD461" s="104"/>
      <c r="AE461" s="104"/>
      <c r="AF461" s="95"/>
      <c r="AG461" s="53"/>
      <c r="AH461" s="95"/>
      <c r="AI461" s="53"/>
      <c r="AJ461" s="225"/>
      <c r="AK461" s="169"/>
      <c r="AL461" s="327"/>
      <c r="AM461" s="150" t="str">
        <f t="shared" si="446"/>
        <v/>
      </c>
      <c r="AN461" s="212" t="str">
        <f t="shared" si="447"/>
        <v/>
      </c>
      <c r="AO461" s="212" t="str">
        <f t="shared" si="448"/>
        <v/>
      </c>
      <c r="AP461" s="212" t="str">
        <f t="shared" si="449"/>
        <v/>
      </c>
      <c r="AQ461" s="151" t="str">
        <f t="shared" si="450"/>
        <v/>
      </c>
      <c r="AR461" s="68"/>
      <c r="AS461" s="69"/>
      <c r="AT461" s="68"/>
    </row>
    <row r="462" spans="2:46" ht="13.5" customHeight="1" thickBot="1" x14ac:dyDescent="0.2">
      <c r="B462" s="328"/>
      <c r="C462" s="54" t="s">
        <v>51</v>
      </c>
      <c r="D462" s="74"/>
      <c r="E462" s="98"/>
      <c r="F462" s="105"/>
      <c r="G462" s="105"/>
      <c r="H462" s="105"/>
      <c r="I462" s="105"/>
      <c r="J462" s="105"/>
      <c r="K462" s="106"/>
      <c r="L462" s="207"/>
      <c r="M462" s="207"/>
      <c r="N462" s="98"/>
      <c r="O462" s="66"/>
      <c r="P462" s="98"/>
      <c r="Q462" s="66"/>
      <c r="R462" s="226"/>
      <c r="S462" s="161"/>
      <c r="T462" s="328"/>
      <c r="U462" s="54" t="s">
        <v>51</v>
      </c>
      <c r="V462" s="74"/>
      <c r="W462" s="98"/>
      <c r="X462" s="105"/>
      <c r="Y462" s="105"/>
      <c r="Z462" s="105"/>
      <c r="AA462" s="105"/>
      <c r="AB462" s="105"/>
      <c r="AC462" s="106"/>
      <c r="AD462" s="106"/>
      <c r="AE462" s="106"/>
      <c r="AF462" s="98"/>
      <c r="AG462" s="66"/>
      <c r="AH462" s="98"/>
      <c r="AI462" s="66"/>
      <c r="AJ462" s="226"/>
      <c r="AK462" s="169"/>
      <c r="AL462" s="328"/>
      <c r="AM462" s="213" t="str">
        <f t="shared" si="446"/>
        <v/>
      </c>
      <c r="AN462" s="214" t="str">
        <f t="shared" si="447"/>
        <v/>
      </c>
      <c r="AO462" s="214" t="str">
        <f t="shared" si="448"/>
        <v/>
      </c>
      <c r="AP462" s="214" t="str">
        <f t="shared" si="449"/>
        <v/>
      </c>
      <c r="AQ462" s="215" t="str">
        <f t="shared" si="450"/>
        <v/>
      </c>
      <c r="AR462" s="68"/>
      <c r="AS462" s="69"/>
      <c r="AT462" s="68"/>
    </row>
    <row r="463" spans="2:46" ht="13.5" customHeight="1" x14ac:dyDescent="0.15">
      <c r="B463" s="326" t="s">
        <v>177</v>
      </c>
      <c r="C463" s="50" t="s">
        <v>46</v>
      </c>
      <c r="D463" s="71"/>
      <c r="E463" s="93"/>
      <c r="F463" s="101"/>
      <c r="G463" s="101"/>
      <c r="H463" s="101"/>
      <c r="I463" s="101"/>
      <c r="J463" s="101"/>
      <c r="K463" s="102"/>
      <c r="L463" s="205"/>
      <c r="M463" s="205"/>
      <c r="N463" s="93"/>
      <c r="O463" s="51"/>
      <c r="P463" s="93"/>
      <c r="Q463" s="51"/>
      <c r="R463" s="224"/>
      <c r="S463" s="161"/>
      <c r="T463" s="326" t="s">
        <v>177</v>
      </c>
      <c r="U463" s="50" t="s">
        <v>46</v>
      </c>
      <c r="V463" s="71"/>
      <c r="W463" s="93"/>
      <c r="X463" s="101"/>
      <c r="Y463" s="101"/>
      <c r="Z463" s="101"/>
      <c r="AA463" s="101"/>
      <c r="AB463" s="101"/>
      <c r="AC463" s="102"/>
      <c r="AD463" s="102"/>
      <c r="AE463" s="102"/>
      <c r="AF463" s="93"/>
      <c r="AG463" s="51"/>
      <c r="AH463" s="93"/>
      <c r="AI463" s="51"/>
      <c r="AJ463" s="224"/>
      <c r="AK463" s="169"/>
      <c r="AL463" s="326" t="s">
        <v>177</v>
      </c>
      <c r="AM463" s="210" t="str">
        <f>IF(OR(X463="",F463=""),"",X463-F463)</f>
        <v/>
      </c>
      <c r="AN463" s="171" t="str">
        <f>IF(OR(Y463="",G463=""),"",Y463-G463)</f>
        <v/>
      </c>
      <c r="AO463" s="171" t="str">
        <f>IF(OR(Z463="",H463=""),"",Z463-H463)</f>
        <v/>
      </c>
      <c r="AP463" s="171" t="str">
        <f>IF(OR(AA463="",I463=""),"",AA463-I463)</f>
        <v/>
      </c>
      <c r="AQ463" s="211" t="str">
        <f>IF(OR(AB463="",J463=""),"",AB463-J463)</f>
        <v/>
      </c>
      <c r="AR463" s="68"/>
      <c r="AS463" s="69"/>
      <c r="AT463" s="68"/>
    </row>
    <row r="464" spans="2:46" ht="13.5" customHeight="1" x14ac:dyDescent="0.15">
      <c r="B464" s="327"/>
      <c r="C464" s="52" t="s">
        <v>47</v>
      </c>
      <c r="D464" s="73"/>
      <c r="E464" s="95"/>
      <c r="F464" s="103"/>
      <c r="G464" s="103"/>
      <c r="H464" s="103"/>
      <c r="I464" s="103"/>
      <c r="J464" s="103"/>
      <c r="K464" s="104"/>
      <c r="L464" s="206"/>
      <c r="M464" s="206"/>
      <c r="N464" s="95"/>
      <c r="O464" s="53"/>
      <c r="P464" s="95"/>
      <c r="Q464" s="53"/>
      <c r="R464" s="225"/>
      <c r="S464" s="161"/>
      <c r="T464" s="327"/>
      <c r="U464" s="52" t="s">
        <v>47</v>
      </c>
      <c r="V464" s="73"/>
      <c r="W464" s="95"/>
      <c r="X464" s="103"/>
      <c r="Y464" s="103"/>
      <c r="Z464" s="103"/>
      <c r="AA464" s="103"/>
      <c r="AB464" s="103"/>
      <c r="AC464" s="104"/>
      <c r="AD464" s="104"/>
      <c r="AE464" s="104"/>
      <c r="AF464" s="95"/>
      <c r="AG464" s="53"/>
      <c r="AH464" s="95"/>
      <c r="AI464" s="53"/>
      <c r="AJ464" s="225"/>
      <c r="AK464" s="169"/>
      <c r="AL464" s="327"/>
      <c r="AM464" s="150" t="str">
        <f t="shared" ref="AM464:AM467" si="451">IF(OR(X464="",F464=""),"",X464-F464)</f>
        <v/>
      </c>
      <c r="AN464" s="212" t="str">
        <f t="shared" ref="AN464:AN467" si="452">IF(OR(Y464="",G464=""),"",Y464-G464)</f>
        <v/>
      </c>
      <c r="AO464" s="212" t="str">
        <f t="shared" ref="AO464:AO467" si="453">IF(OR(Z464="",H464=""),"",Z464-H464)</f>
        <v/>
      </c>
      <c r="AP464" s="212" t="str">
        <f t="shared" ref="AP464:AP467" si="454">IF(OR(AA464="",I464=""),"",AA464-I464)</f>
        <v/>
      </c>
      <c r="AQ464" s="151" t="str">
        <f t="shared" ref="AQ464:AQ467" si="455">IF(OR(AB464="",J464=""),"",AB464-J464)</f>
        <v/>
      </c>
      <c r="AR464" s="68"/>
      <c r="AS464" s="69"/>
      <c r="AT464" s="68"/>
    </row>
    <row r="465" spans="2:46" ht="13.5" customHeight="1" x14ac:dyDescent="0.15">
      <c r="B465" s="327"/>
      <c r="C465" s="52" t="s">
        <v>48</v>
      </c>
      <c r="D465" s="73"/>
      <c r="E465" s="95"/>
      <c r="F465" s="103"/>
      <c r="G465" s="103"/>
      <c r="H465" s="103"/>
      <c r="I465" s="103"/>
      <c r="J465" s="103"/>
      <c r="K465" s="104"/>
      <c r="L465" s="206"/>
      <c r="M465" s="206"/>
      <c r="N465" s="95"/>
      <c r="O465" s="53"/>
      <c r="P465" s="95"/>
      <c r="Q465" s="53"/>
      <c r="R465" s="225"/>
      <c r="S465" s="161"/>
      <c r="T465" s="327"/>
      <c r="U465" s="52" t="s">
        <v>48</v>
      </c>
      <c r="V465" s="73"/>
      <c r="W465" s="95"/>
      <c r="X465" s="103"/>
      <c r="Y465" s="103"/>
      <c r="Z465" s="103"/>
      <c r="AA465" s="103"/>
      <c r="AB465" s="103"/>
      <c r="AC465" s="104"/>
      <c r="AD465" s="104"/>
      <c r="AE465" s="104"/>
      <c r="AF465" s="95"/>
      <c r="AG465" s="53"/>
      <c r="AH465" s="95"/>
      <c r="AI465" s="53"/>
      <c r="AJ465" s="225"/>
      <c r="AK465" s="169"/>
      <c r="AL465" s="327"/>
      <c r="AM465" s="150" t="str">
        <f t="shared" si="451"/>
        <v/>
      </c>
      <c r="AN465" s="212" t="str">
        <f t="shared" si="452"/>
        <v/>
      </c>
      <c r="AO465" s="212" t="str">
        <f t="shared" si="453"/>
        <v/>
      </c>
      <c r="AP465" s="212" t="str">
        <f t="shared" si="454"/>
        <v/>
      </c>
      <c r="AQ465" s="151" t="str">
        <f t="shared" si="455"/>
        <v/>
      </c>
      <c r="AR465" s="68"/>
      <c r="AS465" s="69"/>
      <c r="AT465" s="68"/>
    </row>
    <row r="466" spans="2:46" ht="13.5" customHeight="1" x14ac:dyDescent="0.15">
      <c r="B466" s="327"/>
      <c r="C466" s="52" t="s">
        <v>50</v>
      </c>
      <c r="D466" s="73"/>
      <c r="E466" s="95"/>
      <c r="F466" s="103"/>
      <c r="G466" s="103"/>
      <c r="H466" s="103"/>
      <c r="I466" s="103"/>
      <c r="J466" s="103"/>
      <c r="K466" s="104"/>
      <c r="L466" s="206"/>
      <c r="M466" s="206"/>
      <c r="N466" s="95"/>
      <c r="O466" s="53"/>
      <c r="P466" s="95"/>
      <c r="Q466" s="53"/>
      <c r="R466" s="225"/>
      <c r="S466" s="161"/>
      <c r="T466" s="327"/>
      <c r="U466" s="52" t="s">
        <v>50</v>
      </c>
      <c r="V466" s="73"/>
      <c r="W466" s="95"/>
      <c r="X466" s="103"/>
      <c r="Y466" s="103"/>
      <c r="Z466" s="103"/>
      <c r="AA466" s="103"/>
      <c r="AB466" s="103"/>
      <c r="AC466" s="104"/>
      <c r="AD466" s="104"/>
      <c r="AE466" s="104"/>
      <c r="AF466" s="95"/>
      <c r="AG466" s="53"/>
      <c r="AH466" s="95"/>
      <c r="AI466" s="53"/>
      <c r="AJ466" s="225"/>
      <c r="AK466" s="169"/>
      <c r="AL466" s="327"/>
      <c r="AM466" s="150" t="str">
        <f t="shared" si="451"/>
        <v/>
      </c>
      <c r="AN466" s="212" t="str">
        <f t="shared" si="452"/>
        <v/>
      </c>
      <c r="AO466" s="212" t="str">
        <f t="shared" si="453"/>
        <v/>
      </c>
      <c r="AP466" s="212" t="str">
        <f t="shared" si="454"/>
        <v/>
      </c>
      <c r="AQ466" s="151" t="str">
        <f t="shared" si="455"/>
        <v/>
      </c>
      <c r="AR466" s="68"/>
      <c r="AS466" s="69"/>
      <c r="AT466" s="68"/>
    </row>
    <row r="467" spans="2:46" ht="13.5" customHeight="1" thickBot="1" x14ac:dyDescent="0.2">
      <c r="B467" s="328"/>
      <c r="C467" s="52" t="s">
        <v>51</v>
      </c>
      <c r="D467" s="74"/>
      <c r="E467" s="98"/>
      <c r="F467" s="105"/>
      <c r="G467" s="105"/>
      <c r="H467" s="105"/>
      <c r="I467" s="105"/>
      <c r="J467" s="105"/>
      <c r="K467" s="106"/>
      <c r="L467" s="207"/>
      <c r="M467" s="207"/>
      <c r="N467" s="98"/>
      <c r="O467" s="66"/>
      <c r="P467" s="98"/>
      <c r="Q467" s="66"/>
      <c r="R467" s="225"/>
      <c r="S467" s="161"/>
      <c r="T467" s="328"/>
      <c r="U467" s="52" t="s">
        <v>51</v>
      </c>
      <c r="V467" s="74"/>
      <c r="W467" s="98"/>
      <c r="X467" s="105"/>
      <c r="Y467" s="105"/>
      <c r="Z467" s="105"/>
      <c r="AA467" s="105"/>
      <c r="AB467" s="105"/>
      <c r="AC467" s="106"/>
      <c r="AD467" s="106"/>
      <c r="AE467" s="106"/>
      <c r="AF467" s="98"/>
      <c r="AG467" s="66"/>
      <c r="AH467" s="98"/>
      <c r="AI467" s="66"/>
      <c r="AJ467" s="225"/>
      <c r="AK467" s="169"/>
      <c r="AL467" s="328"/>
      <c r="AM467" s="213" t="str">
        <f t="shared" si="451"/>
        <v/>
      </c>
      <c r="AN467" s="214" t="str">
        <f t="shared" si="452"/>
        <v/>
      </c>
      <c r="AO467" s="214" t="str">
        <f t="shared" si="453"/>
        <v/>
      </c>
      <c r="AP467" s="214" t="str">
        <f t="shared" si="454"/>
        <v/>
      </c>
      <c r="AQ467" s="215" t="str">
        <f t="shared" si="455"/>
        <v/>
      </c>
      <c r="AR467" s="68"/>
      <c r="AS467" s="69"/>
      <c r="AT467" s="68"/>
    </row>
    <row r="468" spans="2:46" ht="13.5" customHeight="1" x14ac:dyDescent="0.15">
      <c r="B468" s="326" t="s">
        <v>178</v>
      </c>
      <c r="C468" s="50" t="s">
        <v>46</v>
      </c>
      <c r="D468" s="71"/>
      <c r="E468" s="93"/>
      <c r="F468" s="101"/>
      <c r="G468" s="101"/>
      <c r="H468" s="101"/>
      <c r="I468" s="101"/>
      <c r="J468" s="101"/>
      <c r="K468" s="102"/>
      <c r="L468" s="205"/>
      <c r="M468" s="205"/>
      <c r="N468" s="93"/>
      <c r="O468" s="51"/>
      <c r="P468" s="93"/>
      <c r="Q468" s="51"/>
      <c r="R468" s="224"/>
      <c r="S468" s="161"/>
      <c r="T468" s="326" t="s">
        <v>178</v>
      </c>
      <c r="U468" s="50" t="s">
        <v>46</v>
      </c>
      <c r="V468" s="71"/>
      <c r="W468" s="93"/>
      <c r="X468" s="101"/>
      <c r="Y468" s="101"/>
      <c r="Z468" s="101"/>
      <c r="AA468" s="101"/>
      <c r="AB468" s="101"/>
      <c r="AC468" s="102"/>
      <c r="AD468" s="102"/>
      <c r="AE468" s="102"/>
      <c r="AF468" s="93"/>
      <c r="AG468" s="51"/>
      <c r="AH468" s="93"/>
      <c r="AI468" s="51"/>
      <c r="AJ468" s="224"/>
      <c r="AK468" s="169"/>
      <c r="AL468" s="326" t="s">
        <v>178</v>
      </c>
      <c r="AM468" s="210" t="str">
        <f>IF(OR(X468="",F468=""),"",X468-F468)</f>
        <v/>
      </c>
      <c r="AN468" s="171" t="str">
        <f>IF(OR(Y468="",G468=""),"",Y468-G468)</f>
        <v/>
      </c>
      <c r="AO468" s="171" t="str">
        <f>IF(OR(Z468="",H468=""),"",Z468-H468)</f>
        <v/>
      </c>
      <c r="AP468" s="171" t="str">
        <f>IF(OR(AA468="",I468=""),"",AA468-I468)</f>
        <v/>
      </c>
      <c r="AQ468" s="211" t="str">
        <f>IF(OR(AB468="",J468=""),"",AB468-J468)</f>
        <v/>
      </c>
      <c r="AR468" s="68"/>
      <c r="AS468" s="69"/>
      <c r="AT468" s="68"/>
    </row>
    <row r="469" spans="2:46" ht="13.5" customHeight="1" x14ac:dyDescent="0.15">
      <c r="B469" s="327"/>
      <c r="C469" s="52" t="s">
        <v>47</v>
      </c>
      <c r="D469" s="73"/>
      <c r="E469" s="95"/>
      <c r="F469" s="103"/>
      <c r="G469" s="103"/>
      <c r="H469" s="103"/>
      <c r="I469" s="103"/>
      <c r="J469" s="103"/>
      <c r="K469" s="104"/>
      <c r="L469" s="206"/>
      <c r="M469" s="206"/>
      <c r="N469" s="95"/>
      <c r="O469" s="53"/>
      <c r="P469" s="95"/>
      <c r="Q469" s="53"/>
      <c r="R469" s="225"/>
      <c r="S469" s="161"/>
      <c r="T469" s="327"/>
      <c r="U469" s="52" t="s">
        <v>47</v>
      </c>
      <c r="V469" s="73"/>
      <c r="W469" s="95"/>
      <c r="X469" s="103"/>
      <c r="Y469" s="103"/>
      <c r="Z469" s="103"/>
      <c r="AA469" s="103"/>
      <c r="AB469" s="103"/>
      <c r="AC469" s="104"/>
      <c r="AD469" s="104"/>
      <c r="AE469" s="104"/>
      <c r="AF469" s="95"/>
      <c r="AG469" s="53"/>
      <c r="AH469" s="95"/>
      <c r="AI469" s="53"/>
      <c r="AJ469" s="225"/>
      <c r="AK469" s="169"/>
      <c r="AL469" s="327"/>
      <c r="AM469" s="150" t="str">
        <f t="shared" ref="AM469:AM472" si="456">IF(OR(X469="",F469=""),"",X469-F469)</f>
        <v/>
      </c>
      <c r="AN469" s="212" t="str">
        <f t="shared" ref="AN469:AN472" si="457">IF(OR(Y469="",G469=""),"",Y469-G469)</f>
        <v/>
      </c>
      <c r="AO469" s="212" t="str">
        <f t="shared" ref="AO469:AO472" si="458">IF(OR(Z469="",H469=""),"",Z469-H469)</f>
        <v/>
      </c>
      <c r="AP469" s="212" t="str">
        <f t="shared" ref="AP469:AP472" si="459">IF(OR(AA469="",I469=""),"",AA469-I469)</f>
        <v/>
      </c>
      <c r="AQ469" s="151" t="str">
        <f t="shared" ref="AQ469:AQ472" si="460">IF(OR(AB469="",J469=""),"",AB469-J469)</f>
        <v/>
      </c>
      <c r="AR469" s="68"/>
      <c r="AS469" s="69"/>
      <c r="AT469" s="68"/>
    </row>
    <row r="470" spans="2:46" ht="13.5" customHeight="1" x14ac:dyDescent="0.15">
      <c r="B470" s="327"/>
      <c r="C470" s="52" t="s">
        <v>48</v>
      </c>
      <c r="D470" s="73"/>
      <c r="E470" s="95"/>
      <c r="F470" s="103"/>
      <c r="G470" s="103"/>
      <c r="H470" s="103"/>
      <c r="I470" s="103"/>
      <c r="J470" s="103"/>
      <c r="K470" s="104"/>
      <c r="L470" s="206"/>
      <c r="M470" s="206"/>
      <c r="N470" s="95"/>
      <c r="O470" s="53"/>
      <c r="P470" s="95"/>
      <c r="Q470" s="53"/>
      <c r="R470" s="225"/>
      <c r="S470" s="161"/>
      <c r="T470" s="327"/>
      <c r="U470" s="52" t="s">
        <v>48</v>
      </c>
      <c r="V470" s="73"/>
      <c r="W470" s="95"/>
      <c r="X470" s="103"/>
      <c r="Y470" s="103"/>
      <c r="Z470" s="103"/>
      <c r="AA470" s="103"/>
      <c r="AB470" s="103"/>
      <c r="AC470" s="104"/>
      <c r="AD470" s="104"/>
      <c r="AE470" s="104"/>
      <c r="AF470" s="95"/>
      <c r="AG470" s="53"/>
      <c r="AH470" s="95"/>
      <c r="AI470" s="53"/>
      <c r="AJ470" s="225"/>
      <c r="AK470" s="169"/>
      <c r="AL470" s="327"/>
      <c r="AM470" s="150" t="str">
        <f t="shared" si="456"/>
        <v/>
      </c>
      <c r="AN470" s="212" t="str">
        <f t="shared" si="457"/>
        <v/>
      </c>
      <c r="AO470" s="212" t="str">
        <f t="shared" si="458"/>
        <v/>
      </c>
      <c r="AP470" s="212" t="str">
        <f t="shared" si="459"/>
        <v/>
      </c>
      <c r="AQ470" s="151" t="str">
        <f t="shared" si="460"/>
        <v/>
      </c>
      <c r="AR470" s="68"/>
      <c r="AS470" s="69"/>
      <c r="AT470" s="68"/>
    </row>
    <row r="471" spans="2:46" ht="13.5" customHeight="1" x14ac:dyDescent="0.15">
      <c r="B471" s="327"/>
      <c r="C471" s="52" t="s">
        <v>50</v>
      </c>
      <c r="D471" s="73"/>
      <c r="E471" s="95"/>
      <c r="F471" s="103"/>
      <c r="G471" s="103"/>
      <c r="H471" s="103"/>
      <c r="I471" s="103"/>
      <c r="J471" s="103"/>
      <c r="K471" s="104"/>
      <c r="L471" s="206"/>
      <c r="M471" s="206"/>
      <c r="N471" s="95"/>
      <c r="O471" s="53"/>
      <c r="P471" s="95"/>
      <c r="Q471" s="53"/>
      <c r="R471" s="225"/>
      <c r="S471" s="161"/>
      <c r="T471" s="327"/>
      <c r="U471" s="52" t="s">
        <v>50</v>
      </c>
      <c r="V471" s="73"/>
      <c r="W471" s="95"/>
      <c r="X471" s="103"/>
      <c r="Y471" s="103"/>
      <c r="Z471" s="103"/>
      <c r="AA471" s="103"/>
      <c r="AB471" s="103"/>
      <c r="AC471" s="104"/>
      <c r="AD471" s="104"/>
      <c r="AE471" s="104"/>
      <c r="AF471" s="95"/>
      <c r="AG471" s="53"/>
      <c r="AH471" s="95"/>
      <c r="AI471" s="53"/>
      <c r="AJ471" s="225"/>
      <c r="AK471" s="169"/>
      <c r="AL471" s="327"/>
      <c r="AM471" s="150" t="str">
        <f t="shared" si="456"/>
        <v/>
      </c>
      <c r="AN471" s="212" t="str">
        <f t="shared" si="457"/>
        <v/>
      </c>
      <c r="AO471" s="212" t="str">
        <f t="shared" si="458"/>
        <v/>
      </c>
      <c r="AP471" s="212" t="str">
        <f t="shared" si="459"/>
        <v/>
      </c>
      <c r="AQ471" s="151" t="str">
        <f t="shared" si="460"/>
        <v/>
      </c>
      <c r="AR471" s="68"/>
      <c r="AS471" s="69"/>
      <c r="AT471" s="68"/>
    </row>
    <row r="472" spans="2:46" ht="13.5" customHeight="1" thickBot="1" x14ac:dyDescent="0.2">
      <c r="B472" s="328"/>
      <c r="C472" s="52" t="s">
        <v>51</v>
      </c>
      <c r="D472" s="74"/>
      <c r="E472" s="98"/>
      <c r="F472" s="105"/>
      <c r="G472" s="105"/>
      <c r="H472" s="105"/>
      <c r="I472" s="105"/>
      <c r="J472" s="105"/>
      <c r="K472" s="106"/>
      <c r="L472" s="207"/>
      <c r="M472" s="207"/>
      <c r="N472" s="98"/>
      <c r="O472" s="66"/>
      <c r="P472" s="98"/>
      <c r="Q472" s="66"/>
      <c r="R472" s="225"/>
      <c r="S472" s="161"/>
      <c r="T472" s="328"/>
      <c r="U472" s="52" t="s">
        <v>51</v>
      </c>
      <c r="V472" s="74"/>
      <c r="W472" s="98"/>
      <c r="X472" s="105"/>
      <c r="Y472" s="105"/>
      <c r="Z472" s="105"/>
      <c r="AA472" s="105"/>
      <c r="AB472" s="105"/>
      <c r="AC472" s="106"/>
      <c r="AD472" s="106"/>
      <c r="AE472" s="106"/>
      <c r="AF472" s="98"/>
      <c r="AG472" s="66"/>
      <c r="AH472" s="98"/>
      <c r="AI472" s="66"/>
      <c r="AJ472" s="225"/>
      <c r="AK472" s="169"/>
      <c r="AL472" s="328"/>
      <c r="AM472" s="213" t="str">
        <f t="shared" si="456"/>
        <v/>
      </c>
      <c r="AN472" s="214" t="str">
        <f t="shared" si="457"/>
        <v/>
      </c>
      <c r="AO472" s="214" t="str">
        <f t="shared" si="458"/>
        <v/>
      </c>
      <c r="AP472" s="214" t="str">
        <f t="shared" si="459"/>
        <v/>
      </c>
      <c r="AQ472" s="215" t="str">
        <f t="shared" si="460"/>
        <v/>
      </c>
      <c r="AR472" s="68"/>
      <c r="AS472" s="69"/>
      <c r="AT472" s="68"/>
    </row>
    <row r="473" spans="2:46" ht="13.5" customHeight="1" x14ac:dyDescent="0.15">
      <c r="B473" s="326" t="s">
        <v>179</v>
      </c>
      <c r="C473" s="50" t="s">
        <v>46</v>
      </c>
      <c r="D473" s="71"/>
      <c r="E473" s="93"/>
      <c r="F473" s="101"/>
      <c r="G473" s="101"/>
      <c r="H473" s="101"/>
      <c r="I473" s="101"/>
      <c r="J473" s="101"/>
      <c r="K473" s="102"/>
      <c r="L473" s="205"/>
      <c r="M473" s="205"/>
      <c r="N473" s="93"/>
      <c r="O473" s="51"/>
      <c r="P473" s="93"/>
      <c r="Q473" s="51"/>
      <c r="R473" s="224"/>
      <c r="S473" s="161"/>
      <c r="T473" s="326" t="s">
        <v>179</v>
      </c>
      <c r="U473" s="50" t="s">
        <v>46</v>
      </c>
      <c r="V473" s="71"/>
      <c r="W473" s="93"/>
      <c r="X473" s="101"/>
      <c r="Y473" s="101"/>
      <c r="Z473" s="101"/>
      <c r="AA473" s="101"/>
      <c r="AB473" s="101"/>
      <c r="AC473" s="102"/>
      <c r="AD473" s="102"/>
      <c r="AE473" s="102"/>
      <c r="AF473" s="93"/>
      <c r="AG473" s="51"/>
      <c r="AH473" s="93"/>
      <c r="AI473" s="51"/>
      <c r="AJ473" s="224"/>
      <c r="AK473" s="169"/>
      <c r="AL473" s="326" t="s">
        <v>179</v>
      </c>
      <c r="AM473" s="210" t="str">
        <f>IF(OR(X473="",F473=""),"",X473-F473)</f>
        <v/>
      </c>
      <c r="AN473" s="171" t="str">
        <f>IF(OR(Y473="",G473=""),"",Y473-G473)</f>
        <v/>
      </c>
      <c r="AO473" s="171" t="str">
        <f>IF(OR(Z473="",H473=""),"",Z473-H473)</f>
        <v/>
      </c>
      <c r="AP473" s="171" t="str">
        <f>IF(OR(AA473="",I473=""),"",AA473-I473)</f>
        <v/>
      </c>
      <c r="AQ473" s="211" t="str">
        <f>IF(OR(AB473="",J473=""),"",AB473-J473)</f>
        <v/>
      </c>
      <c r="AR473" s="68"/>
      <c r="AS473" s="69"/>
      <c r="AT473" s="68"/>
    </row>
    <row r="474" spans="2:46" ht="13.5" customHeight="1" x14ac:dyDescent="0.15">
      <c r="B474" s="327"/>
      <c r="C474" s="52" t="s">
        <v>47</v>
      </c>
      <c r="D474" s="73"/>
      <c r="E474" s="95"/>
      <c r="F474" s="103"/>
      <c r="G474" s="103"/>
      <c r="H474" s="103"/>
      <c r="I474" s="103"/>
      <c r="J474" s="103"/>
      <c r="K474" s="104"/>
      <c r="L474" s="206"/>
      <c r="M474" s="206"/>
      <c r="N474" s="95"/>
      <c r="O474" s="53"/>
      <c r="P474" s="95"/>
      <c r="Q474" s="53"/>
      <c r="R474" s="225"/>
      <c r="S474" s="161"/>
      <c r="T474" s="327"/>
      <c r="U474" s="52" t="s">
        <v>47</v>
      </c>
      <c r="V474" s="73"/>
      <c r="W474" s="95"/>
      <c r="X474" s="103"/>
      <c r="Y474" s="103"/>
      <c r="Z474" s="103"/>
      <c r="AA474" s="103"/>
      <c r="AB474" s="103"/>
      <c r="AC474" s="104"/>
      <c r="AD474" s="104"/>
      <c r="AE474" s="104"/>
      <c r="AF474" s="95"/>
      <c r="AG474" s="53"/>
      <c r="AH474" s="95"/>
      <c r="AI474" s="53"/>
      <c r="AJ474" s="225"/>
      <c r="AK474" s="169"/>
      <c r="AL474" s="327"/>
      <c r="AM474" s="150" t="str">
        <f t="shared" ref="AM474:AM477" si="461">IF(OR(X474="",F474=""),"",X474-F474)</f>
        <v/>
      </c>
      <c r="AN474" s="212" t="str">
        <f t="shared" ref="AN474:AN477" si="462">IF(OR(Y474="",G474=""),"",Y474-G474)</f>
        <v/>
      </c>
      <c r="AO474" s="212" t="str">
        <f t="shared" ref="AO474:AO477" si="463">IF(OR(Z474="",H474=""),"",Z474-H474)</f>
        <v/>
      </c>
      <c r="AP474" s="212" t="str">
        <f t="shared" ref="AP474:AP477" si="464">IF(OR(AA474="",I474=""),"",AA474-I474)</f>
        <v/>
      </c>
      <c r="AQ474" s="151" t="str">
        <f t="shared" ref="AQ474:AQ477" si="465">IF(OR(AB474="",J474=""),"",AB474-J474)</f>
        <v/>
      </c>
      <c r="AR474" s="68"/>
      <c r="AS474" s="69"/>
      <c r="AT474" s="68"/>
    </row>
    <row r="475" spans="2:46" ht="13.5" customHeight="1" x14ac:dyDescent="0.15">
      <c r="B475" s="327"/>
      <c r="C475" s="52" t="s">
        <v>48</v>
      </c>
      <c r="D475" s="73"/>
      <c r="E475" s="95"/>
      <c r="F475" s="103"/>
      <c r="G475" s="103"/>
      <c r="H475" s="103"/>
      <c r="I475" s="103"/>
      <c r="J475" s="103"/>
      <c r="K475" s="104"/>
      <c r="L475" s="206"/>
      <c r="M475" s="206"/>
      <c r="N475" s="95"/>
      <c r="O475" s="53"/>
      <c r="P475" s="95"/>
      <c r="Q475" s="53"/>
      <c r="R475" s="225"/>
      <c r="S475" s="161"/>
      <c r="T475" s="327"/>
      <c r="U475" s="52" t="s">
        <v>48</v>
      </c>
      <c r="V475" s="73"/>
      <c r="W475" s="95"/>
      <c r="X475" s="103"/>
      <c r="Y475" s="103"/>
      <c r="Z475" s="103"/>
      <c r="AA475" s="103"/>
      <c r="AB475" s="103"/>
      <c r="AC475" s="104"/>
      <c r="AD475" s="104"/>
      <c r="AE475" s="104"/>
      <c r="AF475" s="95"/>
      <c r="AG475" s="53"/>
      <c r="AH475" s="95"/>
      <c r="AI475" s="53"/>
      <c r="AJ475" s="225"/>
      <c r="AK475" s="169"/>
      <c r="AL475" s="327"/>
      <c r="AM475" s="150" t="str">
        <f t="shared" si="461"/>
        <v/>
      </c>
      <c r="AN475" s="212" t="str">
        <f t="shared" si="462"/>
        <v/>
      </c>
      <c r="AO475" s="212" t="str">
        <f t="shared" si="463"/>
        <v/>
      </c>
      <c r="AP475" s="212" t="str">
        <f t="shared" si="464"/>
        <v/>
      </c>
      <c r="AQ475" s="151" t="str">
        <f t="shared" si="465"/>
        <v/>
      </c>
      <c r="AR475" s="68"/>
      <c r="AS475" s="69"/>
      <c r="AT475" s="68"/>
    </row>
    <row r="476" spans="2:46" ht="13.5" customHeight="1" x14ac:dyDescent="0.15">
      <c r="B476" s="327"/>
      <c r="C476" s="52" t="s">
        <v>50</v>
      </c>
      <c r="D476" s="73"/>
      <c r="E476" s="95"/>
      <c r="F476" s="103"/>
      <c r="G476" s="103"/>
      <c r="H476" s="103"/>
      <c r="I476" s="103"/>
      <c r="J476" s="103"/>
      <c r="K476" s="104"/>
      <c r="L476" s="206"/>
      <c r="M476" s="206"/>
      <c r="N476" s="95"/>
      <c r="O476" s="53"/>
      <c r="P476" s="95"/>
      <c r="Q476" s="53"/>
      <c r="R476" s="225"/>
      <c r="S476" s="161"/>
      <c r="T476" s="327"/>
      <c r="U476" s="52" t="s">
        <v>50</v>
      </c>
      <c r="V476" s="73"/>
      <c r="W476" s="95"/>
      <c r="X476" s="103"/>
      <c r="Y476" s="103"/>
      <c r="Z476" s="103"/>
      <c r="AA476" s="103"/>
      <c r="AB476" s="103"/>
      <c r="AC476" s="104"/>
      <c r="AD476" s="104"/>
      <c r="AE476" s="104"/>
      <c r="AF476" s="95"/>
      <c r="AG476" s="53"/>
      <c r="AH476" s="95"/>
      <c r="AI476" s="53"/>
      <c r="AJ476" s="225"/>
      <c r="AK476" s="169"/>
      <c r="AL476" s="327"/>
      <c r="AM476" s="150" t="str">
        <f t="shared" si="461"/>
        <v/>
      </c>
      <c r="AN476" s="212" t="str">
        <f t="shared" si="462"/>
        <v/>
      </c>
      <c r="AO476" s="212" t="str">
        <f t="shared" si="463"/>
        <v/>
      </c>
      <c r="AP476" s="212" t="str">
        <f t="shared" si="464"/>
        <v/>
      </c>
      <c r="AQ476" s="151" t="str">
        <f t="shared" si="465"/>
        <v/>
      </c>
      <c r="AR476" s="68"/>
      <c r="AS476" s="69"/>
      <c r="AT476" s="68"/>
    </row>
    <row r="477" spans="2:46" ht="13.5" customHeight="1" thickBot="1" x14ac:dyDescent="0.2">
      <c r="B477" s="328"/>
      <c r="C477" s="52" t="s">
        <v>51</v>
      </c>
      <c r="D477" s="74"/>
      <c r="E477" s="98"/>
      <c r="F477" s="105"/>
      <c r="G477" s="105"/>
      <c r="H477" s="105"/>
      <c r="I477" s="105"/>
      <c r="J477" s="105"/>
      <c r="K477" s="106"/>
      <c r="L477" s="207"/>
      <c r="M477" s="207"/>
      <c r="N477" s="98"/>
      <c r="O477" s="66"/>
      <c r="P477" s="98"/>
      <c r="Q477" s="66"/>
      <c r="R477" s="225"/>
      <c r="S477" s="161"/>
      <c r="T477" s="328"/>
      <c r="U477" s="52" t="s">
        <v>51</v>
      </c>
      <c r="V477" s="74"/>
      <c r="W477" s="98"/>
      <c r="X477" s="105"/>
      <c r="Y477" s="105"/>
      <c r="Z477" s="105"/>
      <c r="AA477" s="105"/>
      <c r="AB477" s="105"/>
      <c r="AC477" s="106"/>
      <c r="AD477" s="106"/>
      <c r="AE477" s="106"/>
      <c r="AF477" s="98"/>
      <c r="AG477" s="66"/>
      <c r="AH477" s="98"/>
      <c r="AI477" s="66"/>
      <c r="AJ477" s="225"/>
      <c r="AK477" s="169"/>
      <c r="AL477" s="328"/>
      <c r="AM477" s="213" t="str">
        <f t="shared" si="461"/>
        <v/>
      </c>
      <c r="AN477" s="214" t="str">
        <f t="shared" si="462"/>
        <v/>
      </c>
      <c r="AO477" s="214" t="str">
        <f t="shared" si="463"/>
        <v/>
      </c>
      <c r="AP477" s="214" t="str">
        <f t="shared" si="464"/>
        <v/>
      </c>
      <c r="AQ477" s="215" t="str">
        <f t="shared" si="465"/>
        <v/>
      </c>
      <c r="AR477" s="68"/>
      <c r="AS477" s="69"/>
      <c r="AT477" s="68"/>
    </row>
    <row r="478" spans="2:46" ht="13.5" customHeight="1" x14ac:dyDescent="0.15">
      <c r="B478" s="326" t="s">
        <v>180</v>
      </c>
      <c r="C478" s="50" t="s">
        <v>46</v>
      </c>
      <c r="D478" s="71"/>
      <c r="E478" s="93"/>
      <c r="F478" s="101"/>
      <c r="G478" s="101"/>
      <c r="H478" s="101"/>
      <c r="I478" s="101"/>
      <c r="J478" s="101"/>
      <c r="K478" s="102"/>
      <c r="L478" s="205"/>
      <c r="M478" s="205"/>
      <c r="N478" s="93"/>
      <c r="O478" s="51"/>
      <c r="P478" s="93"/>
      <c r="Q478" s="51"/>
      <c r="R478" s="224"/>
      <c r="S478" s="161"/>
      <c r="T478" s="326" t="s">
        <v>180</v>
      </c>
      <c r="U478" s="50" t="s">
        <v>46</v>
      </c>
      <c r="V478" s="71"/>
      <c r="W478" s="93"/>
      <c r="X478" s="101"/>
      <c r="Y478" s="101"/>
      <c r="Z478" s="101"/>
      <c r="AA478" s="101"/>
      <c r="AB478" s="101"/>
      <c r="AC478" s="102"/>
      <c r="AD478" s="102"/>
      <c r="AE478" s="102"/>
      <c r="AF478" s="93"/>
      <c r="AG478" s="51"/>
      <c r="AH478" s="93"/>
      <c r="AI478" s="51"/>
      <c r="AJ478" s="224"/>
      <c r="AK478" s="169"/>
      <c r="AL478" s="326" t="s">
        <v>180</v>
      </c>
      <c r="AM478" s="210" t="str">
        <f>IF(OR(X478="",F478=""),"",X478-F478)</f>
        <v/>
      </c>
      <c r="AN478" s="171" t="str">
        <f>IF(OR(Y478="",G478=""),"",Y478-G478)</f>
        <v/>
      </c>
      <c r="AO478" s="171" t="str">
        <f>IF(OR(Z478="",H478=""),"",Z478-H478)</f>
        <v/>
      </c>
      <c r="AP478" s="171" t="str">
        <f>IF(OR(AA478="",I478=""),"",AA478-I478)</f>
        <v/>
      </c>
      <c r="AQ478" s="211" t="str">
        <f>IF(OR(AB478="",J478=""),"",AB478-J478)</f>
        <v/>
      </c>
      <c r="AR478" s="68"/>
      <c r="AS478" s="69"/>
      <c r="AT478" s="68"/>
    </row>
    <row r="479" spans="2:46" ht="13.5" customHeight="1" x14ac:dyDescent="0.15">
      <c r="B479" s="327"/>
      <c r="C479" s="52" t="s">
        <v>47</v>
      </c>
      <c r="D479" s="73"/>
      <c r="E479" s="95"/>
      <c r="F479" s="103"/>
      <c r="G479" s="103"/>
      <c r="H479" s="103"/>
      <c r="I479" s="103"/>
      <c r="J479" s="103"/>
      <c r="K479" s="104"/>
      <c r="L479" s="206"/>
      <c r="M479" s="206"/>
      <c r="N479" s="95"/>
      <c r="O479" s="53"/>
      <c r="P479" s="95"/>
      <c r="Q479" s="53"/>
      <c r="R479" s="225"/>
      <c r="S479" s="161"/>
      <c r="T479" s="327"/>
      <c r="U479" s="52" t="s">
        <v>47</v>
      </c>
      <c r="V479" s="73"/>
      <c r="W479" s="95"/>
      <c r="X479" s="103"/>
      <c r="Y479" s="103"/>
      <c r="Z479" s="103"/>
      <c r="AA479" s="103"/>
      <c r="AB479" s="103"/>
      <c r="AC479" s="104"/>
      <c r="AD479" s="104"/>
      <c r="AE479" s="104"/>
      <c r="AF479" s="95"/>
      <c r="AG479" s="53"/>
      <c r="AH479" s="95"/>
      <c r="AI479" s="53"/>
      <c r="AJ479" s="225"/>
      <c r="AK479" s="169"/>
      <c r="AL479" s="327"/>
      <c r="AM479" s="150" t="str">
        <f t="shared" ref="AM479:AM482" si="466">IF(OR(X479="",F479=""),"",X479-F479)</f>
        <v/>
      </c>
      <c r="AN479" s="212" t="str">
        <f t="shared" ref="AN479:AN482" si="467">IF(OR(Y479="",G479=""),"",Y479-G479)</f>
        <v/>
      </c>
      <c r="AO479" s="212" t="str">
        <f t="shared" ref="AO479:AO482" si="468">IF(OR(Z479="",H479=""),"",Z479-H479)</f>
        <v/>
      </c>
      <c r="AP479" s="212" t="str">
        <f t="shared" ref="AP479:AP482" si="469">IF(OR(AA479="",I479=""),"",AA479-I479)</f>
        <v/>
      </c>
      <c r="AQ479" s="151" t="str">
        <f t="shared" ref="AQ479:AQ482" si="470">IF(OR(AB479="",J479=""),"",AB479-J479)</f>
        <v/>
      </c>
      <c r="AR479" s="68"/>
      <c r="AS479" s="69"/>
      <c r="AT479" s="68"/>
    </row>
    <row r="480" spans="2:46" ht="13.5" customHeight="1" x14ac:dyDescent="0.15">
      <c r="B480" s="327"/>
      <c r="C480" s="52" t="s">
        <v>48</v>
      </c>
      <c r="D480" s="73"/>
      <c r="E480" s="95"/>
      <c r="F480" s="103"/>
      <c r="G480" s="103"/>
      <c r="H480" s="103"/>
      <c r="I480" s="103"/>
      <c r="J480" s="103"/>
      <c r="K480" s="104"/>
      <c r="L480" s="206"/>
      <c r="M480" s="206"/>
      <c r="N480" s="95"/>
      <c r="O480" s="53"/>
      <c r="P480" s="95"/>
      <c r="Q480" s="53"/>
      <c r="R480" s="225"/>
      <c r="S480" s="161"/>
      <c r="T480" s="327"/>
      <c r="U480" s="52" t="s">
        <v>48</v>
      </c>
      <c r="V480" s="73"/>
      <c r="W480" s="95"/>
      <c r="X480" s="103"/>
      <c r="Y480" s="103"/>
      <c r="Z480" s="103"/>
      <c r="AA480" s="103"/>
      <c r="AB480" s="103"/>
      <c r="AC480" s="104"/>
      <c r="AD480" s="104"/>
      <c r="AE480" s="104"/>
      <c r="AF480" s="95"/>
      <c r="AG480" s="53"/>
      <c r="AH480" s="95"/>
      <c r="AI480" s="53"/>
      <c r="AJ480" s="225"/>
      <c r="AK480" s="169"/>
      <c r="AL480" s="327"/>
      <c r="AM480" s="150" t="str">
        <f t="shared" si="466"/>
        <v/>
      </c>
      <c r="AN480" s="212" t="str">
        <f t="shared" si="467"/>
        <v/>
      </c>
      <c r="AO480" s="212" t="str">
        <f t="shared" si="468"/>
        <v/>
      </c>
      <c r="AP480" s="212" t="str">
        <f t="shared" si="469"/>
        <v/>
      </c>
      <c r="AQ480" s="151" t="str">
        <f t="shared" si="470"/>
        <v/>
      </c>
      <c r="AR480" s="68"/>
      <c r="AS480" s="69"/>
      <c r="AT480" s="68"/>
    </row>
    <row r="481" spans="2:46" ht="13.5" customHeight="1" x14ac:dyDescent="0.15">
      <c r="B481" s="327"/>
      <c r="C481" s="52" t="s">
        <v>50</v>
      </c>
      <c r="D481" s="73"/>
      <c r="E481" s="95"/>
      <c r="F481" s="103"/>
      <c r="G481" s="103"/>
      <c r="H481" s="103"/>
      <c r="I481" s="103"/>
      <c r="J481" s="103"/>
      <c r="K481" s="104"/>
      <c r="L481" s="206"/>
      <c r="M481" s="206"/>
      <c r="N481" s="95"/>
      <c r="O481" s="53"/>
      <c r="P481" s="95"/>
      <c r="Q481" s="53"/>
      <c r="R481" s="225"/>
      <c r="S481" s="161"/>
      <c r="T481" s="327"/>
      <c r="U481" s="52" t="s">
        <v>50</v>
      </c>
      <c r="V481" s="73"/>
      <c r="W481" s="95"/>
      <c r="X481" s="103"/>
      <c r="Y481" s="103"/>
      <c r="Z481" s="103"/>
      <c r="AA481" s="103"/>
      <c r="AB481" s="103"/>
      <c r="AC481" s="104"/>
      <c r="AD481" s="104"/>
      <c r="AE481" s="104"/>
      <c r="AF481" s="95"/>
      <c r="AG481" s="53"/>
      <c r="AH481" s="95"/>
      <c r="AI481" s="53"/>
      <c r="AJ481" s="225"/>
      <c r="AK481" s="169"/>
      <c r="AL481" s="327"/>
      <c r="AM481" s="150" t="str">
        <f t="shared" si="466"/>
        <v/>
      </c>
      <c r="AN481" s="212" t="str">
        <f t="shared" si="467"/>
        <v/>
      </c>
      <c r="AO481" s="212" t="str">
        <f t="shared" si="468"/>
        <v/>
      </c>
      <c r="AP481" s="212" t="str">
        <f t="shared" si="469"/>
        <v/>
      </c>
      <c r="AQ481" s="151" t="str">
        <f t="shared" si="470"/>
        <v/>
      </c>
      <c r="AR481" s="68"/>
      <c r="AS481" s="69"/>
      <c r="AT481" s="68"/>
    </row>
    <row r="482" spans="2:46" ht="13.5" customHeight="1" thickBot="1" x14ac:dyDescent="0.2">
      <c r="B482" s="328"/>
      <c r="C482" s="52" t="s">
        <v>51</v>
      </c>
      <c r="D482" s="74"/>
      <c r="E482" s="98"/>
      <c r="F482" s="105"/>
      <c r="G482" s="105"/>
      <c r="H482" s="105"/>
      <c r="I482" s="105"/>
      <c r="J482" s="105"/>
      <c r="K482" s="106"/>
      <c r="L482" s="207"/>
      <c r="M482" s="207"/>
      <c r="N482" s="98"/>
      <c r="O482" s="66"/>
      <c r="P482" s="98"/>
      <c r="Q482" s="66"/>
      <c r="R482" s="225"/>
      <c r="S482" s="161"/>
      <c r="T482" s="328"/>
      <c r="U482" s="52" t="s">
        <v>51</v>
      </c>
      <c r="V482" s="74"/>
      <c r="W482" s="98"/>
      <c r="X482" s="105"/>
      <c r="Y482" s="105"/>
      <c r="Z482" s="105"/>
      <c r="AA482" s="105"/>
      <c r="AB482" s="105"/>
      <c r="AC482" s="106"/>
      <c r="AD482" s="106"/>
      <c r="AE482" s="106"/>
      <c r="AF482" s="98"/>
      <c r="AG482" s="66"/>
      <c r="AH482" s="98"/>
      <c r="AI482" s="66"/>
      <c r="AJ482" s="225"/>
      <c r="AK482" s="169"/>
      <c r="AL482" s="328"/>
      <c r="AM482" s="213" t="str">
        <f t="shared" si="466"/>
        <v/>
      </c>
      <c r="AN482" s="214" t="str">
        <f t="shared" si="467"/>
        <v/>
      </c>
      <c r="AO482" s="214" t="str">
        <f t="shared" si="468"/>
        <v/>
      </c>
      <c r="AP482" s="214" t="str">
        <f t="shared" si="469"/>
        <v/>
      </c>
      <c r="AQ482" s="215" t="str">
        <f t="shared" si="470"/>
        <v/>
      </c>
      <c r="AR482" s="68"/>
      <c r="AS482" s="69"/>
      <c r="AT482" s="68"/>
    </row>
    <row r="483" spans="2:46" ht="13.5" customHeight="1" x14ac:dyDescent="0.15">
      <c r="B483" s="326" t="s">
        <v>181</v>
      </c>
      <c r="C483" s="50" t="s">
        <v>46</v>
      </c>
      <c r="D483" s="71"/>
      <c r="E483" s="93"/>
      <c r="F483" s="101"/>
      <c r="G483" s="101"/>
      <c r="H483" s="101"/>
      <c r="I483" s="101"/>
      <c r="J483" s="101"/>
      <c r="K483" s="102"/>
      <c r="L483" s="205"/>
      <c r="M483" s="205"/>
      <c r="N483" s="93"/>
      <c r="O483" s="51"/>
      <c r="P483" s="93"/>
      <c r="Q483" s="51"/>
      <c r="R483" s="224"/>
      <c r="S483" s="161"/>
      <c r="T483" s="326" t="s">
        <v>181</v>
      </c>
      <c r="U483" s="50" t="s">
        <v>46</v>
      </c>
      <c r="V483" s="71"/>
      <c r="W483" s="93"/>
      <c r="X483" s="101"/>
      <c r="Y483" s="101"/>
      <c r="Z483" s="101"/>
      <c r="AA483" s="101"/>
      <c r="AB483" s="101"/>
      <c r="AC483" s="102"/>
      <c r="AD483" s="102"/>
      <c r="AE483" s="102"/>
      <c r="AF483" s="93"/>
      <c r="AG483" s="51"/>
      <c r="AH483" s="93"/>
      <c r="AI483" s="51"/>
      <c r="AJ483" s="224"/>
      <c r="AK483" s="169"/>
      <c r="AL483" s="326" t="s">
        <v>181</v>
      </c>
      <c r="AM483" s="210" t="str">
        <f>IF(OR(X483="",F483=""),"",X483-F483)</f>
        <v/>
      </c>
      <c r="AN483" s="171" t="str">
        <f>IF(OR(Y483="",G483=""),"",Y483-G483)</f>
        <v/>
      </c>
      <c r="AO483" s="171" t="str">
        <f>IF(OR(Z483="",H483=""),"",Z483-H483)</f>
        <v/>
      </c>
      <c r="AP483" s="171" t="str">
        <f>IF(OR(AA483="",I483=""),"",AA483-I483)</f>
        <v/>
      </c>
      <c r="AQ483" s="211" t="str">
        <f>IF(OR(AB483="",J483=""),"",AB483-J483)</f>
        <v/>
      </c>
      <c r="AR483" s="68"/>
      <c r="AS483" s="69"/>
      <c r="AT483" s="68"/>
    </row>
    <row r="484" spans="2:46" ht="13.5" customHeight="1" x14ac:dyDescent="0.15">
      <c r="B484" s="327"/>
      <c r="C484" s="52" t="s">
        <v>47</v>
      </c>
      <c r="D484" s="73"/>
      <c r="E484" s="95"/>
      <c r="F484" s="103"/>
      <c r="G484" s="103"/>
      <c r="H484" s="103"/>
      <c r="I484" s="103"/>
      <c r="J484" s="103"/>
      <c r="K484" s="104"/>
      <c r="L484" s="206"/>
      <c r="M484" s="206"/>
      <c r="N484" s="95"/>
      <c r="O484" s="53"/>
      <c r="P484" s="95"/>
      <c r="Q484" s="53"/>
      <c r="R484" s="225"/>
      <c r="S484" s="161"/>
      <c r="T484" s="327"/>
      <c r="U484" s="52" t="s">
        <v>47</v>
      </c>
      <c r="V484" s="73"/>
      <c r="W484" s="95"/>
      <c r="X484" s="103"/>
      <c r="Y484" s="103"/>
      <c r="Z484" s="103"/>
      <c r="AA484" s="103"/>
      <c r="AB484" s="103"/>
      <c r="AC484" s="104"/>
      <c r="AD484" s="104"/>
      <c r="AE484" s="104"/>
      <c r="AF484" s="95"/>
      <c r="AG484" s="53"/>
      <c r="AH484" s="95"/>
      <c r="AI484" s="53"/>
      <c r="AJ484" s="225"/>
      <c r="AK484" s="169"/>
      <c r="AL484" s="327"/>
      <c r="AM484" s="150" t="str">
        <f t="shared" ref="AM484:AM487" si="471">IF(OR(X484="",F484=""),"",X484-F484)</f>
        <v/>
      </c>
      <c r="AN484" s="212" t="str">
        <f t="shared" ref="AN484:AN487" si="472">IF(OR(Y484="",G484=""),"",Y484-G484)</f>
        <v/>
      </c>
      <c r="AO484" s="212" t="str">
        <f t="shared" ref="AO484:AO487" si="473">IF(OR(Z484="",H484=""),"",Z484-H484)</f>
        <v/>
      </c>
      <c r="AP484" s="212" t="str">
        <f t="shared" ref="AP484:AP487" si="474">IF(OR(AA484="",I484=""),"",AA484-I484)</f>
        <v/>
      </c>
      <c r="AQ484" s="151" t="str">
        <f t="shared" ref="AQ484:AQ487" si="475">IF(OR(AB484="",J484=""),"",AB484-J484)</f>
        <v/>
      </c>
      <c r="AR484" s="68"/>
      <c r="AS484" s="69"/>
      <c r="AT484" s="68"/>
    </row>
    <row r="485" spans="2:46" ht="13.5" customHeight="1" x14ac:dyDescent="0.15">
      <c r="B485" s="327"/>
      <c r="C485" s="52" t="s">
        <v>48</v>
      </c>
      <c r="D485" s="73"/>
      <c r="E485" s="95"/>
      <c r="F485" s="103"/>
      <c r="G485" s="103"/>
      <c r="H485" s="103"/>
      <c r="I485" s="103"/>
      <c r="J485" s="103"/>
      <c r="K485" s="104"/>
      <c r="L485" s="206"/>
      <c r="M485" s="206"/>
      <c r="N485" s="95"/>
      <c r="O485" s="53"/>
      <c r="P485" s="95"/>
      <c r="Q485" s="53"/>
      <c r="R485" s="225"/>
      <c r="S485" s="161"/>
      <c r="T485" s="327"/>
      <c r="U485" s="52" t="s">
        <v>48</v>
      </c>
      <c r="V485" s="73"/>
      <c r="W485" s="95"/>
      <c r="X485" s="103"/>
      <c r="Y485" s="103"/>
      <c r="Z485" s="103"/>
      <c r="AA485" s="103"/>
      <c r="AB485" s="103"/>
      <c r="AC485" s="104"/>
      <c r="AD485" s="104"/>
      <c r="AE485" s="104"/>
      <c r="AF485" s="95"/>
      <c r="AG485" s="53"/>
      <c r="AH485" s="95"/>
      <c r="AI485" s="53"/>
      <c r="AJ485" s="225"/>
      <c r="AK485" s="169"/>
      <c r="AL485" s="327"/>
      <c r="AM485" s="150" t="str">
        <f t="shared" si="471"/>
        <v/>
      </c>
      <c r="AN485" s="212" t="str">
        <f t="shared" si="472"/>
        <v/>
      </c>
      <c r="AO485" s="212" t="str">
        <f t="shared" si="473"/>
        <v/>
      </c>
      <c r="AP485" s="212" t="str">
        <f t="shared" si="474"/>
        <v/>
      </c>
      <c r="AQ485" s="151" t="str">
        <f t="shared" si="475"/>
        <v/>
      </c>
      <c r="AR485" s="68"/>
      <c r="AS485" s="69"/>
      <c r="AT485" s="68"/>
    </row>
    <row r="486" spans="2:46" ht="13.5" customHeight="1" x14ac:dyDescent="0.15">
      <c r="B486" s="327"/>
      <c r="C486" s="52" t="s">
        <v>50</v>
      </c>
      <c r="D486" s="73"/>
      <c r="E486" s="95"/>
      <c r="F486" s="103"/>
      <c r="G486" s="103"/>
      <c r="H486" s="103"/>
      <c r="I486" s="103"/>
      <c r="J486" s="103"/>
      <c r="K486" s="104"/>
      <c r="L486" s="206"/>
      <c r="M486" s="206"/>
      <c r="N486" s="95"/>
      <c r="O486" s="53"/>
      <c r="P486" s="95"/>
      <c r="Q486" s="53"/>
      <c r="R486" s="225"/>
      <c r="S486" s="161"/>
      <c r="T486" s="327"/>
      <c r="U486" s="52" t="s">
        <v>50</v>
      </c>
      <c r="V486" s="73"/>
      <c r="W486" s="95"/>
      <c r="X486" s="103"/>
      <c r="Y486" s="103"/>
      <c r="Z486" s="103"/>
      <c r="AA486" s="103"/>
      <c r="AB486" s="103"/>
      <c r="AC486" s="104"/>
      <c r="AD486" s="104"/>
      <c r="AE486" s="104"/>
      <c r="AF486" s="95"/>
      <c r="AG486" s="53"/>
      <c r="AH486" s="95"/>
      <c r="AI486" s="53"/>
      <c r="AJ486" s="225"/>
      <c r="AK486" s="169"/>
      <c r="AL486" s="327"/>
      <c r="AM486" s="150" t="str">
        <f t="shared" si="471"/>
        <v/>
      </c>
      <c r="AN486" s="212" t="str">
        <f t="shared" si="472"/>
        <v/>
      </c>
      <c r="AO486" s="212" t="str">
        <f t="shared" si="473"/>
        <v/>
      </c>
      <c r="AP486" s="212" t="str">
        <f t="shared" si="474"/>
        <v/>
      </c>
      <c r="AQ486" s="151" t="str">
        <f t="shared" si="475"/>
        <v/>
      </c>
      <c r="AR486" s="68"/>
      <c r="AS486" s="69"/>
      <c r="AT486" s="68"/>
    </row>
    <row r="487" spans="2:46" ht="13.5" customHeight="1" thickBot="1" x14ac:dyDescent="0.2">
      <c r="B487" s="328"/>
      <c r="C487" s="54" t="s">
        <v>51</v>
      </c>
      <c r="D487" s="74"/>
      <c r="E487" s="98"/>
      <c r="F487" s="105"/>
      <c r="G487" s="105"/>
      <c r="H487" s="105"/>
      <c r="I487" s="105"/>
      <c r="J487" s="105"/>
      <c r="K487" s="106"/>
      <c r="L487" s="207"/>
      <c r="M487" s="207"/>
      <c r="N487" s="98"/>
      <c r="O487" s="66"/>
      <c r="P487" s="98"/>
      <c r="Q487" s="66"/>
      <c r="R487" s="226"/>
      <c r="S487" s="161"/>
      <c r="T487" s="328"/>
      <c r="U487" s="54" t="s">
        <v>51</v>
      </c>
      <c r="V487" s="74"/>
      <c r="W487" s="98"/>
      <c r="X487" s="105"/>
      <c r="Y487" s="105"/>
      <c r="Z487" s="105"/>
      <c r="AA487" s="105"/>
      <c r="AB487" s="105"/>
      <c r="AC487" s="106"/>
      <c r="AD487" s="106"/>
      <c r="AE487" s="106"/>
      <c r="AF487" s="98"/>
      <c r="AG487" s="66"/>
      <c r="AH487" s="98"/>
      <c r="AI487" s="66"/>
      <c r="AJ487" s="226"/>
      <c r="AK487" s="169"/>
      <c r="AL487" s="328"/>
      <c r="AM487" s="213" t="str">
        <f t="shared" si="471"/>
        <v/>
      </c>
      <c r="AN487" s="214" t="str">
        <f t="shared" si="472"/>
        <v/>
      </c>
      <c r="AO487" s="214" t="str">
        <f t="shared" si="473"/>
        <v/>
      </c>
      <c r="AP487" s="214" t="str">
        <f t="shared" si="474"/>
        <v/>
      </c>
      <c r="AQ487" s="215" t="str">
        <f t="shared" si="475"/>
        <v/>
      </c>
      <c r="AR487" s="68"/>
      <c r="AS487" s="69"/>
      <c r="AT487" s="68"/>
    </row>
    <row r="488" spans="2:46" ht="13.5" customHeight="1" x14ac:dyDescent="0.15">
      <c r="B488" s="326" t="s">
        <v>182</v>
      </c>
      <c r="C488" s="50" t="s">
        <v>46</v>
      </c>
      <c r="D488" s="71"/>
      <c r="E488" s="93"/>
      <c r="F488" s="101"/>
      <c r="G488" s="101"/>
      <c r="H488" s="101"/>
      <c r="I488" s="101"/>
      <c r="J488" s="101"/>
      <c r="K488" s="102"/>
      <c r="L488" s="205"/>
      <c r="M488" s="205"/>
      <c r="N488" s="93"/>
      <c r="O488" s="51"/>
      <c r="P488" s="93"/>
      <c r="Q488" s="51"/>
      <c r="R488" s="224"/>
      <c r="S488" s="161"/>
      <c r="T488" s="326" t="s">
        <v>182</v>
      </c>
      <c r="U488" s="50" t="s">
        <v>46</v>
      </c>
      <c r="V488" s="71"/>
      <c r="W488" s="93"/>
      <c r="X488" s="101"/>
      <c r="Y488" s="101"/>
      <c r="Z488" s="101"/>
      <c r="AA488" s="101"/>
      <c r="AB488" s="101"/>
      <c r="AC488" s="102"/>
      <c r="AD488" s="102"/>
      <c r="AE488" s="102"/>
      <c r="AF488" s="93"/>
      <c r="AG488" s="51"/>
      <c r="AH488" s="93"/>
      <c r="AI488" s="51"/>
      <c r="AJ488" s="224"/>
      <c r="AK488" s="169"/>
      <c r="AL488" s="326" t="s">
        <v>182</v>
      </c>
      <c r="AM488" s="210" t="str">
        <f>IF(OR(X488="",F488=""),"",X488-F488)</f>
        <v/>
      </c>
      <c r="AN488" s="171" t="str">
        <f>IF(OR(Y488="",G488=""),"",Y488-G488)</f>
        <v/>
      </c>
      <c r="AO488" s="171" t="str">
        <f>IF(OR(Z488="",H488=""),"",Z488-H488)</f>
        <v/>
      </c>
      <c r="AP488" s="171" t="str">
        <f>IF(OR(AA488="",I488=""),"",AA488-I488)</f>
        <v/>
      </c>
      <c r="AQ488" s="211" t="str">
        <f>IF(OR(AB488="",J488=""),"",AB488-J488)</f>
        <v/>
      </c>
      <c r="AR488" s="68"/>
      <c r="AS488" s="69"/>
      <c r="AT488" s="68"/>
    </row>
    <row r="489" spans="2:46" ht="13.5" customHeight="1" x14ac:dyDescent="0.15">
      <c r="B489" s="327"/>
      <c r="C489" s="52" t="s">
        <v>47</v>
      </c>
      <c r="D489" s="73"/>
      <c r="E489" s="95"/>
      <c r="F489" s="103"/>
      <c r="G489" s="103"/>
      <c r="H489" s="103"/>
      <c r="I489" s="103"/>
      <c r="J489" s="103"/>
      <c r="K489" s="104"/>
      <c r="L489" s="206"/>
      <c r="M489" s="206"/>
      <c r="N489" s="95"/>
      <c r="O489" s="53"/>
      <c r="P489" s="95"/>
      <c r="Q489" s="53"/>
      <c r="R489" s="225"/>
      <c r="S489" s="161"/>
      <c r="T489" s="327"/>
      <c r="U489" s="52" t="s">
        <v>47</v>
      </c>
      <c r="V489" s="73"/>
      <c r="W489" s="95"/>
      <c r="X489" s="103"/>
      <c r="Y489" s="103"/>
      <c r="Z489" s="103"/>
      <c r="AA489" s="103"/>
      <c r="AB489" s="103"/>
      <c r="AC489" s="104"/>
      <c r="AD489" s="104"/>
      <c r="AE489" s="104"/>
      <c r="AF489" s="95"/>
      <c r="AG489" s="53"/>
      <c r="AH489" s="95"/>
      <c r="AI489" s="53"/>
      <c r="AJ489" s="225"/>
      <c r="AK489" s="169"/>
      <c r="AL489" s="327"/>
      <c r="AM489" s="150" t="str">
        <f t="shared" ref="AM489:AM492" si="476">IF(OR(X489="",F489=""),"",X489-F489)</f>
        <v/>
      </c>
      <c r="AN489" s="212" t="str">
        <f t="shared" ref="AN489:AN492" si="477">IF(OR(Y489="",G489=""),"",Y489-G489)</f>
        <v/>
      </c>
      <c r="AO489" s="212" t="str">
        <f t="shared" ref="AO489:AO492" si="478">IF(OR(Z489="",H489=""),"",Z489-H489)</f>
        <v/>
      </c>
      <c r="AP489" s="212" t="str">
        <f t="shared" ref="AP489:AP492" si="479">IF(OR(AA489="",I489=""),"",AA489-I489)</f>
        <v/>
      </c>
      <c r="AQ489" s="151" t="str">
        <f t="shared" ref="AQ489:AQ492" si="480">IF(OR(AB489="",J489=""),"",AB489-J489)</f>
        <v/>
      </c>
      <c r="AR489" s="68"/>
      <c r="AS489" s="69"/>
      <c r="AT489" s="68"/>
    </row>
    <row r="490" spans="2:46" ht="13.5" customHeight="1" x14ac:dyDescent="0.15">
      <c r="B490" s="327"/>
      <c r="C490" s="52" t="s">
        <v>48</v>
      </c>
      <c r="D490" s="73"/>
      <c r="E490" s="95"/>
      <c r="F490" s="103"/>
      <c r="G490" s="103"/>
      <c r="H490" s="103"/>
      <c r="I490" s="103"/>
      <c r="J490" s="103"/>
      <c r="K490" s="104"/>
      <c r="L490" s="206"/>
      <c r="M490" s="206"/>
      <c r="N490" s="95"/>
      <c r="O490" s="53"/>
      <c r="P490" s="95"/>
      <c r="Q490" s="53"/>
      <c r="R490" s="225"/>
      <c r="S490" s="161"/>
      <c r="T490" s="327"/>
      <c r="U490" s="52" t="s">
        <v>48</v>
      </c>
      <c r="V490" s="73"/>
      <c r="W490" s="95"/>
      <c r="X490" s="103"/>
      <c r="Y490" s="103"/>
      <c r="Z490" s="103"/>
      <c r="AA490" s="103"/>
      <c r="AB490" s="103"/>
      <c r="AC490" s="104"/>
      <c r="AD490" s="104"/>
      <c r="AE490" s="104"/>
      <c r="AF490" s="95"/>
      <c r="AG490" s="53"/>
      <c r="AH490" s="95"/>
      <c r="AI490" s="53"/>
      <c r="AJ490" s="225"/>
      <c r="AK490" s="169"/>
      <c r="AL490" s="327"/>
      <c r="AM490" s="150" t="str">
        <f t="shared" si="476"/>
        <v/>
      </c>
      <c r="AN490" s="212" t="str">
        <f t="shared" si="477"/>
        <v/>
      </c>
      <c r="AO490" s="212" t="str">
        <f t="shared" si="478"/>
        <v/>
      </c>
      <c r="AP490" s="212" t="str">
        <f t="shared" si="479"/>
        <v/>
      </c>
      <c r="AQ490" s="151" t="str">
        <f t="shared" si="480"/>
        <v/>
      </c>
      <c r="AR490" s="68"/>
      <c r="AS490" s="69"/>
      <c r="AT490" s="68"/>
    </row>
    <row r="491" spans="2:46" ht="13.5" customHeight="1" x14ac:dyDescent="0.15">
      <c r="B491" s="327"/>
      <c r="C491" s="52" t="s">
        <v>50</v>
      </c>
      <c r="D491" s="73"/>
      <c r="E491" s="95"/>
      <c r="F491" s="103"/>
      <c r="G491" s="103"/>
      <c r="H491" s="103"/>
      <c r="I491" s="103"/>
      <c r="J491" s="103"/>
      <c r="K491" s="104"/>
      <c r="L491" s="206"/>
      <c r="M491" s="206"/>
      <c r="N491" s="95"/>
      <c r="O491" s="53"/>
      <c r="P491" s="95"/>
      <c r="Q491" s="53"/>
      <c r="R491" s="225"/>
      <c r="S491" s="161"/>
      <c r="T491" s="327"/>
      <c r="U491" s="52" t="s">
        <v>50</v>
      </c>
      <c r="V491" s="73"/>
      <c r="W491" s="95"/>
      <c r="X491" s="103"/>
      <c r="Y491" s="103"/>
      <c r="Z491" s="103"/>
      <c r="AA491" s="103"/>
      <c r="AB491" s="103"/>
      <c r="AC491" s="104"/>
      <c r="AD491" s="104"/>
      <c r="AE491" s="104"/>
      <c r="AF491" s="95"/>
      <c r="AG491" s="53"/>
      <c r="AH491" s="95"/>
      <c r="AI491" s="53"/>
      <c r="AJ491" s="225"/>
      <c r="AK491" s="169"/>
      <c r="AL491" s="327"/>
      <c r="AM491" s="150" t="str">
        <f t="shared" si="476"/>
        <v/>
      </c>
      <c r="AN491" s="212" t="str">
        <f t="shared" si="477"/>
        <v/>
      </c>
      <c r="AO491" s="212" t="str">
        <f t="shared" si="478"/>
        <v/>
      </c>
      <c r="AP491" s="212" t="str">
        <f t="shared" si="479"/>
        <v/>
      </c>
      <c r="AQ491" s="151" t="str">
        <f t="shared" si="480"/>
        <v/>
      </c>
      <c r="AR491" s="68"/>
      <c r="AS491" s="69"/>
      <c r="AT491" s="68"/>
    </row>
    <row r="492" spans="2:46" ht="13.5" customHeight="1" thickBot="1" x14ac:dyDescent="0.2">
      <c r="B492" s="328"/>
      <c r="C492" s="52" t="s">
        <v>51</v>
      </c>
      <c r="D492" s="74"/>
      <c r="E492" s="98"/>
      <c r="F492" s="105"/>
      <c r="G492" s="105"/>
      <c r="H492" s="105"/>
      <c r="I492" s="105"/>
      <c r="J492" s="105"/>
      <c r="K492" s="106"/>
      <c r="L492" s="207"/>
      <c r="M492" s="207"/>
      <c r="N492" s="98"/>
      <c r="O492" s="66"/>
      <c r="P492" s="98"/>
      <c r="Q492" s="66"/>
      <c r="R492" s="225"/>
      <c r="S492" s="161"/>
      <c r="T492" s="328"/>
      <c r="U492" s="52" t="s">
        <v>51</v>
      </c>
      <c r="V492" s="74"/>
      <c r="W492" s="98"/>
      <c r="X492" s="105"/>
      <c r="Y492" s="105"/>
      <c r="Z492" s="105"/>
      <c r="AA492" s="105"/>
      <c r="AB492" s="105"/>
      <c r="AC492" s="106"/>
      <c r="AD492" s="106"/>
      <c r="AE492" s="106"/>
      <c r="AF492" s="98"/>
      <c r="AG492" s="66"/>
      <c r="AH492" s="98"/>
      <c r="AI492" s="66"/>
      <c r="AJ492" s="225"/>
      <c r="AK492" s="169"/>
      <c r="AL492" s="328"/>
      <c r="AM492" s="213" t="str">
        <f t="shared" si="476"/>
        <v/>
      </c>
      <c r="AN492" s="214" t="str">
        <f t="shared" si="477"/>
        <v/>
      </c>
      <c r="AO492" s="214" t="str">
        <f t="shared" si="478"/>
        <v/>
      </c>
      <c r="AP492" s="214" t="str">
        <f t="shared" si="479"/>
        <v/>
      </c>
      <c r="AQ492" s="215" t="str">
        <f t="shared" si="480"/>
        <v/>
      </c>
      <c r="AR492" s="68"/>
      <c r="AS492" s="69"/>
      <c r="AT492" s="68"/>
    </row>
    <row r="493" spans="2:46" ht="13.5" customHeight="1" x14ac:dyDescent="0.15">
      <c r="B493" s="326" t="s">
        <v>183</v>
      </c>
      <c r="C493" s="50" t="s">
        <v>46</v>
      </c>
      <c r="D493" s="71"/>
      <c r="E493" s="93"/>
      <c r="F493" s="101"/>
      <c r="G493" s="101"/>
      <c r="H493" s="101"/>
      <c r="I493" s="101"/>
      <c r="J493" s="101"/>
      <c r="K493" s="102"/>
      <c r="L493" s="205"/>
      <c r="M493" s="205"/>
      <c r="N493" s="93"/>
      <c r="O493" s="51"/>
      <c r="P493" s="93"/>
      <c r="Q493" s="51"/>
      <c r="R493" s="224"/>
      <c r="S493" s="161"/>
      <c r="T493" s="326" t="s">
        <v>183</v>
      </c>
      <c r="U493" s="50" t="s">
        <v>46</v>
      </c>
      <c r="V493" s="71"/>
      <c r="W493" s="93"/>
      <c r="X493" s="101"/>
      <c r="Y493" s="101"/>
      <c r="Z493" s="101"/>
      <c r="AA493" s="101"/>
      <c r="AB493" s="101"/>
      <c r="AC493" s="102"/>
      <c r="AD493" s="102"/>
      <c r="AE493" s="102"/>
      <c r="AF493" s="93"/>
      <c r="AG493" s="51"/>
      <c r="AH493" s="93"/>
      <c r="AI493" s="51"/>
      <c r="AJ493" s="224"/>
      <c r="AK493" s="169"/>
      <c r="AL493" s="326" t="s">
        <v>183</v>
      </c>
      <c r="AM493" s="210" t="str">
        <f>IF(OR(X493="",F493=""),"",X493-F493)</f>
        <v/>
      </c>
      <c r="AN493" s="171" t="str">
        <f>IF(OR(Y493="",G493=""),"",Y493-G493)</f>
        <v/>
      </c>
      <c r="AO493" s="171" t="str">
        <f>IF(OR(Z493="",H493=""),"",Z493-H493)</f>
        <v/>
      </c>
      <c r="AP493" s="171" t="str">
        <f>IF(OR(AA493="",I493=""),"",AA493-I493)</f>
        <v/>
      </c>
      <c r="AQ493" s="211" t="str">
        <f>IF(OR(AB493="",J493=""),"",AB493-J493)</f>
        <v/>
      </c>
      <c r="AR493" s="68"/>
      <c r="AS493" s="69"/>
      <c r="AT493" s="68"/>
    </row>
    <row r="494" spans="2:46" ht="13.5" customHeight="1" x14ac:dyDescent="0.15">
      <c r="B494" s="327"/>
      <c r="C494" s="52" t="s">
        <v>47</v>
      </c>
      <c r="D494" s="73"/>
      <c r="E494" s="95"/>
      <c r="F494" s="103"/>
      <c r="G494" s="103"/>
      <c r="H494" s="103"/>
      <c r="I494" s="103"/>
      <c r="J494" s="103"/>
      <c r="K494" s="104"/>
      <c r="L494" s="206"/>
      <c r="M494" s="206"/>
      <c r="N494" s="95"/>
      <c r="O494" s="53"/>
      <c r="P494" s="95"/>
      <c r="Q494" s="53"/>
      <c r="R494" s="225"/>
      <c r="S494" s="161"/>
      <c r="T494" s="327"/>
      <c r="U494" s="52" t="s">
        <v>47</v>
      </c>
      <c r="V494" s="73"/>
      <c r="W494" s="95"/>
      <c r="X494" s="103"/>
      <c r="Y494" s="103"/>
      <c r="Z494" s="103"/>
      <c r="AA494" s="103"/>
      <c r="AB494" s="103"/>
      <c r="AC494" s="104"/>
      <c r="AD494" s="104"/>
      <c r="AE494" s="104"/>
      <c r="AF494" s="95"/>
      <c r="AG494" s="53"/>
      <c r="AH494" s="95"/>
      <c r="AI494" s="53"/>
      <c r="AJ494" s="225"/>
      <c r="AK494" s="169"/>
      <c r="AL494" s="327"/>
      <c r="AM494" s="150" t="str">
        <f t="shared" ref="AM494:AM497" si="481">IF(OR(X494="",F494=""),"",X494-F494)</f>
        <v/>
      </c>
      <c r="AN494" s="212" t="str">
        <f t="shared" ref="AN494:AN497" si="482">IF(OR(Y494="",G494=""),"",Y494-G494)</f>
        <v/>
      </c>
      <c r="AO494" s="212" t="str">
        <f t="shared" ref="AO494:AO497" si="483">IF(OR(Z494="",H494=""),"",Z494-H494)</f>
        <v/>
      </c>
      <c r="AP494" s="212" t="str">
        <f t="shared" ref="AP494:AP497" si="484">IF(OR(AA494="",I494=""),"",AA494-I494)</f>
        <v/>
      </c>
      <c r="AQ494" s="151" t="str">
        <f t="shared" ref="AQ494:AQ497" si="485">IF(OR(AB494="",J494=""),"",AB494-J494)</f>
        <v/>
      </c>
      <c r="AR494" s="68"/>
      <c r="AS494" s="69"/>
      <c r="AT494" s="68"/>
    </row>
    <row r="495" spans="2:46" ht="13.5" customHeight="1" x14ac:dyDescent="0.15">
      <c r="B495" s="327"/>
      <c r="C495" s="52" t="s">
        <v>48</v>
      </c>
      <c r="D495" s="73"/>
      <c r="E495" s="95"/>
      <c r="F495" s="103"/>
      <c r="G495" s="103"/>
      <c r="H495" s="103"/>
      <c r="I495" s="103"/>
      <c r="J495" s="103"/>
      <c r="K495" s="104"/>
      <c r="L495" s="206"/>
      <c r="M495" s="206"/>
      <c r="N495" s="95"/>
      <c r="O495" s="53"/>
      <c r="P495" s="95"/>
      <c r="Q495" s="53"/>
      <c r="R495" s="225"/>
      <c r="S495" s="161"/>
      <c r="T495" s="327"/>
      <c r="U495" s="52" t="s">
        <v>48</v>
      </c>
      <c r="V495" s="73"/>
      <c r="W495" s="95"/>
      <c r="X495" s="103"/>
      <c r="Y495" s="103"/>
      <c r="Z495" s="103"/>
      <c r="AA495" s="103"/>
      <c r="AB495" s="103"/>
      <c r="AC495" s="104"/>
      <c r="AD495" s="104"/>
      <c r="AE495" s="104"/>
      <c r="AF495" s="95"/>
      <c r="AG495" s="53"/>
      <c r="AH495" s="95"/>
      <c r="AI495" s="53"/>
      <c r="AJ495" s="225"/>
      <c r="AK495" s="169"/>
      <c r="AL495" s="327"/>
      <c r="AM495" s="150" t="str">
        <f t="shared" si="481"/>
        <v/>
      </c>
      <c r="AN495" s="212" t="str">
        <f t="shared" si="482"/>
        <v/>
      </c>
      <c r="AO495" s="212" t="str">
        <f t="shared" si="483"/>
        <v/>
      </c>
      <c r="AP495" s="212" t="str">
        <f t="shared" si="484"/>
        <v/>
      </c>
      <c r="AQ495" s="151" t="str">
        <f t="shared" si="485"/>
        <v/>
      </c>
      <c r="AR495" s="68"/>
      <c r="AS495" s="69"/>
      <c r="AT495" s="68"/>
    </row>
    <row r="496" spans="2:46" ht="13.5" customHeight="1" x14ac:dyDescent="0.15">
      <c r="B496" s="327"/>
      <c r="C496" s="52" t="s">
        <v>50</v>
      </c>
      <c r="D496" s="73"/>
      <c r="E496" s="95"/>
      <c r="F496" s="103"/>
      <c r="G496" s="103"/>
      <c r="H496" s="103"/>
      <c r="I496" s="103"/>
      <c r="J496" s="103"/>
      <c r="K496" s="104"/>
      <c r="L496" s="206"/>
      <c r="M496" s="206"/>
      <c r="N496" s="95"/>
      <c r="O496" s="53"/>
      <c r="P496" s="95"/>
      <c r="Q496" s="53"/>
      <c r="R496" s="225"/>
      <c r="S496" s="161"/>
      <c r="T496" s="327"/>
      <c r="U496" s="52" t="s">
        <v>50</v>
      </c>
      <c r="V496" s="73"/>
      <c r="W496" s="95"/>
      <c r="X496" s="103"/>
      <c r="Y496" s="103"/>
      <c r="Z496" s="103"/>
      <c r="AA496" s="103"/>
      <c r="AB496" s="103"/>
      <c r="AC496" s="104"/>
      <c r="AD496" s="104"/>
      <c r="AE496" s="104"/>
      <c r="AF496" s="95"/>
      <c r="AG496" s="53"/>
      <c r="AH496" s="95"/>
      <c r="AI496" s="53"/>
      <c r="AJ496" s="225"/>
      <c r="AK496" s="169"/>
      <c r="AL496" s="327"/>
      <c r="AM496" s="150" t="str">
        <f t="shared" si="481"/>
        <v/>
      </c>
      <c r="AN496" s="212" t="str">
        <f t="shared" si="482"/>
        <v/>
      </c>
      <c r="AO496" s="212" t="str">
        <f t="shared" si="483"/>
        <v/>
      </c>
      <c r="AP496" s="212" t="str">
        <f t="shared" si="484"/>
        <v/>
      </c>
      <c r="AQ496" s="151" t="str">
        <f t="shared" si="485"/>
        <v/>
      </c>
      <c r="AR496" s="68"/>
      <c r="AS496" s="69"/>
      <c r="AT496" s="68"/>
    </row>
    <row r="497" spans="2:46" ht="13.5" customHeight="1" thickBot="1" x14ac:dyDescent="0.2">
      <c r="B497" s="328"/>
      <c r="C497" s="52" t="s">
        <v>51</v>
      </c>
      <c r="D497" s="74"/>
      <c r="E497" s="98"/>
      <c r="F497" s="105"/>
      <c r="G497" s="105"/>
      <c r="H497" s="105"/>
      <c r="I497" s="105"/>
      <c r="J497" s="105"/>
      <c r="K497" s="106"/>
      <c r="L497" s="207"/>
      <c r="M497" s="207"/>
      <c r="N497" s="98"/>
      <c r="O497" s="66"/>
      <c r="P497" s="98"/>
      <c r="Q497" s="66"/>
      <c r="R497" s="225"/>
      <c r="S497" s="161"/>
      <c r="T497" s="328"/>
      <c r="U497" s="52" t="s">
        <v>51</v>
      </c>
      <c r="V497" s="74"/>
      <c r="W497" s="98"/>
      <c r="X497" s="105"/>
      <c r="Y497" s="105"/>
      <c r="Z497" s="105"/>
      <c r="AA497" s="105"/>
      <c r="AB497" s="105"/>
      <c r="AC497" s="106"/>
      <c r="AD497" s="106"/>
      <c r="AE497" s="106"/>
      <c r="AF497" s="98"/>
      <c r="AG497" s="66"/>
      <c r="AH497" s="98"/>
      <c r="AI497" s="66"/>
      <c r="AJ497" s="225"/>
      <c r="AK497" s="169"/>
      <c r="AL497" s="328"/>
      <c r="AM497" s="213" t="str">
        <f t="shared" si="481"/>
        <v/>
      </c>
      <c r="AN497" s="214" t="str">
        <f t="shared" si="482"/>
        <v/>
      </c>
      <c r="AO497" s="214" t="str">
        <f t="shared" si="483"/>
        <v/>
      </c>
      <c r="AP497" s="214" t="str">
        <f t="shared" si="484"/>
        <v/>
      </c>
      <c r="AQ497" s="215" t="str">
        <f t="shared" si="485"/>
        <v/>
      </c>
      <c r="AR497" s="68"/>
      <c r="AS497" s="69"/>
      <c r="AT497" s="68"/>
    </row>
    <row r="498" spans="2:46" ht="13.5" customHeight="1" x14ac:dyDescent="0.15">
      <c r="B498" s="326" t="s">
        <v>184</v>
      </c>
      <c r="C498" s="50" t="s">
        <v>46</v>
      </c>
      <c r="D498" s="71"/>
      <c r="E498" s="93"/>
      <c r="F498" s="101"/>
      <c r="G498" s="101"/>
      <c r="H498" s="101"/>
      <c r="I498" s="101"/>
      <c r="J498" s="101"/>
      <c r="K498" s="102"/>
      <c r="L498" s="205"/>
      <c r="M498" s="205"/>
      <c r="N498" s="93"/>
      <c r="O498" s="51"/>
      <c r="P498" s="93"/>
      <c r="Q498" s="51"/>
      <c r="R498" s="224"/>
      <c r="S498" s="161"/>
      <c r="T498" s="326" t="s">
        <v>184</v>
      </c>
      <c r="U498" s="50" t="s">
        <v>46</v>
      </c>
      <c r="V498" s="71"/>
      <c r="W498" s="93"/>
      <c r="X498" s="101"/>
      <c r="Y498" s="101"/>
      <c r="Z498" s="101"/>
      <c r="AA498" s="101"/>
      <c r="AB498" s="101"/>
      <c r="AC498" s="102"/>
      <c r="AD498" s="102"/>
      <c r="AE498" s="102"/>
      <c r="AF498" s="93"/>
      <c r="AG498" s="51"/>
      <c r="AH498" s="93"/>
      <c r="AI498" s="51"/>
      <c r="AJ498" s="224"/>
      <c r="AK498" s="169"/>
      <c r="AL498" s="326" t="s">
        <v>184</v>
      </c>
      <c r="AM498" s="210" t="str">
        <f>IF(OR(X498="",F498=""),"",X498-F498)</f>
        <v/>
      </c>
      <c r="AN498" s="171" t="str">
        <f>IF(OR(Y498="",G498=""),"",Y498-G498)</f>
        <v/>
      </c>
      <c r="AO498" s="171" t="str">
        <f>IF(OR(Z498="",H498=""),"",Z498-H498)</f>
        <v/>
      </c>
      <c r="AP498" s="171" t="str">
        <f>IF(OR(AA498="",I498=""),"",AA498-I498)</f>
        <v/>
      </c>
      <c r="AQ498" s="211" t="str">
        <f>IF(OR(AB498="",J498=""),"",AB498-J498)</f>
        <v/>
      </c>
      <c r="AR498" s="68"/>
      <c r="AS498" s="69"/>
      <c r="AT498" s="68"/>
    </row>
    <row r="499" spans="2:46" ht="13.5" customHeight="1" x14ac:dyDescent="0.15">
      <c r="B499" s="327"/>
      <c r="C499" s="52" t="s">
        <v>47</v>
      </c>
      <c r="D499" s="73"/>
      <c r="E499" s="95"/>
      <c r="F499" s="103"/>
      <c r="G499" s="103"/>
      <c r="H499" s="103"/>
      <c r="I499" s="103"/>
      <c r="J499" s="103"/>
      <c r="K499" s="104"/>
      <c r="L499" s="206"/>
      <c r="M499" s="206"/>
      <c r="N499" s="95"/>
      <c r="O499" s="53"/>
      <c r="P499" s="95"/>
      <c r="Q499" s="53"/>
      <c r="R499" s="225"/>
      <c r="S499" s="161"/>
      <c r="T499" s="327"/>
      <c r="U499" s="52" t="s">
        <v>47</v>
      </c>
      <c r="V499" s="73"/>
      <c r="W499" s="95"/>
      <c r="X499" s="103"/>
      <c r="Y499" s="103"/>
      <c r="Z499" s="103"/>
      <c r="AA499" s="103"/>
      <c r="AB499" s="103"/>
      <c r="AC499" s="104"/>
      <c r="AD499" s="104"/>
      <c r="AE499" s="104"/>
      <c r="AF499" s="95"/>
      <c r="AG499" s="53"/>
      <c r="AH499" s="95"/>
      <c r="AI499" s="53"/>
      <c r="AJ499" s="225"/>
      <c r="AK499" s="169"/>
      <c r="AL499" s="327"/>
      <c r="AM499" s="150" t="str">
        <f t="shared" ref="AM499:AM502" si="486">IF(OR(X499="",F499=""),"",X499-F499)</f>
        <v/>
      </c>
      <c r="AN499" s="212" t="str">
        <f t="shared" ref="AN499:AN502" si="487">IF(OR(Y499="",G499=""),"",Y499-G499)</f>
        <v/>
      </c>
      <c r="AO499" s="212" t="str">
        <f t="shared" ref="AO499:AO502" si="488">IF(OR(Z499="",H499=""),"",Z499-H499)</f>
        <v/>
      </c>
      <c r="AP499" s="212" t="str">
        <f t="shared" ref="AP499:AP502" si="489">IF(OR(AA499="",I499=""),"",AA499-I499)</f>
        <v/>
      </c>
      <c r="AQ499" s="151" t="str">
        <f t="shared" ref="AQ499:AQ502" si="490">IF(OR(AB499="",J499=""),"",AB499-J499)</f>
        <v/>
      </c>
      <c r="AR499" s="68"/>
      <c r="AS499" s="69"/>
      <c r="AT499" s="68"/>
    </row>
    <row r="500" spans="2:46" ht="13.5" customHeight="1" x14ac:dyDescent="0.15">
      <c r="B500" s="327"/>
      <c r="C500" s="52" t="s">
        <v>48</v>
      </c>
      <c r="D500" s="73"/>
      <c r="E500" s="95"/>
      <c r="F500" s="103"/>
      <c r="G500" s="103"/>
      <c r="H500" s="103"/>
      <c r="I500" s="103"/>
      <c r="J500" s="103"/>
      <c r="K500" s="104"/>
      <c r="L500" s="206"/>
      <c r="M500" s="206"/>
      <c r="N500" s="95"/>
      <c r="O500" s="53"/>
      <c r="P500" s="95"/>
      <c r="Q500" s="53"/>
      <c r="R500" s="225"/>
      <c r="S500" s="161"/>
      <c r="T500" s="327"/>
      <c r="U500" s="52" t="s">
        <v>48</v>
      </c>
      <c r="V500" s="73"/>
      <c r="W500" s="95"/>
      <c r="X500" s="103"/>
      <c r="Y500" s="103"/>
      <c r="Z500" s="103"/>
      <c r="AA500" s="103"/>
      <c r="AB500" s="103"/>
      <c r="AC500" s="104"/>
      <c r="AD500" s="104"/>
      <c r="AE500" s="104"/>
      <c r="AF500" s="95"/>
      <c r="AG500" s="53"/>
      <c r="AH500" s="95"/>
      <c r="AI500" s="53"/>
      <c r="AJ500" s="225"/>
      <c r="AK500" s="169"/>
      <c r="AL500" s="327"/>
      <c r="AM500" s="150" t="str">
        <f t="shared" si="486"/>
        <v/>
      </c>
      <c r="AN500" s="212" t="str">
        <f t="shared" si="487"/>
        <v/>
      </c>
      <c r="AO500" s="212" t="str">
        <f t="shared" si="488"/>
        <v/>
      </c>
      <c r="AP500" s="212" t="str">
        <f t="shared" si="489"/>
        <v/>
      </c>
      <c r="AQ500" s="151" t="str">
        <f t="shared" si="490"/>
        <v/>
      </c>
      <c r="AR500" s="68"/>
      <c r="AS500" s="69"/>
      <c r="AT500" s="68"/>
    </row>
    <row r="501" spans="2:46" ht="13.5" customHeight="1" x14ac:dyDescent="0.15">
      <c r="B501" s="327"/>
      <c r="C501" s="52" t="s">
        <v>50</v>
      </c>
      <c r="D501" s="73"/>
      <c r="E501" s="95"/>
      <c r="F501" s="103"/>
      <c r="G501" s="103"/>
      <c r="H501" s="103"/>
      <c r="I501" s="103"/>
      <c r="J501" s="103"/>
      <c r="K501" s="104"/>
      <c r="L501" s="206"/>
      <c r="M501" s="206"/>
      <c r="N501" s="95"/>
      <c r="O501" s="53"/>
      <c r="P501" s="95"/>
      <c r="Q501" s="53"/>
      <c r="R501" s="225"/>
      <c r="S501" s="161"/>
      <c r="T501" s="327"/>
      <c r="U501" s="52" t="s">
        <v>50</v>
      </c>
      <c r="V501" s="73"/>
      <c r="W501" s="95"/>
      <c r="X501" s="103"/>
      <c r="Y501" s="103"/>
      <c r="Z501" s="103"/>
      <c r="AA501" s="103"/>
      <c r="AB501" s="103"/>
      <c r="AC501" s="104"/>
      <c r="AD501" s="104"/>
      <c r="AE501" s="104"/>
      <c r="AF501" s="95"/>
      <c r="AG501" s="53"/>
      <c r="AH501" s="95"/>
      <c r="AI501" s="53"/>
      <c r="AJ501" s="225"/>
      <c r="AK501" s="169"/>
      <c r="AL501" s="327"/>
      <c r="AM501" s="150" t="str">
        <f t="shared" si="486"/>
        <v/>
      </c>
      <c r="AN501" s="212" t="str">
        <f t="shared" si="487"/>
        <v/>
      </c>
      <c r="AO501" s="212" t="str">
        <f t="shared" si="488"/>
        <v/>
      </c>
      <c r="AP501" s="212" t="str">
        <f t="shared" si="489"/>
        <v/>
      </c>
      <c r="AQ501" s="151" t="str">
        <f t="shared" si="490"/>
        <v/>
      </c>
      <c r="AR501" s="68"/>
      <c r="AS501" s="69"/>
      <c r="AT501" s="68"/>
    </row>
    <row r="502" spans="2:46" ht="13.5" customHeight="1" thickBot="1" x14ac:dyDescent="0.2">
      <c r="B502" s="328"/>
      <c r="C502" s="52" t="s">
        <v>51</v>
      </c>
      <c r="D502" s="74"/>
      <c r="E502" s="98"/>
      <c r="F502" s="105"/>
      <c r="G502" s="105"/>
      <c r="H502" s="105"/>
      <c r="I502" s="105"/>
      <c r="J502" s="105"/>
      <c r="K502" s="106"/>
      <c r="L502" s="207"/>
      <c r="M502" s="207"/>
      <c r="N502" s="98"/>
      <c r="O502" s="66"/>
      <c r="P502" s="98"/>
      <c r="Q502" s="66"/>
      <c r="R502" s="225"/>
      <c r="S502" s="161"/>
      <c r="T502" s="328"/>
      <c r="U502" s="52" t="s">
        <v>51</v>
      </c>
      <c r="V502" s="74"/>
      <c r="W502" s="98"/>
      <c r="X502" s="105"/>
      <c r="Y502" s="105"/>
      <c r="Z502" s="105"/>
      <c r="AA502" s="105"/>
      <c r="AB502" s="105"/>
      <c r="AC502" s="106"/>
      <c r="AD502" s="106"/>
      <c r="AE502" s="106"/>
      <c r="AF502" s="98"/>
      <c r="AG502" s="66"/>
      <c r="AH502" s="98"/>
      <c r="AI502" s="66"/>
      <c r="AJ502" s="225"/>
      <c r="AK502" s="169"/>
      <c r="AL502" s="328"/>
      <c r="AM502" s="213" t="str">
        <f t="shared" si="486"/>
        <v/>
      </c>
      <c r="AN502" s="214" t="str">
        <f t="shared" si="487"/>
        <v/>
      </c>
      <c r="AO502" s="214" t="str">
        <f t="shared" si="488"/>
        <v/>
      </c>
      <c r="AP502" s="214" t="str">
        <f t="shared" si="489"/>
        <v/>
      </c>
      <c r="AQ502" s="215" t="str">
        <f t="shared" si="490"/>
        <v/>
      </c>
      <c r="AR502" s="68"/>
      <c r="AS502" s="69"/>
      <c r="AT502" s="68"/>
    </row>
    <row r="503" spans="2:46" ht="13.5" customHeight="1" x14ac:dyDescent="0.15">
      <c r="B503" s="326" t="s">
        <v>185</v>
      </c>
      <c r="C503" s="50" t="s">
        <v>46</v>
      </c>
      <c r="D503" s="71"/>
      <c r="E503" s="93"/>
      <c r="F503" s="101"/>
      <c r="G503" s="101"/>
      <c r="H503" s="101"/>
      <c r="I503" s="101"/>
      <c r="J503" s="101"/>
      <c r="K503" s="102"/>
      <c r="L503" s="205"/>
      <c r="M503" s="205"/>
      <c r="N503" s="93"/>
      <c r="O503" s="51"/>
      <c r="P503" s="93"/>
      <c r="Q503" s="51"/>
      <c r="R503" s="224"/>
      <c r="S503" s="161"/>
      <c r="T503" s="326" t="s">
        <v>185</v>
      </c>
      <c r="U503" s="50" t="s">
        <v>46</v>
      </c>
      <c r="V503" s="71"/>
      <c r="W503" s="93"/>
      <c r="X503" s="101"/>
      <c r="Y503" s="101"/>
      <c r="Z503" s="101"/>
      <c r="AA503" s="101"/>
      <c r="AB503" s="101"/>
      <c r="AC503" s="102"/>
      <c r="AD503" s="102"/>
      <c r="AE503" s="102"/>
      <c r="AF503" s="93"/>
      <c r="AG503" s="51"/>
      <c r="AH503" s="93"/>
      <c r="AI503" s="51"/>
      <c r="AJ503" s="224"/>
      <c r="AK503" s="169"/>
      <c r="AL503" s="326" t="s">
        <v>185</v>
      </c>
      <c r="AM503" s="210" t="str">
        <f>IF(OR(X503="",F503=""),"",X503-F503)</f>
        <v/>
      </c>
      <c r="AN503" s="171" t="str">
        <f>IF(OR(Y503="",G503=""),"",Y503-G503)</f>
        <v/>
      </c>
      <c r="AO503" s="171" t="str">
        <f>IF(OR(Z503="",H503=""),"",Z503-H503)</f>
        <v/>
      </c>
      <c r="AP503" s="171" t="str">
        <f>IF(OR(AA503="",I503=""),"",AA503-I503)</f>
        <v/>
      </c>
      <c r="AQ503" s="211" t="str">
        <f>IF(OR(AB503="",J503=""),"",AB503-J503)</f>
        <v/>
      </c>
      <c r="AR503" s="68"/>
      <c r="AS503" s="69"/>
      <c r="AT503" s="68"/>
    </row>
    <row r="504" spans="2:46" ht="13.5" customHeight="1" x14ac:dyDescent="0.15">
      <c r="B504" s="327"/>
      <c r="C504" s="52" t="s">
        <v>47</v>
      </c>
      <c r="D504" s="73"/>
      <c r="E504" s="95"/>
      <c r="F504" s="103"/>
      <c r="G504" s="103"/>
      <c r="H504" s="103"/>
      <c r="I504" s="103"/>
      <c r="J504" s="103"/>
      <c r="K504" s="104"/>
      <c r="L504" s="206"/>
      <c r="M504" s="206"/>
      <c r="N504" s="95"/>
      <c r="O504" s="53"/>
      <c r="P504" s="95"/>
      <c r="Q504" s="53"/>
      <c r="R504" s="225"/>
      <c r="S504" s="161"/>
      <c r="T504" s="327"/>
      <c r="U504" s="52" t="s">
        <v>47</v>
      </c>
      <c r="V504" s="73"/>
      <c r="W504" s="95"/>
      <c r="X504" s="103"/>
      <c r="Y504" s="103"/>
      <c r="Z504" s="103"/>
      <c r="AA504" s="103"/>
      <c r="AB504" s="103"/>
      <c r="AC504" s="104"/>
      <c r="AD504" s="104"/>
      <c r="AE504" s="104"/>
      <c r="AF504" s="95"/>
      <c r="AG504" s="53"/>
      <c r="AH504" s="95"/>
      <c r="AI504" s="53"/>
      <c r="AJ504" s="225"/>
      <c r="AK504" s="169"/>
      <c r="AL504" s="327"/>
      <c r="AM504" s="150" t="str">
        <f t="shared" ref="AM504:AM507" si="491">IF(OR(X504="",F504=""),"",X504-F504)</f>
        <v/>
      </c>
      <c r="AN504" s="212" t="str">
        <f t="shared" ref="AN504:AN507" si="492">IF(OR(Y504="",G504=""),"",Y504-G504)</f>
        <v/>
      </c>
      <c r="AO504" s="212" t="str">
        <f t="shared" ref="AO504:AO507" si="493">IF(OR(Z504="",H504=""),"",Z504-H504)</f>
        <v/>
      </c>
      <c r="AP504" s="212" t="str">
        <f t="shared" ref="AP504:AP507" si="494">IF(OR(AA504="",I504=""),"",AA504-I504)</f>
        <v/>
      </c>
      <c r="AQ504" s="151" t="str">
        <f t="shared" ref="AQ504:AQ507" si="495">IF(OR(AB504="",J504=""),"",AB504-J504)</f>
        <v/>
      </c>
      <c r="AR504" s="68"/>
      <c r="AS504" s="69"/>
      <c r="AT504" s="68"/>
    </row>
    <row r="505" spans="2:46" ht="13.5" customHeight="1" x14ac:dyDescent="0.15">
      <c r="B505" s="327"/>
      <c r="C505" s="52" t="s">
        <v>48</v>
      </c>
      <c r="D505" s="73"/>
      <c r="E505" s="95"/>
      <c r="F505" s="103"/>
      <c r="G505" s="103"/>
      <c r="H505" s="103"/>
      <c r="I505" s="103"/>
      <c r="J505" s="103"/>
      <c r="K505" s="104"/>
      <c r="L505" s="206"/>
      <c r="M505" s="206"/>
      <c r="N505" s="95"/>
      <c r="O505" s="53"/>
      <c r="P505" s="95"/>
      <c r="Q505" s="53"/>
      <c r="R505" s="225"/>
      <c r="S505" s="161"/>
      <c r="T505" s="327"/>
      <c r="U505" s="52" t="s">
        <v>48</v>
      </c>
      <c r="V505" s="73"/>
      <c r="W505" s="95"/>
      <c r="X505" s="103"/>
      <c r="Y505" s="103"/>
      <c r="Z505" s="103"/>
      <c r="AA505" s="103"/>
      <c r="AB505" s="103"/>
      <c r="AC505" s="104"/>
      <c r="AD505" s="104"/>
      <c r="AE505" s="104"/>
      <c r="AF505" s="95"/>
      <c r="AG505" s="53"/>
      <c r="AH505" s="95"/>
      <c r="AI505" s="53"/>
      <c r="AJ505" s="225"/>
      <c r="AK505" s="169"/>
      <c r="AL505" s="327"/>
      <c r="AM505" s="150" t="str">
        <f t="shared" si="491"/>
        <v/>
      </c>
      <c r="AN505" s="212" t="str">
        <f t="shared" si="492"/>
        <v/>
      </c>
      <c r="AO505" s="212" t="str">
        <f t="shared" si="493"/>
        <v/>
      </c>
      <c r="AP505" s="212" t="str">
        <f t="shared" si="494"/>
        <v/>
      </c>
      <c r="AQ505" s="151" t="str">
        <f t="shared" si="495"/>
        <v/>
      </c>
      <c r="AR505" s="68"/>
      <c r="AS505" s="69"/>
      <c r="AT505" s="68"/>
    </row>
    <row r="506" spans="2:46" ht="13.5" customHeight="1" x14ac:dyDescent="0.15">
      <c r="B506" s="327"/>
      <c r="C506" s="52" t="s">
        <v>50</v>
      </c>
      <c r="D506" s="73"/>
      <c r="E506" s="95"/>
      <c r="F506" s="103"/>
      <c r="G506" s="103"/>
      <c r="H506" s="103"/>
      <c r="I506" s="103"/>
      <c r="J506" s="103"/>
      <c r="K506" s="104"/>
      <c r="L506" s="206"/>
      <c r="M506" s="206"/>
      <c r="N506" s="95"/>
      <c r="O506" s="53"/>
      <c r="P506" s="95"/>
      <c r="Q506" s="53"/>
      <c r="R506" s="225"/>
      <c r="S506" s="161"/>
      <c r="T506" s="327"/>
      <c r="U506" s="52" t="s">
        <v>50</v>
      </c>
      <c r="V506" s="73"/>
      <c r="W506" s="95"/>
      <c r="X506" s="103"/>
      <c r="Y506" s="103"/>
      <c r="Z506" s="103"/>
      <c r="AA506" s="103"/>
      <c r="AB506" s="103"/>
      <c r="AC506" s="104"/>
      <c r="AD506" s="104"/>
      <c r="AE506" s="104"/>
      <c r="AF506" s="95"/>
      <c r="AG506" s="53"/>
      <c r="AH506" s="95"/>
      <c r="AI506" s="53"/>
      <c r="AJ506" s="225"/>
      <c r="AK506" s="169"/>
      <c r="AL506" s="327"/>
      <c r="AM506" s="150" t="str">
        <f t="shared" si="491"/>
        <v/>
      </c>
      <c r="AN506" s="212" t="str">
        <f t="shared" si="492"/>
        <v/>
      </c>
      <c r="AO506" s="212" t="str">
        <f t="shared" si="493"/>
        <v/>
      </c>
      <c r="AP506" s="212" t="str">
        <f t="shared" si="494"/>
        <v/>
      </c>
      <c r="AQ506" s="151" t="str">
        <f t="shared" si="495"/>
        <v/>
      </c>
      <c r="AR506" s="68"/>
      <c r="AS506" s="69"/>
      <c r="AT506" s="68"/>
    </row>
    <row r="507" spans="2:46" ht="13.5" customHeight="1" thickBot="1" x14ac:dyDescent="0.2">
      <c r="B507" s="328"/>
      <c r="C507" s="52" t="s">
        <v>51</v>
      </c>
      <c r="D507" s="74"/>
      <c r="E507" s="98"/>
      <c r="F507" s="105"/>
      <c r="G507" s="105"/>
      <c r="H507" s="105"/>
      <c r="I507" s="105"/>
      <c r="J507" s="105"/>
      <c r="K507" s="106"/>
      <c r="L507" s="207"/>
      <c r="M507" s="207"/>
      <c r="N507" s="98"/>
      <c r="O507" s="66"/>
      <c r="P507" s="98"/>
      <c r="Q507" s="66"/>
      <c r="R507" s="225"/>
      <c r="S507" s="161"/>
      <c r="T507" s="328"/>
      <c r="U507" s="52" t="s">
        <v>51</v>
      </c>
      <c r="V507" s="74"/>
      <c r="W507" s="98"/>
      <c r="X507" s="105"/>
      <c r="Y507" s="105"/>
      <c r="Z507" s="105"/>
      <c r="AA507" s="105"/>
      <c r="AB507" s="105"/>
      <c r="AC507" s="106"/>
      <c r="AD507" s="106"/>
      <c r="AE507" s="106"/>
      <c r="AF507" s="98"/>
      <c r="AG507" s="66"/>
      <c r="AH507" s="98"/>
      <c r="AI507" s="66"/>
      <c r="AJ507" s="225"/>
      <c r="AK507" s="169"/>
      <c r="AL507" s="328"/>
      <c r="AM507" s="213" t="str">
        <f t="shared" si="491"/>
        <v/>
      </c>
      <c r="AN507" s="214" t="str">
        <f t="shared" si="492"/>
        <v/>
      </c>
      <c r="AO507" s="214" t="str">
        <f t="shared" si="493"/>
        <v/>
      </c>
      <c r="AP507" s="214" t="str">
        <f t="shared" si="494"/>
        <v/>
      </c>
      <c r="AQ507" s="215" t="str">
        <f t="shared" si="495"/>
        <v/>
      </c>
      <c r="AR507" s="68"/>
      <c r="AS507" s="69"/>
      <c r="AT507" s="68"/>
    </row>
    <row r="508" spans="2:46" ht="13.5" customHeight="1" x14ac:dyDescent="0.15">
      <c r="B508" s="326" t="s">
        <v>186</v>
      </c>
      <c r="C508" s="50" t="s">
        <v>46</v>
      </c>
      <c r="D508" s="71"/>
      <c r="E508" s="93"/>
      <c r="F508" s="101"/>
      <c r="G508" s="101"/>
      <c r="H508" s="101"/>
      <c r="I508" s="101"/>
      <c r="J508" s="101"/>
      <c r="K508" s="102"/>
      <c r="L508" s="205"/>
      <c r="M508" s="205"/>
      <c r="N508" s="93"/>
      <c r="O508" s="51"/>
      <c r="P508" s="93"/>
      <c r="Q508" s="51"/>
      <c r="R508" s="224"/>
      <c r="S508" s="161"/>
      <c r="T508" s="326" t="s">
        <v>186</v>
      </c>
      <c r="U508" s="50" t="s">
        <v>46</v>
      </c>
      <c r="V508" s="71"/>
      <c r="W508" s="93"/>
      <c r="X508" s="101"/>
      <c r="Y508" s="101"/>
      <c r="Z508" s="101"/>
      <c r="AA508" s="101"/>
      <c r="AB508" s="101"/>
      <c r="AC508" s="102"/>
      <c r="AD508" s="102"/>
      <c r="AE508" s="102"/>
      <c r="AF508" s="93"/>
      <c r="AG508" s="51"/>
      <c r="AH508" s="93"/>
      <c r="AI508" s="51"/>
      <c r="AJ508" s="224"/>
      <c r="AK508" s="169"/>
      <c r="AL508" s="326" t="s">
        <v>186</v>
      </c>
      <c r="AM508" s="210" t="str">
        <f>IF(OR(X508="",F508=""),"",X508-F508)</f>
        <v/>
      </c>
      <c r="AN508" s="171" t="str">
        <f>IF(OR(Y508="",G508=""),"",Y508-G508)</f>
        <v/>
      </c>
      <c r="AO508" s="171" t="str">
        <f>IF(OR(Z508="",H508=""),"",Z508-H508)</f>
        <v/>
      </c>
      <c r="AP508" s="171" t="str">
        <f>IF(OR(AA508="",I508=""),"",AA508-I508)</f>
        <v/>
      </c>
      <c r="AQ508" s="211" t="str">
        <f>IF(OR(AB508="",J508=""),"",AB508-J508)</f>
        <v/>
      </c>
      <c r="AR508" s="68"/>
      <c r="AS508" s="69"/>
      <c r="AT508" s="68"/>
    </row>
    <row r="509" spans="2:46" ht="13.5" customHeight="1" x14ac:dyDescent="0.15">
      <c r="B509" s="327"/>
      <c r="C509" s="52" t="s">
        <v>47</v>
      </c>
      <c r="D509" s="73"/>
      <c r="E509" s="95"/>
      <c r="F509" s="103"/>
      <c r="G509" s="103"/>
      <c r="H509" s="103"/>
      <c r="I509" s="103"/>
      <c r="J509" s="103"/>
      <c r="K509" s="104"/>
      <c r="L509" s="206"/>
      <c r="M509" s="206"/>
      <c r="N509" s="95"/>
      <c r="O509" s="53"/>
      <c r="P509" s="95"/>
      <c r="Q509" s="53"/>
      <c r="R509" s="225"/>
      <c r="S509" s="161"/>
      <c r="T509" s="327"/>
      <c r="U509" s="52" t="s">
        <v>47</v>
      </c>
      <c r="V509" s="73"/>
      <c r="W509" s="95"/>
      <c r="X509" s="103"/>
      <c r="Y509" s="103"/>
      <c r="Z509" s="103"/>
      <c r="AA509" s="103"/>
      <c r="AB509" s="103"/>
      <c r="AC509" s="104"/>
      <c r="AD509" s="104"/>
      <c r="AE509" s="104"/>
      <c r="AF509" s="95"/>
      <c r="AG509" s="53"/>
      <c r="AH509" s="95"/>
      <c r="AI509" s="53"/>
      <c r="AJ509" s="225"/>
      <c r="AK509" s="169"/>
      <c r="AL509" s="327"/>
      <c r="AM509" s="150" t="str">
        <f t="shared" ref="AM509:AM512" si="496">IF(OR(X509="",F509=""),"",X509-F509)</f>
        <v/>
      </c>
      <c r="AN509" s="212" t="str">
        <f t="shared" ref="AN509:AN512" si="497">IF(OR(Y509="",G509=""),"",Y509-G509)</f>
        <v/>
      </c>
      <c r="AO509" s="212" t="str">
        <f t="shared" ref="AO509:AO512" si="498">IF(OR(Z509="",H509=""),"",Z509-H509)</f>
        <v/>
      </c>
      <c r="AP509" s="212" t="str">
        <f t="shared" ref="AP509:AP512" si="499">IF(OR(AA509="",I509=""),"",AA509-I509)</f>
        <v/>
      </c>
      <c r="AQ509" s="151" t="str">
        <f t="shared" ref="AQ509:AQ512" si="500">IF(OR(AB509="",J509=""),"",AB509-J509)</f>
        <v/>
      </c>
      <c r="AR509" s="68"/>
      <c r="AS509" s="69"/>
      <c r="AT509" s="68"/>
    </row>
    <row r="510" spans="2:46" ht="13.5" customHeight="1" x14ac:dyDescent="0.15">
      <c r="B510" s="327"/>
      <c r="C510" s="52" t="s">
        <v>48</v>
      </c>
      <c r="D510" s="73"/>
      <c r="E510" s="95"/>
      <c r="F510" s="103"/>
      <c r="G510" s="103"/>
      <c r="H510" s="103"/>
      <c r="I510" s="103"/>
      <c r="J510" s="103"/>
      <c r="K510" s="104"/>
      <c r="L510" s="206"/>
      <c r="M510" s="206"/>
      <c r="N510" s="95"/>
      <c r="O510" s="53"/>
      <c r="P510" s="95"/>
      <c r="Q510" s="53"/>
      <c r="R510" s="225"/>
      <c r="S510" s="161"/>
      <c r="T510" s="327"/>
      <c r="U510" s="52" t="s">
        <v>48</v>
      </c>
      <c r="V510" s="73"/>
      <c r="W510" s="95"/>
      <c r="X510" s="103"/>
      <c r="Y510" s="103"/>
      <c r="Z510" s="103"/>
      <c r="AA510" s="103"/>
      <c r="AB510" s="103"/>
      <c r="AC510" s="104"/>
      <c r="AD510" s="104"/>
      <c r="AE510" s="104"/>
      <c r="AF510" s="95"/>
      <c r="AG510" s="53"/>
      <c r="AH510" s="95"/>
      <c r="AI510" s="53"/>
      <c r="AJ510" s="225"/>
      <c r="AK510" s="169"/>
      <c r="AL510" s="327"/>
      <c r="AM510" s="150" t="str">
        <f t="shared" si="496"/>
        <v/>
      </c>
      <c r="AN510" s="212" t="str">
        <f t="shared" si="497"/>
        <v/>
      </c>
      <c r="AO510" s="212" t="str">
        <f t="shared" si="498"/>
        <v/>
      </c>
      <c r="AP510" s="212" t="str">
        <f t="shared" si="499"/>
        <v/>
      </c>
      <c r="AQ510" s="151" t="str">
        <f t="shared" si="500"/>
        <v/>
      </c>
      <c r="AR510" s="68"/>
      <c r="AS510" s="69"/>
      <c r="AT510" s="68"/>
    </row>
    <row r="511" spans="2:46" ht="13.5" customHeight="1" x14ac:dyDescent="0.15">
      <c r="B511" s="327"/>
      <c r="C511" s="52" t="s">
        <v>50</v>
      </c>
      <c r="D511" s="73"/>
      <c r="E511" s="95"/>
      <c r="F511" s="103"/>
      <c r="G511" s="103"/>
      <c r="H511" s="103"/>
      <c r="I511" s="103"/>
      <c r="J511" s="103"/>
      <c r="K511" s="104"/>
      <c r="L511" s="206"/>
      <c r="M511" s="206"/>
      <c r="N511" s="95"/>
      <c r="O511" s="53"/>
      <c r="P511" s="95"/>
      <c r="Q511" s="53"/>
      <c r="R511" s="225"/>
      <c r="S511" s="161"/>
      <c r="T511" s="327"/>
      <c r="U511" s="52" t="s">
        <v>50</v>
      </c>
      <c r="V511" s="73"/>
      <c r="W511" s="95"/>
      <c r="X511" s="103"/>
      <c r="Y511" s="103"/>
      <c r="Z511" s="103"/>
      <c r="AA511" s="103"/>
      <c r="AB511" s="103"/>
      <c r="AC511" s="104"/>
      <c r="AD511" s="104"/>
      <c r="AE511" s="104"/>
      <c r="AF511" s="95"/>
      <c r="AG511" s="53"/>
      <c r="AH511" s="95"/>
      <c r="AI511" s="53"/>
      <c r="AJ511" s="225"/>
      <c r="AK511" s="169"/>
      <c r="AL511" s="327"/>
      <c r="AM511" s="150" t="str">
        <f t="shared" si="496"/>
        <v/>
      </c>
      <c r="AN511" s="212" t="str">
        <f t="shared" si="497"/>
        <v/>
      </c>
      <c r="AO511" s="212" t="str">
        <f t="shared" si="498"/>
        <v/>
      </c>
      <c r="AP511" s="212" t="str">
        <f t="shared" si="499"/>
        <v/>
      </c>
      <c r="AQ511" s="151" t="str">
        <f t="shared" si="500"/>
        <v/>
      </c>
      <c r="AR511" s="68"/>
      <c r="AS511" s="69"/>
      <c r="AT511" s="68"/>
    </row>
    <row r="512" spans="2:46" ht="13.5" customHeight="1" thickBot="1" x14ac:dyDescent="0.2">
      <c r="B512" s="328"/>
      <c r="C512" s="54" t="s">
        <v>51</v>
      </c>
      <c r="D512" s="74"/>
      <c r="E512" s="98"/>
      <c r="F512" s="105"/>
      <c r="G512" s="105"/>
      <c r="H512" s="105"/>
      <c r="I512" s="105"/>
      <c r="J512" s="105"/>
      <c r="K512" s="106"/>
      <c r="L512" s="207"/>
      <c r="M512" s="207"/>
      <c r="N512" s="98"/>
      <c r="O512" s="66"/>
      <c r="P512" s="98"/>
      <c r="Q512" s="66"/>
      <c r="R512" s="226"/>
      <c r="S512" s="161"/>
      <c r="T512" s="328"/>
      <c r="U512" s="54" t="s">
        <v>51</v>
      </c>
      <c r="V512" s="74"/>
      <c r="W512" s="98"/>
      <c r="X512" s="105"/>
      <c r="Y512" s="105"/>
      <c r="Z512" s="105"/>
      <c r="AA512" s="105"/>
      <c r="AB512" s="105"/>
      <c r="AC512" s="106"/>
      <c r="AD512" s="106"/>
      <c r="AE512" s="106"/>
      <c r="AF512" s="98"/>
      <c r="AG512" s="66"/>
      <c r="AH512" s="98"/>
      <c r="AI512" s="66"/>
      <c r="AJ512" s="226"/>
      <c r="AK512" s="169"/>
      <c r="AL512" s="328"/>
      <c r="AM512" s="213" t="str">
        <f t="shared" si="496"/>
        <v/>
      </c>
      <c r="AN512" s="214" t="str">
        <f t="shared" si="497"/>
        <v/>
      </c>
      <c r="AO512" s="214" t="str">
        <f t="shared" si="498"/>
        <v/>
      </c>
      <c r="AP512" s="214" t="str">
        <f t="shared" si="499"/>
        <v/>
      </c>
      <c r="AQ512" s="215" t="str">
        <f t="shared" si="500"/>
        <v/>
      </c>
      <c r="AR512" s="68"/>
      <c r="AS512" s="69"/>
      <c r="AT512" s="68"/>
    </row>
    <row r="513" spans="2:46" ht="13.5" customHeight="1" x14ac:dyDescent="0.15">
      <c r="B513" s="326" t="s">
        <v>187</v>
      </c>
      <c r="C513" s="50" t="s">
        <v>46</v>
      </c>
      <c r="D513" s="71"/>
      <c r="E513" s="93"/>
      <c r="F513" s="101"/>
      <c r="G513" s="101"/>
      <c r="H513" s="101"/>
      <c r="I513" s="101"/>
      <c r="J513" s="101"/>
      <c r="K513" s="102"/>
      <c r="L513" s="205"/>
      <c r="M513" s="205"/>
      <c r="N513" s="93"/>
      <c r="O513" s="51"/>
      <c r="P513" s="93"/>
      <c r="Q513" s="51"/>
      <c r="R513" s="224"/>
      <c r="S513" s="161"/>
      <c r="T513" s="326" t="s">
        <v>187</v>
      </c>
      <c r="U513" s="50" t="s">
        <v>46</v>
      </c>
      <c r="V513" s="71"/>
      <c r="W513" s="93"/>
      <c r="X513" s="101"/>
      <c r="Y513" s="101"/>
      <c r="Z513" s="101"/>
      <c r="AA513" s="101"/>
      <c r="AB513" s="101"/>
      <c r="AC513" s="102"/>
      <c r="AD513" s="102"/>
      <c r="AE513" s="102"/>
      <c r="AF513" s="93"/>
      <c r="AG513" s="51"/>
      <c r="AH513" s="93"/>
      <c r="AI513" s="51"/>
      <c r="AJ513" s="224"/>
      <c r="AK513" s="169"/>
      <c r="AL513" s="326" t="s">
        <v>187</v>
      </c>
      <c r="AM513" s="210" t="str">
        <f>IF(OR(X513="",F513=""),"",X513-F513)</f>
        <v/>
      </c>
      <c r="AN513" s="171" t="str">
        <f>IF(OR(Y513="",G513=""),"",Y513-G513)</f>
        <v/>
      </c>
      <c r="AO513" s="171" t="str">
        <f>IF(OR(Z513="",H513=""),"",Z513-H513)</f>
        <v/>
      </c>
      <c r="AP513" s="171" t="str">
        <f>IF(OR(AA513="",I513=""),"",AA513-I513)</f>
        <v/>
      </c>
      <c r="AQ513" s="211" t="str">
        <f>IF(OR(AB513="",J513=""),"",AB513-J513)</f>
        <v/>
      </c>
      <c r="AR513" s="68"/>
      <c r="AS513" s="69"/>
      <c r="AT513" s="68"/>
    </row>
    <row r="514" spans="2:46" ht="13.5" customHeight="1" x14ac:dyDescent="0.15">
      <c r="B514" s="327"/>
      <c r="C514" s="52" t="s">
        <v>47</v>
      </c>
      <c r="D514" s="73"/>
      <c r="E514" s="95"/>
      <c r="F514" s="103"/>
      <c r="G514" s="103"/>
      <c r="H514" s="103"/>
      <c r="I514" s="103"/>
      <c r="J514" s="103"/>
      <c r="K514" s="104"/>
      <c r="L514" s="206"/>
      <c r="M514" s="206"/>
      <c r="N514" s="95"/>
      <c r="O514" s="53"/>
      <c r="P514" s="95"/>
      <c r="Q514" s="53"/>
      <c r="R514" s="225"/>
      <c r="S514" s="161"/>
      <c r="T514" s="327"/>
      <c r="U514" s="52" t="s">
        <v>47</v>
      </c>
      <c r="V514" s="73"/>
      <c r="W514" s="95"/>
      <c r="X514" s="103"/>
      <c r="Y514" s="103"/>
      <c r="Z514" s="103"/>
      <c r="AA514" s="103"/>
      <c r="AB514" s="103"/>
      <c r="AC514" s="104"/>
      <c r="AD514" s="104"/>
      <c r="AE514" s="104"/>
      <c r="AF514" s="95"/>
      <c r="AG514" s="53"/>
      <c r="AH514" s="95"/>
      <c r="AI514" s="53"/>
      <c r="AJ514" s="225"/>
      <c r="AK514" s="169"/>
      <c r="AL514" s="327"/>
      <c r="AM514" s="150" t="str">
        <f t="shared" ref="AM514:AM517" si="501">IF(OR(X514="",F514=""),"",X514-F514)</f>
        <v/>
      </c>
      <c r="AN514" s="212" t="str">
        <f t="shared" ref="AN514:AN517" si="502">IF(OR(Y514="",G514=""),"",Y514-G514)</f>
        <v/>
      </c>
      <c r="AO514" s="212" t="str">
        <f t="shared" ref="AO514:AO517" si="503">IF(OR(Z514="",H514=""),"",Z514-H514)</f>
        <v/>
      </c>
      <c r="AP514" s="212" t="str">
        <f t="shared" ref="AP514:AP517" si="504">IF(OR(AA514="",I514=""),"",AA514-I514)</f>
        <v/>
      </c>
      <c r="AQ514" s="151" t="str">
        <f t="shared" ref="AQ514:AQ517" si="505">IF(OR(AB514="",J514=""),"",AB514-J514)</f>
        <v/>
      </c>
      <c r="AR514" s="68"/>
      <c r="AS514" s="69"/>
      <c r="AT514" s="68"/>
    </row>
    <row r="515" spans="2:46" ht="13.5" customHeight="1" x14ac:dyDescent="0.15">
      <c r="B515" s="327"/>
      <c r="C515" s="52" t="s">
        <v>48</v>
      </c>
      <c r="D515" s="73"/>
      <c r="E515" s="95"/>
      <c r="F515" s="103"/>
      <c r="G515" s="103"/>
      <c r="H515" s="103"/>
      <c r="I515" s="103"/>
      <c r="J515" s="103"/>
      <c r="K515" s="104"/>
      <c r="L515" s="206"/>
      <c r="M515" s="206"/>
      <c r="N515" s="95"/>
      <c r="O515" s="53"/>
      <c r="P515" s="95"/>
      <c r="Q515" s="53"/>
      <c r="R515" s="225"/>
      <c r="S515" s="161"/>
      <c r="T515" s="327"/>
      <c r="U515" s="52" t="s">
        <v>48</v>
      </c>
      <c r="V515" s="73"/>
      <c r="W515" s="95"/>
      <c r="X515" s="103"/>
      <c r="Y515" s="103"/>
      <c r="Z515" s="103"/>
      <c r="AA515" s="103"/>
      <c r="AB515" s="103"/>
      <c r="AC515" s="104"/>
      <c r="AD515" s="104"/>
      <c r="AE515" s="104"/>
      <c r="AF515" s="95"/>
      <c r="AG515" s="53"/>
      <c r="AH515" s="95"/>
      <c r="AI515" s="53"/>
      <c r="AJ515" s="225"/>
      <c r="AK515" s="169"/>
      <c r="AL515" s="327"/>
      <c r="AM515" s="150" t="str">
        <f t="shared" si="501"/>
        <v/>
      </c>
      <c r="AN515" s="212" t="str">
        <f t="shared" si="502"/>
        <v/>
      </c>
      <c r="AO515" s="212" t="str">
        <f t="shared" si="503"/>
        <v/>
      </c>
      <c r="AP515" s="212" t="str">
        <f t="shared" si="504"/>
        <v/>
      </c>
      <c r="AQ515" s="151" t="str">
        <f t="shared" si="505"/>
        <v/>
      </c>
      <c r="AR515" s="68"/>
      <c r="AS515" s="69"/>
      <c r="AT515" s="68"/>
    </row>
    <row r="516" spans="2:46" ht="13.5" customHeight="1" x14ac:dyDescent="0.15">
      <c r="B516" s="327"/>
      <c r="C516" s="52" t="s">
        <v>50</v>
      </c>
      <c r="D516" s="73"/>
      <c r="E516" s="95"/>
      <c r="F516" s="103"/>
      <c r="G516" s="103"/>
      <c r="H516" s="103"/>
      <c r="I516" s="103"/>
      <c r="J516" s="103"/>
      <c r="K516" s="104"/>
      <c r="L516" s="206"/>
      <c r="M516" s="206"/>
      <c r="N516" s="95"/>
      <c r="O516" s="53"/>
      <c r="P516" s="95"/>
      <c r="Q516" s="53"/>
      <c r="R516" s="225"/>
      <c r="S516" s="161"/>
      <c r="T516" s="327"/>
      <c r="U516" s="52" t="s">
        <v>50</v>
      </c>
      <c r="V516" s="73"/>
      <c r="W516" s="95"/>
      <c r="X516" s="103"/>
      <c r="Y516" s="103"/>
      <c r="Z516" s="103"/>
      <c r="AA516" s="103"/>
      <c r="AB516" s="103"/>
      <c r="AC516" s="104"/>
      <c r="AD516" s="104"/>
      <c r="AE516" s="104"/>
      <c r="AF516" s="95"/>
      <c r="AG516" s="53"/>
      <c r="AH516" s="95"/>
      <c r="AI516" s="53"/>
      <c r="AJ516" s="225"/>
      <c r="AK516" s="169"/>
      <c r="AL516" s="327"/>
      <c r="AM516" s="150" t="str">
        <f t="shared" si="501"/>
        <v/>
      </c>
      <c r="AN516" s="212" t="str">
        <f t="shared" si="502"/>
        <v/>
      </c>
      <c r="AO516" s="212" t="str">
        <f t="shared" si="503"/>
        <v/>
      </c>
      <c r="AP516" s="212" t="str">
        <f t="shared" si="504"/>
        <v/>
      </c>
      <c r="AQ516" s="151" t="str">
        <f t="shared" si="505"/>
        <v/>
      </c>
      <c r="AR516" s="68"/>
      <c r="AS516" s="69"/>
      <c r="AT516" s="68"/>
    </row>
    <row r="517" spans="2:46" ht="13.5" customHeight="1" thickBot="1" x14ac:dyDescent="0.2">
      <c r="B517" s="328"/>
      <c r="C517" s="52" t="s">
        <v>51</v>
      </c>
      <c r="D517" s="74"/>
      <c r="E517" s="98"/>
      <c r="F517" s="105"/>
      <c r="G517" s="105"/>
      <c r="H517" s="105"/>
      <c r="I517" s="105"/>
      <c r="J517" s="105"/>
      <c r="K517" s="106"/>
      <c r="L517" s="207"/>
      <c r="M517" s="207"/>
      <c r="N517" s="98"/>
      <c r="O517" s="66"/>
      <c r="P517" s="98"/>
      <c r="Q517" s="66"/>
      <c r="R517" s="225"/>
      <c r="S517" s="161"/>
      <c r="T517" s="328"/>
      <c r="U517" s="52" t="s">
        <v>51</v>
      </c>
      <c r="V517" s="74"/>
      <c r="W517" s="98"/>
      <c r="X517" s="105"/>
      <c r="Y517" s="105"/>
      <c r="Z517" s="105"/>
      <c r="AA517" s="105"/>
      <c r="AB517" s="105"/>
      <c r="AC517" s="106"/>
      <c r="AD517" s="106"/>
      <c r="AE517" s="106"/>
      <c r="AF517" s="98"/>
      <c r="AG517" s="66"/>
      <c r="AH517" s="98"/>
      <c r="AI517" s="66"/>
      <c r="AJ517" s="225"/>
      <c r="AK517" s="169"/>
      <c r="AL517" s="328"/>
      <c r="AM517" s="213" t="str">
        <f t="shared" si="501"/>
        <v/>
      </c>
      <c r="AN517" s="214" t="str">
        <f t="shared" si="502"/>
        <v/>
      </c>
      <c r="AO517" s="214" t="str">
        <f t="shared" si="503"/>
        <v/>
      </c>
      <c r="AP517" s="214" t="str">
        <f t="shared" si="504"/>
        <v/>
      </c>
      <c r="AQ517" s="215" t="str">
        <f t="shared" si="505"/>
        <v/>
      </c>
      <c r="AR517" s="68"/>
      <c r="AS517" s="69"/>
      <c r="AT517" s="68"/>
    </row>
    <row r="518" spans="2:46" ht="13.5" customHeight="1" x14ac:dyDescent="0.15">
      <c r="B518" s="326" t="s">
        <v>188</v>
      </c>
      <c r="C518" s="50" t="s">
        <v>46</v>
      </c>
      <c r="D518" s="71"/>
      <c r="E518" s="93"/>
      <c r="F518" s="101"/>
      <c r="G518" s="101"/>
      <c r="H518" s="101"/>
      <c r="I518" s="101"/>
      <c r="J518" s="101"/>
      <c r="K518" s="102"/>
      <c r="L518" s="205"/>
      <c r="M518" s="205"/>
      <c r="N518" s="93"/>
      <c r="O518" s="51"/>
      <c r="P518" s="93"/>
      <c r="Q518" s="51"/>
      <c r="R518" s="224"/>
      <c r="S518" s="161"/>
      <c r="T518" s="326" t="s">
        <v>188</v>
      </c>
      <c r="U518" s="50" t="s">
        <v>46</v>
      </c>
      <c r="V518" s="71"/>
      <c r="W518" s="93"/>
      <c r="X518" s="101"/>
      <c r="Y518" s="101"/>
      <c r="Z518" s="101"/>
      <c r="AA518" s="101"/>
      <c r="AB518" s="101"/>
      <c r="AC518" s="102"/>
      <c r="AD518" s="102"/>
      <c r="AE518" s="102"/>
      <c r="AF518" s="93"/>
      <c r="AG518" s="51"/>
      <c r="AH518" s="93"/>
      <c r="AI518" s="51"/>
      <c r="AJ518" s="224"/>
      <c r="AK518" s="169"/>
      <c r="AL518" s="326" t="s">
        <v>188</v>
      </c>
      <c r="AM518" s="210" t="str">
        <f>IF(OR(X518="",F518=""),"",X518-F518)</f>
        <v/>
      </c>
      <c r="AN518" s="171" t="str">
        <f>IF(OR(Y518="",G518=""),"",Y518-G518)</f>
        <v/>
      </c>
      <c r="AO518" s="171" t="str">
        <f>IF(OR(Z518="",H518=""),"",Z518-H518)</f>
        <v/>
      </c>
      <c r="AP518" s="171" t="str">
        <f>IF(OR(AA518="",I518=""),"",AA518-I518)</f>
        <v/>
      </c>
      <c r="AQ518" s="211" t="str">
        <f>IF(OR(AB518="",J518=""),"",AB518-J518)</f>
        <v/>
      </c>
      <c r="AR518" s="68"/>
      <c r="AS518" s="69"/>
      <c r="AT518" s="68"/>
    </row>
    <row r="519" spans="2:46" ht="13.5" customHeight="1" x14ac:dyDescent="0.15">
      <c r="B519" s="327"/>
      <c r="C519" s="52" t="s">
        <v>47</v>
      </c>
      <c r="D519" s="73"/>
      <c r="E519" s="95"/>
      <c r="F519" s="103"/>
      <c r="G519" s="103"/>
      <c r="H519" s="103"/>
      <c r="I519" s="103"/>
      <c r="J519" s="103"/>
      <c r="K519" s="104"/>
      <c r="L519" s="206"/>
      <c r="M519" s="206"/>
      <c r="N519" s="95"/>
      <c r="O519" s="53"/>
      <c r="P519" s="95"/>
      <c r="Q519" s="53"/>
      <c r="R519" s="225"/>
      <c r="S519" s="161"/>
      <c r="T519" s="327"/>
      <c r="U519" s="52" t="s">
        <v>47</v>
      </c>
      <c r="V519" s="73"/>
      <c r="W519" s="95"/>
      <c r="X519" s="103"/>
      <c r="Y519" s="103"/>
      <c r="Z519" s="103"/>
      <c r="AA519" s="103"/>
      <c r="AB519" s="103"/>
      <c r="AC519" s="104"/>
      <c r="AD519" s="104"/>
      <c r="AE519" s="104"/>
      <c r="AF519" s="95"/>
      <c r="AG519" s="53"/>
      <c r="AH519" s="95"/>
      <c r="AI519" s="53"/>
      <c r="AJ519" s="225"/>
      <c r="AK519" s="169"/>
      <c r="AL519" s="327"/>
      <c r="AM519" s="150" t="str">
        <f t="shared" ref="AM519:AM522" si="506">IF(OR(X519="",F519=""),"",X519-F519)</f>
        <v/>
      </c>
      <c r="AN519" s="212" t="str">
        <f t="shared" ref="AN519:AN522" si="507">IF(OR(Y519="",G519=""),"",Y519-G519)</f>
        <v/>
      </c>
      <c r="AO519" s="212" t="str">
        <f t="shared" ref="AO519:AO522" si="508">IF(OR(Z519="",H519=""),"",Z519-H519)</f>
        <v/>
      </c>
      <c r="AP519" s="212" t="str">
        <f t="shared" ref="AP519:AP522" si="509">IF(OR(AA519="",I519=""),"",AA519-I519)</f>
        <v/>
      </c>
      <c r="AQ519" s="151" t="str">
        <f t="shared" ref="AQ519:AQ522" si="510">IF(OR(AB519="",J519=""),"",AB519-J519)</f>
        <v/>
      </c>
      <c r="AR519" s="68"/>
      <c r="AS519" s="69"/>
      <c r="AT519" s="68"/>
    </row>
    <row r="520" spans="2:46" ht="13.5" customHeight="1" x14ac:dyDescent="0.15">
      <c r="B520" s="327"/>
      <c r="C520" s="52" t="s">
        <v>48</v>
      </c>
      <c r="D520" s="73"/>
      <c r="E520" s="95"/>
      <c r="F520" s="103"/>
      <c r="G520" s="103"/>
      <c r="H520" s="103"/>
      <c r="I520" s="103"/>
      <c r="J520" s="103"/>
      <c r="K520" s="104"/>
      <c r="L520" s="206"/>
      <c r="M520" s="206"/>
      <c r="N520" s="95"/>
      <c r="O520" s="53"/>
      <c r="P520" s="95"/>
      <c r="Q520" s="53"/>
      <c r="R520" s="225"/>
      <c r="S520" s="161"/>
      <c r="T520" s="327"/>
      <c r="U520" s="52" t="s">
        <v>48</v>
      </c>
      <c r="V520" s="73"/>
      <c r="W520" s="95"/>
      <c r="X520" s="103"/>
      <c r="Y520" s="103"/>
      <c r="Z520" s="103"/>
      <c r="AA520" s="103"/>
      <c r="AB520" s="103"/>
      <c r="AC520" s="104"/>
      <c r="AD520" s="104"/>
      <c r="AE520" s="104"/>
      <c r="AF520" s="95"/>
      <c r="AG520" s="53"/>
      <c r="AH520" s="95"/>
      <c r="AI520" s="53"/>
      <c r="AJ520" s="225"/>
      <c r="AK520" s="169"/>
      <c r="AL520" s="327"/>
      <c r="AM520" s="150" t="str">
        <f t="shared" si="506"/>
        <v/>
      </c>
      <c r="AN520" s="212" t="str">
        <f t="shared" si="507"/>
        <v/>
      </c>
      <c r="AO520" s="212" t="str">
        <f t="shared" si="508"/>
        <v/>
      </c>
      <c r="AP520" s="212" t="str">
        <f t="shared" si="509"/>
        <v/>
      </c>
      <c r="AQ520" s="151" t="str">
        <f t="shared" si="510"/>
        <v/>
      </c>
      <c r="AR520" s="68"/>
      <c r="AS520" s="69"/>
      <c r="AT520" s="68"/>
    </row>
    <row r="521" spans="2:46" ht="13.5" customHeight="1" x14ac:dyDescent="0.15">
      <c r="B521" s="327"/>
      <c r="C521" s="52" t="s">
        <v>50</v>
      </c>
      <c r="D521" s="73"/>
      <c r="E521" s="95"/>
      <c r="F521" s="103"/>
      <c r="G521" s="103"/>
      <c r="H521" s="103"/>
      <c r="I521" s="103"/>
      <c r="J521" s="103"/>
      <c r="K521" s="104"/>
      <c r="L521" s="206"/>
      <c r="M521" s="206"/>
      <c r="N521" s="95"/>
      <c r="O521" s="53"/>
      <c r="P521" s="95"/>
      <c r="Q521" s="53"/>
      <c r="R521" s="225"/>
      <c r="S521" s="161"/>
      <c r="T521" s="327"/>
      <c r="U521" s="52" t="s">
        <v>50</v>
      </c>
      <c r="V521" s="73"/>
      <c r="W521" s="95"/>
      <c r="X521" s="103"/>
      <c r="Y521" s="103"/>
      <c r="Z521" s="103"/>
      <c r="AA521" s="103"/>
      <c r="AB521" s="103"/>
      <c r="AC521" s="104"/>
      <c r="AD521" s="104"/>
      <c r="AE521" s="104"/>
      <c r="AF521" s="95"/>
      <c r="AG521" s="53"/>
      <c r="AH521" s="95"/>
      <c r="AI521" s="53"/>
      <c r="AJ521" s="225"/>
      <c r="AK521" s="169"/>
      <c r="AL521" s="327"/>
      <c r="AM521" s="150" t="str">
        <f t="shared" si="506"/>
        <v/>
      </c>
      <c r="AN521" s="212" t="str">
        <f t="shared" si="507"/>
        <v/>
      </c>
      <c r="AO521" s="212" t="str">
        <f t="shared" si="508"/>
        <v/>
      </c>
      <c r="AP521" s="212" t="str">
        <f t="shared" si="509"/>
        <v/>
      </c>
      <c r="AQ521" s="151" t="str">
        <f t="shared" si="510"/>
        <v/>
      </c>
      <c r="AR521" s="68"/>
      <c r="AS521" s="69"/>
      <c r="AT521" s="68"/>
    </row>
    <row r="522" spans="2:46" ht="13.5" customHeight="1" thickBot="1" x14ac:dyDescent="0.2">
      <c r="B522" s="328"/>
      <c r="C522" s="52" t="s">
        <v>51</v>
      </c>
      <c r="D522" s="74"/>
      <c r="E522" s="98"/>
      <c r="F522" s="105"/>
      <c r="G522" s="105"/>
      <c r="H522" s="105"/>
      <c r="I522" s="105"/>
      <c r="J522" s="105"/>
      <c r="K522" s="106"/>
      <c r="L522" s="207"/>
      <c r="M522" s="207"/>
      <c r="N522" s="98"/>
      <c r="O522" s="66"/>
      <c r="P522" s="98"/>
      <c r="Q522" s="66"/>
      <c r="R522" s="225"/>
      <c r="S522" s="161"/>
      <c r="T522" s="328"/>
      <c r="U522" s="52" t="s">
        <v>51</v>
      </c>
      <c r="V522" s="74"/>
      <c r="W522" s="98"/>
      <c r="X522" s="105"/>
      <c r="Y522" s="105"/>
      <c r="Z522" s="105"/>
      <c r="AA522" s="105"/>
      <c r="AB522" s="105"/>
      <c r="AC522" s="106"/>
      <c r="AD522" s="106"/>
      <c r="AE522" s="106"/>
      <c r="AF522" s="98"/>
      <c r="AG522" s="66"/>
      <c r="AH522" s="98"/>
      <c r="AI522" s="66"/>
      <c r="AJ522" s="225"/>
      <c r="AK522" s="169"/>
      <c r="AL522" s="328"/>
      <c r="AM522" s="213" t="str">
        <f t="shared" si="506"/>
        <v/>
      </c>
      <c r="AN522" s="214" t="str">
        <f t="shared" si="507"/>
        <v/>
      </c>
      <c r="AO522" s="214" t="str">
        <f t="shared" si="508"/>
        <v/>
      </c>
      <c r="AP522" s="214" t="str">
        <f t="shared" si="509"/>
        <v/>
      </c>
      <c r="AQ522" s="215" t="str">
        <f t="shared" si="510"/>
        <v/>
      </c>
      <c r="AR522" s="68"/>
      <c r="AS522" s="69"/>
      <c r="AT522" s="68"/>
    </row>
    <row r="523" spans="2:46" ht="13.5" customHeight="1" x14ac:dyDescent="0.15">
      <c r="B523" s="326" t="s">
        <v>189</v>
      </c>
      <c r="C523" s="50" t="s">
        <v>46</v>
      </c>
      <c r="D523" s="71"/>
      <c r="E523" s="93"/>
      <c r="F523" s="101"/>
      <c r="G523" s="101"/>
      <c r="H523" s="101"/>
      <c r="I523" s="101"/>
      <c r="J523" s="101"/>
      <c r="K523" s="102"/>
      <c r="L523" s="205"/>
      <c r="M523" s="205"/>
      <c r="N523" s="93"/>
      <c r="O523" s="51"/>
      <c r="P523" s="93"/>
      <c r="Q523" s="51"/>
      <c r="R523" s="224"/>
      <c r="S523" s="161"/>
      <c r="T523" s="326" t="s">
        <v>189</v>
      </c>
      <c r="U523" s="50" t="s">
        <v>46</v>
      </c>
      <c r="V523" s="71"/>
      <c r="W523" s="93"/>
      <c r="X523" s="101"/>
      <c r="Y523" s="101"/>
      <c r="Z523" s="101"/>
      <c r="AA523" s="101"/>
      <c r="AB523" s="101"/>
      <c r="AC523" s="102"/>
      <c r="AD523" s="102"/>
      <c r="AE523" s="102"/>
      <c r="AF523" s="93"/>
      <c r="AG523" s="51"/>
      <c r="AH523" s="93"/>
      <c r="AI523" s="51"/>
      <c r="AJ523" s="224"/>
      <c r="AK523" s="169"/>
      <c r="AL523" s="326" t="s">
        <v>189</v>
      </c>
      <c r="AM523" s="210" t="str">
        <f>IF(OR(X523="",F523=""),"",X523-F523)</f>
        <v/>
      </c>
      <c r="AN523" s="171" t="str">
        <f>IF(OR(Y523="",G523=""),"",Y523-G523)</f>
        <v/>
      </c>
      <c r="AO523" s="171" t="str">
        <f>IF(OR(Z523="",H523=""),"",Z523-H523)</f>
        <v/>
      </c>
      <c r="AP523" s="171" t="str">
        <f>IF(OR(AA523="",I523=""),"",AA523-I523)</f>
        <v/>
      </c>
      <c r="AQ523" s="211" t="str">
        <f>IF(OR(AB523="",J523=""),"",AB523-J523)</f>
        <v/>
      </c>
      <c r="AR523" s="68"/>
      <c r="AS523" s="69"/>
      <c r="AT523" s="68"/>
    </row>
    <row r="524" spans="2:46" ht="13.5" customHeight="1" x14ac:dyDescent="0.15">
      <c r="B524" s="327"/>
      <c r="C524" s="52" t="s">
        <v>47</v>
      </c>
      <c r="D524" s="73"/>
      <c r="E524" s="95"/>
      <c r="F524" s="103"/>
      <c r="G524" s="103"/>
      <c r="H524" s="103"/>
      <c r="I524" s="103"/>
      <c r="J524" s="103"/>
      <c r="K524" s="104"/>
      <c r="L524" s="206"/>
      <c r="M524" s="206"/>
      <c r="N524" s="95"/>
      <c r="O524" s="53"/>
      <c r="P524" s="95"/>
      <c r="Q524" s="53"/>
      <c r="R524" s="225"/>
      <c r="S524" s="161"/>
      <c r="T524" s="327"/>
      <c r="U524" s="52" t="s">
        <v>47</v>
      </c>
      <c r="V524" s="73"/>
      <c r="W524" s="95"/>
      <c r="X524" s="103"/>
      <c r="Y524" s="103"/>
      <c r="Z524" s="103"/>
      <c r="AA524" s="103"/>
      <c r="AB524" s="103"/>
      <c r="AC524" s="104"/>
      <c r="AD524" s="104"/>
      <c r="AE524" s="104"/>
      <c r="AF524" s="95"/>
      <c r="AG524" s="53"/>
      <c r="AH524" s="95"/>
      <c r="AI524" s="53"/>
      <c r="AJ524" s="225"/>
      <c r="AK524" s="169"/>
      <c r="AL524" s="327"/>
      <c r="AM524" s="150" t="str">
        <f t="shared" ref="AM524:AM527" si="511">IF(OR(X524="",F524=""),"",X524-F524)</f>
        <v/>
      </c>
      <c r="AN524" s="212" t="str">
        <f t="shared" ref="AN524:AN527" si="512">IF(OR(Y524="",G524=""),"",Y524-G524)</f>
        <v/>
      </c>
      <c r="AO524" s="212" t="str">
        <f t="shared" ref="AO524:AO527" si="513">IF(OR(Z524="",H524=""),"",Z524-H524)</f>
        <v/>
      </c>
      <c r="AP524" s="212" t="str">
        <f t="shared" ref="AP524:AP527" si="514">IF(OR(AA524="",I524=""),"",AA524-I524)</f>
        <v/>
      </c>
      <c r="AQ524" s="151" t="str">
        <f t="shared" ref="AQ524:AQ527" si="515">IF(OR(AB524="",J524=""),"",AB524-J524)</f>
        <v/>
      </c>
      <c r="AR524" s="68"/>
      <c r="AS524" s="69"/>
      <c r="AT524" s="68"/>
    </row>
    <row r="525" spans="2:46" ht="13.5" customHeight="1" x14ac:dyDescent="0.15">
      <c r="B525" s="327"/>
      <c r="C525" s="52" t="s">
        <v>48</v>
      </c>
      <c r="D525" s="73"/>
      <c r="E525" s="95"/>
      <c r="F525" s="103"/>
      <c r="G525" s="103"/>
      <c r="H525" s="103"/>
      <c r="I525" s="103"/>
      <c r="J525" s="103"/>
      <c r="K525" s="104"/>
      <c r="L525" s="206"/>
      <c r="M525" s="206"/>
      <c r="N525" s="95"/>
      <c r="O525" s="53"/>
      <c r="P525" s="95"/>
      <c r="Q525" s="53"/>
      <c r="R525" s="225"/>
      <c r="S525" s="161"/>
      <c r="T525" s="327"/>
      <c r="U525" s="52" t="s">
        <v>48</v>
      </c>
      <c r="V525" s="73"/>
      <c r="W525" s="95"/>
      <c r="X525" s="103"/>
      <c r="Y525" s="103"/>
      <c r="Z525" s="103"/>
      <c r="AA525" s="103"/>
      <c r="AB525" s="103"/>
      <c r="AC525" s="104"/>
      <c r="AD525" s="104"/>
      <c r="AE525" s="104"/>
      <c r="AF525" s="95"/>
      <c r="AG525" s="53"/>
      <c r="AH525" s="95"/>
      <c r="AI525" s="53"/>
      <c r="AJ525" s="225"/>
      <c r="AK525" s="169"/>
      <c r="AL525" s="327"/>
      <c r="AM525" s="150" t="str">
        <f t="shared" si="511"/>
        <v/>
      </c>
      <c r="AN525" s="212" t="str">
        <f t="shared" si="512"/>
        <v/>
      </c>
      <c r="AO525" s="212" t="str">
        <f t="shared" si="513"/>
        <v/>
      </c>
      <c r="AP525" s="212" t="str">
        <f t="shared" si="514"/>
        <v/>
      </c>
      <c r="AQ525" s="151" t="str">
        <f t="shared" si="515"/>
        <v/>
      </c>
      <c r="AR525" s="68"/>
      <c r="AS525" s="69"/>
      <c r="AT525" s="68"/>
    </row>
    <row r="526" spans="2:46" ht="13.5" customHeight="1" x14ac:dyDescent="0.15">
      <c r="B526" s="327"/>
      <c r="C526" s="52" t="s">
        <v>50</v>
      </c>
      <c r="D526" s="73"/>
      <c r="E526" s="95"/>
      <c r="F526" s="103"/>
      <c r="G526" s="103"/>
      <c r="H526" s="103"/>
      <c r="I526" s="103"/>
      <c r="J526" s="103"/>
      <c r="K526" s="104"/>
      <c r="L526" s="206"/>
      <c r="M526" s="206"/>
      <c r="N526" s="95"/>
      <c r="O526" s="53"/>
      <c r="P526" s="95"/>
      <c r="Q526" s="53"/>
      <c r="R526" s="225"/>
      <c r="S526" s="161"/>
      <c r="T526" s="327"/>
      <c r="U526" s="52" t="s">
        <v>50</v>
      </c>
      <c r="V526" s="73"/>
      <c r="W526" s="95"/>
      <c r="X526" s="103"/>
      <c r="Y526" s="103"/>
      <c r="Z526" s="103"/>
      <c r="AA526" s="103"/>
      <c r="AB526" s="103"/>
      <c r="AC526" s="104"/>
      <c r="AD526" s="104"/>
      <c r="AE526" s="104"/>
      <c r="AF526" s="95"/>
      <c r="AG526" s="53"/>
      <c r="AH526" s="95"/>
      <c r="AI526" s="53"/>
      <c r="AJ526" s="225"/>
      <c r="AK526" s="169"/>
      <c r="AL526" s="327"/>
      <c r="AM526" s="150" t="str">
        <f t="shared" si="511"/>
        <v/>
      </c>
      <c r="AN526" s="212" t="str">
        <f t="shared" si="512"/>
        <v/>
      </c>
      <c r="AO526" s="212" t="str">
        <f t="shared" si="513"/>
        <v/>
      </c>
      <c r="AP526" s="212" t="str">
        <f t="shared" si="514"/>
        <v/>
      </c>
      <c r="AQ526" s="151" t="str">
        <f t="shared" si="515"/>
        <v/>
      </c>
      <c r="AR526" s="68"/>
      <c r="AS526" s="69"/>
      <c r="AT526" s="68"/>
    </row>
    <row r="527" spans="2:46" ht="13.5" customHeight="1" thickBot="1" x14ac:dyDescent="0.2">
      <c r="B527" s="328"/>
      <c r="C527" s="52" t="s">
        <v>51</v>
      </c>
      <c r="D527" s="74"/>
      <c r="E527" s="98"/>
      <c r="F527" s="105"/>
      <c r="G527" s="105"/>
      <c r="H527" s="105"/>
      <c r="I527" s="105"/>
      <c r="J527" s="105"/>
      <c r="K527" s="106"/>
      <c r="L527" s="207"/>
      <c r="M527" s="207"/>
      <c r="N527" s="98"/>
      <c r="O527" s="66"/>
      <c r="P527" s="98"/>
      <c r="Q527" s="66"/>
      <c r="R527" s="225"/>
      <c r="S527" s="161"/>
      <c r="T527" s="328"/>
      <c r="U527" s="52" t="s">
        <v>51</v>
      </c>
      <c r="V527" s="74"/>
      <c r="W527" s="98"/>
      <c r="X527" s="105"/>
      <c r="Y527" s="105"/>
      <c r="Z527" s="105"/>
      <c r="AA527" s="105"/>
      <c r="AB527" s="105"/>
      <c r="AC527" s="106"/>
      <c r="AD527" s="106"/>
      <c r="AE527" s="106"/>
      <c r="AF527" s="98"/>
      <c r="AG527" s="66"/>
      <c r="AH527" s="98"/>
      <c r="AI527" s="66"/>
      <c r="AJ527" s="225"/>
      <c r="AK527" s="169"/>
      <c r="AL527" s="328"/>
      <c r="AM527" s="213" t="str">
        <f t="shared" si="511"/>
        <v/>
      </c>
      <c r="AN527" s="214" t="str">
        <f t="shared" si="512"/>
        <v/>
      </c>
      <c r="AO527" s="214" t="str">
        <f t="shared" si="513"/>
        <v/>
      </c>
      <c r="AP527" s="214" t="str">
        <f t="shared" si="514"/>
        <v/>
      </c>
      <c r="AQ527" s="215" t="str">
        <f t="shared" si="515"/>
        <v/>
      </c>
      <c r="AR527" s="68"/>
      <c r="AS527" s="69"/>
      <c r="AT527" s="68"/>
    </row>
    <row r="528" spans="2:46" ht="13.5" customHeight="1" x14ac:dyDescent="0.15">
      <c r="B528" s="326" t="s">
        <v>190</v>
      </c>
      <c r="C528" s="50" t="s">
        <v>46</v>
      </c>
      <c r="D528" s="71"/>
      <c r="E528" s="93"/>
      <c r="F528" s="101"/>
      <c r="G528" s="101"/>
      <c r="H528" s="101"/>
      <c r="I528" s="101"/>
      <c r="J528" s="101"/>
      <c r="K528" s="102"/>
      <c r="L528" s="205"/>
      <c r="M528" s="205"/>
      <c r="N528" s="93"/>
      <c r="O528" s="51"/>
      <c r="P528" s="93"/>
      <c r="Q528" s="51"/>
      <c r="R528" s="224"/>
      <c r="S528" s="161"/>
      <c r="T528" s="326" t="s">
        <v>190</v>
      </c>
      <c r="U528" s="50" t="s">
        <v>46</v>
      </c>
      <c r="V528" s="71"/>
      <c r="W528" s="93"/>
      <c r="X528" s="101"/>
      <c r="Y528" s="101"/>
      <c r="Z528" s="101"/>
      <c r="AA528" s="101"/>
      <c r="AB528" s="101"/>
      <c r="AC528" s="102"/>
      <c r="AD528" s="102"/>
      <c r="AE528" s="102"/>
      <c r="AF528" s="93"/>
      <c r="AG528" s="51"/>
      <c r="AH528" s="93"/>
      <c r="AI528" s="51"/>
      <c r="AJ528" s="224"/>
      <c r="AK528" s="169"/>
      <c r="AL528" s="326" t="s">
        <v>190</v>
      </c>
      <c r="AM528" s="210" t="str">
        <f>IF(OR(X528="",F528=""),"",X528-F528)</f>
        <v/>
      </c>
      <c r="AN528" s="171" t="str">
        <f>IF(OR(Y528="",G528=""),"",Y528-G528)</f>
        <v/>
      </c>
      <c r="AO528" s="171" t="str">
        <f>IF(OR(Z528="",H528=""),"",Z528-H528)</f>
        <v/>
      </c>
      <c r="AP528" s="171" t="str">
        <f>IF(OR(AA528="",I528=""),"",AA528-I528)</f>
        <v/>
      </c>
      <c r="AQ528" s="211" t="str">
        <f>IF(OR(AB528="",J528=""),"",AB528-J528)</f>
        <v/>
      </c>
      <c r="AR528" s="68"/>
      <c r="AS528" s="69"/>
      <c r="AT528" s="68"/>
    </row>
    <row r="529" spans="2:46" ht="13.5" customHeight="1" x14ac:dyDescent="0.15">
      <c r="B529" s="327"/>
      <c r="C529" s="52" t="s">
        <v>47</v>
      </c>
      <c r="D529" s="73"/>
      <c r="E529" s="95"/>
      <c r="F529" s="103"/>
      <c r="G529" s="103"/>
      <c r="H529" s="103"/>
      <c r="I529" s="103"/>
      <c r="J529" s="103"/>
      <c r="K529" s="104"/>
      <c r="L529" s="206"/>
      <c r="M529" s="206"/>
      <c r="N529" s="95"/>
      <c r="O529" s="53"/>
      <c r="P529" s="95"/>
      <c r="Q529" s="53"/>
      <c r="R529" s="225"/>
      <c r="S529" s="161"/>
      <c r="T529" s="327"/>
      <c r="U529" s="52" t="s">
        <v>47</v>
      </c>
      <c r="V529" s="73"/>
      <c r="W529" s="95"/>
      <c r="X529" s="103"/>
      <c r="Y529" s="103"/>
      <c r="Z529" s="103"/>
      <c r="AA529" s="103"/>
      <c r="AB529" s="103"/>
      <c r="AC529" s="104"/>
      <c r="AD529" s="104"/>
      <c r="AE529" s="104"/>
      <c r="AF529" s="95"/>
      <c r="AG529" s="53"/>
      <c r="AH529" s="95"/>
      <c r="AI529" s="53"/>
      <c r="AJ529" s="225"/>
      <c r="AK529" s="169"/>
      <c r="AL529" s="327"/>
      <c r="AM529" s="150" t="str">
        <f t="shared" ref="AM529:AM532" si="516">IF(OR(X529="",F529=""),"",X529-F529)</f>
        <v/>
      </c>
      <c r="AN529" s="212" t="str">
        <f t="shared" ref="AN529:AN532" si="517">IF(OR(Y529="",G529=""),"",Y529-G529)</f>
        <v/>
      </c>
      <c r="AO529" s="212" t="str">
        <f t="shared" ref="AO529:AO532" si="518">IF(OR(Z529="",H529=""),"",Z529-H529)</f>
        <v/>
      </c>
      <c r="AP529" s="212" t="str">
        <f t="shared" ref="AP529:AP532" si="519">IF(OR(AA529="",I529=""),"",AA529-I529)</f>
        <v/>
      </c>
      <c r="AQ529" s="151" t="str">
        <f t="shared" ref="AQ529:AQ532" si="520">IF(OR(AB529="",J529=""),"",AB529-J529)</f>
        <v/>
      </c>
      <c r="AR529" s="68"/>
      <c r="AS529" s="69"/>
      <c r="AT529" s="68"/>
    </row>
    <row r="530" spans="2:46" ht="13.5" customHeight="1" x14ac:dyDescent="0.15">
      <c r="B530" s="327"/>
      <c r="C530" s="52" t="s">
        <v>48</v>
      </c>
      <c r="D530" s="73"/>
      <c r="E530" s="95"/>
      <c r="F530" s="103"/>
      <c r="G530" s="103"/>
      <c r="H530" s="103"/>
      <c r="I530" s="103"/>
      <c r="J530" s="103"/>
      <c r="K530" s="104"/>
      <c r="L530" s="206"/>
      <c r="M530" s="206"/>
      <c r="N530" s="95"/>
      <c r="O530" s="53"/>
      <c r="P530" s="95"/>
      <c r="Q530" s="53"/>
      <c r="R530" s="225"/>
      <c r="S530" s="161"/>
      <c r="T530" s="327"/>
      <c r="U530" s="52" t="s">
        <v>48</v>
      </c>
      <c r="V530" s="73"/>
      <c r="W530" s="95"/>
      <c r="X530" s="103"/>
      <c r="Y530" s="103"/>
      <c r="Z530" s="103"/>
      <c r="AA530" s="103"/>
      <c r="AB530" s="103"/>
      <c r="AC530" s="104"/>
      <c r="AD530" s="104"/>
      <c r="AE530" s="104"/>
      <c r="AF530" s="95"/>
      <c r="AG530" s="53"/>
      <c r="AH530" s="95"/>
      <c r="AI530" s="53"/>
      <c r="AJ530" s="225"/>
      <c r="AK530" s="169"/>
      <c r="AL530" s="327"/>
      <c r="AM530" s="150" t="str">
        <f t="shared" si="516"/>
        <v/>
      </c>
      <c r="AN530" s="212" t="str">
        <f t="shared" si="517"/>
        <v/>
      </c>
      <c r="AO530" s="212" t="str">
        <f t="shared" si="518"/>
        <v/>
      </c>
      <c r="AP530" s="212" t="str">
        <f t="shared" si="519"/>
        <v/>
      </c>
      <c r="AQ530" s="151" t="str">
        <f t="shared" si="520"/>
        <v/>
      </c>
      <c r="AR530" s="68"/>
      <c r="AS530" s="69"/>
      <c r="AT530" s="68"/>
    </row>
    <row r="531" spans="2:46" ht="13.5" customHeight="1" x14ac:dyDescent="0.15">
      <c r="B531" s="327"/>
      <c r="C531" s="52" t="s">
        <v>50</v>
      </c>
      <c r="D531" s="73"/>
      <c r="E531" s="95"/>
      <c r="F531" s="103"/>
      <c r="G531" s="103"/>
      <c r="H531" s="103"/>
      <c r="I531" s="103"/>
      <c r="J531" s="103"/>
      <c r="K531" s="104"/>
      <c r="L531" s="206"/>
      <c r="M531" s="206"/>
      <c r="N531" s="95"/>
      <c r="O531" s="53"/>
      <c r="P531" s="95"/>
      <c r="Q531" s="53"/>
      <c r="R531" s="225"/>
      <c r="S531" s="161"/>
      <c r="T531" s="327"/>
      <c r="U531" s="52" t="s">
        <v>50</v>
      </c>
      <c r="V531" s="73"/>
      <c r="W531" s="95"/>
      <c r="X531" s="103"/>
      <c r="Y531" s="103"/>
      <c r="Z531" s="103"/>
      <c r="AA531" s="103"/>
      <c r="AB531" s="103"/>
      <c r="AC531" s="104"/>
      <c r="AD531" s="104"/>
      <c r="AE531" s="104"/>
      <c r="AF531" s="95"/>
      <c r="AG531" s="53"/>
      <c r="AH531" s="95"/>
      <c r="AI531" s="53"/>
      <c r="AJ531" s="225"/>
      <c r="AK531" s="169"/>
      <c r="AL531" s="327"/>
      <c r="AM531" s="150" t="str">
        <f t="shared" si="516"/>
        <v/>
      </c>
      <c r="AN531" s="212" t="str">
        <f t="shared" si="517"/>
        <v/>
      </c>
      <c r="AO531" s="212" t="str">
        <f t="shared" si="518"/>
        <v/>
      </c>
      <c r="AP531" s="212" t="str">
        <f t="shared" si="519"/>
        <v/>
      </c>
      <c r="AQ531" s="151" t="str">
        <f t="shared" si="520"/>
        <v/>
      </c>
      <c r="AR531" s="68"/>
      <c r="AS531" s="69"/>
      <c r="AT531" s="68"/>
    </row>
    <row r="532" spans="2:46" ht="13.5" customHeight="1" thickBot="1" x14ac:dyDescent="0.2">
      <c r="B532" s="328"/>
      <c r="C532" s="52" t="s">
        <v>51</v>
      </c>
      <c r="D532" s="74"/>
      <c r="E532" s="98"/>
      <c r="F532" s="105"/>
      <c r="G532" s="105"/>
      <c r="H532" s="105"/>
      <c r="I532" s="105"/>
      <c r="J532" s="105"/>
      <c r="K532" s="106"/>
      <c r="L532" s="207"/>
      <c r="M532" s="207"/>
      <c r="N532" s="98"/>
      <c r="O532" s="66"/>
      <c r="P532" s="98"/>
      <c r="Q532" s="66"/>
      <c r="R532" s="225"/>
      <c r="S532" s="161"/>
      <c r="T532" s="328"/>
      <c r="U532" s="52" t="s">
        <v>51</v>
      </c>
      <c r="V532" s="74"/>
      <c r="W532" s="98"/>
      <c r="X532" s="105"/>
      <c r="Y532" s="105"/>
      <c r="Z532" s="105"/>
      <c r="AA532" s="105"/>
      <c r="AB532" s="105"/>
      <c r="AC532" s="106"/>
      <c r="AD532" s="106"/>
      <c r="AE532" s="106"/>
      <c r="AF532" s="98"/>
      <c r="AG532" s="66"/>
      <c r="AH532" s="98"/>
      <c r="AI532" s="66"/>
      <c r="AJ532" s="225"/>
      <c r="AK532" s="169"/>
      <c r="AL532" s="328"/>
      <c r="AM532" s="213" t="str">
        <f t="shared" si="516"/>
        <v/>
      </c>
      <c r="AN532" s="214" t="str">
        <f t="shared" si="517"/>
        <v/>
      </c>
      <c r="AO532" s="214" t="str">
        <f t="shared" si="518"/>
        <v/>
      </c>
      <c r="AP532" s="214" t="str">
        <f t="shared" si="519"/>
        <v/>
      </c>
      <c r="AQ532" s="215" t="str">
        <f t="shared" si="520"/>
        <v/>
      </c>
      <c r="AR532" s="68"/>
      <c r="AS532" s="69"/>
      <c r="AT532" s="68"/>
    </row>
    <row r="533" spans="2:46" ht="13.5" customHeight="1" x14ac:dyDescent="0.15">
      <c r="B533" s="326" t="s">
        <v>191</v>
      </c>
      <c r="C533" s="50" t="s">
        <v>46</v>
      </c>
      <c r="D533" s="71"/>
      <c r="E533" s="93"/>
      <c r="F533" s="101"/>
      <c r="G533" s="101"/>
      <c r="H533" s="101"/>
      <c r="I533" s="101"/>
      <c r="J533" s="101"/>
      <c r="K533" s="102"/>
      <c r="L533" s="205"/>
      <c r="M533" s="205"/>
      <c r="N533" s="93"/>
      <c r="O533" s="51"/>
      <c r="P533" s="93"/>
      <c r="Q533" s="51"/>
      <c r="R533" s="224"/>
      <c r="S533" s="161"/>
      <c r="T533" s="326" t="s">
        <v>191</v>
      </c>
      <c r="U533" s="50" t="s">
        <v>46</v>
      </c>
      <c r="V533" s="71"/>
      <c r="W533" s="93"/>
      <c r="X533" s="101"/>
      <c r="Y533" s="101"/>
      <c r="Z533" s="101"/>
      <c r="AA533" s="101"/>
      <c r="AB533" s="101"/>
      <c r="AC533" s="102"/>
      <c r="AD533" s="102"/>
      <c r="AE533" s="102"/>
      <c r="AF533" s="93"/>
      <c r="AG533" s="51"/>
      <c r="AH533" s="93"/>
      <c r="AI533" s="51"/>
      <c r="AJ533" s="224"/>
      <c r="AK533" s="169"/>
      <c r="AL533" s="326" t="s">
        <v>191</v>
      </c>
      <c r="AM533" s="210" t="str">
        <f>IF(OR(X533="",F533=""),"",X533-F533)</f>
        <v/>
      </c>
      <c r="AN533" s="171" t="str">
        <f>IF(OR(Y533="",G533=""),"",Y533-G533)</f>
        <v/>
      </c>
      <c r="AO533" s="171" t="str">
        <f>IF(OR(Z533="",H533=""),"",Z533-H533)</f>
        <v/>
      </c>
      <c r="AP533" s="171" t="str">
        <f>IF(OR(AA533="",I533=""),"",AA533-I533)</f>
        <v/>
      </c>
      <c r="AQ533" s="211" t="str">
        <f>IF(OR(AB533="",J533=""),"",AB533-J533)</f>
        <v/>
      </c>
      <c r="AR533" s="68"/>
      <c r="AS533" s="69"/>
      <c r="AT533" s="68"/>
    </row>
    <row r="534" spans="2:46" ht="13.5" customHeight="1" x14ac:dyDescent="0.15">
      <c r="B534" s="327"/>
      <c r="C534" s="52" t="s">
        <v>47</v>
      </c>
      <c r="D534" s="73"/>
      <c r="E534" s="95"/>
      <c r="F534" s="103"/>
      <c r="G534" s="103"/>
      <c r="H534" s="103"/>
      <c r="I534" s="103"/>
      <c r="J534" s="103"/>
      <c r="K534" s="104"/>
      <c r="L534" s="206"/>
      <c r="M534" s="206"/>
      <c r="N534" s="95"/>
      <c r="O534" s="53"/>
      <c r="P534" s="95"/>
      <c r="Q534" s="53"/>
      <c r="R534" s="225"/>
      <c r="S534" s="161"/>
      <c r="T534" s="327"/>
      <c r="U534" s="52" t="s">
        <v>47</v>
      </c>
      <c r="V534" s="73"/>
      <c r="W534" s="95"/>
      <c r="X534" s="103"/>
      <c r="Y534" s="103"/>
      <c r="Z534" s="103"/>
      <c r="AA534" s="103"/>
      <c r="AB534" s="103"/>
      <c r="AC534" s="104"/>
      <c r="AD534" s="104"/>
      <c r="AE534" s="104"/>
      <c r="AF534" s="95"/>
      <c r="AG534" s="53"/>
      <c r="AH534" s="95"/>
      <c r="AI534" s="53"/>
      <c r="AJ534" s="225"/>
      <c r="AK534" s="169"/>
      <c r="AL534" s="327"/>
      <c r="AM534" s="150" t="str">
        <f t="shared" ref="AM534:AM537" si="521">IF(OR(X534="",F534=""),"",X534-F534)</f>
        <v/>
      </c>
      <c r="AN534" s="212" t="str">
        <f t="shared" ref="AN534:AN537" si="522">IF(OR(Y534="",G534=""),"",Y534-G534)</f>
        <v/>
      </c>
      <c r="AO534" s="212" t="str">
        <f t="shared" ref="AO534:AO537" si="523">IF(OR(Z534="",H534=""),"",Z534-H534)</f>
        <v/>
      </c>
      <c r="AP534" s="212" t="str">
        <f t="shared" ref="AP534:AP537" si="524">IF(OR(AA534="",I534=""),"",AA534-I534)</f>
        <v/>
      </c>
      <c r="AQ534" s="151" t="str">
        <f t="shared" ref="AQ534:AQ537" si="525">IF(OR(AB534="",J534=""),"",AB534-J534)</f>
        <v/>
      </c>
      <c r="AR534" s="68"/>
      <c r="AS534" s="69"/>
      <c r="AT534" s="68"/>
    </row>
    <row r="535" spans="2:46" ht="13.5" customHeight="1" x14ac:dyDescent="0.15">
      <c r="B535" s="327"/>
      <c r="C535" s="52" t="s">
        <v>48</v>
      </c>
      <c r="D535" s="73"/>
      <c r="E535" s="95"/>
      <c r="F535" s="103"/>
      <c r="G535" s="103"/>
      <c r="H535" s="103"/>
      <c r="I535" s="103"/>
      <c r="J535" s="103"/>
      <c r="K535" s="104"/>
      <c r="L535" s="206"/>
      <c r="M535" s="206"/>
      <c r="N535" s="95"/>
      <c r="O535" s="53"/>
      <c r="P535" s="95"/>
      <c r="Q535" s="53"/>
      <c r="R535" s="225"/>
      <c r="S535" s="161"/>
      <c r="T535" s="327"/>
      <c r="U535" s="52" t="s">
        <v>48</v>
      </c>
      <c r="V535" s="73"/>
      <c r="W535" s="95"/>
      <c r="X535" s="103"/>
      <c r="Y535" s="103"/>
      <c r="Z535" s="103"/>
      <c r="AA535" s="103"/>
      <c r="AB535" s="103"/>
      <c r="AC535" s="104"/>
      <c r="AD535" s="104"/>
      <c r="AE535" s="104"/>
      <c r="AF535" s="95"/>
      <c r="AG535" s="53"/>
      <c r="AH535" s="95"/>
      <c r="AI535" s="53"/>
      <c r="AJ535" s="225"/>
      <c r="AK535" s="169"/>
      <c r="AL535" s="327"/>
      <c r="AM535" s="150" t="str">
        <f t="shared" si="521"/>
        <v/>
      </c>
      <c r="AN535" s="212" t="str">
        <f t="shared" si="522"/>
        <v/>
      </c>
      <c r="AO535" s="212" t="str">
        <f t="shared" si="523"/>
        <v/>
      </c>
      <c r="AP535" s="212" t="str">
        <f t="shared" si="524"/>
        <v/>
      </c>
      <c r="AQ535" s="151" t="str">
        <f t="shared" si="525"/>
        <v/>
      </c>
      <c r="AR535" s="68"/>
      <c r="AS535" s="69"/>
      <c r="AT535" s="68"/>
    </row>
    <row r="536" spans="2:46" ht="13.5" customHeight="1" x14ac:dyDescent="0.15">
      <c r="B536" s="327"/>
      <c r="C536" s="52" t="s">
        <v>50</v>
      </c>
      <c r="D536" s="73"/>
      <c r="E536" s="95"/>
      <c r="F536" s="103"/>
      <c r="G536" s="103"/>
      <c r="H536" s="103"/>
      <c r="I536" s="103"/>
      <c r="J536" s="103"/>
      <c r="K536" s="104"/>
      <c r="L536" s="206"/>
      <c r="M536" s="206"/>
      <c r="N536" s="95"/>
      <c r="O536" s="53"/>
      <c r="P536" s="95"/>
      <c r="Q536" s="53"/>
      <c r="R536" s="225"/>
      <c r="S536" s="161"/>
      <c r="T536" s="327"/>
      <c r="U536" s="52" t="s">
        <v>50</v>
      </c>
      <c r="V536" s="73"/>
      <c r="W536" s="95"/>
      <c r="X536" s="103"/>
      <c r="Y536" s="103"/>
      <c r="Z536" s="103"/>
      <c r="AA536" s="103"/>
      <c r="AB536" s="103"/>
      <c r="AC536" s="104"/>
      <c r="AD536" s="104"/>
      <c r="AE536" s="104"/>
      <c r="AF536" s="95"/>
      <c r="AG536" s="53"/>
      <c r="AH536" s="95"/>
      <c r="AI536" s="53"/>
      <c r="AJ536" s="225"/>
      <c r="AK536" s="169"/>
      <c r="AL536" s="327"/>
      <c r="AM536" s="150" t="str">
        <f t="shared" si="521"/>
        <v/>
      </c>
      <c r="AN536" s="212" t="str">
        <f t="shared" si="522"/>
        <v/>
      </c>
      <c r="AO536" s="212" t="str">
        <f t="shared" si="523"/>
        <v/>
      </c>
      <c r="AP536" s="212" t="str">
        <f t="shared" si="524"/>
        <v/>
      </c>
      <c r="AQ536" s="151" t="str">
        <f t="shared" si="525"/>
        <v/>
      </c>
      <c r="AR536" s="68"/>
      <c r="AS536" s="69"/>
      <c r="AT536" s="68"/>
    </row>
    <row r="537" spans="2:46" ht="13.5" customHeight="1" thickBot="1" x14ac:dyDescent="0.2">
      <c r="B537" s="328"/>
      <c r="C537" s="54" t="s">
        <v>51</v>
      </c>
      <c r="D537" s="74"/>
      <c r="E537" s="98"/>
      <c r="F537" s="105"/>
      <c r="G537" s="105"/>
      <c r="H537" s="105"/>
      <c r="I537" s="105"/>
      <c r="J537" s="105"/>
      <c r="K537" s="106"/>
      <c r="L537" s="207"/>
      <c r="M537" s="207"/>
      <c r="N537" s="98"/>
      <c r="O537" s="66"/>
      <c r="P537" s="98"/>
      <c r="Q537" s="66"/>
      <c r="R537" s="226"/>
      <c r="S537" s="161"/>
      <c r="T537" s="328"/>
      <c r="U537" s="54" t="s">
        <v>51</v>
      </c>
      <c r="V537" s="74"/>
      <c r="W537" s="98"/>
      <c r="X537" s="105"/>
      <c r="Y537" s="105"/>
      <c r="Z537" s="105"/>
      <c r="AA537" s="105"/>
      <c r="AB537" s="105"/>
      <c r="AC537" s="106"/>
      <c r="AD537" s="106"/>
      <c r="AE537" s="106"/>
      <c r="AF537" s="98"/>
      <c r="AG537" s="66"/>
      <c r="AH537" s="98"/>
      <c r="AI537" s="66"/>
      <c r="AJ537" s="226"/>
      <c r="AK537" s="169"/>
      <c r="AL537" s="328"/>
      <c r="AM537" s="213" t="str">
        <f t="shared" si="521"/>
        <v/>
      </c>
      <c r="AN537" s="214" t="str">
        <f t="shared" si="522"/>
        <v/>
      </c>
      <c r="AO537" s="214" t="str">
        <f t="shared" si="523"/>
        <v/>
      </c>
      <c r="AP537" s="214" t="str">
        <f t="shared" si="524"/>
        <v/>
      </c>
      <c r="AQ537" s="215" t="str">
        <f t="shared" si="525"/>
        <v/>
      </c>
      <c r="AR537" s="68"/>
      <c r="AS537" s="69"/>
      <c r="AT537" s="68"/>
    </row>
    <row r="538" spans="2:46" ht="13.5" customHeight="1" x14ac:dyDescent="0.15">
      <c r="B538" s="326" t="s">
        <v>192</v>
      </c>
      <c r="C538" s="50" t="s">
        <v>46</v>
      </c>
      <c r="D538" s="71"/>
      <c r="E538" s="93"/>
      <c r="F538" s="101"/>
      <c r="G538" s="101"/>
      <c r="H538" s="101"/>
      <c r="I538" s="101"/>
      <c r="J538" s="101"/>
      <c r="K538" s="102"/>
      <c r="L538" s="205"/>
      <c r="M538" s="205"/>
      <c r="N538" s="93"/>
      <c r="O538" s="51"/>
      <c r="P538" s="93"/>
      <c r="Q538" s="51"/>
      <c r="R538" s="224"/>
      <c r="S538" s="161"/>
      <c r="T538" s="326" t="s">
        <v>192</v>
      </c>
      <c r="U538" s="50" t="s">
        <v>46</v>
      </c>
      <c r="V538" s="71"/>
      <c r="W538" s="93"/>
      <c r="X538" s="101"/>
      <c r="Y538" s="101"/>
      <c r="Z538" s="101"/>
      <c r="AA538" s="101"/>
      <c r="AB538" s="101"/>
      <c r="AC538" s="102"/>
      <c r="AD538" s="102"/>
      <c r="AE538" s="102"/>
      <c r="AF538" s="93"/>
      <c r="AG538" s="51"/>
      <c r="AH538" s="93"/>
      <c r="AI538" s="51"/>
      <c r="AJ538" s="224"/>
      <c r="AK538" s="169"/>
      <c r="AL538" s="326" t="s">
        <v>192</v>
      </c>
      <c r="AM538" s="210" t="str">
        <f>IF(OR(X538="",F538=""),"",X538-F538)</f>
        <v/>
      </c>
      <c r="AN538" s="171" t="str">
        <f>IF(OR(Y538="",G538=""),"",Y538-G538)</f>
        <v/>
      </c>
      <c r="AO538" s="171" t="str">
        <f>IF(OR(Z538="",H538=""),"",Z538-H538)</f>
        <v/>
      </c>
      <c r="AP538" s="171" t="str">
        <f>IF(OR(AA538="",I538=""),"",AA538-I538)</f>
        <v/>
      </c>
      <c r="AQ538" s="211" t="str">
        <f>IF(OR(AB538="",J538=""),"",AB538-J538)</f>
        <v/>
      </c>
      <c r="AR538" s="68"/>
      <c r="AS538" s="69"/>
      <c r="AT538" s="68"/>
    </row>
    <row r="539" spans="2:46" ht="13.5" customHeight="1" x14ac:dyDescent="0.15">
      <c r="B539" s="327"/>
      <c r="C539" s="52" t="s">
        <v>47</v>
      </c>
      <c r="D539" s="73"/>
      <c r="E539" s="95"/>
      <c r="F539" s="103"/>
      <c r="G539" s="103"/>
      <c r="H539" s="103"/>
      <c r="I539" s="103"/>
      <c r="J539" s="103"/>
      <c r="K539" s="104"/>
      <c r="L539" s="206"/>
      <c r="M539" s="206"/>
      <c r="N539" s="95"/>
      <c r="O539" s="53"/>
      <c r="P539" s="95"/>
      <c r="Q539" s="53"/>
      <c r="R539" s="225"/>
      <c r="S539" s="161"/>
      <c r="T539" s="327"/>
      <c r="U539" s="52" t="s">
        <v>47</v>
      </c>
      <c r="V539" s="73"/>
      <c r="W539" s="95"/>
      <c r="X539" s="103"/>
      <c r="Y539" s="103"/>
      <c r="Z539" s="103"/>
      <c r="AA539" s="103"/>
      <c r="AB539" s="103"/>
      <c r="AC539" s="104"/>
      <c r="AD539" s="104"/>
      <c r="AE539" s="104"/>
      <c r="AF539" s="95"/>
      <c r="AG539" s="53"/>
      <c r="AH539" s="95"/>
      <c r="AI539" s="53"/>
      <c r="AJ539" s="225"/>
      <c r="AK539" s="169"/>
      <c r="AL539" s="327"/>
      <c r="AM539" s="150" t="str">
        <f t="shared" ref="AM539:AM542" si="526">IF(OR(X539="",F539=""),"",X539-F539)</f>
        <v/>
      </c>
      <c r="AN539" s="212" t="str">
        <f t="shared" ref="AN539:AN542" si="527">IF(OR(Y539="",G539=""),"",Y539-G539)</f>
        <v/>
      </c>
      <c r="AO539" s="212" t="str">
        <f t="shared" ref="AO539:AO542" si="528">IF(OR(Z539="",H539=""),"",Z539-H539)</f>
        <v/>
      </c>
      <c r="AP539" s="212" t="str">
        <f t="shared" ref="AP539:AP542" si="529">IF(OR(AA539="",I539=""),"",AA539-I539)</f>
        <v/>
      </c>
      <c r="AQ539" s="151" t="str">
        <f t="shared" ref="AQ539:AQ542" si="530">IF(OR(AB539="",J539=""),"",AB539-J539)</f>
        <v/>
      </c>
      <c r="AR539" s="68"/>
      <c r="AS539" s="69"/>
      <c r="AT539" s="68"/>
    </row>
    <row r="540" spans="2:46" ht="13.5" customHeight="1" x14ac:dyDescent="0.15">
      <c r="B540" s="327"/>
      <c r="C540" s="52" t="s">
        <v>48</v>
      </c>
      <c r="D540" s="73"/>
      <c r="E540" s="95"/>
      <c r="F540" s="103"/>
      <c r="G540" s="103"/>
      <c r="H540" s="103"/>
      <c r="I540" s="103"/>
      <c r="J540" s="103"/>
      <c r="K540" s="104"/>
      <c r="L540" s="206"/>
      <c r="M540" s="206"/>
      <c r="N540" s="95"/>
      <c r="O540" s="53"/>
      <c r="P540" s="95"/>
      <c r="Q540" s="53"/>
      <c r="R540" s="225"/>
      <c r="S540" s="161"/>
      <c r="T540" s="327"/>
      <c r="U540" s="52" t="s">
        <v>48</v>
      </c>
      <c r="V540" s="73"/>
      <c r="W540" s="95"/>
      <c r="X540" s="103"/>
      <c r="Y540" s="103"/>
      <c r="Z540" s="103"/>
      <c r="AA540" s="103"/>
      <c r="AB540" s="103"/>
      <c r="AC540" s="104"/>
      <c r="AD540" s="104"/>
      <c r="AE540" s="104"/>
      <c r="AF540" s="95"/>
      <c r="AG540" s="53"/>
      <c r="AH540" s="95"/>
      <c r="AI540" s="53"/>
      <c r="AJ540" s="225"/>
      <c r="AK540" s="169"/>
      <c r="AL540" s="327"/>
      <c r="AM540" s="150" t="str">
        <f t="shared" si="526"/>
        <v/>
      </c>
      <c r="AN540" s="212" t="str">
        <f t="shared" si="527"/>
        <v/>
      </c>
      <c r="AO540" s="212" t="str">
        <f t="shared" si="528"/>
        <v/>
      </c>
      <c r="AP540" s="212" t="str">
        <f t="shared" si="529"/>
        <v/>
      </c>
      <c r="AQ540" s="151" t="str">
        <f t="shared" si="530"/>
        <v/>
      </c>
      <c r="AR540" s="68"/>
      <c r="AS540" s="69"/>
      <c r="AT540" s="68"/>
    </row>
    <row r="541" spans="2:46" ht="13.5" customHeight="1" x14ac:dyDescent="0.15">
      <c r="B541" s="327"/>
      <c r="C541" s="52" t="s">
        <v>50</v>
      </c>
      <c r="D541" s="73"/>
      <c r="E541" s="95"/>
      <c r="F541" s="103"/>
      <c r="G541" s="103"/>
      <c r="H541" s="103"/>
      <c r="I541" s="103"/>
      <c r="J541" s="103"/>
      <c r="K541" s="104"/>
      <c r="L541" s="206"/>
      <c r="M541" s="206"/>
      <c r="N541" s="95"/>
      <c r="O541" s="53"/>
      <c r="P541" s="95"/>
      <c r="Q541" s="53"/>
      <c r="R541" s="225"/>
      <c r="S541" s="161"/>
      <c r="T541" s="327"/>
      <c r="U541" s="52" t="s">
        <v>50</v>
      </c>
      <c r="V541" s="73"/>
      <c r="W541" s="95"/>
      <c r="X541" s="103"/>
      <c r="Y541" s="103"/>
      <c r="Z541" s="103"/>
      <c r="AA541" s="103"/>
      <c r="AB541" s="103"/>
      <c r="AC541" s="104"/>
      <c r="AD541" s="104"/>
      <c r="AE541" s="104"/>
      <c r="AF541" s="95"/>
      <c r="AG541" s="53"/>
      <c r="AH541" s="95"/>
      <c r="AI541" s="53"/>
      <c r="AJ541" s="225"/>
      <c r="AK541" s="169"/>
      <c r="AL541" s="327"/>
      <c r="AM541" s="150" t="str">
        <f t="shared" si="526"/>
        <v/>
      </c>
      <c r="AN541" s="212" t="str">
        <f t="shared" si="527"/>
        <v/>
      </c>
      <c r="AO541" s="212" t="str">
        <f t="shared" si="528"/>
        <v/>
      </c>
      <c r="AP541" s="212" t="str">
        <f t="shared" si="529"/>
        <v/>
      </c>
      <c r="AQ541" s="151" t="str">
        <f t="shared" si="530"/>
        <v/>
      </c>
      <c r="AR541" s="68"/>
      <c r="AS541" s="69"/>
      <c r="AT541" s="68"/>
    </row>
    <row r="542" spans="2:46" ht="13.5" customHeight="1" thickBot="1" x14ac:dyDescent="0.2">
      <c r="B542" s="328"/>
      <c r="C542" s="52" t="s">
        <v>51</v>
      </c>
      <c r="D542" s="74"/>
      <c r="E542" s="98"/>
      <c r="F542" s="105"/>
      <c r="G542" s="105"/>
      <c r="H542" s="105"/>
      <c r="I542" s="105"/>
      <c r="J542" s="105"/>
      <c r="K542" s="106"/>
      <c r="L542" s="207"/>
      <c r="M542" s="207"/>
      <c r="N542" s="98"/>
      <c r="O542" s="66"/>
      <c r="P542" s="98"/>
      <c r="Q542" s="66"/>
      <c r="R542" s="225"/>
      <c r="S542" s="161"/>
      <c r="T542" s="328"/>
      <c r="U542" s="52" t="s">
        <v>51</v>
      </c>
      <c r="V542" s="74"/>
      <c r="W542" s="98"/>
      <c r="X542" s="105"/>
      <c r="Y542" s="105"/>
      <c r="Z542" s="105"/>
      <c r="AA542" s="105"/>
      <c r="AB542" s="105"/>
      <c r="AC542" s="106"/>
      <c r="AD542" s="106"/>
      <c r="AE542" s="106"/>
      <c r="AF542" s="98"/>
      <c r="AG542" s="66"/>
      <c r="AH542" s="98"/>
      <c r="AI542" s="66"/>
      <c r="AJ542" s="225"/>
      <c r="AK542" s="169"/>
      <c r="AL542" s="328"/>
      <c r="AM542" s="213" t="str">
        <f t="shared" si="526"/>
        <v/>
      </c>
      <c r="AN542" s="214" t="str">
        <f t="shared" si="527"/>
        <v/>
      </c>
      <c r="AO542" s="214" t="str">
        <f t="shared" si="528"/>
        <v/>
      </c>
      <c r="AP542" s="214" t="str">
        <f t="shared" si="529"/>
        <v/>
      </c>
      <c r="AQ542" s="215" t="str">
        <f t="shared" si="530"/>
        <v/>
      </c>
      <c r="AR542" s="68"/>
      <c r="AS542" s="69"/>
      <c r="AT542" s="68"/>
    </row>
    <row r="543" spans="2:46" ht="13.5" customHeight="1" x14ac:dyDescent="0.15">
      <c r="B543" s="326" t="s">
        <v>193</v>
      </c>
      <c r="C543" s="50" t="s">
        <v>46</v>
      </c>
      <c r="D543" s="71"/>
      <c r="E543" s="93"/>
      <c r="F543" s="101"/>
      <c r="G543" s="101"/>
      <c r="H543" s="101"/>
      <c r="I543" s="101"/>
      <c r="J543" s="101"/>
      <c r="K543" s="102"/>
      <c r="L543" s="205"/>
      <c r="M543" s="205"/>
      <c r="N543" s="93"/>
      <c r="O543" s="51"/>
      <c r="P543" s="93"/>
      <c r="Q543" s="51"/>
      <c r="R543" s="224"/>
      <c r="S543" s="161"/>
      <c r="T543" s="326" t="s">
        <v>193</v>
      </c>
      <c r="U543" s="50" t="s">
        <v>46</v>
      </c>
      <c r="V543" s="71"/>
      <c r="W543" s="93"/>
      <c r="X543" s="101"/>
      <c r="Y543" s="101"/>
      <c r="Z543" s="101"/>
      <c r="AA543" s="101"/>
      <c r="AB543" s="101"/>
      <c r="AC543" s="102"/>
      <c r="AD543" s="102"/>
      <c r="AE543" s="102"/>
      <c r="AF543" s="93"/>
      <c r="AG543" s="51"/>
      <c r="AH543" s="93"/>
      <c r="AI543" s="51"/>
      <c r="AJ543" s="224"/>
      <c r="AK543" s="169"/>
      <c r="AL543" s="326" t="s">
        <v>193</v>
      </c>
      <c r="AM543" s="210" t="str">
        <f>IF(OR(X543="",F543=""),"",X543-F543)</f>
        <v/>
      </c>
      <c r="AN543" s="171" t="str">
        <f>IF(OR(Y543="",G543=""),"",Y543-G543)</f>
        <v/>
      </c>
      <c r="AO543" s="171" t="str">
        <f>IF(OR(Z543="",H543=""),"",Z543-H543)</f>
        <v/>
      </c>
      <c r="AP543" s="171" t="str">
        <f>IF(OR(AA543="",I543=""),"",AA543-I543)</f>
        <v/>
      </c>
      <c r="AQ543" s="211" t="str">
        <f>IF(OR(AB543="",J543=""),"",AB543-J543)</f>
        <v/>
      </c>
      <c r="AR543" s="68"/>
      <c r="AS543" s="69"/>
      <c r="AT543" s="68"/>
    </row>
    <row r="544" spans="2:46" ht="13.5" customHeight="1" x14ac:dyDescent="0.15">
      <c r="B544" s="327"/>
      <c r="C544" s="52" t="s">
        <v>47</v>
      </c>
      <c r="D544" s="73"/>
      <c r="E544" s="95"/>
      <c r="F544" s="103"/>
      <c r="G544" s="103"/>
      <c r="H544" s="103"/>
      <c r="I544" s="103"/>
      <c r="J544" s="103"/>
      <c r="K544" s="104"/>
      <c r="L544" s="206"/>
      <c r="M544" s="206"/>
      <c r="N544" s="95"/>
      <c r="O544" s="53"/>
      <c r="P544" s="95"/>
      <c r="Q544" s="53"/>
      <c r="R544" s="225"/>
      <c r="S544" s="161"/>
      <c r="T544" s="327"/>
      <c r="U544" s="52" t="s">
        <v>47</v>
      </c>
      <c r="V544" s="73"/>
      <c r="W544" s="95"/>
      <c r="X544" s="103"/>
      <c r="Y544" s="103"/>
      <c r="Z544" s="103"/>
      <c r="AA544" s="103"/>
      <c r="AB544" s="103"/>
      <c r="AC544" s="104"/>
      <c r="AD544" s="104"/>
      <c r="AE544" s="104"/>
      <c r="AF544" s="95"/>
      <c r="AG544" s="53"/>
      <c r="AH544" s="95"/>
      <c r="AI544" s="53"/>
      <c r="AJ544" s="225"/>
      <c r="AK544" s="169"/>
      <c r="AL544" s="327"/>
      <c r="AM544" s="150" t="str">
        <f t="shared" ref="AM544:AM547" si="531">IF(OR(X544="",F544=""),"",X544-F544)</f>
        <v/>
      </c>
      <c r="AN544" s="212" t="str">
        <f t="shared" ref="AN544:AN547" si="532">IF(OR(Y544="",G544=""),"",Y544-G544)</f>
        <v/>
      </c>
      <c r="AO544" s="212" t="str">
        <f t="shared" ref="AO544:AO547" si="533">IF(OR(Z544="",H544=""),"",Z544-H544)</f>
        <v/>
      </c>
      <c r="AP544" s="212" t="str">
        <f t="shared" ref="AP544:AP547" si="534">IF(OR(AA544="",I544=""),"",AA544-I544)</f>
        <v/>
      </c>
      <c r="AQ544" s="151" t="str">
        <f t="shared" ref="AQ544:AQ547" si="535">IF(OR(AB544="",J544=""),"",AB544-J544)</f>
        <v/>
      </c>
      <c r="AR544" s="68"/>
      <c r="AS544" s="69"/>
      <c r="AT544" s="68"/>
    </row>
    <row r="545" spans="2:46" ht="13.5" customHeight="1" x14ac:dyDescent="0.15">
      <c r="B545" s="327"/>
      <c r="C545" s="52" t="s">
        <v>48</v>
      </c>
      <c r="D545" s="73"/>
      <c r="E545" s="95"/>
      <c r="F545" s="103"/>
      <c r="G545" s="103"/>
      <c r="H545" s="103"/>
      <c r="I545" s="103"/>
      <c r="J545" s="103"/>
      <c r="K545" s="104"/>
      <c r="L545" s="206"/>
      <c r="M545" s="206"/>
      <c r="N545" s="95"/>
      <c r="O545" s="53"/>
      <c r="P545" s="95"/>
      <c r="Q545" s="53"/>
      <c r="R545" s="225"/>
      <c r="S545" s="161"/>
      <c r="T545" s="327"/>
      <c r="U545" s="52" t="s">
        <v>48</v>
      </c>
      <c r="V545" s="73"/>
      <c r="W545" s="95"/>
      <c r="X545" s="103"/>
      <c r="Y545" s="103"/>
      <c r="Z545" s="103"/>
      <c r="AA545" s="103"/>
      <c r="AB545" s="103"/>
      <c r="AC545" s="104"/>
      <c r="AD545" s="104"/>
      <c r="AE545" s="104"/>
      <c r="AF545" s="95"/>
      <c r="AG545" s="53"/>
      <c r="AH545" s="95"/>
      <c r="AI545" s="53"/>
      <c r="AJ545" s="225"/>
      <c r="AK545" s="169"/>
      <c r="AL545" s="327"/>
      <c r="AM545" s="150" t="str">
        <f t="shared" si="531"/>
        <v/>
      </c>
      <c r="AN545" s="212" t="str">
        <f t="shared" si="532"/>
        <v/>
      </c>
      <c r="AO545" s="212" t="str">
        <f t="shared" si="533"/>
        <v/>
      </c>
      <c r="AP545" s="212" t="str">
        <f t="shared" si="534"/>
        <v/>
      </c>
      <c r="AQ545" s="151" t="str">
        <f t="shared" si="535"/>
        <v/>
      </c>
      <c r="AR545" s="68"/>
      <c r="AS545" s="69"/>
      <c r="AT545" s="68"/>
    </row>
    <row r="546" spans="2:46" ht="13.5" customHeight="1" x14ac:dyDescent="0.15">
      <c r="B546" s="327"/>
      <c r="C546" s="52" t="s">
        <v>50</v>
      </c>
      <c r="D546" s="73"/>
      <c r="E546" s="95"/>
      <c r="F546" s="103"/>
      <c r="G546" s="103"/>
      <c r="H546" s="103"/>
      <c r="I546" s="103"/>
      <c r="J546" s="103"/>
      <c r="K546" s="104"/>
      <c r="L546" s="206"/>
      <c r="M546" s="206"/>
      <c r="N546" s="95"/>
      <c r="O546" s="53"/>
      <c r="P546" s="95"/>
      <c r="Q546" s="53"/>
      <c r="R546" s="225"/>
      <c r="S546" s="161"/>
      <c r="T546" s="327"/>
      <c r="U546" s="52" t="s">
        <v>50</v>
      </c>
      <c r="V546" s="73"/>
      <c r="W546" s="95"/>
      <c r="X546" s="103"/>
      <c r="Y546" s="103"/>
      <c r="Z546" s="103"/>
      <c r="AA546" s="103"/>
      <c r="AB546" s="103"/>
      <c r="AC546" s="104"/>
      <c r="AD546" s="104"/>
      <c r="AE546" s="104"/>
      <c r="AF546" s="95"/>
      <c r="AG546" s="53"/>
      <c r="AH546" s="95"/>
      <c r="AI546" s="53"/>
      <c r="AJ546" s="225"/>
      <c r="AK546" s="169"/>
      <c r="AL546" s="327"/>
      <c r="AM546" s="150" t="str">
        <f t="shared" si="531"/>
        <v/>
      </c>
      <c r="AN546" s="212" t="str">
        <f t="shared" si="532"/>
        <v/>
      </c>
      <c r="AO546" s="212" t="str">
        <f t="shared" si="533"/>
        <v/>
      </c>
      <c r="AP546" s="212" t="str">
        <f t="shared" si="534"/>
        <v/>
      </c>
      <c r="AQ546" s="151" t="str">
        <f t="shared" si="535"/>
        <v/>
      </c>
      <c r="AR546" s="68"/>
      <c r="AS546" s="69"/>
      <c r="AT546" s="68"/>
    </row>
    <row r="547" spans="2:46" ht="13.5" customHeight="1" thickBot="1" x14ac:dyDescent="0.2">
      <c r="B547" s="328"/>
      <c r="C547" s="54" t="s">
        <v>51</v>
      </c>
      <c r="D547" s="74"/>
      <c r="E547" s="98"/>
      <c r="F547" s="105"/>
      <c r="G547" s="105"/>
      <c r="H547" s="105"/>
      <c r="I547" s="105"/>
      <c r="J547" s="105"/>
      <c r="K547" s="106"/>
      <c r="L547" s="207"/>
      <c r="M547" s="207"/>
      <c r="N547" s="98"/>
      <c r="O547" s="66"/>
      <c r="P547" s="98"/>
      <c r="Q547" s="66"/>
      <c r="R547" s="226"/>
      <c r="S547" s="161"/>
      <c r="T547" s="328"/>
      <c r="U547" s="54" t="s">
        <v>51</v>
      </c>
      <c r="V547" s="74"/>
      <c r="W547" s="98"/>
      <c r="X547" s="105"/>
      <c r="Y547" s="105"/>
      <c r="Z547" s="105"/>
      <c r="AA547" s="105"/>
      <c r="AB547" s="105"/>
      <c r="AC547" s="106"/>
      <c r="AD547" s="106"/>
      <c r="AE547" s="106"/>
      <c r="AF547" s="98"/>
      <c r="AG547" s="66"/>
      <c r="AH547" s="98"/>
      <c r="AI547" s="66"/>
      <c r="AJ547" s="226"/>
      <c r="AK547" s="169"/>
      <c r="AL547" s="328"/>
      <c r="AM547" s="213" t="str">
        <f t="shared" si="531"/>
        <v/>
      </c>
      <c r="AN547" s="214" t="str">
        <f t="shared" si="532"/>
        <v/>
      </c>
      <c r="AO547" s="214" t="str">
        <f t="shared" si="533"/>
        <v/>
      </c>
      <c r="AP547" s="214" t="str">
        <f t="shared" si="534"/>
        <v/>
      </c>
      <c r="AQ547" s="215" t="str">
        <f t="shared" si="535"/>
        <v/>
      </c>
      <c r="AR547" s="68"/>
      <c r="AS547" s="69"/>
      <c r="AT547" s="68"/>
    </row>
    <row r="548" spans="2:46" ht="13.5" customHeight="1" x14ac:dyDescent="0.15">
      <c r="B548" s="326" t="s">
        <v>194</v>
      </c>
      <c r="C548" s="50" t="s">
        <v>46</v>
      </c>
      <c r="D548" s="71"/>
      <c r="E548" s="93"/>
      <c r="F548" s="101"/>
      <c r="G548" s="101"/>
      <c r="H548" s="101"/>
      <c r="I548" s="101"/>
      <c r="J548" s="101"/>
      <c r="K548" s="102"/>
      <c r="L548" s="205"/>
      <c r="M548" s="205"/>
      <c r="N548" s="93"/>
      <c r="O548" s="51"/>
      <c r="P548" s="93"/>
      <c r="Q548" s="51"/>
      <c r="R548" s="224"/>
      <c r="S548" s="161"/>
      <c r="T548" s="326" t="s">
        <v>194</v>
      </c>
      <c r="U548" s="50" t="s">
        <v>46</v>
      </c>
      <c r="V548" s="71"/>
      <c r="W548" s="93"/>
      <c r="X548" s="101"/>
      <c r="Y548" s="101"/>
      <c r="Z548" s="101"/>
      <c r="AA548" s="101"/>
      <c r="AB548" s="101"/>
      <c r="AC548" s="102"/>
      <c r="AD548" s="102"/>
      <c r="AE548" s="102"/>
      <c r="AF548" s="93"/>
      <c r="AG548" s="51"/>
      <c r="AH548" s="93"/>
      <c r="AI548" s="51"/>
      <c r="AJ548" s="224"/>
      <c r="AK548" s="169"/>
      <c r="AL548" s="326" t="s">
        <v>194</v>
      </c>
      <c r="AM548" s="210" t="str">
        <f>IF(OR(X548="",F548=""),"",X548-F548)</f>
        <v/>
      </c>
      <c r="AN548" s="171" t="str">
        <f>IF(OR(Y548="",G548=""),"",Y548-G548)</f>
        <v/>
      </c>
      <c r="AO548" s="171" t="str">
        <f>IF(OR(Z548="",H548=""),"",Z548-H548)</f>
        <v/>
      </c>
      <c r="AP548" s="171" t="str">
        <f>IF(OR(AA548="",I548=""),"",AA548-I548)</f>
        <v/>
      </c>
      <c r="AQ548" s="211" t="str">
        <f>IF(OR(AB548="",J548=""),"",AB548-J548)</f>
        <v/>
      </c>
      <c r="AR548" s="68"/>
      <c r="AS548" s="69"/>
      <c r="AT548" s="68"/>
    </row>
    <row r="549" spans="2:46" ht="13.5" customHeight="1" x14ac:dyDescent="0.15">
      <c r="B549" s="327"/>
      <c r="C549" s="52" t="s">
        <v>47</v>
      </c>
      <c r="D549" s="73"/>
      <c r="E549" s="95"/>
      <c r="F549" s="103"/>
      <c r="G549" s="103"/>
      <c r="H549" s="103"/>
      <c r="I549" s="103"/>
      <c r="J549" s="103"/>
      <c r="K549" s="104"/>
      <c r="L549" s="206"/>
      <c r="M549" s="206"/>
      <c r="N549" s="95"/>
      <c r="O549" s="53"/>
      <c r="P549" s="95"/>
      <c r="Q549" s="53"/>
      <c r="R549" s="225"/>
      <c r="S549" s="161"/>
      <c r="T549" s="327"/>
      <c r="U549" s="52" t="s">
        <v>47</v>
      </c>
      <c r="V549" s="73"/>
      <c r="W549" s="95"/>
      <c r="X549" s="103"/>
      <c r="Y549" s="103"/>
      <c r="Z549" s="103"/>
      <c r="AA549" s="103"/>
      <c r="AB549" s="103"/>
      <c r="AC549" s="104"/>
      <c r="AD549" s="104"/>
      <c r="AE549" s="104"/>
      <c r="AF549" s="95"/>
      <c r="AG549" s="53"/>
      <c r="AH549" s="95"/>
      <c r="AI549" s="53"/>
      <c r="AJ549" s="225"/>
      <c r="AK549" s="169"/>
      <c r="AL549" s="327"/>
      <c r="AM549" s="150" t="str">
        <f t="shared" ref="AM549:AM552" si="536">IF(OR(X549="",F549=""),"",X549-F549)</f>
        <v/>
      </c>
      <c r="AN549" s="212" t="str">
        <f t="shared" ref="AN549:AN552" si="537">IF(OR(Y549="",G549=""),"",Y549-G549)</f>
        <v/>
      </c>
      <c r="AO549" s="212" t="str">
        <f t="shared" ref="AO549:AO552" si="538">IF(OR(Z549="",H549=""),"",Z549-H549)</f>
        <v/>
      </c>
      <c r="AP549" s="212" t="str">
        <f t="shared" ref="AP549:AP552" si="539">IF(OR(AA549="",I549=""),"",AA549-I549)</f>
        <v/>
      </c>
      <c r="AQ549" s="151" t="str">
        <f t="shared" ref="AQ549:AQ552" si="540">IF(OR(AB549="",J549=""),"",AB549-J549)</f>
        <v/>
      </c>
      <c r="AR549" s="68"/>
      <c r="AS549" s="69"/>
      <c r="AT549" s="68"/>
    </row>
    <row r="550" spans="2:46" ht="13.5" customHeight="1" x14ac:dyDescent="0.15">
      <c r="B550" s="327"/>
      <c r="C550" s="52" t="s">
        <v>48</v>
      </c>
      <c r="D550" s="73"/>
      <c r="E550" s="95"/>
      <c r="F550" s="103"/>
      <c r="G550" s="103"/>
      <c r="H550" s="103"/>
      <c r="I550" s="103"/>
      <c r="J550" s="103"/>
      <c r="K550" s="104"/>
      <c r="L550" s="206"/>
      <c r="M550" s="206"/>
      <c r="N550" s="95"/>
      <c r="O550" s="53"/>
      <c r="P550" s="95"/>
      <c r="Q550" s="53"/>
      <c r="R550" s="225"/>
      <c r="S550" s="161"/>
      <c r="T550" s="327"/>
      <c r="U550" s="52" t="s">
        <v>48</v>
      </c>
      <c r="V550" s="73"/>
      <c r="W550" s="95"/>
      <c r="X550" s="103"/>
      <c r="Y550" s="103"/>
      <c r="Z550" s="103"/>
      <c r="AA550" s="103"/>
      <c r="AB550" s="103"/>
      <c r="AC550" s="104"/>
      <c r="AD550" s="104"/>
      <c r="AE550" s="104"/>
      <c r="AF550" s="95"/>
      <c r="AG550" s="53"/>
      <c r="AH550" s="95"/>
      <c r="AI550" s="53"/>
      <c r="AJ550" s="225"/>
      <c r="AK550" s="169"/>
      <c r="AL550" s="327"/>
      <c r="AM550" s="150" t="str">
        <f t="shared" si="536"/>
        <v/>
      </c>
      <c r="AN550" s="212" t="str">
        <f t="shared" si="537"/>
        <v/>
      </c>
      <c r="AO550" s="212" t="str">
        <f t="shared" si="538"/>
        <v/>
      </c>
      <c r="AP550" s="212" t="str">
        <f t="shared" si="539"/>
        <v/>
      </c>
      <c r="AQ550" s="151" t="str">
        <f t="shared" si="540"/>
        <v/>
      </c>
      <c r="AR550" s="68"/>
      <c r="AS550" s="69"/>
      <c r="AT550" s="68"/>
    </row>
    <row r="551" spans="2:46" ht="13.5" customHeight="1" x14ac:dyDescent="0.15">
      <c r="B551" s="327"/>
      <c r="C551" s="52" t="s">
        <v>50</v>
      </c>
      <c r="D551" s="73"/>
      <c r="E551" s="95"/>
      <c r="F551" s="103"/>
      <c r="G551" s="103"/>
      <c r="H551" s="103"/>
      <c r="I551" s="103"/>
      <c r="J551" s="103"/>
      <c r="K551" s="104"/>
      <c r="L551" s="206"/>
      <c r="M551" s="206"/>
      <c r="N551" s="95"/>
      <c r="O551" s="53"/>
      <c r="P551" s="95"/>
      <c r="Q551" s="53"/>
      <c r="R551" s="225"/>
      <c r="S551" s="161"/>
      <c r="T551" s="327"/>
      <c r="U551" s="52" t="s">
        <v>50</v>
      </c>
      <c r="V551" s="73"/>
      <c r="W551" s="95"/>
      <c r="X551" s="103"/>
      <c r="Y551" s="103"/>
      <c r="Z551" s="103"/>
      <c r="AA551" s="103"/>
      <c r="AB551" s="103"/>
      <c r="AC551" s="104"/>
      <c r="AD551" s="104"/>
      <c r="AE551" s="104"/>
      <c r="AF551" s="95"/>
      <c r="AG551" s="53"/>
      <c r="AH551" s="95"/>
      <c r="AI551" s="53"/>
      <c r="AJ551" s="225"/>
      <c r="AK551" s="169"/>
      <c r="AL551" s="327"/>
      <c r="AM551" s="150" t="str">
        <f t="shared" si="536"/>
        <v/>
      </c>
      <c r="AN551" s="212" t="str">
        <f t="shared" si="537"/>
        <v/>
      </c>
      <c r="AO551" s="212" t="str">
        <f t="shared" si="538"/>
        <v/>
      </c>
      <c r="AP551" s="212" t="str">
        <f t="shared" si="539"/>
        <v/>
      </c>
      <c r="AQ551" s="151" t="str">
        <f t="shared" si="540"/>
        <v/>
      </c>
      <c r="AR551" s="68"/>
      <c r="AS551" s="69"/>
      <c r="AT551" s="68"/>
    </row>
    <row r="552" spans="2:46" ht="13.5" customHeight="1" thickBot="1" x14ac:dyDescent="0.2">
      <c r="B552" s="328"/>
      <c r="C552" s="52" t="s">
        <v>51</v>
      </c>
      <c r="D552" s="74"/>
      <c r="E552" s="98"/>
      <c r="F552" s="105"/>
      <c r="G552" s="105"/>
      <c r="H552" s="105"/>
      <c r="I552" s="105"/>
      <c r="J552" s="105"/>
      <c r="K552" s="106"/>
      <c r="L552" s="207"/>
      <c r="M552" s="207"/>
      <c r="N552" s="98"/>
      <c r="O552" s="66"/>
      <c r="P552" s="98"/>
      <c r="Q552" s="66"/>
      <c r="R552" s="225"/>
      <c r="S552" s="161"/>
      <c r="T552" s="328"/>
      <c r="U552" s="52" t="s">
        <v>51</v>
      </c>
      <c r="V552" s="74"/>
      <c r="W552" s="98"/>
      <c r="X552" s="105"/>
      <c r="Y552" s="105"/>
      <c r="Z552" s="105"/>
      <c r="AA552" s="105"/>
      <c r="AB552" s="105"/>
      <c r="AC552" s="106"/>
      <c r="AD552" s="106"/>
      <c r="AE552" s="106"/>
      <c r="AF552" s="98"/>
      <c r="AG552" s="66"/>
      <c r="AH552" s="98"/>
      <c r="AI552" s="66"/>
      <c r="AJ552" s="225"/>
      <c r="AK552" s="169"/>
      <c r="AL552" s="328"/>
      <c r="AM552" s="213" t="str">
        <f t="shared" si="536"/>
        <v/>
      </c>
      <c r="AN552" s="214" t="str">
        <f t="shared" si="537"/>
        <v/>
      </c>
      <c r="AO552" s="214" t="str">
        <f t="shared" si="538"/>
        <v/>
      </c>
      <c r="AP552" s="214" t="str">
        <f t="shared" si="539"/>
        <v/>
      </c>
      <c r="AQ552" s="215" t="str">
        <f t="shared" si="540"/>
        <v/>
      </c>
      <c r="AR552" s="68"/>
      <c r="AS552" s="69"/>
      <c r="AT552" s="68"/>
    </row>
    <row r="553" spans="2:46" ht="13.5" customHeight="1" x14ac:dyDescent="0.15">
      <c r="B553" s="326" t="s">
        <v>195</v>
      </c>
      <c r="C553" s="50" t="s">
        <v>46</v>
      </c>
      <c r="D553" s="71"/>
      <c r="E553" s="93"/>
      <c r="F553" s="101"/>
      <c r="G553" s="101"/>
      <c r="H553" s="101"/>
      <c r="I553" s="101"/>
      <c r="J553" s="101"/>
      <c r="K553" s="102"/>
      <c r="L553" s="205"/>
      <c r="M553" s="205"/>
      <c r="N553" s="93"/>
      <c r="O553" s="51"/>
      <c r="P553" s="93"/>
      <c r="Q553" s="51"/>
      <c r="R553" s="224"/>
      <c r="S553" s="161"/>
      <c r="T553" s="326" t="s">
        <v>195</v>
      </c>
      <c r="U553" s="50" t="s">
        <v>46</v>
      </c>
      <c r="V553" s="71"/>
      <c r="W553" s="93"/>
      <c r="X553" s="101"/>
      <c r="Y553" s="101"/>
      <c r="Z553" s="101"/>
      <c r="AA553" s="101"/>
      <c r="AB553" s="101"/>
      <c r="AC553" s="102"/>
      <c r="AD553" s="102"/>
      <c r="AE553" s="102"/>
      <c r="AF553" s="93"/>
      <c r="AG553" s="51"/>
      <c r="AH553" s="93"/>
      <c r="AI553" s="51"/>
      <c r="AJ553" s="224"/>
      <c r="AK553" s="169"/>
      <c r="AL553" s="326" t="s">
        <v>195</v>
      </c>
      <c r="AM553" s="210" t="str">
        <f>IF(OR(X553="",F553=""),"",X553-F553)</f>
        <v/>
      </c>
      <c r="AN553" s="171" t="str">
        <f>IF(OR(Y553="",G553=""),"",Y553-G553)</f>
        <v/>
      </c>
      <c r="AO553" s="171" t="str">
        <f>IF(OR(Z553="",H553=""),"",Z553-H553)</f>
        <v/>
      </c>
      <c r="AP553" s="171" t="str">
        <f>IF(OR(AA553="",I553=""),"",AA553-I553)</f>
        <v/>
      </c>
      <c r="AQ553" s="211" t="str">
        <f>IF(OR(AB553="",J553=""),"",AB553-J553)</f>
        <v/>
      </c>
      <c r="AR553" s="68"/>
      <c r="AS553" s="69"/>
      <c r="AT553" s="68"/>
    </row>
    <row r="554" spans="2:46" ht="13.5" customHeight="1" x14ac:dyDescent="0.15">
      <c r="B554" s="327"/>
      <c r="C554" s="52" t="s">
        <v>47</v>
      </c>
      <c r="D554" s="73"/>
      <c r="E554" s="95"/>
      <c r="F554" s="103"/>
      <c r="G554" s="103"/>
      <c r="H554" s="103"/>
      <c r="I554" s="103"/>
      <c r="J554" s="103"/>
      <c r="K554" s="104"/>
      <c r="L554" s="206"/>
      <c r="M554" s="206"/>
      <c r="N554" s="95"/>
      <c r="O554" s="53"/>
      <c r="P554" s="95"/>
      <c r="Q554" s="53"/>
      <c r="R554" s="225"/>
      <c r="S554" s="161"/>
      <c r="T554" s="327"/>
      <c r="U554" s="52" t="s">
        <v>47</v>
      </c>
      <c r="V554" s="73"/>
      <c r="W554" s="95"/>
      <c r="X554" s="103"/>
      <c r="Y554" s="103"/>
      <c r="Z554" s="103"/>
      <c r="AA554" s="103"/>
      <c r="AB554" s="103"/>
      <c r="AC554" s="104"/>
      <c r="AD554" s="104"/>
      <c r="AE554" s="104"/>
      <c r="AF554" s="95"/>
      <c r="AG554" s="53"/>
      <c r="AH554" s="95"/>
      <c r="AI554" s="53"/>
      <c r="AJ554" s="225"/>
      <c r="AK554" s="169"/>
      <c r="AL554" s="327"/>
      <c r="AM554" s="150" t="str">
        <f t="shared" ref="AM554:AM557" si="541">IF(OR(X554="",F554=""),"",X554-F554)</f>
        <v/>
      </c>
      <c r="AN554" s="212" t="str">
        <f t="shared" ref="AN554:AN557" si="542">IF(OR(Y554="",G554=""),"",Y554-G554)</f>
        <v/>
      </c>
      <c r="AO554" s="212" t="str">
        <f t="shared" ref="AO554:AO557" si="543">IF(OR(Z554="",H554=""),"",Z554-H554)</f>
        <v/>
      </c>
      <c r="AP554" s="212" t="str">
        <f t="shared" ref="AP554:AP557" si="544">IF(OR(AA554="",I554=""),"",AA554-I554)</f>
        <v/>
      </c>
      <c r="AQ554" s="151" t="str">
        <f t="shared" ref="AQ554:AQ557" si="545">IF(OR(AB554="",J554=""),"",AB554-J554)</f>
        <v/>
      </c>
      <c r="AR554" s="68"/>
      <c r="AS554" s="69"/>
      <c r="AT554" s="68"/>
    </row>
    <row r="555" spans="2:46" ht="13.5" customHeight="1" x14ac:dyDescent="0.15">
      <c r="B555" s="327"/>
      <c r="C555" s="52" t="s">
        <v>48</v>
      </c>
      <c r="D555" s="73"/>
      <c r="E555" s="95"/>
      <c r="F555" s="103"/>
      <c r="G555" s="103"/>
      <c r="H555" s="103"/>
      <c r="I555" s="103"/>
      <c r="J555" s="103"/>
      <c r="K555" s="104"/>
      <c r="L555" s="206"/>
      <c r="M555" s="206"/>
      <c r="N555" s="95"/>
      <c r="O555" s="53"/>
      <c r="P555" s="95"/>
      <c r="Q555" s="53"/>
      <c r="R555" s="225"/>
      <c r="S555" s="161"/>
      <c r="T555" s="327"/>
      <c r="U555" s="52" t="s">
        <v>48</v>
      </c>
      <c r="V555" s="73"/>
      <c r="W555" s="95"/>
      <c r="X555" s="103"/>
      <c r="Y555" s="103"/>
      <c r="Z555" s="103"/>
      <c r="AA555" s="103"/>
      <c r="AB555" s="103"/>
      <c r="AC555" s="104"/>
      <c r="AD555" s="104"/>
      <c r="AE555" s="104"/>
      <c r="AF555" s="95"/>
      <c r="AG555" s="53"/>
      <c r="AH555" s="95"/>
      <c r="AI555" s="53"/>
      <c r="AJ555" s="225"/>
      <c r="AK555" s="169"/>
      <c r="AL555" s="327"/>
      <c r="AM555" s="150" t="str">
        <f t="shared" si="541"/>
        <v/>
      </c>
      <c r="AN555" s="212" t="str">
        <f t="shared" si="542"/>
        <v/>
      </c>
      <c r="AO555" s="212" t="str">
        <f t="shared" si="543"/>
        <v/>
      </c>
      <c r="AP555" s="212" t="str">
        <f t="shared" si="544"/>
        <v/>
      </c>
      <c r="AQ555" s="151" t="str">
        <f t="shared" si="545"/>
        <v/>
      </c>
      <c r="AR555" s="68"/>
      <c r="AS555" s="69"/>
      <c r="AT555" s="68"/>
    </row>
    <row r="556" spans="2:46" ht="13.5" customHeight="1" x14ac:dyDescent="0.15">
      <c r="B556" s="327"/>
      <c r="C556" s="52" t="s">
        <v>50</v>
      </c>
      <c r="D556" s="73"/>
      <c r="E556" s="95"/>
      <c r="F556" s="103"/>
      <c r="G556" s="103"/>
      <c r="H556" s="103"/>
      <c r="I556" s="103"/>
      <c r="J556" s="103"/>
      <c r="K556" s="104"/>
      <c r="L556" s="206"/>
      <c r="M556" s="206"/>
      <c r="N556" s="95"/>
      <c r="O556" s="53"/>
      <c r="P556" s="95"/>
      <c r="Q556" s="53"/>
      <c r="R556" s="225"/>
      <c r="S556" s="161"/>
      <c r="T556" s="327"/>
      <c r="U556" s="52" t="s">
        <v>50</v>
      </c>
      <c r="V556" s="73"/>
      <c r="W556" s="95"/>
      <c r="X556" s="103"/>
      <c r="Y556" s="103"/>
      <c r="Z556" s="103"/>
      <c r="AA556" s="103"/>
      <c r="AB556" s="103"/>
      <c r="AC556" s="104"/>
      <c r="AD556" s="104"/>
      <c r="AE556" s="104"/>
      <c r="AF556" s="95"/>
      <c r="AG556" s="53"/>
      <c r="AH556" s="95"/>
      <c r="AI556" s="53"/>
      <c r="AJ556" s="225"/>
      <c r="AK556" s="169"/>
      <c r="AL556" s="327"/>
      <c r="AM556" s="150" t="str">
        <f t="shared" si="541"/>
        <v/>
      </c>
      <c r="AN556" s="212" t="str">
        <f t="shared" si="542"/>
        <v/>
      </c>
      <c r="AO556" s="212" t="str">
        <f t="shared" si="543"/>
        <v/>
      </c>
      <c r="AP556" s="212" t="str">
        <f t="shared" si="544"/>
        <v/>
      </c>
      <c r="AQ556" s="151" t="str">
        <f t="shared" si="545"/>
        <v/>
      </c>
      <c r="AR556" s="68"/>
      <c r="AS556" s="69"/>
      <c r="AT556" s="68"/>
    </row>
    <row r="557" spans="2:46" ht="13.5" customHeight="1" thickBot="1" x14ac:dyDescent="0.2">
      <c r="B557" s="328"/>
      <c r="C557" s="52" t="s">
        <v>51</v>
      </c>
      <c r="D557" s="74"/>
      <c r="E557" s="98"/>
      <c r="F557" s="105"/>
      <c r="G557" s="105"/>
      <c r="H557" s="105"/>
      <c r="I557" s="105"/>
      <c r="J557" s="105"/>
      <c r="K557" s="106"/>
      <c r="L557" s="207"/>
      <c r="M557" s="207"/>
      <c r="N557" s="98"/>
      <c r="O557" s="66"/>
      <c r="P557" s="98"/>
      <c r="Q557" s="66"/>
      <c r="R557" s="225"/>
      <c r="S557" s="161"/>
      <c r="T557" s="328"/>
      <c r="U557" s="52" t="s">
        <v>51</v>
      </c>
      <c r="V557" s="74"/>
      <c r="W557" s="98"/>
      <c r="X557" s="105"/>
      <c r="Y557" s="105"/>
      <c r="Z557" s="105"/>
      <c r="AA557" s="105"/>
      <c r="AB557" s="105"/>
      <c r="AC557" s="106"/>
      <c r="AD557" s="106"/>
      <c r="AE557" s="106"/>
      <c r="AF557" s="98"/>
      <c r="AG557" s="66"/>
      <c r="AH557" s="98"/>
      <c r="AI557" s="66"/>
      <c r="AJ557" s="225"/>
      <c r="AK557" s="169"/>
      <c r="AL557" s="328"/>
      <c r="AM557" s="213" t="str">
        <f t="shared" si="541"/>
        <v/>
      </c>
      <c r="AN557" s="214" t="str">
        <f t="shared" si="542"/>
        <v/>
      </c>
      <c r="AO557" s="214" t="str">
        <f t="shared" si="543"/>
        <v/>
      </c>
      <c r="AP557" s="214" t="str">
        <f t="shared" si="544"/>
        <v/>
      </c>
      <c r="AQ557" s="215" t="str">
        <f t="shared" si="545"/>
        <v/>
      </c>
      <c r="AR557" s="68"/>
      <c r="AS557" s="69"/>
      <c r="AT557" s="68"/>
    </row>
    <row r="558" spans="2:46" ht="13.5" customHeight="1" x14ac:dyDescent="0.15">
      <c r="B558" s="326" t="s">
        <v>196</v>
      </c>
      <c r="C558" s="50" t="s">
        <v>46</v>
      </c>
      <c r="D558" s="71"/>
      <c r="E558" s="93"/>
      <c r="F558" s="101"/>
      <c r="G558" s="101"/>
      <c r="H558" s="101"/>
      <c r="I558" s="101"/>
      <c r="J558" s="101"/>
      <c r="K558" s="102"/>
      <c r="L558" s="205"/>
      <c r="M558" s="205"/>
      <c r="N558" s="93"/>
      <c r="O558" s="51"/>
      <c r="P558" s="93"/>
      <c r="Q558" s="51"/>
      <c r="R558" s="224"/>
      <c r="S558" s="161"/>
      <c r="T558" s="326" t="s">
        <v>196</v>
      </c>
      <c r="U558" s="50" t="s">
        <v>46</v>
      </c>
      <c r="V558" s="71"/>
      <c r="W558" s="93"/>
      <c r="X558" s="101"/>
      <c r="Y558" s="101"/>
      <c r="Z558" s="101"/>
      <c r="AA558" s="101"/>
      <c r="AB558" s="101"/>
      <c r="AC558" s="102"/>
      <c r="AD558" s="102"/>
      <c r="AE558" s="102"/>
      <c r="AF558" s="93"/>
      <c r="AG558" s="51"/>
      <c r="AH558" s="93"/>
      <c r="AI558" s="51"/>
      <c r="AJ558" s="224"/>
      <c r="AK558" s="169"/>
      <c r="AL558" s="326" t="s">
        <v>196</v>
      </c>
      <c r="AM558" s="210" t="str">
        <f>IF(OR(X558="",F558=""),"",X558-F558)</f>
        <v/>
      </c>
      <c r="AN558" s="171" t="str">
        <f>IF(OR(Y558="",G558=""),"",Y558-G558)</f>
        <v/>
      </c>
      <c r="AO558" s="171" t="str">
        <f>IF(OR(Z558="",H558=""),"",Z558-H558)</f>
        <v/>
      </c>
      <c r="AP558" s="171" t="str">
        <f>IF(OR(AA558="",I558=""),"",AA558-I558)</f>
        <v/>
      </c>
      <c r="AQ558" s="211" t="str">
        <f>IF(OR(AB558="",J558=""),"",AB558-J558)</f>
        <v/>
      </c>
      <c r="AR558" s="68"/>
      <c r="AS558" s="69"/>
      <c r="AT558" s="68"/>
    </row>
    <row r="559" spans="2:46" ht="13.5" customHeight="1" x14ac:dyDescent="0.15">
      <c r="B559" s="327"/>
      <c r="C559" s="52" t="s">
        <v>47</v>
      </c>
      <c r="D559" s="73"/>
      <c r="E559" s="95"/>
      <c r="F559" s="103"/>
      <c r="G559" s="103"/>
      <c r="H559" s="103"/>
      <c r="I559" s="103"/>
      <c r="J559" s="103"/>
      <c r="K559" s="104"/>
      <c r="L559" s="206"/>
      <c r="M559" s="206"/>
      <c r="N559" s="95"/>
      <c r="O559" s="53"/>
      <c r="P559" s="95"/>
      <c r="Q559" s="53"/>
      <c r="R559" s="225"/>
      <c r="S559" s="161"/>
      <c r="T559" s="327"/>
      <c r="U559" s="52" t="s">
        <v>47</v>
      </c>
      <c r="V559" s="73"/>
      <c r="W559" s="95"/>
      <c r="X559" s="103"/>
      <c r="Y559" s="103"/>
      <c r="Z559" s="103"/>
      <c r="AA559" s="103"/>
      <c r="AB559" s="103"/>
      <c r="AC559" s="104"/>
      <c r="AD559" s="104"/>
      <c r="AE559" s="104"/>
      <c r="AF559" s="95"/>
      <c r="AG559" s="53"/>
      <c r="AH559" s="95"/>
      <c r="AI559" s="53"/>
      <c r="AJ559" s="225"/>
      <c r="AK559" s="169"/>
      <c r="AL559" s="327"/>
      <c r="AM559" s="150" t="str">
        <f t="shared" ref="AM559:AM562" si="546">IF(OR(X559="",F559=""),"",X559-F559)</f>
        <v/>
      </c>
      <c r="AN559" s="212" t="str">
        <f t="shared" ref="AN559:AN562" si="547">IF(OR(Y559="",G559=""),"",Y559-G559)</f>
        <v/>
      </c>
      <c r="AO559" s="212" t="str">
        <f t="shared" ref="AO559:AO562" si="548">IF(OR(Z559="",H559=""),"",Z559-H559)</f>
        <v/>
      </c>
      <c r="AP559" s="212" t="str">
        <f t="shared" ref="AP559:AP562" si="549">IF(OR(AA559="",I559=""),"",AA559-I559)</f>
        <v/>
      </c>
      <c r="AQ559" s="151" t="str">
        <f t="shared" ref="AQ559:AQ562" si="550">IF(OR(AB559="",J559=""),"",AB559-J559)</f>
        <v/>
      </c>
      <c r="AR559" s="68"/>
      <c r="AS559" s="69"/>
      <c r="AT559" s="68"/>
    </row>
    <row r="560" spans="2:46" ht="13.5" customHeight="1" x14ac:dyDescent="0.15">
      <c r="B560" s="327"/>
      <c r="C560" s="52" t="s">
        <v>48</v>
      </c>
      <c r="D560" s="73"/>
      <c r="E560" s="95"/>
      <c r="F560" s="103"/>
      <c r="G560" s="103"/>
      <c r="H560" s="103"/>
      <c r="I560" s="103"/>
      <c r="J560" s="103"/>
      <c r="K560" s="104"/>
      <c r="L560" s="206"/>
      <c r="M560" s="206"/>
      <c r="N560" s="95"/>
      <c r="O560" s="53"/>
      <c r="P560" s="95"/>
      <c r="Q560" s="53"/>
      <c r="R560" s="225"/>
      <c r="S560" s="161"/>
      <c r="T560" s="327"/>
      <c r="U560" s="52" t="s">
        <v>48</v>
      </c>
      <c r="V560" s="73"/>
      <c r="W560" s="95"/>
      <c r="X560" s="103"/>
      <c r="Y560" s="103"/>
      <c r="Z560" s="103"/>
      <c r="AA560" s="103"/>
      <c r="AB560" s="103"/>
      <c r="AC560" s="104"/>
      <c r="AD560" s="104"/>
      <c r="AE560" s="104"/>
      <c r="AF560" s="95"/>
      <c r="AG560" s="53"/>
      <c r="AH560" s="95"/>
      <c r="AI560" s="53"/>
      <c r="AJ560" s="225"/>
      <c r="AK560" s="169"/>
      <c r="AL560" s="327"/>
      <c r="AM560" s="150" t="str">
        <f t="shared" si="546"/>
        <v/>
      </c>
      <c r="AN560" s="212" t="str">
        <f t="shared" si="547"/>
        <v/>
      </c>
      <c r="AO560" s="212" t="str">
        <f t="shared" si="548"/>
        <v/>
      </c>
      <c r="AP560" s="212" t="str">
        <f t="shared" si="549"/>
        <v/>
      </c>
      <c r="AQ560" s="151" t="str">
        <f t="shared" si="550"/>
        <v/>
      </c>
      <c r="AR560" s="68"/>
      <c r="AS560" s="69"/>
      <c r="AT560" s="68"/>
    </row>
    <row r="561" spans="2:46" ht="13.5" customHeight="1" x14ac:dyDescent="0.15">
      <c r="B561" s="327"/>
      <c r="C561" s="52" t="s">
        <v>50</v>
      </c>
      <c r="D561" s="73"/>
      <c r="E561" s="95"/>
      <c r="F561" s="103"/>
      <c r="G561" s="103"/>
      <c r="H561" s="103"/>
      <c r="I561" s="103"/>
      <c r="J561" s="103"/>
      <c r="K561" s="104"/>
      <c r="L561" s="206"/>
      <c r="M561" s="206"/>
      <c r="N561" s="95"/>
      <c r="O561" s="53"/>
      <c r="P561" s="95"/>
      <c r="Q561" s="53"/>
      <c r="R561" s="225"/>
      <c r="S561" s="161"/>
      <c r="T561" s="327"/>
      <c r="U561" s="52" t="s">
        <v>50</v>
      </c>
      <c r="V561" s="73"/>
      <c r="W561" s="95"/>
      <c r="X561" s="103"/>
      <c r="Y561" s="103"/>
      <c r="Z561" s="103"/>
      <c r="AA561" s="103"/>
      <c r="AB561" s="103"/>
      <c r="AC561" s="104"/>
      <c r="AD561" s="104"/>
      <c r="AE561" s="104"/>
      <c r="AF561" s="95"/>
      <c r="AG561" s="53"/>
      <c r="AH561" s="95"/>
      <c r="AI561" s="53"/>
      <c r="AJ561" s="225"/>
      <c r="AK561" s="169"/>
      <c r="AL561" s="327"/>
      <c r="AM561" s="150" t="str">
        <f t="shared" si="546"/>
        <v/>
      </c>
      <c r="AN561" s="212" t="str">
        <f t="shared" si="547"/>
        <v/>
      </c>
      <c r="AO561" s="212" t="str">
        <f t="shared" si="548"/>
        <v/>
      </c>
      <c r="AP561" s="212" t="str">
        <f t="shared" si="549"/>
        <v/>
      </c>
      <c r="AQ561" s="151" t="str">
        <f t="shared" si="550"/>
        <v/>
      </c>
      <c r="AR561" s="68"/>
      <c r="AS561" s="69"/>
      <c r="AT561" s="68"/>
    </row>
    <row r="562" spans="2:46" ht="13.5" customHeight="1" thickBot="1" x14ac:dyDescent="0.2">
      <c r="B562" s="328"/>
      <c r="C562" s="52" t="s">
        <v>51</v>
      </c>
      <c r="D562" s="74"/>
      <c r="E562" s="98"/>
      <c r="F562" s="105"/>
      <c r="G562" s="105"/>
      <c r="H562" s="105"/>
      <c r="I562" s="105"/>
      <c r="J562" s="105"/>
      <c r="K562" s="106"/>
      <c r="L562" s="207"/>
      <c r="M562" s="207"/>
      <c r="N562" s="98"/>
      <c r="O562" s="66"/>
      <c r="P562" s="98"/>
      <c r="Q562" s="66"/>
      <c r="R562" s="225"/>
      <c r="S562" s="161"/>
      <c r="T562" s="328"/>
      <c r="U562" s="52" t="s">
        <v>51</v>
      </c>
      <c r="V562" s="74"/>
      <c r="W562" s="98"/>
      <c r="X562" s="105"/>
      <c r="Y562" s="105"/>
      <c r="Z562" s="105"/>
      <c r="AA562" s="105"/>
      <c r="AB562" s="105"/>
      <c r="AC562" s="106"/>
      <c r="AD562" s="106"/>
      <c r="AE562" s="106"/>
      <c r="AF562" s="98"/>
      <c r="AG562" s="66"/>
      <c r="AH562" s="98"/>
      <c r="AI562" s="66"/>
      <c r="AJ562" s="225"/>
      <c r="AK562" s="169"/>
      <c r="AL562" s="328"/>
      <c r="AM562" s="213" t="str">
        <f t="shared" si="546"/>
        <v/>
      </c>
      <c r="AN562" s="214" t="str">
        <f t="shared" si="547"/>
        <v/>
      </c>
      <c r="AO562" s="214" t="str">
        <f t="shared" si="548"/>
        <v/>
      </c>
      <c r="AP562" s="214" t="str">
        <f t="shared" si="549"/>
        <v/>
      </c>
      <c r="AQ562" s="215" t="str">
        <f t="shared" si="550"/>
        <v/>
      </c>
      <c r="AR562" s="68"/>
      <c r="AS562" s="69"/>
      <c r="AT562" s="68"/>
    </row>
    <row r="563" spans="2:46" ht="13.5" customHeight="1" x14ac:dyDescent="0.15">
      <c r="B563" s="326" t="s">
        <v>197</v>
      </c>
      <c r="C563" s="50" t="s">
        <v>46</v>
      </c>
      <c r="D563" s="71"/>
      <c r="E563" s="93"/>
      <c r="F563" s="101"/>
      <c r="G563" s="101"/>
      <c r="H563" s="101"/>
      <c r="I563" s="101"/>
      <c r="J563" s="101"/>
      <c r="K563" s="102"/>
      <c r="L563" s="205"/>
      <c r="M563" s="205"/>
      <c r="N563" s="93"/>
      <c r="O563" s="51"/>
      <c r="P563" s="93"/>
      <c r="Q563" s="51"/>
      <c r="R563" s="224"/>
      <c r="S563" s="161"/>
      <c r="T563" s="326" t="s">
        <v>197</v>
      </c>
      <c r="U563" s="50" t="s">
        <v>46</v>
      </c>
      <c r="V563" s="71"/>
      <c r="W563" s="93"/>
      <c r="X563" s="101"/>
      <c r="Y563" s="101"/>
      <c r="Z563" s="101"/>
      <c r="AA563" s="101"/>
      <c r="AB563" s="101"/>
      <c r="AC563" s="102"/>
      <c r="AD563" s="102"/>
      <c r="AE563" s="102"/>
      <c r="AF563" s="93"/>
      <c r="AG563" s="51"/>
      <c r="AH563" s="93"/>
      <c r="AI563" s="51"/>
      <c r="AJ563" s="224"/>
      <c r="AK563" s="169"/>
      <c r="AL563" s="326" t="s">
        <v>197</v>
      </c>
      <c r="AM563" s="210" t="str">
        <f>IF(OR(X563="",F563=""),"",X563-F563)</f>
        <v/>
      </c>
      <c r="AN563" s="171" t="str">
        <f>IF(OR(Y563="",G563=""),"",Y563-G563)</f>
        <v/>
      </c>
      <c r="AO563" s="171" t="str">
        <f>IF(OR(Z563="",H563=""),"",Z563-H563)</f>
        <v/>
      </c>
      <c r="AP563" s="171" t="str">
        <f>IF(OR(AA563="",I563=""),"",AA563-I563)</f>
        <v/>
      </c>
      <c r="AQ563" s="211" t="str">
        <f>IF(OR(AB563="",J563=""),"",AB563-J563)</f>
        <v/>
      </c>
      <c r="AR563" s="68"/>
      <c r="AS563" s="69"/>
      <c r="AT563" s="68"/>
    </row>
    <row r="564" spans="2:46" ht="13.5" customHeight="1" x14ac:dyDescent="0.15">
      <c r="B564" s="327"/>
      <c r="C564" s="52" t="s">
        <v>47</v>
      </c>
      <c r="D564" s="73"/>
      <c r="E564" s="95"/>
      <c r="F564" s="103"/>
      <c r="G564" s="103"/>
      <c r="H564" s="103"/>
      <c r="I564" s="103"/>
      <c r="J564" s="103"/>
      <c r="K564" s="104"/>
      <c r="L564" s="206"/>
      <c r="M564" s="206"/>
      <c r="N564" s="95"/>
      <c r="O564" s="53"/>
      <c r="P564" s="95"/>
      <c r="Q564" s="53"/>
      <c r="R564" s="225"/>
      <c r="S564" s="161"/>
      <c r="T564" s="327"/>
      <c r="U564" s="52" t="s">
        <v>47</v>
      </c>
      <c r="V564" s="73"/>
      <c r="W564" s="95"/>
      <c r="X564" s="103"/>
      <c r="Y564" s="103"/>
      <c r="Z564" s="103"/>
      <c r="AA564" s="103"/>
      <c r="AB564" s="103"/>
      <c r="AC564" s="104"/>
      <c r="AD564" s="104"/>
      <c r="AE564" s="104"/>
      <c r="AF564" s="95"/>
      <c r="AG564" s="53"/>
      <c r="AH564" s="95"/>
      <c r="AI564" s="53"/>
      <c r="AJ564" s="225"/>
      <c r="AK564" s="169"/>
      <c r="AL564" s="327"/>
      <c r="AM564" s="150" t="str">
        <f t="shared" ref="AM564:AM567" si="551">IF(OR(X564="",F564=""),"",X564-F564)</f>
        <v/>
      </c>
      <c r="AN564" s="212" t="str">
        <f t="shared" ref="AN564:AN567" si="552">IF(OR(Y564="",G564=""),"",Y564-G564)</f>
        <v/>
      </c>
      <c r="AO564" s="212" t="str">
        <f t="shared" ref="AO564:AO567" si="553">IF(OR(Z564="",H564=""),"",Z564-H564)</f>
        <v/>
      </c>
      <c r="AP564" s="212" t="str">
        <f t="shared" ref="AP564:AP567" si="554">IF(OR(AA564="",I564=""),"",AA564-I564)</f>
        <v/>
      </c>
      <c r="AQ564" s="151" t="str">
        <f t="shared" ref="AQ564:AQ567" si="555">IF(OR(AB564="",J564=""),"",AB564-J564)</f>
        <v/>
      </c>
      <c r="AR564" s="68"/>
      <c r="AS564" s="69"/>
      <c r="AT564" s="68"/>
    </row>
    <row r="565" spans="2:46" ht="13.5" customHeight="1" x14ac:dyDescent="0.15">
      <c r="B565" s="327"/>
      <c r="C565" s="52" t="s">
        <v>48</v>
      </c>
      <c r="D565" s="73"/>
      <c r="E565" s="95"/>
      <c r="F565" s="103"/>
      <c r="G565" s="103"/>
      <c r="H565" s="103"/>
      <c r="I565" s="103"/>
      <c r="J565" s="103"/>
      <c r="K565" s="104"/>
      <c r="L565" s="206"/>
      <c r="M565" s="206"/>
      <c r="N565" s="95"/>
      <c r="O565" s="53"/>
      <c r="P565" s="95"/>
      <c r="Q565" s="53"/>
      <c r="R565" s="225"/>
      <c r="S565" s="161"/>
      <c r="T565" s="327"/>
      <c r="U565" s="52" t="s">
        <v>48</v>
      </c>
      <c r="V565" s="73"/>
      <c r="W565" s="95"/>
      <c r="X565" s="103"/>
      <c r="Y565" s="103"/>
      <c r="Z565" s="103"/>
      <c r="AA565" s="103"/>
      <c r="AB565" s="103"/>
      <c r="AC565" s="104"/>
      <c r="AD565" s="104"/>
      <c r="AE565" s="104"/>
      <c r="AF565" s="95"/>
      <c r="AG565" s="53"/>
      <c r="AH565" s="95"/>
      <c r="AI565" s="53"/>
      <c r="AJ565" s="225"/>
      <c r="AK565" s="169"/>
      <c r="AL565" s="327"/>
      <c r="AM565" s="150" t="str">
        <f t="shared" si="551"/>
        <v/>
      </c>
      <c r="AN565" s="212" t="str">
        <f t="shared" si="552"/>
        <v/>
      </c>
      <c r="AO565" s="212" t="str">
        <f t="shared" si="553"/>
        <v/>
      </c>
      <c r="AP565" s="212" t="str">
        <f t="shared" si="554"/>
        <v/>
      </c>
      <c r="AQ565" s="151" t="str">
        <f t="shared" si="555"/>
        <v/>
      </c>
      <c r="AR565" s="68"/>
      <c r="AS565" s="69"/>
      <c r="AT565" s="68"/>
    </row>
    <row r="566" spans="2:46" ht="13.5" customHeight="1" x14ac:dyDescent="0.15">
      <c r="B566" s="327"/>
      <c r="C566" s="52" t="s">
        <v>50</v>
      </c>
      <c r="D566" s="73"/>
      <c r="E566" s="95"/>
      <c r="F566" s="103"/>
      <c r="G566" s="103"/>
      <c r="H566" s="103"/>
      <c r="I566" s="103"/>
      <c r="J566" s="103"/>
      <c r="K566" s="104"/>
      <c r="L566" s="206"/>
      <c r="M566" s="206"/>
      <c r="N566" s="95"/>
      <c r="O566" s="53"/>
      <c r="P566" s="95"/>
      <c r="Q566" s="53"/>
      <c r="R566" s="225"/>
      <c r="S566" s="161"/>
      <c r="T566" s="327"/>
      <c r="U566" s="52" t="s">
        <v>50</v>
      </c>
      <c r="V566" s="73"/>
      <c r="W566" s="95"/>
      <c r="X566" s="103"/>
      <c r="Y566" s="103"/>
      <c r="Z566" s="103"/>
      <c r="AA566" s="103"/>
      <c r="AB566" s="103"/>
      <c r="AC566" s="104"/>
      <c r="AD566" s="104"/>
      <c r="AE566" s="104"/>
      <c r="AF566" s="95"/>
      <c r="AG566" s="53"/>
      <c r="AH566" s="95"/>
      <c r="AI566" s="53"/>
      <c r="AJ566" s="225"/>
      <c r="AK566" s="169"/>
      <c r="AL566" s="327"/>
      <c r="AM566" s="150" t="str">
        <f t="shared" si="551"/>
        <v/>
      </c>
      <c r="AN566" s="212" t="str">
        <f t="shared" si="552"/>
        <v/>
      </c>
      <c r="AO566" s="212" t="str">
        <f t="shared" si="553"/>
        <v/>
      </c>
      <c r="AP566" s="212" t="str">
        <f t="shared" si="554"/>
        <v/>
      </c>
      <c r="AQ566" s="151" t="str">
        <f t="shared" si="555"/>
        <v/>
      </c>
      <c r="AR566" s="68"/>
      <c r="AS566" s="69"/>
      <c r="AT566" s="68"/>
    </row>
    <row r="567" spans="2:46" ht="13.5" customHeight="1" thickBot="1" x14ac:dyDescent="0.2">
      <c r="B567" s="328"/>
      <c r="C567" s="52" t="s">
        <v>51</v>
      </c>
      <c r="D567" s="74"/>
      <c r="E567" s="98"/>
      <c r="F567" s="105"/>
      <c r="G567" s="105"/>
      <c r="H567" s="105"/>
      <c r="I567" s="105"/>
      <c r="J567" s="105"/>
      <c r="K567" s="106"/>
      <c r="L567" s="207"/>
      <c r="M567" s="207"/>
      <c r="N567" s="98"/>
      <c r="O567" s="66"/>
      <c r="P567" s="98"/>
      <c r="Q567" s="66"/>
      <c r="R567" s="225"/>
      <c r="S567" s="161"/>
      <c r="T567" s="328"/>
      <c r="U567" s="52" t="s">
        <v>51</v>
      </c>
      <c r="V567" s="74"/>
      <c r="W567" s="98"/>
      <c r="X567" s="105"/>
      <c r="Y567" s="105"/>
      <c r="Z567" s="105"/>
      <c r="AA567" s="105"/>
      <c r="AB567" s="105"/>
      <c r="AC567" s="106"/>
      <c r="AD567" s="106"/>
      <c r="AE567" s="106"/>
      <c r="AF567" s="98"/>
      <c r="AG567" s="66"/>
      <c r="AH567" s="98"/>
      <c r="AI567" s="66"/>
      <c r="AJ567" s="225"/>
      <c r="AK567" s="169"/>
      <c r="AL567" s="328"/>
      <c r="AM567" s="213" t="str">
        <f t="shared" si="551"/>
        <v/>
      </c>
      <c r="AN567" s="214" t="str">
        <f t="shared" si="552"/>
        <v/>
      </c>
      <c r="AO567" s="214" t="str">
        <f t="shared" si="553"/>
        <v/>
      </c>
      <c r="AP567" s="214" t="str">
        <f t="shared" si="554"/>
        <v/>
      </c>
      <c r="AQ567" s="215" t="str">
        <f t="shared" si="555"/>
        <v/>
      </c>
      <c r="AR567" s="68"/>
      <c r="AS567" s="69"/>
      <c r="AT567" s="68"/>
    </row>
    <row r="568" spans="2:46" ht="13.5" customHeight="1" x14ac:dyDescent="0.15">
      <c r="B568" s="326" t="s">
        <v>198</v>
      </c>
      <c r="C568" s="50" t="s">
        <v>46</v>
      </c>
      <c r="D568" s="71"/>
      <c r="E568" s="93"/>
      <c r="F568" s="101"/>
      <c r="G568" s="101"/>
      <c r="H568" s="101"/>
      <c r="I568" s="101"/>
      <c r="J568" s="101"/>
      <c r="K568" s="102"/>
      <c r="L568" s="205"/>
      <c r="M568" s="205"/>
      <c r="N568" s="93"/>
      <c r="O568" s="51"/>
      <c r="P568" s="93"/>
      <c r="Q568" s="51"/>
      <c r="R568" s="224"/>
      <c r="S568" s="161"/>
      <c r="T568" s="326" t="s">
        <v>198</v>
      </c>
      <c r="U568" s="50" t="s">
        <v>46</v>
      </c>
      <c r="V568" s="71"/>
      <c r="W568" s="93"/>
      <c r="X568" s="101"/>
      <c r="Y568" s="101"/>
      <c r="Z568" s="101"/>
      <c r="AA568" s="101"/>
      <c r="AB568" s="101"/>
      <c r="AC568" s="102"/>
      <c r="AD568" s="102"/>
      <c r="AE568" s="102"/>
      <c r="AF568" s="93"/>
      <c r="AG568" s="51"/>
      <c r="AH568" s="93"/>
      <c r="AI568" s="51"/>
      <c r="AJ568" s="224"/>
      <c r="AK568" s="169"/>
      <c r="AL568" s="326" t="s">
        <v>198</v>
      </c>
      <c r="AM568" s="210" t="str">
        <f>IF(OR(X568="",F568=""),"",X568-F568)</f>
        <v/>
      </c>
      <c r="AN568" s="171" t="str">
        <f>IF(OR(Y568="",G568=""),"",Y568-G568)</f>
        <v/>
      </c>
      <c r="AO568" s="171" t="str">
        <f>IF(OR(Z568="",H568=""),"",Z568-H568)</f>
        <v/>
      </c>
      <c r="AP568" s="171" t="str">
        <f>IF(OR(AA568="",I568=""),"",AA568-I568)</f>
        <v/>
      </c>
      <c r="AQ568" s="211" t="str">
        <f>IF(OR(AB568="",J568=""),"",AB568-J568)</f>
        <v/>
      </c>
      <c r="AR568" s="68"/>
      <c r="AS568" s="69"/>
      <c r="AT568" s="68"/>
    </row>
    <row r="569" spans="2:46" ht="13.5" customHeight="1" x14ac:dyDescent="0.15">
      <c r="B569" s="327"/>
      <c r="C569" s="52" t="s">
        <v>47</v>
      </c>
      <c r="D569" s="73"/>
      <c r="E569" s="95"/>
      <c r="F569" s="103"/>
      <c r="G569" s="103"/>
      <c r="H569" s="103"/>
      <c r="I569" s="103"/>
      <c r="J569" s="103"/>
      <c r="K569" s="104"/>
      <c r="L569" s="206"/>
      <c r="M569" s="206"/>
      <c r="N569" s="95"/>
      <c r="O569" s="53"/>
      <c r="P569" s="95"/>
      <c r="Q569" s="53"/>
      <c r="R569" s="225"/>
      <c r="S569" s="161"/>
      <c r="T569" s="327"/>
      <c r="U569" s="52" t="s">
        <v>47</v>
      </c>
      <c r="V569" s="73"/>
      <c r="W569" s="95"/>
      <c r="X569" s="103"/>
      <c r="Y569" s="103"/>
      <c r="Z569" s="103"/>
      <c r="AA569" s="103"/>
      <c r="AB569" s="103"/>
      <c r="AC569" s="104"/>
      <c r="AD569" s="104"/>
      <c r="AE569" s="104"/>
      <c r="AF569" s="95"/>
      <c r="AG569" s="53"/>
      <c r="AH569" s="95"/>
      <c r="AI569" s="53"/>
      <c r="AJ569" s="225"/>
      <c r="AK569" s="169"/>
      <c r="AL569" s="327"/>
      <c r="AM569" s="150" t="str">
        <f t="shared" ref="AM569:AM572" si="556">IF(OR(X569="",F569=""),"",X569-F569)</f>
        <v/>
      </c>
      <c r="AN569" s="212" t="str">
        <f t="shared" ref="AN569:AN572" si="557">IF(OR(Y569="",G569=""),"",Y569-G569)</f>
        <v/>
      </c>
      <c r="AO569" s="212" t="str">
        <f t="shared" ref="AO569:AO572" si="558">IF(OR(Z569="",H569=""),"",Z569-H569)</f>
        <v/>
      </c>
      <c r="AP569" s="212" t="str">
        <f t="shared" ref="AP569:AP572" si="559">IF(OR(AA569="",I569=""),"",AA569-I569)</f>
        <v/>
      </c>
      <c r="AQ569" s="151" t="str">
        <f t="shared" ref="AQ569:AQ572" si="560">IF(OR(AB569="",J569=""),"",AB569-J569)</f>
        <v/>
      </c>
      <c r="AR569" s="68"/>
      <c r="AS569" s="69"/>
      <c r="AT569" s="68"/>
    </row>
    <row r="570" spans="2:46" ht="13.5" customHeight="1" x14ac:dyDescent="0.15">
      <c r="B570" s="327"/>
      <c r="C570" s="52" t="s">
        <v>48</v>
      </c>
      <c r="D570" s="73"/>
      <c r="E570" s="95"/>
      <c r="F570" s="103"/>
      <c r="G570" s="103"/>
      <c r="H570" s="103"/>
      <c r="I570" s="103"/>
      <c r="J570" s="103"/>
      <c r="K570" s="104"/>
      <c r="L570" s="206"/>
      <c r="M570" s="206"/>
      <c r="N570" s="95"/>
      <c r="O570" s="53"/>
      <c r="P570" s="95"/>
      <c r="Q570" s="53"/>
      <c r="R570" s="225"/>
      <c r="S570" s="161"/>
      <c r="T570" s="327"/>
      <c r="U570" s="52" t="s">
        <v>48</v>
      </c>
      <c r="V570" s="73"/>
      <c r="W570" s="95"/>
      <c r="X570" s="103"/>
      <c r="Y570" s="103"/>
      <c r="Z570" s="103"/>
      <c r="AA570" s="103"/>
      <c r="AB570" s="103"/>
      <c r="AC570" s="104"/>
      <c r="AD570" s="104"/>
      <c r="AE570" s="104"/>
      <c r="AF570" s="95"/>
      <c r="AG570" s="53"/>
      <c r="AH570" s="95"/>
      <c r="AI570" s="53"/>
      <c r="AJ570" s="225"/>
      <c r="AK570" s="169"/>
      <c r="AL570" s="327"/>
      <c r="AM570" s="150" t="str">
        <f t="shared" si="556"/>
        <v/>
      </c>
      <c r="AN570" s="212" t="str">
        <f t="shared" si="557"/>
        <v/>
      </c>
      <c r="AO570" s="212" t="str">
        <f t="shared" si="558"/>
        <v/>
      </c>
      <c r="AP570" s="212" t="str">
        <f t="shared" si="559"/>
        <v/>
      </c>
      <c r="AQ570" s="151" t="str">
        <f t="shared" si="560"/>
        <v/>
      </c>
      <c r="AR570" s="68"/>
      <c r="AS570" s="69"/>
      <c r="AT570" s="68"/>
    </row>
    <row r="571" spans="2:46" ht="13.5" customHeight="1" x14ac:dyDescent="0.15">
      <c r="B571" s="327"/>
      <c r="C571" s="52" t="s">
        <v>50</v>
      </c>
      <c r="D571" s="73"/>
      <c r="E571" s="95"/>
      <c r="F571" s="103"/>
      <c r="G571" s="103"/>
      <c r="H571" s="103"/>
      <c r="I571" s="103"/>
      <c r="J571" s="103"/>
      <c r="K571" s="104"/>
      <c r="L571" s="206"/>
      <c r="M571" s="206"/>
      <c r="N571" s="95"/>
      <c r="O571" s="53"/>
      <c r="P571" s="95"/>
      <c r="Q571" s="53"/>
      <c r="R571" s="225"/>
      <c r="S571" s="161"/>
      <c r="T571" s="327"/>
      <c r="U571" s="52" t="s">
        <v>50</v>
      </c>
      <c r="V571" s="73"/>
      <c r="W571" s="95"/>
      <c r="X571" s="103"/>
      <c r="Y571" s="103"/>
      <c r="Z571" s="103"/>
      <c r="AA571" s="103"/>
      <c r="AB571" s="103"/>
      <c r="AC571" s="104"/>
      <c r="AD571" s="104"/>
      <c r="AE571" s="104"/>
      <c r="AF571" s="95"/>
      <c r="AG571" s="53"/>
      <c r="AH571" s="95"/>
      <c r="AI571" s="53"/>
      <c r="AJ571" s="225"/>
      <c r="AK571" s="169"/>
      <c r="AL571" s="327"/>
      <c r="AM571" s="150" t="str">
        <f t="shared" si="556"/>
        <v/>
      </c>
      <c r="AN571" s="212" t="str">
        <f t="shared" si="557"/>
        <v/>
      </c>
      <c r="AO571" s="212" t="str">
        <f t="shared" si="558"/>
        <v/>
      </c>
      <c r="AP571" s="212" t="str">
        <f t="shared" si="559"/>
        <v/>
      </c>
      <c r="AQ571" s="151" t="str">
        <f t="shared" si="560"/>
        <v/>
      </c>
      <c r="AR571" s="68"/>
      <c r="AS571" s="69"/>
      <c r="AT571" s="68"/>
    </row>
    <row r="572" spans="2:46" ht="13.5" customHeight="1" thickBot="1" x14ac:dyDescent="0.2">
      <c r="B572" s="328"/>
      <c r="C572" s="54" t="s">
        <v>51</v>
      </c>
      <c r="D572" s="74"/>
      <c r="E572" s="98"/>
      <c r="F572" s="105"/>
      <c r="G572" s="105"/>
      <c r="H572" s="105"/>
      <c r="I572" s="105"/>
      <c r="J572" s="105"/>
      <c r="K572" s="106"/>
      <c r="L572" s="207"/>
      <c r="M572" s="207"/>
      <c r="N572" s="98"/>
      <c r="O572" s="66"/>
      <c r="P572" s="98"/>
      <c r="Q572" s="66"/>
      <c r="R572" s="226"/>
      <c r="S572" s="161"/>
      <c r="T572" s="328"/>
      <c r="U572" s="54" t="s">
        <v>51</v>
      </c>
      <c r="V572" s="74"/>
      <c r="W572" s="98"/>
      <c r="X572" s="105"/>
      <c r="Y572" s="105"/>
      <c r="Z572" s="105"/>
      <c r="AA572" s="105"/>
      <c r="AB572" s="105"/>
      <c r="AC572" s="106"/>
      <c r="AD572" s="106"/>
      <c r="AE572" s="106"/>
      <c r="AF572" s="98"/>
      <c r="AG572" s="66"/>
      <c r="AH572" s="98"/>
      <c r="AI572" s="66"/>
      <c r="AJ572" s="226"/>
      <c r="AK572" s="169"/>
      <c r="AL572" s="328"/>
      <c r="AM572" s="213" t="str">
        <f t="shared" si="556"/>
        <v/>
      </c>
      <c r="AN572" s="214" t="str">
        <f t="shared" si="557"/>
        <v/>
      </c>
      <c r="AO572" s="214" t="str">
        <f t="shared" si="558"/>
        <v/>
      </c>
      <c r="AP572" s="214" t="str">
        <f t="shared" si="559"/>
        <v/>
      </c>
      <c r="AQ572" s="215" t="str">
        <f t="shared" si="560"/>
        <v/>
      </c>
      <c r="AR572" s="68"/>
      <c r="AS572" s="69"/>
      <c r="AT572" s="68"/>
    </row>
    <row r="573" spans="2:46" ht="13.5" customHeight="1" x14ac:dyDescent="0.15">
      <c r="B573" s="326" t="s">
        <v>199</v>
      </c>
      <c r="C573" s="50" t="s">
        <v>46</v>
      </c>
      <c r="D573" s="71"/>
      <c r="E573" s="93"/>
      <c r="F573" s="101"/>
      <c r="G573" s="101"/>
      <c r="H573" s="101"/>
      <c r="I573" s="101"/>
      <c r="J573" s="101"/>
      <c r="K573" s="102"/>
      <c r="L573" s="205"/>
      <c r="M573" s="205"/>
      <c r="N573" s="93"/>
      <c r="O573" s="51"/>
      <c r="P573" s="93"/>
      <c r="Q573" s="51"/>
      <c r="R573" s="224"/>
      <c r="S573" s="161"/>
      <c r="T573" s="326" t="s">
        <v>199</v>
      </c>
      <c r="U573" s="50" t="s">
        <v>46</v>
      </c>
      <c r="V573" s="71"/>
      <c r="W573" s="93"/>
      <c r="X573" s="101"/>
      <c r="Y573" s="101"/>
      <c r="Z573" s="101"/>
      <c r="AA573" s="101"/>
      <c r="AB573" s="101"/>
      <c r="AC573" s="102"/>
      <c r="AD573" s="102"/>
      <c r="AE573" s="102"/>
      <c r="AF573" s="93"/>
      <c r="AG573" s="51"/>
      <c r="AH573" s="93"/>
      <c r="AI573" s="51"/>
      <c r="AJ573" s="224"/>
      <c r="AK573" s="169"/>
      <c r="AL573" s="326" t="s">
        <v>199</v>
      </c>
      <c r="AM573" s="210" t="str">
        <f>IF(OR(X573="",F573=""),"",X573-F573)</f>
        <v/>
      </c>
      <c r="AN573" s="171" t="str">
        <f>IF(OR(Y573="",G573=""),"",Y573-G573)</f>
        <v/>
      </c>
      <c r="AO573" s="171" t="str">
        <f>IF(OR(Z573="",H573=""),"",Z573-H573)</f>
        <v/>
      </c>
      <c r="AP573" s="171" t="str">
        <f>IF(OR(AA573="",I573=""),"",AA573-I573)</f>
        <v/>
      </c>
      <c r="AQ573" s="211" t="str">
        <f>IF(OR(AB573="",J573=""),"",AB573-J573)</f>
        <v/>
      </c>
      <c r="AR573" s="68"/>
      <c r="AS573" s="69"/>
      <c r="AT573" s="68"/>
    </row>
    <row r="574" spans="2:46" ht="13.5" customHeight="1" x14ac:dyDescent="0.15">
      <c r="B574" s="327"/>
      <c r="C574" s="52" t="s">
        <v>47</v>
      </c>
      <c r="D574" s="73"/>
      <c r="E574" s="95"/>
      <c r="F574" s="103"/>
      <c r="G574" s="103"/>
      <c r="H574" s="103"/>
      <c r="I574" s="103"/>
      <c r="J574" s="103"/>
      <c r="K574" s="104"/>
      <c r="L574" s="206"/>
      <c r="M574" s="206"/>
      <c r="N574" s="95"/>
      <c r="O574" s="53"/>
      <c r="P574" s="95"/>
      <c r="Q574" s="53"/>
      <c r="R574" s="225"/>
      <c r="S574" s="161"/>
      <c r="T574" s="327"/>
      <c r="U574" s="52" t="s">
        <v>47</v>
      </c>
      <c r="V574" s="73"/>
      <c r="W574" s="95"/>
      <c r="X574" s="103"/>
      <c r="Y574" s="103"/>
      <c r="Z574" s="103"/>
      <c r="AA574" s="103"/>
      <c r="AB574" s="103"/>
      <c r="AC574" s="104"/>
      <c r="AD574" s="104"/>
      <c r="AE574" s="104"/>
      <c r="AF574" s="95"/>
      <c r="AG574" s="53"/>
      <c r="AH574" s="95"/>
      <c r="AI574" s="53"/>
      <c r="AJ574" s="225"/>
      <c r="AK574" s="169"/>
      <c r="AL574" s="327"/>
      <c r="AM574" s="150" t="str">
        <f t="shared" ref="AM574:AM577" si="561">IF(OR(X574="",F574=""),"",X574-F574)</f>
        <v/>
      </c>
      <c r="AN574" s="212" t="str">
        <f t="shared" ref="AN574:AN577" si="562">IF(OR(Y574="",G574=""),"",Y574-G574)</f>
        <v/>
      </c>
      <c r="AO574" s="212" t="str">
        <f t="shared" ref="AO574:AO577" si="563">IF(OR(Z574="",H574=""),"",Z574-H574)</f>
        <v/>
      </c>
      <c r="AP574" s="212" t="str">
        <f t="shared" ref="AP574:AP577" si="564">IF(OR(AA574="",I574=""),"",AA574-I574)</f>
        <v/>
      </c>
      <c r="AQ574" s="151" t="str">
        <f t="shared" ref="AQ574:AQ577" si="565">IF(OR(AB574="",J574=""),"",AB574-J574)</f>
        <v/>
      </c>
      <c r="AR574" s="68"/>
      <c r="AS574" s="69"/>
      <c r="AT574" s="68"/>
    </row>
    <row r="575" spans="2:46" ht="13.5" customHeight="1" x14ac:dyDescent="0.15">
      <c r="B575" s="327"/>
      <c r="C575" s="52" t="s">
        <v>48</v>
      </c>
      <c r="D575" s="73"/>
      <c r="E575" s="95"/>
      <c r="F575" s="103"/>
      <c r="G575" s="103"/>
      <c r="H575" s="103"/>
      <c r="I575" s="103"/>
      <c r="J575" s="103"/>
      <c r="K575" s="104"/>
      <c r="L575" s="206"/>
      <c r="M575" s="206"/>
      <c r="N575" s="95"/>
      <c r="O575" s="53"/>
      <c r="P575" s="95"/>
      <c r="Q575" s="53"/>
      <c r="R575" s="225"/>
      <c r="S575" s="161"/>
      <c r="T575" s="327"/>
      <c r="U575" s="52" t="s">
        <v>48</v>
      </c>
      <c r="V575" s="73"/>
      <c r="W575" s="95"/>
      <c r="X575" s="103"/>
      <c r="Y575" s="103"/>
      <c r="Z575" s="103"/>
      <c r="AA575" s="103"/>
      <c r="AB575" s="103"/>
      <c r="AC575" s="104"/>
      <c r="AD575" s="104"/>
      <c r="AE575" s="104"/>
      <c r="AF575" s="95"/>
      <c r="AG575" s="53"/>
      <c r="AH575" s="95"/>
      <c r="AI575" s="53"/>
      <c r="AJ575" s="225"/>
      <c r="AK575" s="169"/>
      <c r="AL575" s="327"/>
      <c r="AM575" s="150" t="str">
        <f t="shared" si="561"/>
        <v/>
      </c>
      <c r="AN575" s="212" t="str">
        <f t="shared" si="562"/>
        <v/>
      </c>
      <c r="AO575" s="212" t="str">
        <f t="shared" si="563"/>
        <v/>
      </c>
      <c r="AP575" s="212" t="str">
        <f t="shared" si="564"/>
        <v/>
      </c>
      <c r="AQ575" s="151" t="str">
        <f t="shared" si="565"/>
        <v/>
      </c>
      <c r="AR575" s="68"/>
      <c r="AS575" s="69"/>
      <c r="AT575" s="68"/>
    </row>
    <row r="576" spans="2:46" ht="13.5" customHeight="1" x14ac:dyDescent="0.15">
      <c r="B576" s="327"/>
      <c r="C576" s="52" t="s">
        <v>50</v>
      </c>
      <c r="D576" s="73"/>
      <c r="E576" s="95"/>
      <c r="F576" s="103"/>
      <c r="G576" s="103"/>
      <c r="H576" s="103"/>
      <c r="I576" s="103"/>
      <c r="J576" s="103"/>
      <c r="K576" s="104"/>
      <c r="L576" s="206"/>
      <c r="M576" s="206"/>
      <c r="N576" s="95"/>
      <c r="O576" s="53"/>
      <c r="P576" s="95"/>
      <c r="Q576" s="53"/>
      <c r="R576" s="225"/>
      <c r="S576" s="161"/>
      <c r="T576" s="327"/>
      <c r="U576" s="52" t="s">
        <v>50</v>
      </c>
      <c r="V576" s="73"/>
      <c r="W576" s="95"/>
      <c r="X576" s="103"/>
      <c r="Y576" s="103"/>
      <c r="Z576" s="103"/>
      <c r="AA576" s="103"/>
      <c r="AB576" s="103"/>
      <c r="AC576" s="104"/>
      <c r="AD576" s="104"/>
      <c r="AE576" s="104"/>
      <c r="AF576" s="95"/>
      <c r="AG576" s="53"/>
      <c r="AH576" s="95"/>
      <c r="AI576" s="53"/>
      <c r="AJ576" s="225"/>
      <c r="AK576" s="169"/>
      <c r="AL576" s="327"/>
      <c r="AM576" s="150" t="str">
        <f t="shared" si="561"/>
        <v/>
      </c>
      <c r="AN576" s="212" t="str">
        <f t="shared" si="562"/>
        <v/>
      </c>
      <c r="AO576" s="212" t="str">
        <f t="shared" si="563"/>
        <v/>
      </c>
      <c r="AP576" s="212" t="str">
        <f t="shared" si="564"/>
        <v/>
      </c>
      <c r="AQ576" s="151" t="str">
        <f t="shared" si="565"/>
        <v/>
      </c>
      <c r="AR576" s="68"/>
      <c r="AS576" s="69"/>
      <c r="AT576" s="68"/>
    </row>
    <row r="577" spans="2:46" ht="13.5" customHeight="1" thickBot="1" x14ac:dyDescent="0.2">
      <c r="B577" s="328"/>
      <c r="C577" s="52" t="s">
        <v>51</v>
      </c>
      <c r="D577" s="74"/>
      <c r="E577" s="98"/>
      <c r="F577" s="105"/>
      <c r="G577" s="105"/>
      <c r="H577" s="105"/>
      <c r="I577" s="105"/>
      <c r="J577" s="105"/>
      <c r="K577" s="106"/>
      <c r="L577" s="207"/>
      <c r="M577" s="207"/>
      <c r="N577" s="98"/>
      <c r="O577" s="66"/>
      <c r="P577" s="98"/>
      <c r="Q577" s="66"/>
      <c r="R577" s="225"/>
      <c r="S577" s="161"/>
      <c r="T577" s="328"/>
      <c r="U577" s="52" t="s">
        <v>51</v>
      </c>
      <c r="V577" s="74"/>
      <c r="W577" s="98"/>
      <c r="X577" s="105"/>
      <c r="Y577" s="105"/>
      <c r="Z577" s="105"/>
      <c r="AA577" s="105"/>
      <c r="AB577" s="105"/>
      <c r="AC577" s="106"/>
      <c r="AD577" s="106"/>
      <c r="AE577" s="106"/>
      <c r="AF577" s="98"/>
      <c r="AG577" s="66"/>
      <c r="AH577" s="98"/>
      <c r="AI577" s="66"/>
      <c r="AJ577" s="225"/>
      <c r="AK577" s="169"/>
      <c r="AL577" s="328"/>
      <c r="AM577" s="213" t="str">
        <f t="shared" si="561"/>
        <v/>
      </c>
      <c r="AN577" s="214" t="str">
        <f t="shared" si="562"/>
        <v/>
      </c>
      <c r="AO577" s="214" t="str">
        <f t="shared" si="563"/>
        <v/>
      </c>
      <c r="AP577" s="214" t="str">
        <f t="shared" si="564"/>
        <v/>
      </c>
      <c r="AQ577" s="215" t="str">
        <f t="shared" si="565"/>
        <v/>
      </c>
      <c r="AR577" s="68"/>
      <c r="AS577" s="69"/>
      <c r="AT577" s="68"/>
    </row>
    <row r="578" spans="2:46" ht="13.5" customHeight="1" x14ac:dyDescent="0.15">
      <c r="B578" s="326" t="s">
        <v>200</v>
      </c>
      <c r="C578" s="50" t="s">
        <v>46</v>
      </c>
      <c r="D578" s="71"/>
      <c r="E578" s="93"/>
      <c r="F578" s="101"/>
      <c r="G578" s="101"/>
      <c r="H578" s="101"/>
      <c r="I578" s="101"/>
      <c r="J578" s="101"/>
      <c r="K578" s="102"/>
      <c r="L578" s="205"/>
      <c r="M578" s="205"/>
      <c r="N578" s="93"/>
      <c r="O578" s="51"/>
      <c r="P578" s="93"/>
      <c r="Q578" s="51"/>
      <c r="R578" s="224"/>
      <c r="S578" s="161"/>
      <c r="T578" s="326" t="s">
        <v>200</v>
      </c>
      <c r="U578" s="50" t="s">
        <v>46</v>
      </c>
      <c r="V578" s="71"/>
      <c r="W578" s="93"/>
      <c r="X578" s="101"/>
      <c r="Y578" s="101"/>
      <c r="Z578" s="101"/>
      <c r="AA578" s="101"/>
      <c r="AB578" s="101"/>
      <c r="AC578" s="102"/>
      <c r="AD578" s="102"/>
      <c r="AE578" s="102"/>
      <c r="AF578" s="93"/>
      <c r="AG578" s="51"/>
      <c r="AH578" s="93"/>
      <c r="AI578" s="51"/>
      <c r="AJ578" s="224"/>
      <c r="AK578" s="169"/>
      <c r="AL578" s="326" t="s">
        <v>200</v>
      </c>
      <c r="AM578" s="210" t="str">
        <f>IF(OR(X578="",F578=""),"",X578-F578)</f>
        <v/>
      </c>
      <c r="AN578" s="171" t="str">
        <f>IF(OR(Y578="",G578=""),"",Y578-G578)</f>
        <v/>
      </c>
      <c r="AO578" s="171" t="str">
        <f>IF(OR(Z578="",H578=""),"",Z578-H578)</f>
        <v/>
      </c>
      <c r="AP578" s="171" t="str">
        <f>IF(OR(AA578="",I578=""),"",AA578-I578)</f>
        <v/>
      </c>
      <c r="AQ578" s="211" t="str">
        <f>IF(OR(AB578="",J578=""),"",AB578-J578)</f>
        <v/>
      </c>
      <c r="AR578" s="68"/>
      <c r="AS578" s="69"/>
      <c r="AT578" s="68"/>
    </row>
    <row r="579" spans="2:46" ht="13.5" customHeight="1" x14ac:dyDescent="0.15">
      <c r="B579" s="327"/>
      <c r="C579" s="52" t="s">
        <v>47</v>
      </c>
      <c r="D579" s="73"/>
      <c r="E579" s="95"/>
      <c r="F579" s="103"/>
      <c r="G579" s="103"/>
      <c r="H579" s="103"/>
      <c r="I579" s="103"/>
      <c r="J579" s="103"/>
      <c r="K579" s="104"/>
      <c r="L579" s="206"/>
      <c r="M579" s="206"/>
      <c r="N579" s="95"/>
      <c r="O579" s="53"/>
      <c r="P579" s="95"/>
      <c r="Q579" s="53"/>
      <c r="R579" s="225"/>
      <c r="S579" s="161"/>
      <c r="T579" s="327"/>
      <c r="U579" s="52" t="s">
        <v>47</v>
      </c>
      <c r="V579" s="73"/>
      <c r="W579" s="95"/>
      <c r="X579" s="103"/>
      <c r="Y579" s="103"/>
      <c r="Z579" s="103"/>
      <c r="AA579" s="103"/>
      <c r="AB579" s="103"/>
      <c r="AC579" s="104"/>
      <c r="AD579" s="104"/>
      <c r="AE579" s="104"/>
      <c r="AF579" s="95"/>
      <c r="AG579" s="53"/>
      <c r="AH579" s="95"/>
      <c r="AI579" s="53"/>
      <c r="AJ579" s="225"/>
      <c r="AK579" s="169"/>
      <c r="AL579" s="327"/>
      <c r="AM579" s="150" t="str">
        <f t="shared" ref="AM579:AM582" si="566">IF(OR(X579="",F579=""),"",X579-F579)</f>
        <v/>
      </c>
      <c r="AN579" s="212" t="str">
        <f t="shared" ref="AN579:AN582" si="567">IF(OR(Y579="",G579=""),"",Y579-G579)</f>
        <v/>
      </c>
      <c r="AO579" s="212" t="str">
        <f t="shared" ref="AO579:AO582" si="568">IF(OR(Z579="",H579=""),"",Z579-H579)</f>
        <v/>
      </c>
      <c r="AP579" s="212" t="str">
        <f t="shared" ref="AP579:AP582" si="569">IF(OR(AA579="",I579=""),"",AA579-I579)</f>
        <v/>
      </c>
      <c r="AQ579" s="151" t="str">
        <f t="shared" ref="AQ579:AQ582" si="570">IF(OR(AB579="",J579=""),"",AB579-J579)</f>
        <v/>
      </c>
      <c r="AR579" s="68"/>
      <c r="AS579" s="69"/>
      <c r="AT579" s="68"/>
    </row>
    <row r="580" spans="2:46" ht="13.5" customHeight="1" x14ac:dyDescent="0.15">
      <c r="B580" s="327"/>
      <c r="C580" s="52" t="s">
        <v>48</v>
      </c>
      <c r="D580" s="73"/>
      <c r="E580" s="95"/>
      <c r="F580" s="103"/>
      <c r="G580" s="103"/>
      <c r="H580" s="103"/>
      <c r="I580" s="103"/>
      <c r="J580" s="103"/>
      <c r="K580" s="104"/>
      <c r="L580" s="206"/>
      <c r="M580" s="206"/>
      <c r="N580" s="95"/>
      <c r="O580" s="53"/>
      <c r="P580" s="95"/>
      <c r="Q580" s="53"/>
      <c r="R580" s="225"/>
      <c r="S580" s="161"/>
      <c r="T580" s="327"/>
      <c r="U580" s="52" t="s">
        <v>48</v>
      </c>
      <c r="V580" s="73"/>
      <c r="W580" s="95"/>
      <c r="X580" s="103"/>
      <c r="Y580" s="103"/>
      <c r="Z580" s="103"/>
      <c r="AA580" s="103"/>
      <c r="AB580" s="103"/>
      <c r="AC580" s="104"/>
      <c r="AD580" s="104"/>
      <c r="AE580" s="104"/>
      <c r="AF580" s="95"/>
      <c r="AG580" s="53"/>
      <c r="AH580" s="95"/>
      <c r="AI580" s="53"/>
      <c r="AJ580" s="225"/>
      <c r="AK580" s="169"/>
      <c r="AL580" s="327"/>
      <c r="AM580" s="150" t="str">
        <f t="shared" si="566"/>
        <v/>
      </c>
      <c r="AN580" s="212" t="str">
        <f t="shared" si="567"/>
        <v/>
      </c>
      <c r="AO580" s="212" t="str">
        <f t="shared" si="568"/>
        <v/>
      </c>
      <c r="AP580" s="212" t="str">
        <f t="shared" si="569"/>
        <v/>
      </c>
      <c r="AQ580" s="151" t="str">
        <f t="shared" si="570"/>
        <v/>
      </c>
      <c r="AR580" s="68"/>
      <c r="AS580" s="69"/>
      <c r="AT580" s="68"/>
    </row>
    <row r="581" spans="2:46" ht="13.5" customHeight="1" x14ac:dyDescent="0.15">
      <c r="B581" s="327"/>
      <c r="C581" s="52" t="s">
        <v>50</v>
      </c>
      <c r="D581" s="73"/>
      <c r="E581" s="95"/>
      <c r="F581" s="103"/>
      <c r="G581" s="103"/>
      <c r="H581" s="103"/>
      <c r="I581" s="103"/>
      <c r="J581" s="103"/>
      <c r="K581" s="104"/>
      <c r="L581" s="206"/>
      <c r="M581" s="206"/>
      <c r="N581" s="95"/>
      <c r="O581" s="53"/>
      <c r="P581" s="95"/>
      <c r="Q581" s="53"/>
      <c r="R581" s="225"/>
      <c r="S581" s="161"/>
      <c r="T581" s="327"/>
      <c r="U581" s="52" t="s">
        <v>50</v>
      </c>
      <c r="V581" s="73"/>
      <c r="W581" s="95"/>
      <c r="X581" s="103"/>
      <c r="Y581" s="103"/>
      <c r="Z581" s="103"/>
      <c r="AA581" s="103"/>
      <c r="AB581" s="103"/>
      <c r="AC581" s="104"/>
      <c r="AD581" s="104"/>
      <c r="AE581" s="104"/>
      <c r="AF581" s="95"/>
      <c r="AG581" s="53"/>
      <c r="AH581" s="95"/>
      <c r="AI581" s="53"/>
      <c r="AJ581" s="225"/>
      <c r="AK581" s="169"/>
      <c r="AL581" s="327"/>
      <c r="AM581" s="150" t="str">
        <f t="shared" si="566"/>
        <v/>
      </c>
      <c r="AN581" s="212" t="str">
        <f t="shared" si="567"/>
        <v/>
      </c>
      <c r="AO581" s="212" t="str">
        <f t="shared" si="568"/>
        <v/>
      </c>
      <c r="AP581" s="212" t="str">
        <f t="shared" si="569"/>
        <v/>
      </c>
      <c r="AQ581" s="151" t="str">
        <f t="shared" si="570"/>
        <v/>
      </c>
      <c r="AR581" s="68"/>
      <c r="AS581" s="69"/>
      <c r="AT581" s="68"/>
    </row>
    <row r="582" spans="2:46" ht="13.5" customHeight="1" thickBot="1" x14ac:dyDescent="0.2">
      <c r="B582" s="328"/>
      <c r="C582" s="52" t="s">
        <v>51</v>
      </c>
      <c r="D582" s="74"/>
      <c r="E582" s="98"/>
      <c r="F582" s="105"/>
      <c r="G582" s="105"/>
      <c r="H582" s="105"/>
      <c r="I582" s="105"/>
      <c r="J582" s="105"/>
      <c r="K582" s="106"/>
      <c r="L582" s="207"/>
      <c r="M582" s="207"/>
      <c r="N582" s="98"/>
      <c r="O582" s="66"/>
      <c r="P582" s="98"/>
      <c r="Q582" s="66"/>
      <c r="R582" s="225"/>
      <c r="S582" s="161"/>
      <c r="T582" s="328"/>
      <c r="U582" s="52" t="s">
        <v>51</v>
      </c>
      <c r="V582" s="74"/>
      <c r="W582" s="98"/>
      <c r="X582" s="105"/>
      <c r="Y582" s="105"/>
      <c r="Z582" s="105"/>
      <c r="AA582" s="105"/>
      <c r="AB582" s="105"/>
      <c r="AC582" s="106"/>
      <c r="AD582" s="106"/>
      <c r="AE582" s="106"/>
      <c r="AF582" s="98"/>
      <c r="AG582" s="66"/>
      <c r="AH582" s="98"/>
      <c r="AI582" s="66"/>
      <c r="AJ582" s="225"/>
      <c r="AK582" s="169"/>
      <c r="AL582" s="328"/>
      <c r="AM582" s="213" t="str">
        <f t="shared" si="566"/>
        <v/>
      </c>
      <c r="AN582" s="214" t="str">
        <f t="shared" si="567"/>
        <v/>
      </c>
      <c r="AO582" s="214" t="str">
        <f t="shared" si="568"/>
        <v/>
      </c>
      <c r="AP582" s="214" t="str">
        <f t="shared" si="569"/>
        <v/>
      </c>
      <c r="AQ582" s="215" t="str">
        <f t="shared" si="570"/>
        <v/>
      </c>
      <c r="AR582" s="68"/>
      <c r="AS582" s="69"/>
      <c r="AT582" s="68"/>
    </row>
    <row r="583" spans="2:46" ht="13.5" customHeight="1" x14ac:dyDescent="0.15">
      <c r="B583" s="326" t="s">
        <v>201</v>
      </c>
      <c r="C583" s="50" t="s">
        <v>46</v>
      </c>
      <c r="D583" s="71"/>
      <c r="E583" s="93"/>
      <c r="F583" s="101"/>
      <c r="G583" s="101"/>
      <c r="H583" s="101"/>
      <c r="I583" s="101"/>
      <c r="J583" s="101"/>
      <c r="K583" s="102"/>
      <c r="L583" s="205"/>
      <c r="M583" s="205"/>
      <c r="N583" s="93"/>
      <c r="O583" s="51"/>
      <c r="P583" s="93"/>
      <c r="Q583" s="51"/>
      <c r="R583" s="224"/>
      <c r="S583" s="161"/>
      <c r="T583" s="326" t="s">
        <v>201</v>
      </c>
      <c r="U583" s="50" t="s">
        <v>46</v>
      </c>
      <c r="V583" s="71"/>
      <c r="W583" s="93"/>
      <c r="X583" s="101"/>
      <c r="Y583" s="101"/>
      <c r="Z583" s="101"/>
      <c r="AA583" s="101"/>
      <c r="AB583" s="101"/>
      <c r="AC583" s="102"/>
      <c r="AD583" s="102"/>
      <c r="AE583" s="102"/>
      <c r="AF583" s="93"/>
      <c r="AG583" s="51"/>
      <c r="AH583" s="93"/>
      <c r="AI583" s="51"/>
      <c r="AJ583" s="224"/>
      <c r="AK583" s="169"/>
      <c r="AL583" s="326" t="s">
        <v>201</v>
      </c>
      <c r="AM583" s="210" t="str">
        <f>IF(OR(X583="",F583=""),"",X583-F583)</f>
        <v/>
      </c>
      <c r="AN583" s="171" t="str">
        <f>IF(OR(Y583="",G583=""),"",Y583-G583)</f>
        <v/>
      </c>
      <c r="AO583" s="171" t="str">
        <f>IF(OR(Z583="",H583=""),"",Z583-H583)</f>
        <v/>
      </c>
      <c r="AP583" s="171" t="str">
        <f>IF(OR(AA583="",I583=""),"",AA583-I583)</f>
        <v/>
      </c>
      <c r="AQ583" s="211" t="str">
        <f>IF(OR(AB583="",J583=""),"",AB583-J583)</f>
        <v/>
      </c>
      <c r="AR583" s="68"/>
      <c r="AS583" s="69"/>
      <c r="AT583" s="68"/>
    </row>
    <row r="584" spans="2:46" ht="13.5" customHeight="1" x14ac:dyDescent="0.15">
      <c r="B584" s="327"/>
      <c r="C584" s="52" t="s">
        <v>47</v>
      </c>
      <c r="D584" s="73"/>
      <c r="E584" s="95"/>
      <c r="F584" s="103"/>
      <c r="G584" s="103"/>
      <c r="H584" s="103"/>
      <c r="I584" s="103"/>
      <c r="J584" s="103"/>
      <c r="K584" s="104"/>
      <c r="L584" s="206"/>
      <c r="M584" s="206"/>
      <c r="N584" s="95"/>
      <c r="O584" s="53"/>
      <c r="P584" s="95"/>
      <c r="Q584" s="53"/>
      <c r="R584" s="225"/>
      <c r="S584" s="161"/>
      <c r="T584" s="327"/>
      <c r="U584" s="52" t="s">
        <v>47</v>
      </c>
      <c r="V584" s="73"/>
      <c r="W584" s="95"/>
      <c r="X584" s="103"/>
      <c r="Y584" s="103"/>
      <c r="Z584" s="103"/>
      <c r="AA584" s="103"/>
      <c r="AB584" s="103"/>
      <c r="AC584" s="104"/>
      <c r="AD584" s="104"/>
      <c r="AE584" s="104"/>
      <c r="AF584" s="95"/>
      <c r="AG584" s="53"/>
      <c r="AH584" s="95"/>
      <c r="AI584" s="53"/>
      <c r="AJ584" s="225"/>
      <c r="AK584" s="169"/>
      <c r="AL584" s="327"/>
      <c r="AM584" s="150" t="str">
        <f t="shared" ref="AM584:AM587" si="571">IF(OR(X584="",F584=""),"",X584-F584)</f>
        <v/>
      </c>
      <c r="AN584" s="212" t="str">
        <f t="shared" ref="AN584:AN587" si="572">IF(OR(Y584="",G584=""),"",Y584-G584)</f>
        <v/>
      </c>
      <c r="AO584" s="212" t="str">
        <f t="shared" ref="AO584:AO587" si="573">IF(OR(Z584="",H584=""),"",Z584-H584)</f>
        <v/>
      </c>
      <c r="AP584" s="212" t="str">
        <f t="shared" ref="AP584:AP587" si="574">IF(OR(AA584="",I584=""),"",AA584-I584)</f>
        <v/>
      </c>
      <c r="AQ584" s="151" t="str">
        <f t="shared" ref="AQ584:AQ587" si="575">IF(OR(AB584="",J584=""),"",AB584-J584)</f>
        <v/>
      </c>
      <c r="AR584" s="68"/>
      <c r="AS584" s="69"/>
      <c r="AT584" s="68"/>
    </row>
    <row r="585" spans="2:46" ht="13.5" customHeight="1" x14ac:dyDescent="0.15">
      <c r="B585" s="327"/>
      <c r="C585" s="52" t="s">
        <v>48</v>
      </c>
      <c r="D585" s="73"/>
      <c r="E585" s="95"/>
      <c r="F585" s="103"/>
      <c r="G585" s="103"/>
      <c r="H585" s="103"/>
      <c r="I585" s="103"/>
      <c r="J585" s="103"/>
      <c r="K585" s="104"/>
      <c r="L585" s="206"/>
      <c r="M585" s="206"/>
      <c r="N585" s="95"/>
      <c r="O585" s="53"/>
      <c r="P585" s="95"/>
      <c r="Q585" s="53"/>
      <c r="R585" s="225"/>
      <c r="S585" s="161"/>
      <c r="T585" s="327"/>
      <c r="U585" s="52" t="s">
        <v>48</v>
      </c>
      <c r="V585" s="73"/>
      <c r="W585" s="95"/>
      <c r="X585" s="103"/>
      <c r="Y585" s="103"/>
      <c r="Z585" s="103"/>
      <c r="AA585" s="103"/>
      <c r="AB585" s="103"/>
      <c r="AC585" s="104"/>
      <c r="AD585" s="104"/>
      <c r="AE585" s="104"/>
      <c r="AF585" s="95"/>
      <c r="AG585" s="53"/>
      <c r="AH585" s="95"/>
      <c r="AI585" s="53"/>
      <c r="AJ585" s="225"/>
      <c r="AK585" s="169"/>
      <c r="AL585" s="327"/>
      <c r="AM585" s="150" t="str">
        <f t="shared" si="571"/>
        <v/>
      </c>
      <c r="AN585" s="212" t="str">
        <f t="shared" si="572"/>
        <v/>
      </c>
      <c r="AO585" s="212" t="str">
        <f t="shared" si="573"/>
        <v/>
      </c>
      <c r="AP585" s="212" t="str">
        <f t="shared" si="574"/>
        <v/>
      </c>
      <c r="AQ585" s="151" t="str">
        <f t="shared" si="575"/>
        <v/>
      </c>
      <c r="AR585" s="68"/>
      <c r="AS585" s="69"/>
      <c r="AT585" s="68"/>
    </row>
    <row r="586" spans="2:46" ht="13.5" customHeight="1" x14ac:dyDescent="0.15">
      <c r="B586" s="327"/>
      <c r="C586" s="52" t="s">
        <v>50</v>
      </c>
      <c r="D586" s="73"/>
      <c r="E586" s="95"/>
      <c r="F586" s="103"/>
      <c r="G586" s="103"/>
      <c r="H586" s="103"/>
      <c r="I586" s="103"/>
      <c r="J586" s="103"/>
      <c r="K586" s="104"/>
      <c r="L586" s="206"/>
      <c r="M586" s="206"/>
      <c r="N586" s="95"/>
      <c r="O586" s="53"/>
      <c r="P586" s="95"/>
      <c r="Q586" s="53"/>
      <c r="R586" s="225"/>
      <c r="S586" s="161"/>
      <c r="T586" s="327"/>
      <c r="U586" s="52" t="s">
        <v>50</v>
      </c>
      <c r="V586" s="73"/>
      <c r="W586" s="95"/>
      <c r="X586" s="103"/>
      <c r="Y586" s="103"/>
      <c r="Z586" s="103"/>
      <c r="AA586" s="103"/>
      <c r="AB586" s="103"/>
      <c r="AC586" s="104"/>
      <c r="AD586" s="104"/>
      <c r="AE586" s="104"/>
      <c r="AF586" s="95"/>
      <c r="AG586" s="53"/>
      <c r="AH586" s="95"/>
      <c r="AI586" s="53"/>
      <c r="AJ586" s="225"/>
      <c r="AK586" s="169"/>
      <c r="AL586" s="327"/>
      <c r="AM586" s="150" t="str">
        <f t="shared" si="571"/>
        <v/>
      </c>
      <c r="AN586" s="212" t="str">
        <f t="shared" si="572"/>
        <v/>
      </c>
      <c r="AO586" s="212" t="str">
        <f t="shared" si="573"/>
        <v/>
      </c>
      <c r="AP586" s="212" t="str">
        <f t="shared" si="574"/>
        <v/>
      </c>
      <c r="AQ586" s="151" t="str">
        <f t="shared" si="575"/>
        <v/>
      </c>
      <c r="AR586" s="68"/>
      <c r="AS586" s="69"/>
      <c r="AT586" s="68"/>
    </row>
    <row r="587" spans="2:46" ht="13.5" customHeight="1" thickBot="1" x14ac:dyDescent="0.2">
      <c r="B587" s="328"/>
      <c r="C587" s="52" t="s">
        <v>51</v>
      </c>
      <c r="D587" s="74"/>
      <c r="E587" s="98"/>
      <c r="F587" s="105"/>
      <c r="G587" s="105"/>
      <c r="H587" s="105"/>
      <c r="I587" s="105"/>
      <c r="J587" s="105"/>
      <c r="K587" s="106"/>
      <c r="L587" s="207"/>
      <c r="M587" s="207"/>
      <c r="N587" s="98"/>
      <c r="O587" s="66"/>
      <c r="P587" s="98"/>
      <c r="Q587" s="66"/>
      <c r="R587" s="225"/>
      <c r="S587" s="161"/>
      <c r="T587" s="328"/>
      <c r="U587" s="52" t="s">
        <v>51</v>
      </c>
      <c r="V587" s="74"/>
      <c r="W587" s="98"/>
      <c r="X587" s="105"/>
      <c r="Y587" s="105"/>
      <c r="Z587" s="105"/>
      <c r="AA587" s="105"/>
      <c r="AB587" s="105"/>
      <c r="AC587" s="106"/>
      <c r="AD587" s="106"/>
      <c r="AE587" s="106"/>
      <c r="AF587" s="98"/>
      <c r="AG587" s="66"/>
      <c r="AH587" s="98"/>
      <c r="AI587" s="66"/>
      <c r="AJ587" s="225"/>
      <c r="AK587" s="169"/>
      <c r="AL587" s="328"/>
      <c r="AM587" s="213" t="str">
        <f t="shared" si="571"/>
        <v/>
      </c>
      <c r="AN587" s="214" t="str">
        <f t="shared" si="572"/>
        <v/>
      </c>
      <c r="AO587" s="214" t="str">
        <f t="shared" si="573"/>
        <v/>
      </c>
      <c r="AP587" s="214" t="str">
        <f t="shared" si="574"/>
        <v/>
      </c>
      <c r="AQ587" s="215" t="str">
        <f t="shared" si="575"/>
        <v/>
      </c>
      <c r="AR587" s="68"/>
      <c r="AS587" s="69"/>
      <c r="AT587" s="68"/>
    </row>
    <row r="588" spans="2:46" ht="13.5" customHeight="1" x14ac:dyDescent="0.15">
      <c r="B588" s="326" t="s">
        <v>202</v>
      </c>
      <c r="C588" s="50" t="s">
        <v>46</v>
      </c>
      <c r="D588" s="71"/>
      <c r="E588" s="93"/>
      <c r="F588" s="101"/>
      <c r="G588" s="101"/>
      <c r="H588" s="101"/>
      <c r="I588" s="101"/>
      <c r="J588" s="101"/>
      <c r="K588" s="102"/>
      <c r="L588" s="205"/>
      <c r="M588" s="205"/>
      <c r="N588" s="93"/>
      <c r="O588" s="51"/>
      <c r="P588" s="93"/>
      <c r="Q588" s="51"/>
      <c r="R588" s="224"/>
      <c r="S588" s="161"/>
      <c r="T588" s="326" t="s">
        <v>202</v>
      </c>
      <c r="U588" s="50" t="s">
        <v>46</v>
      </c>
      <c r="V588" s="71"/>
      <c r="W588" s="93"/>
      <c r="X588" s="101"/>
      <c r="Y588" s="101"/>
      <c r="Z588" s="101"/>
      <c r="AA588" s="101"/>
      <c r="AB588" s="101"/>
      <c r="AC588" s="102"/>
      <c r="AD588" s="102"/>
      <c r="AE588" s="102"/>
      <c r="AF588" s="93"/>
      <c r="AG588" s="51"/>
      <c r="AH588" s="93"/>
      <c r="AI588" s="51"/>
      <c r="AJ588" s="224"/>
      <c r="AK588" s="169"/>
      <c r="AL588" s="326" t="s">
        <v>202</v>
      </c>
      <c r="AM588" s="210" t="str">
        <f>IF(OR(X588="",F588=""),"",X588-F588)</f>
        <v/>
      </c>
      <c r="AN588" s="171" t="str">
        <f>IF(OR(Y588="",G588=""),"",Y588-G588)</f>
        <v/>
      </c>
      <c r="AO588" s="171" t="str">
        <f>IF(OR(Z588="",H588=""),"",Z588-H588)</f>
        <v/>
      </c>
      <c r="AP588" s="171" t="str">
        <f>IF(OR(AA588="",I588=""),"",AA588-I588)</f>
        <v/>
      </c>
      <c r="AQ588" s="211" t="str">
        <f>IF(OR(AB588="",J588=""),"",AB588-J588)</f>
        <v/>
      </c>
      <c r="AR588" s="68"/>
      <c r="AS588" s="69"/>
      <c r="AT588" s="68"/>
    </row>
    <row r="589" spans="2:46" ht="13.5" customHeight="1" x14ac:dyDescent="0.15">
      <c r="B589" s="327"/>
      <c r="C589" s="52" t="s">
        <v>47</v>
      </c>
      <c r="D589" s="73"/>
      <c r="E589" s="95"/>
      <c r="F589" s="103"/>
      <c r="G589" s="103"/>
      <c r="H589" s="103"/>
      <c r="I589" s="103"/>
      <c r="J589" s="103"/>
      <c r="K589" s="104"/>
      <c r="L589" s="206"/>
      <c r="M589" s="206"/>
      <c r="N589" s="95"/>
      <c r="O589" s="53"/>
      <c r="P589" s="95"/>
      <c r="Q589" s="53"/>
      <c r="R589" s="225"/>
      <c r="S589" s="161"/>
      <c r="T589" s="327"/>
      <c r="U589" s="52" t="s">
        <v>47</v>
      </c>
      <c r="V589" s="73"/>
      <c r="W589" s="95"/>
      <c r="X589" s="103"/>
      <c r="Y589" s="103"/>
      <c r="Z589" s="103"/>
      <c r="AA589" s="103"/>
      <c r="AB589" s="103"/>
      <c r="AC589" s="104"/>
      <c r="AD589" s="104"/>
      <c r="AE589" s="104"/>
      <c r="AF589" s="95"/>
      <c r="AG589" s="53"/>
      <c r="AH589" s="95"/>
      <c r="AI589" s="53"/>
      <c r="AJ589" s="225"/>
      <c r="AK589" s="169"/>
      <c r="AL589" s="327"/>
      <c r="AM589" s="150" t="str">
        <f t="shared" ref="AM589:AM592" si="576">IF(OR(X589="",F589=""),"",X589-F589)</f>
        <v/>
      </c>
      <c r="AN589" s="212" t="str">
        <f t="shared" ref="AN589:AN592" si="577">IF(OR(Y589="",G589=""),"",Y589-G589)</f>
        <v/>
      </c>
      <c r="AO589" s="212" t="str">
        <f t="shared" ref="AO589:AO592" si="578">IF(OR(Z589="",H589=""),"",Z589-H589)</f>
        <v/>
      </c>
      <c r="AP589" s="212" t="str">
        <f t="shared" ref="AP589:AP592" si="579">IF(OR(AA589="",I589=""),"",AA589-I589)</f>
        <v/>
      </c>
      <c r="AQ589" s="151" t="str">
        <f t="shared" ref="AQ589:AQ592" si="580">IF(OR(AB589="",J589=""),"",AB589-J589)</f>
        <v/>
      </c>
      <c r="AR589" s="68"/>
      <c r="AS589" s="69"/>
      <c r="AT589" s="68"/>
    </row>
    <row r="590" spans="2:46" ht="13.5" customHeight="1" x14ac:dyDescent="0.15">
      <c r="B590" s="327"/>
      <c r="C590" s="52" t="s">
        <v>48</v>
      </c>
      <c r="D590" s="73"/>
      <c r="E590" s="95"/>
      <c r="F590" s="103"/>
      <c r="G590" s="103"/>
      <c r="H590" s="103"/>
      <c r="I590" s="103"/>
      <c r="J590" s="103"/>
      <c r="K590" s="104"/>
      <c r="L590" s="206"/>
      <c r="M590" s="206"/>
      <c r="N590" s="95"/>
      <c r="O590" s="53"/>
      <c r="P590" s="95"/>
      <c r="Q590" s="53"/>
      <c r="R590" s="225"/>
      <c r="S590" s="161"/>
      <c r="T590" s="327"/>
      <c r="U590" s="52" t="s">
        <v>48</v>
      </c>
      <c r="V590" s="73"/>
      <c r="W590" s="95"/>
      <c r="X590" s="103"/>
      <c r="Y590" s="103"/>
      <c r="Z590" s="103"/>
      <c r="AA590" s="103"/>
      <c r="AB590" s="103"/>
      <c r="AC590" s="104"/>
      <c r="AD590" s="104"/>
      <c r="AE590" s="104"/>
      <c r="AF590" s="95"/>
      <c r="AG590" s="53"/>
      <c r="AH590" s="95"/>
      <c r="AI590" s="53"/>
      <c r="AJ590" s="225"/>
      <c r="AK590" s="169"/>
      <c r="AL590" s="327"/>
      <c r="AM590" s="150" t="str">
        <f t="shared" si="576"/>
        <v/>
      </c>
      <c r="AN590" s="212" t="str">
        <f t="shared" si="577"/>
        <v/>
      </c>
      <c r="AO590" s="212" t="str">
        <f t="shared" si="578"/>
        <v/>
      </c>
      <c r="AP590" s="212" t="str">
        <f t="shared" si="579"/>
        <v/>
      </c>
      <c r="AQ590" s="151" t="str">
        <f t="shared" si="580"/>
        <v/>
      </c>
      <c r="AR590" s="68"/>
      <c r="AS590" s="69"/>
      <c r="AT590" s="68"/>
    </row>
    <row r="591" spans="2:46" ht="13.5" customHeight="1" x14ac:dyDescent="0.15">
      <c r="B591" s="327"/>
      <c r="C591" s="52" t="s">
        <v>50</v>
      </c>
      <c r="D591" s="73"/>
      <c r="E591" s="95"/>
      <c r="F591" s="103"/>
      <c r="G591" s="103"/>
      <c r="H591" s="103"/>
      <c r="I591" s="103"/>
      <c r="J591" s="103"/>
      <c r="K591" s="104"/>
      <c r="L591" s="206"/>
      <c r="M591" s="206"/>
      <c r="N591" s="95"/>
      <c r="O591" s="53"/>
      <c r="P591" s="95"/>
      <c r="Q591" s="53"/>
      <c r="R591" s="225"/>
      <c r="S591" s="161"/>
      <c r="T591" s="327"/>
      <c r="U591" s="52" t="s">
        <v>50</v>
      </c>
      <c r="V591" s="73"/>
      <c r="W591" s="95"/>
      <c r="X591" s="103"/>
      <c r="Y591" s="103"/>
      <c r="Z591" s="103"/>
      <c r="AA591" s="103"/>
      <c r="AB591" s="103"/>
      <c r="AC591" s="104"/>
      <c r="AD591" s="104"/>
      <c r="AE591" s="104"/>
      <c r="AF591" s="95"/>
      <c r="AG591" s="53"/>
      <c r="AH591" s="95"/>
      <c r="AI591" s="53"/>
      <c r="AJ591" s="225"/>
      <c r="AK591" s="169"/>
      <c r="AL591" s="327"/>
      <c r="AM591" s="150" t="str">
        <f t="shared" si="576"/>
        <v/>
      </c>
      <c r="AN591" s="212" t="str">
        <f t="shared" si="577"/>
        <v/>
      </c>
      <c r="AO591" s="212" t="str">
        <f t="shared" si="578"/>
        <v/>
      </c>
      <c r="AP591" s="212" t="str">
        <f t="shared" si="579"/>
        <v/>
      </c>
      <c r="AQ591" s="151" t="str">
        <f t="shared" si="580"/>
        <v/>
      </c>
      <c r="AR591" s="68"/>
      <c r="AS591" s="69"/>
      <c r="AT591" s="68"/>
    </row>
    <row r="592" spans="2:46" ht="13.5" customHeight="1" thickBot="1" x14ac:dyDescent="0.2">
      <c r="B592" s="328"/>
      <c r="C592" s="52" t="s">
        <v>51</v>
      </c>
      <c r="D592" s="74"/>
      <c r="E592" s="98"/>
      <c r="F592" s="105"/>
      <c r="G592" s="105"/>
      <c r="H592" s="105"/>
      <c r="I592" s="105"/>
      <c r="J592" s="105"/>
      <c r="K592" s="106"/>
      <c r="L592" s="207"/>
      <c r="M592" s="207"/>
      <c r="N592" s="98"/>
      <c r="O592" s="66"/>
      <c r="P592" s="98"/>
      <c r="Q592" s="66"/>
      <c r="R592" s="225"/>
      <c r="S592" s="161"/>
      <c r="T592" s="328"/>
      <c r="U592" s="52" t="s">
        <v>51</v>
      </c>
      <c r="V592" s="74"/>
      <c r="W592" s="98"/>
      <c r="X592" s="105"/>
      <c r="Y592" s="105"/>
      <c r="Z592" s="105"/>
      <c r="AA592" s="105"/>
      <c r="AB592" s="105"/>
      <c r="AC592" s="106"/>
      <c r="AD592" s="106"/>
      <c r="AE592" s="106"/>
      <c r="AF592" s="98"/>
      <c r="AG592" s="66"/>
      <c r="AH592" s="98"/>
      <c r="AI592" s="66"/>
      <c r="AJ592" s="225"/>
      <c r="AK592" s="169"/>
      <c r="AL592" s="328"/>
      <c r="AM592" s="213" t="str">
        <f t="shared" si="576"/>
        <v/>
      </c>
      <c r="AN592" s="214" t="str">
        <f t="shared" si="577"/>
        <v/>
      </c>
      <c r="AO592" s="214" t="str">
        <f t="shared" si="578"/>
        <v/>
      </c>
      <c r="AP592" s="214" t="str">
        <f t="shared" si="579"/>
        <v/>
      </c>
      <c r="AQ592" s="215" t="str">
        <f t="shared" si="580"/>
        <v/>
      </c>
      <c r="AR592" s="68"/>
      <c r="AS592" s="69"/>
      <c r="AT592" s="68"/>
    </row>
    <row r="593" spans="2:46" ht="13.5" customHeight="1" x14ac:dyDescent="0.15">
      <c r="B593" s="326" t="s">
        <v>203</v>
      </c>
      <c r="C593" s="50" t="s">
        <v>46</v>
      </c>
      <c r="D593" s="71"/>
      <c r="E593" s="93"/>
      <c r="F593" s="101"/>
      <c r="G593" s="101"/>
      <c r="H593" s="101"/>
      <c r="I593" s="101"/>
      <c r="J593" s="101"/>
      <c r="K593" s="102"/>
      <c r="L593" s="205"/>
      <c r="M593" s="205"/>
      <c r="N593" s="93"/>
      <c r="O593" s="51"/>
      <c r="P593" s="93"/>
      <c r="Q593" s="51"/>
      <c r="R593" s="224"/>
      <c r="S593" s="161"/>
      <c r="T593" s="326" t="s">
        <v>203</v>
      </c>
      <c r="U593" s="50" t="s">
        <v>46</v>
      </c>
      <c r="V593" s="71"/>
      <c r="W593" s="93"/>
      <c r="X593" s="101"/>
      <c r="Y593" s="101"/>
      <c r="Z593" s="101"/>
      <c r="AA593" s="101"/>
      <c r="AB593" s="101"/>
      <c r="AC593" s="102"/>
      <c r="AD593" s="102"/>
      <c r="AE593" s="102"/>
      <c r="AF593" s="93"/>
      <c r="AG593" s="51"/>
      <c r="AH593" s="93"/>
      <c r="AI593" s="51"/>
      <c r="AJ593" s="224"/>
      <c r="AK593" s="169"/>
      <c r="AL593" s="326" t="s">
        <v>203</v>
      </c>
      <c r="AM593" s="210" t="str">
        <f>IF(OR(X593="",F593=""),"",X593-F593)</f>
        <v/>
      </c>
      <c r="AN593" s="171" t="str">
        <f>IF(OR(Y593="",G593=""),"",Y593-G593)</f>
        <v/>
      </c>
      <c r="AO593" s="171" t="str">
        <f>IF(OR(Z593="",H593=""),"",Z593-H593)</f>
        <v/>
      </c>
      <c r="AP593" s="171" t="str">
        <f>IF(OR(AA593="",I593=""),"",AA593-I593)</f>
        <v/>
      </c>
      <c r="AQ593" s="211" t="str">
        <f>IF(OR(AB593="",J593=""),"",AB593-J593)</f>
        <v/>
      </c>
      <c r="AR593" s="68"/>
      <c r="AS593" s="69"/>
      <c r="AT593" s="68"/>
    </row>
    <row r="594" spans="2:46" ht="13.5" customHeight="1" x14ac:dyDescent="0.15">
      <c r="B594" s="327"/>
      <c r="C594" s="52" t="s">
        <v>47</v>
      </c>
      <c r="D594" s="73"/>
      <c r="E594" s="95"/>
      <c r="F594" s="103"/>
      <c r="G594" s="103"/>
      <c r="H594" s="103"/>
      <c r="I594" s="103"/>
      <c r="J594" s="103"/>
      <c r="K594" s="104"/>
      <c r="L594" s="206"/>
      <c r="M594" s="206"/>
      <c r="N594" s="95"/>
      <c r="O594" s="53"/>
      <c r="P594" s="95"/>
      <c r="Q594" s="53"/>
      <c r="R594" s="225"/>
      <c r="S594" s="161"/>
      <c r="T594" s="327"/>
      <c r="U594" s="52" t="s">
        <v>47</v>
      </c>
      <c r="V594" s="73"/>
      <c r="W594" s="95"/>
      <c r="X594" s="103"/>
      <c r="Y594" s="103"/>
      <c r="Z594" s="103"/>
      <c r="AA594" s="103"/>
      <c r="AB594" s="103"/>
      <c r="AC594" s="104"/>
      <c r="AD594" s="104"/>
      <c r="AE594" s="104"/>
      <c r="AF594" s="95"/>
      <c r="AG594" s="53"/>
      <c r="AH594" s="95"/>
      <c r="AI594" s="53"/>
      <c r="AJ594" s="225"/>
      <c r="AK594" s="169"/>
      <c r="AL594" s="327"/>
      <c r="AM594" s="150" t="str">
        <f t="shared" ref="AM594:AM597" si="581">IF(OR(X594="",F594=""),"",X594-F594)</f>
        <v/>
      </c>
      <c r="AN594" s="212" t="str">
        <f t="shared" ref="AN594:AN597" si="582">IF(OR(Y594="",G594=""),"",Y594-G594)</f>
        <v/>
      </c>
      <c r="AO594" s="212" t="str">
        <f t="shared" ref="AO594:AO597" si="583">IF(OR(Z594="",H594=""),"",Z594-H594)</f>
        <v/>
      </c>
      <c r="AP594" s="212" t="str">
        <f t="shared" ref="AP594:AP597" si="584">IF(OR(AA594="",I594=""),"",AA594-I594)</f>
        <v/>
      </c>
      <c r="AQ594" s="151" t="str">
        <f t="shared" ref="AQ594:AQ597" si="585">IF(OR(AB594="",J594=""),"",AB594-J594)</f>
        <v/>
      </c>
      <c r="AR594" s="68"/>
      <c r="AS594" s="69"/>
      <c r="AT594" s="68"/>
    </row>
    <row r="595" spans="2:46" ht="13.5" customHeight="1" x14ac:dyDescent="0.15">
      <c r="B595" s="327"/>
      <c r="C595" s="52" t="s">
        <v>48</v>
      </c>
      <c r="D595" s="73"/>
      <c r="E595" s="95"/>
      <c r="F595" s="103"/>
      <c r="G595" s="103"/>
      <c r="H595" s="103"/>
      <c r="I595" s="103"/>
      <c r="J595" s="103"/>
      <c r="K595" s="104"/>
      <c r="L595" s="206"/>
      <c r="M595" s="206"/>
      <c r="N595" s="95"/>
      <c r="O595" s="53"/>
      <c r="P595" s="95"/>
      <c r="Q595" s="53"/>
      <c r="R595" s="225"/>
      <c r="S595" s="161"/>
      <c r="T595" s="327"/>
      <c r="U595" s="52" t="s">
        <v>48</v>
      </c>
      <c r="V595" s="73"/>
      <c r="W595" s="95"/>
      <c r="X595" s="103"/>
      <c r="Y595" s="103"/>
      <c r="Z595" s="103"/>
      <c r="AA595" s="103"/>
      <c r="AB595" s="103"/>
      <c r="AC595" s="104"/>
      <c r="AD595" s="104"/>
      <c r="AE595" s="104"/>
      <c r="AF595" s="95"/>
      <c r="AG595" s="53"/>
      <c r="AH595" s="95"/>
      <c r="AI595" s="53"/>
      <c r="AJ595" s="225"/>
      <c r="AK595" s="169"/>
      <c r="AL595" s="327"/>
      <c r="AM595" s="150" t="str">
        <f t="shared" si="581"/>
        <v/>
      </c>
      <c r="AN595" s="212" t="str">
        <f t="shared" si="582"/>
        <v/>
      </c>
      <c r="AO595" s="212" t="str">
        <f t="shared" si="583"/>
        <v/>
      </c>
      <c r="AP595" s="212" t="str">
        <f t="shared" si="584"/>
        <v/>
      </c>
      <c r="AQ595" s="151" t="str">
        <f t="shared" si="585"/>
        <v/>
      </c>
      <c r="AR595" s="68"/>
      <c r="AS595" s="69"/>
      <c r="AT595" s="68"/>
    </row>
    <row r="596" spans="2:46" ht="13.5" customHeight="1" x14ac:dyDescent="0.15">
      <c r="B596" s="327"/>
      <c r="C596" s="52" t="s">
        <v>50</v>
      </c>
      <c r="D596" s="73"/>
      <c r="E596" s="95"/>
      <c r="F596" s="103"/>
      <c r="G596" s="103"/>
      <c r="H596" s="103"/>
      <c r="I596" s="103"/>
      <c r="J596" s="103"/>
      <c r="K596" s="104"/>
      <c r="L596" s="206"/>
      <c r="M596" s="206"/>
      <c r="N596" s="95"/>
      <c r="O596" s="53"/>
      <c r="P596" s="95"/>
      <c r="Q596" s="53"/>
      <c r="R596" s="225"/>
      <c r="S596" s="161"/>
      <c r="T596" s="327"/>
      <c r="U596" s="52" t="s">
        <v>50</v>
      </c>
      <c r="V596" s="73"/>
      <c r="W596" s="95"/>
      <c r="X596" s="103"/>
      <c r="Y596" s="103"/>
      <c r="Z596" s="103"/>
      <c r="AA596" s="103"/>
      <c r="AB596" s="103"/>
      <c r="AC596" s="104"/>
      <c r="AD596" s="104"/>
      <c r="AE596" s="104"/>
      <c r="AF596" s="95"/>
      <c r="AG596" s="53"/>
      <c r="AH596" s="95"/>
      <c r="AI596" s="53"/>
      <c r="AJ596" s="225"/>
      <c r="AK596" s="169"/>
      <c r="AL596" s="327"/>
      <c r="AM596" s="150" t="str">
        <f t="shared" si="581"/>
        <v/>
      </c>
      <c r="AN596" s="212" t="str">
        <f t="shared" si="582"/>
        <v/>
      </c>
      <c r="AO596" s="212" t="str">
        <f t="shared" si="583"/>
        <v/>
      </c>
      <c r="AP596" s="212" t="str">
        <f t="shared" si="584"/>
        <v/>
      </c>
      <c r="AQ596" s="151" t="str">
        <f t="shared" si="585"/>
        <v/>
      </c>
      <c r="AR596" s="68"/>
      <c r="AS596" s="69"/>
      <c r="AT596" s="68"/>
    </row>
    <row r="597" spans="2:46" ht="13.5" customHeight="1" thickBot="1" x14ac:dyDescent="0.2">
      <c r="B597" s="328"/>
      <c r="C597" s="54" t="s">
        <v>51</v>
      </c>
      <c r="D597" s="74"/>
      <c r="E597" s="98"/>
      <c r="F597" s="105"/>
      <c r="G597" s="105"/>
      <c r="H597" s="105"/>
      <c r="I597" s="105"/>
      <c r="J597" s="105"/>
      <c r="K597" s="106"/>
      <c r="L597" s="207"/>
      <c r="M597" s="207"/>
      <c r="N597" s="98"/>
      <c r="O597" s="66"/>
      <c r="P597" s="98"/>
      <c r="Q597" s="66"/>
      <c r="R597" s="226"/>
      <c r="S597" s="161"/>
      <c r="T597" s="328"/>
      <c r="U597" s="54" t="s">
        <v>51</v>
      </c>
      <c r="V597" s="74"/>
      <c r="W597" s="98"/>
      <c r="X597" s="105"/>
      <c r="Y597" s="105"/>
      <c r="Z597" s="105"/>
      <c r="AA597" s="105"/>
      <c r="AB597" s="105"/>
      <c r="AC597" s="106"/>
      <c r="AD597" s="106"/>
      <c r="AE597" s="106"/>
      <c r="AF597" s="98"/>
      <c r="AG597" s="66"/>
      <c r="AH597" s="98"/>
      <c r="AI597" s="66"/>
      <c r="AJ597" s="226"/>
      <c r="AK597" s="169"/>
      <c r="AL597" s="328"/>
      <c r="AM597" s="213" t="str">
        <f t="shared" si="581"/>
        <v/>
      </c>
      <c r="AN597" s="214" t="str">
        <f t="shared" si="582"/>
        <v/>
      </c>
      <c r="AO597" s="214" t="str">
        <f t="shared" si="583"/>
        <v/>
      </c>
      <c r="AP597" s="214" t="str">
        <f t="shared" si="584"/>
        <v/>
      </c>
      <c r="AQ597" s="215" t="str">
        <f t="shared" si="585"/>
        <v/>
      </c>
      <c r="AR597" s="68"/>
      <c r="AS597" s="69"/>
      <c r="AT597" s="68"/>
    </row>
    <row r="598" spans="2:46" ht="13.5" customHeight="1" x14ac:dyDescent="0.15">
      <c r="B598" s="326" t="s">
        <v>204</v>
      </c>
      <c r="C598" s="50" t="s">
        <v>46</v>
      </c>
      <c r="D598" s="71"/>
      <c r="E598" s="93"/>
      <c r="F598" s="101"/>
      <c r="G598" s="101"/>
      <c r="H598" s="101"/>
      <c r="I598" s="101"/>
      <c r="J598" s="101"/>
      <c r="K598" s="102"/>
      <c r="L598" s="205"/>
      <c r="M598" s="205"/>
      <c r="N598" s="93"/>
      <c r="O598" s="51"/>
      <c r="P598" s="93"/>
      <c r="Q598" s="51"/>
      <c r="R598" s="224"/>
      <c r="S598" s="161"/>
      <c r="T598" s="326" t="s">
        <v>204</v>
      </c>
      <c r="U598" s="50" t="s">
        <v>46</v>
      </c>
      <c r="V598" s="71"/>
      <c r="W598" s="93"/>
      <c r="X598" s="101"/>
      <c r="Y598" s="101"/>
      <c r="Z598" s="101"/>
      <c r="AA598" s="101"/>
      <c r="AB598" s="101"/>
      <c r="AC598" s="102"/>
      <c r="AD598" s="102"/>
      <c r="AE598" s="102"/>
      <c r="AF598" s="93"/>
      <c r="AG598" s="51"/>
      <c r="AH598" s="93"/>
      <c r="AI598" s="51"/>
      <c r="AJ598" s="224"/>
      <c r="AK598" s="169"/>
      <c r="AL598" s="326" t="s">
        <v>204</v>
      </c>
      <c r="AM598" s="210" t="str">
        <f>IF(OR(X598="",F598=""),"",X598-F598)</f>
        <v/>
      </c>
      <c r="AN598" s="171" t="str">
        <f>IF(OR(Y598="",G598=""),"",Y598-G598)</f>
        <v/>
      </c>
      <c r="AO598" s="171" t="str">
        <f>IF(OR(Z598="",H598=""),"",Z598-H598)</f>
        <v/>
      </c>
      <c r="AP598" s="171" t="str">
        <f>IF(OR(AA598="",I598=""),"",AA598-I598)</f>
        <v/>
      </c>
      <c r="AQ598" s="211" t="str">
        <f>IF(OR(AB598="",J598=""),"",AB598-J598)</f>
        <v/>
      </c>
      <c r="AR598" s="68"/>
      <c r="AS598" s="69"/>
      <c r="AT598" s="68"/>
    </row>
    <row r="599" spans="2:46" ht="13.5" customHeight="1" x14ac:dyDescent="0.15">
      <c r="B599" s="327"/>
      <c r="C599" s="52" t="s">
        <v>47</v>
      </c>
      <c r="D599" s="73"/>
      <c r="E599" s="95"/>
      <c r="F599" s="103"/>
      <c r="G599" s="103"/>
      <c r="H599" s="103"/>
      <c r="I599" s="103"/>
      <c r="J599" s="103"/>
      <c r="K599" s="104"/>
      <c r="L599" s="206"/>
      <c r="M599" s="206"/>
      <c r="N599" s="95"/>
      <c r="O599" s="53"/>
      <c r="P599" s="95"/>
      <c r="Q599" s="53"/>
      <c r="R599" s="225"/>
      <c r="S599" s="161"/>
      <c r="T599" s="327"/>
      <c r="U599" s="52" t="s">
        <v>47</v>
      </c>
      <c r="V599" s="73"/>
      <c r="W599" s="95"/>
      <c r="X599" s="103"/>
      <c r="Y599" s="103"/>
      <c r="Z599" s="103"/>
      <c r="AA599" s="103"/>
      <c r="AB599" s="103"/>
      <c r="AC599" s="104"/>
      <c r="AD599" s="104"/>
      <c r="AE599" s="104"/>
      <c r="AF599" s="95"/>
      <c r="AG599" s="53"/>
      <c r="AH599" s="95"/>
      <c r="AI599" s="53"/>
      <c r="AJ599" s="225"/>
      <c r="AK599" s="169"/>
      <c r="AL599" s="327"/>
      <c r="AM599" s="150" t="str">
        <f t="shared" ref="AM599:AM602" si="586">IF(OR(X599="",F599=""),"",X599-F599)</f>
        <v/>
      </c>
      <c r="AN599" s="212" t="str">
        <f t="shared" ref="AN599:AN602" si="587">IF(OR(Y599="",G599=""),"",Y599-G599)</f>
        <v/>
      </c>
      <c r="AO599" s="212" t="str">
        <f t="shared" ref="AO599:AO602" si="588">IF(OR(Z599="",H599=""),"",Z599-H599)</f>
        <v/>
      </c>
      <c r="AP599" s="212" t="str">
        <f t="shared" ref="AP599:AP602" si="589">IF(OR(AA599="",I599=""),"",AA599-I599)</f>
        <v/>
      </c>
      <c r="AQ599" s="151" t="str">
        <f t="shared" ref="AQ599:AQ602" si="590">IF(OR(AB599="",J599=""),"",AB599-J599)</f>
        <v/>
      </c>
      <c r="AR599" s="68"/>
      <c r="AS599" s="69"/>
      <c r="AT599" s="68"/>
    </row>
    <row r="600" spans="2:46" ht="13.5" customHeight="1" x14ac:dyDescent="0.15">
      <c r="B600" s="327"/>
      <c r="C600" s="52" t="s">
        <v>48</v>
      </c>
      <c r="D600" s="73"/>
      <c r="E600" s="95"/>
      <c r="F600" s="103"/>
      <c r="G600" s="103"/>
      <c r="H600" s="103"/>
      <c r="I600" s="103"/>
      <c r="J600" s="103"/>
      <c r="K600" s="104"/>
      <c r="L600" s="206"/>
      <c r="M600" s="206"/>
      <c r="N600" s="95"/>
      <c r="O600" s="53"/>
      <c r="P600" s="95"/>
      <c r="Q600" s="53"/>
      <c r="R600" s="225"/>
      <c r="S600" s="161"/>
      <c r="T600" s="327"/>
      <c r="U600" s="52" t="s">
        <v>48</v>
      </c>
      <c r="V600" s="73"/>
      <c r="W600" s="95"/>
      <c r="X600" s="103"/>
      <c r="Y600" s="103"/>
      <c r="Z600" s="103"/>
      <c r="AA600" s="103"/>
      <c r="AB600" s="103"/>
      <c r="AC600" s="104"/>
      <c r="AD600" s="104"/>
      <c r="AE600" s="104"/>
      <c r="AF600" s="95"/>
      <c r="AG600" s="53"/>
      <c r="AH600" s="95"/>
      <c r="AI600" s="53"/>
      <c r="AJ600" s="225"/>
      <c r="AK600" s="169"/>
      <c r="AL600" s="327"/>
      <c r="AM600" s="150" t="str">
        <f t="shared" si="586"/>
        <v/>
      </c>
      <c r="AN600" s="212" t="str">
        <f t="shared" si="587"/>
        <v/>
      </c>
      <c r="AO600" s="212" t="str">
        <f t="shared" si="588"/>
        <v/>
      </c>
      <c r="AP600" s="212" t="str">
        <f t="shared" si="589"/>
        <v/>
      </c>
      <c r="AQ600" s="151" t="str">
        <f t="shared" si="590"/>
        <v/>
      </c>
      <c r="AR600" s="68"/>
      <c r="AS600" s="69"/>
      <c r="AT600" s="68"/>
    </row>
    <row r="601" spans="2:46" ht="13.5" customHeight="1" x14ac:dyDescent="0.15">
      <c r="B601" s="327"/>
      <c r="C601" s="52" t="s">
        <v>50</v>
      </c>
      <c r="D601" s="73"/>
      <c r="E601" s="95"/>
      <c r="F601" s="103"/>
      <c r="G601" s="103"/>
      <c r="H601" s="103"/>
      <c r="I601" s="103"/>
      <c r="J601" s="103"/>
      <c r="K601" s="104"/>
      <c r="L601" s="206"/>
      <c r="M601" s="206"/>
      <c r="N601" s="95"/>
      <c r="O601" s="53"/>
      <c r="P601" s="95"/>
      <c r="Q601" s="53"/>
      <c r="R601" s="225"/>
      <c r="S601" s="161"/>
      <c r="T601" s="327"/>
      <c r="U601" s="52" t="s">
        <v>50</v>
      </c>
      <c r="V601" s="73"/>
      <c r="W601" s="95"/>
      <c r="X601" s="103"/>
      <c r="Y601" s="103"/>
      <c r="Z601" s="103"/>
      <c r="AA601" s="103"/>
      <c r="AB601" s="103"/>
      <c r="AC601" s="104"/>
      <c r="AD601" s="104"/>
      <c r="AE601" s="104"/>
      <c r="AF601" s="95"/>
      <c r="AG601" s="53"/>
      <c r="AH601" s="95"/>
      <c r="AI601" s="53"/>
      <c r="AJ601" s="225"/>
      <c r="AK601" s="169"/>
      <c r="AL601" s="327"/>
      <c r="AM601" s="150" t="str">
        <f t="shared" si="586"/>
        <v/>
      </c>
      <c r="AN601" s="212" t="str">
        <f t="shared" si="587"/>
        <v/>
      </c>
      <c r="AO601" s="212" t="str">
        <f t="shared" si="588"/>
        <v/>
      </c>
      <c r="AP601" s="212" t="str">
        <f t="shared" si="589"/>
        <v/>
      </c>
      <c r="AQ601" s="151" t="str">
        <f t="shared" si="590"/>
        <v/>
      </c>
      <c r="AR601" s="68"/>
      <c r="AS601" s="69"/>
      <c r="AT601" s="68"/>
    </row>
    <row r="602" spans="2:46" ht="13.5" customHeight="1" thickBot="1" x14ac:dyDescent="0.2">
      <c r="B602" s="328"/>
      <c r="C602" s="52" t="s">
        <v>51</v>
      </c>
      <c r="D602" s="74"/>
      <c r="E602" s="98"/>
      <c r="F602" s="105"/>
      <c r="G602" s="105"/>
      <c r="H602" s="105"/>
      <c r="I602" s="105"/>
      <c r="J602" s="105"/>
      <c r="K602" s="106"/>
      <c r="L602" s="207"/>
      <c r="M602" s="207"/>
      <c r="N602" s="98"/>
      <c r="O602" s="66"/>
      <c r="P602" s="98"/>
      <c r="Q602" s="66"/>
      <c r="R602" s="225"/>
      <c r="S602" s="161"/>
      <c r="T602" s="328"/>
      <c r="U602" s="52" t="s">
        <v>51</v>
      </c>
      <c r="V602" s="74"/>
      <c r="W602" s="98"/>
      <c r="X602" s="105"/>
      <c r="Y602" s="105"/>
      <c r="Z602" s="105"/>
      <c r="AA602" s="105"/>
      <c r="AB602" s="105"/>
      <c r="AC602" s="106"/>
      <c r="AD602" s="106"/>
      <c r="AE602" s="106"/>
      <c r="AF602" s="98"/>
      <c r="AG602" s="66"/>
      <c r="AH602" s="98"/>
      <c r="AI602" s="66"/>
      <c r="AJ602" s="225"/>
      <c r="AK602" s="169"/>
      <c r="AL602" s="328"/>
      <c r="AM602" s="213" t="str">
        <f t="shared" si="586"/>
        <v/>
      </c>
      <c r="AN602" s="214" t="str">
        <f t="shared" si="587"/>
        <v/>
      </c>
      <c r="AO602" s="214" t="str">
        <f t="shared" si="588"/>
        <v/>
      </c>
      <c r="AP602" s="214" t="str">
        <f t="shared" si="589"/>
        <v/>
      </c>
      <c r="AQ602" s="215" t="str">
        <f t="shared" si="590"/>
        <v/>
      </c>
      <c r="AR602" s="68"/>
      <c r="AS602" s="69"/>
      <c r="AT602" s="68"/>
    </row>
    <row r="603" spans="2:46" ht="13.5" customHeight="1" x14ac:dyDescent="0.15">
      <c r="B603" s="326" t="s">
        <v>205</v>
      </c>
      <c r="C603" s="50" t="s">
        <v>46</v>
      </c>
      <c r="D603" s="71"/>
      <c r="E603" s="93"/>
      <c r="F603" s="101"/>
      <c r="G603" s="101"/>
      <c r="H603" s="101"/>
      <c r="I603" s="101"/>
      <c r="J603" s="101"/>
      <c r="K603" s="102"/>
      <c r="L603" s="205"/>
      <c r="M603" s="205"/>
      <c r="N603" s="93"/>
      <c r="O603" s="51"/>
      <c r="P603" s="93"/>
      <c r="Q603" s="51"/>
      <c r="R603" s="224"/>
      <c r="S603" s="161"/>
      <c r="T603" s="326" t="s">
        <v>205</v>
      </c>
      <c r="U603" s="50" t="s">
        <v>46</v>
      </c>
      <c r="V603" s="71"/>
      <c r="W603" s="93"/>
      <c r="X603" s="101"/>
      <c r="Y603" s="101"/>
      <c r="Z603" s="101"/>
      <c r="AA603" s="101"/>
      <c r="AB603" s="101"/>
      <c r="AC603" s="102"/>
      <c r="AD603" s="102"/>
      <c r="AE603" s="102"/>
      <c r="AF603" s="93"/>
      <c r="AG603" s="51"/>
      <c r="AH603" s="93"/>
      <c r="AI603" s="51"/>
      <c r="AJ603" s="224"/>
      <c r="AK603" s="169"/>
      <c r="AL603" s="326" t="s">
        <v>205</v>
      </c>
      <c r="AM603" s="210" t="str">
        <f>IF(OR(X603="",F603=""),"",X603-F603)</f>
        <v/>
      </c>
      <c r="AN603" s="171" t="str">
        <f>IF(OR(Y603="",G603=""),"",Y603-G603)</f>
        <v/>
      </c>
      <c r="AO603" s="171" t="str">
        <f>IF(OR(Z603="",H603=""),"",Z603-H603)</f>
        <v/>
      </c>
      <c r="AP603" s="171" t="str">
        <f>IF(OR(AA603="",I603=""),"",AA603-I603)</f>
        <v/>
      </c>
      <c r="AQ603" s="211" t="str">
        <f>IF(OR(AB603="",J603=""),"",AB603-J603)</f>
        <v/>
      </c>
      <c r="AR603" s="68"/>
      <c r="AS603" s="69"/>
      <c r="AT603" s="68"/>
    </row>
    <row r="604" spans="2:46" ht="13.5" customHeight="1" x14ac:dyDescent="0.15">
      <c r="B604" s="327"/>
      <c r="C604" s="52" t="s">
        <v>47</v>
      </c>
      <c r="D604" s="73"/>
      <c r="E604" s="95"/>
      <c r="F604" s="103"/>
      <c r="G604" s="103"/>
      <c r="H604" s="103"/>
      <c r="I604" s="103"/>
      <c r="J604" s="103"/>
      <c r="K604" s="104"/>
      <c r="L604" s="206"/>
      <c r="M604" s="206"/>
      <c r="N604" s="95"/>
      <c r="O604" s="53"/>
      <c r="P604" s="95"/>
      <c r="Q604" s="53"/>
      <c r="R604" s="225"/>
      <c r="S604" s="161"/>
      <c r="T604" s="327"/>
      <c r="U604" s="52" t="s">
        <v>47</v>
      </c>
      <c r="V604" s="73"/>
      <c r="W604" s="95"/>
      <c r="X604" s="103"/>
      <c r="Y604" s="103"/>
      <c r="Z604" s="103"/>
      <c r="AA604" s="103"/>
      <c r="AB604" s="103"/>
      <c r="AC604" s="104"/>
      <c r="AD604" s="104"/>
      <c r="AE604" s="104"/>
      <c r="AF604" s="95"/>
      <c r="AG604" s="53"/>
      <c r="AH604" s="95"/>
      <c r="AI604" s="53"/>
      <c r="AJ604" s="225"/>
      <c r="AK604" s="169"/>
      <c r="AL604" s="327"/>
      <c r="AM604" s="150" t="str">
        <f t="shared" ref="AM604:AM607" si="591">IF(OR(X604="",F604=""),"",X604-F604)</f>
        <v/>
      </c>
      <c r="AN604" s="212" t="str">
        <f t="shared" ref="AN604:AN607" si="592">IF(OR(Y604="",G604=""),"",Y604-G604)</f>
        <v/>
      </c>
      <c r="AO604" s="212" t="str">
        <f t="shared" ref="AO604:AO607" si="593">IF(OR(Z604="",H604=""),"",Z604-H604)</f>
        <v/>
      </c>
      <c r="AP604" s="212" t="str">
        <f t="shared" ref="AP604:AP607" si="594">IF(OR(AA604="",I604=""),"",AA604-I604)</f>
        <v/>
      </c>
      <c r="AQ604" s="151" t="str">
        <f t="shared" ref="AQ604:AQ607" si="595">IF(OR(AB604="",J604=""),"",AB604-J604)</f>
        <v/>
      </c>
      <c r="AR604" s="68"/>
      <c r="AS604" s="69"/>
      <c r="AT604" s="68"/>
    </row>
    <row r="605" spans="2:46" ht="13.5" customHeight="1" x14ac:dyDescent="0.15">
      <c r="B605" s="327"/>
      <c r="C605" s="52" t="s">
        <v>48</v>
      </c>
      <c r="D605" s="73"/>
      <c r="E605" s="95"/>
      <c r="F605" s="103"/>
      <c r="G605" s="103"/>
      <c r="H605" s="103"/>
      <c r="I605" s="103"/>
      <c r="J605" s="103"/>
      <c r="K605" s="104"/>
      <c r="L605" s="206"/>
      <c r="M605" s="206"/>
      <c r="N605" s="95"/>
      <c r="O605" s="53"/>
      <c r="P605" s="95"/>
      <c r="Q605" s="53"/>
      <c r="R605" s="225"/>
      <c r="S605" s="161"/>
      <c r="T605" s="327"/>
      <c r="U605" s="52" t="s">
        <v>48</v>
      </c>
      <c r="V605" s="73"/>
      <c r="W605" s="95"/>
      <c r="X605" s="103"/>
      <c r="Y605" s="103"/>
      <c r="Z605" s="103"/>
      <c r="AA605" s="103"/>
      <c r="AB605" s="103"/>
      <c r="AC605" s="104"/>
      <c r="AD605" s="104"/>
      <c r="AE605" s="104"/>
      <c r="AF605" s="95"/>
      <c r="AG605" s="53"/>
      <c r="AH605" s="95"/>
      <c r="AI605" s="53"/>
      <c r="AJ605" s="225"/>
      <c r="AK605" s="169"/>
      <c r="AL605" s="327"/>
      <c r="AM605" s="150" t="str">
        <f t="shared" si="591"/>
        <v/>
      </c>
      <c r="AN605" s="212" t="str">
        <f t="shared" si="592"/>
        <v/>
      </c>
      <c r="AO605" s="212" t="str">
        <f t="shared" si="593"/>
        <v/>
      </c>
      <c r="AP605" s="212" t="str">
        <f t="shared" si="594"/>
        <v/>
      </c>
      <c r="AQ605" s="151" t="str">
        <f t="shared" si="595"/>
        <v/>
      </c>
      <c r="AR605" s="68"/>
      <c r="AS605" s="69"/>
      <c r="AT605" s="68"/>
    </row>
    <row r="606" spans="2:46" ht="13.5" customHeight="1" x14ac:dyDescent="0.15">
      <c r="B606" s="327"/>
      <c r="C606" s="52" t="s">
        <v>50</v>
      </c>
      <c r="D606" s="73"/>
      <c r="E606" s="95"/>
      <c r="F606" s="103"/>
      <c r="G606" s="103"/>
      <c r="H606" s="103"/>
      <c r="I606" s="103"/>
      <c r="J606" s="103"/>
      <c r="K606" s="104"/>
      <c r="L606" s="206"/>
      <c r="M606" s="206"/>
      <c r="N606" s="95"/>
      <c r="O606" s="53"/>
      <c r="P606" s="95"/>
      <c r="Q606" s="53"/>
      <c r="R606" s="225"/>
      <c r="S606" s="161"/>
      <c r="T606" s="327"/>
      <c r="U606" s="52" t="s">
        <v>50</v>
      </c>
      <c r="V606" s="73"/>
      <c r="W606" s="95"/>
      <c r="X606" s="103"/>
      <c r="Y606" s="103"/>
      <c r="Z606" s="103"/>
      <c r="AA606" s="103"/>
      <c r="AB606" s="103"/>
      <c r="AC606" s="104"/>
      <c r="AD606" s="104"/>
      <c r="AE606" s="104"/>
      <c r="AF606" s="95"/>
      <c r="AG606" s="53"/>
      <c r="AH606" s="95"/>
      <c r="AI606" s="53"/>
      <c r="AJ606" s="225"/>
      <c r="AK606" s="169"/>
      <c r="AL606" s="327"/>
      <c r="AM606" s="150" t="str">
        <f t="shared" si="591"/>
        <v/>
      </c>
      <c r="AN606" s="212" t="str">
        <f t="shared" si="592"/>
        <v/>
      </c>
      <c r="AO606" s="212" t="str">
        <f t="shared" si="593"/>
        <v/>
      </c>
      <c r="AP606" s="212" t="str">
        <f t="shared" si="594"/>
        <v/>
      </c>
      <c r="AQ606" s="151" t="str">
        <f t="shared" si="595"/>
        <v/>
      </c>
      <c r="AR606" s="68"/>
      <c r="AS606" s="69"/>
      <c r="AT606" s="68"/>
    </row>
    <row r="607" spans="2:46" ht="13.5" customHeight="1" thickBot="1" x14ac:dyDescent="0.2">
      <c r="B607" s="328"/>
      <c r="C607" s="52" t="s">
        <v>51</v>
      </c>
      <c r="D607" s="74"/>
      <c r="E607" s="98"/>
      <c r="F607" s="105"/>
      <c r="G607" s="105"/>
      <c r="H607" s="105"/>
      <c r="I607" s="105"/>
      <c r="J607" s="105"/>
      <c r="K607" s="106"/>
      <c r="L607" s="207"/>
      <c r="M607" s="207"/>
      <c r="N607" s="98"/>
      <c r="O607" s="66"/>
      <c r="P607" s="98"/>
      <c r="Q607" s="66"/>
      <c r="R607" s="225"/>
      <c r="S607" s="161"/>
      <c r="T607" s="328"/>
      <c r="U607" s="52" t="s">
        <v>51</v>
      </c>
      <c r="V607" s="74"/>
      <c r="W607" s="98"/>
      <c r="X607" s="105"/>
      <c r="Y607" s="105"/>
      <c r="Z607" s="105"/>
      <c r="AA607" s="105"/>
      <c r="AB607" s="105"/>
      <c r="AC607" s="106"/>
      <c r="AD607" s="106"/>
      <c r="AE607" s="106"/>
      <c r="AF607" s="98"/>
      <c r="AG607" s="66"/>
      <c r="AH607" s="98"/>
      <c r="AI607" s="66"/>
      <c r="AJ607" s="225"/>
      <c r="AK607" s="169"/>
      <c r="AL607" s="328"/>
      <c r="AM607" s="213" t="str">
        <f t="shared" si="591"/>
        <v/>
      </c>
      <c r="AN607" s="214" t="str">
        <f t="shared" si="592"/>
        <v/>
      </c>
      <c r="AO607" s="214" t="str">
        <f t="shared" si="593"/>
        <v/>
      </c>
      <c r="AP607" s="214" t="str">
        <f t="shared" si="594"/>
        <v/>
      </c>
      <c r="AQ607" s="215" t="str">
        <f t="shared" si="595"/>
        <v/>
      </c>
      <c r="AR607" s="68"/>
      <c r="AS607" s="69"/>
      <c r="AT607" s="68"/>
    </row>
    <row r="608" spans="2:46" ht="13.5" customHeight="1" x14ac:dyDescent="0.15">
      <c r="B608" s="326" t="s">
        <v>206</v>
      </c>
      <c r="C608" s="50" t="s">
        <v>46</v>
      </c>
      <c r="D608" s="71"/>
      <c r="E608" s="93"/>
      <c r="F608" s="101"/>
      <c r="G608" s="101"/>
      <c r="H608" s="101"/>
      <c r="I608" s="101"/>
      <c r="J608" s="101"/>
      <c r="K608" s="102"/>
      <c r="L608" s="205"/>
      <c r="M608" s="205"/>
      <c r="N608" s="93"/>
      <c r="O608" s="51"/>
      <c r="P608" s="93"/>
      <c r="Q608" s="51"/>
      <c r="R608" s="224"/>
      <c r="S608" s="161"/>
      <c r="T608" s="326" t="s">
        <v>206</v>
      </c>
      <c r="U608" s="50" t="s">
        <v>46</v>
      </c>
      <c r="V608" s="71"/>
      <c r="W608" s="93"/>
      <c r="X608" s="101"/>
      <c r="Y608" s="101"/>
      <c r="Z608" s="101"/>
      <c r="AA608" s="101"/>
      <c r="AB608" s="101"/>
      <c r="AC608" s="102"/>
      <c r="AD608" s="102"/>
      <c r="AE608" s="102"/>
      <c r="AF608" s="93"/>
      <c r="AG608" s="51"/>
      <c r="AH608" s="93"/>
      <c r="AI608" s="51"/>
      <c r="AJ608" s="224"/>
      <c r="AK608" s="169"/>
      <c r="AL608" s="326" t="s">
        <v>206</v>
      </c>
      <c r="AM608" s="210" t="str">
        <f>IF(OR(X608="",F608=""),"",X608-F608)</f>
        <v/>
      </c>
      <c r="AN608" s="171" t="str">
        <f>IF(OR(Y608="",G608=""),"",Y608-G608)</f>
        <v/>
      </c>
      <c r="AO608" s="171" t="str">
        <f>IF(OR(Z608="",H608=""),"",Z608-H608)</f>
        <v/>
      </c>
      <c r="AP608" s="171" t="str">
        <f>IF(OR(AA608="",I608=""),"",AA608-I608)</f>
        <v/>
      </c>
      <c r="AQ608" s="211" t="str">
        <f>IF(OR(AB608="",J608=""),"",AB608-J608)</f>
        <v/>
      </c>
      <c r="AR608" s="68"/>
      <c r="AS608" s="69"/>
      <c r="AT608" s="68"/>
    </row>
    <row r="609" spans="2:46" ht="13.5" customHeight="1" x14ac:dyDescent="0.15">
      <c r="B609" s="327"/>
      <c r="C609" s="52" t="s">
        <v>47</v>
      </c>
      <c r="D609" s="73"/>
      <c r="E609" s="95"/>
      <c r="F609" s="103"/>
      <c r="G609" s="103"/>
      <c r="H609" s="103"/>
      <c r="I609" s="103"/>
      <c r="J609" s="103"/>
      <c r="K609" s="104"/>
      <c r="L609" s="206"/>
      <c r="M609" s="206"/>
      <c r="N609" s="95"/>
      <c r="O609" s="53"/>
      <c r="P609" s="95"/>
      <c r="Q609" s="53"/>
      <c r="R609" s="225"/>
      <c r="S609" s="161"/>
      <c r="T609" s="327"/>
      <c r="U609" s="52" t="s">
        <v>47</v>
      </c>
      <c r="V609" s="73"/>
      <c r="W609" s="95"/>
      <c r="X609" s="103"/>
      <c r="Y609" s="103"/>
      <c r="Z609" s="103"/>
      <c r="AA609" s="103"/>
      <c r="AB609" s="103"/>
      <c r="AC609" s="104"/>
      <c r="AD609" s="104"/>
      <c r="AE609" s="104"/>
      <c r="AF609" s="95"/>
      <c r="AG609" s="53"/>
      <c r="AH609" s="95"/>
      <c r="AI609" s="53"/>
      <c r="AJ609" s="225"/>
      <c r="AK609" s="169"/>
      <c r="AL609" s="327"/>
      <c r="AM609" s="150" t="str">
        <f t="shared" ref="AM609:AM612" si="596">IF(OR(X609="",F609=""),"",X609-F609)</f>
        <v/>
      </c>
      <c r="AN609" s="212" t="str">
        <f t="shared" ref="AN609:AN612" si="597">IF(OR(Y609="",G609=""),"",Y609-G609)</f>
        <v/>
      </c>
      <c r="AO609" s="212" t="str">
        <f t="shared" ref="AO609:AO612" si="598">IF(OR(Z609="",H609=""),"",Z609-H609)</f>
        <v/>
      </c>
      <c r="AP609" s="212" t="str">
        <f t="shared" ref="AP609:AP612" si="599">IF(OR(AA609="",I609=""),"",AA609-I609)</f>
        <v/>
      </c>
      <c r="AQ609" s="151" t="str">
        <f t="shared" ref="AQ609:AQ612" si="600">IF(OR(AB609="",J609=""),"",AB609-J609)</f>
        <v/>
      </c>
      <c r="AR609" s="68"/>
      <c r="AS609" s="69"/>
      <c r="AT609" s="68"/>
    </row>
    <row r="610" spans="2:46" ht="13.5" customHeight="1" x14ac:dyDescent="0.15">
      <c r="B610" s="327"/>
      <c r="C610" s="52" t="s">
        <v>48</v>
      </c>
      <c r="D610" s="73"/>
      <c r="E610" s="95"/>
      <c r="F610" s="103"/>
      <c r="G610" s="103"/>
      <c r="H610" s="103"/>
      <c r="I610" s="103"/>
      <c r="J610" s="103"/>
      <c r="K610" s="104"/>
      <c r="L610" s="206"/>
      <c r="M610" s="206"/>
      <c r="N610" s="95"/>
      <c r="O610" s="53"/>
      <c r="P610" s="95"/>
      <c r="Q610" s="53"/>
      <c r="R610" s="225"/>
      <c r="S610" s="161"/>
      <c r="T610" s="327"/>
      <c r="U610" s="52" t="s">
        <v>48</v>
      </c>
      <c r="V610" s="73"/>
      <c r="W610" s="95"/>
      <c r="X610" s="103"/>
      <c r="Y610" s="103"/>
      <c r="Z610" s="103"/>
      <c r="AA610" s="103"/>
      <c r="AB610" s="103"/>
      <c r="AC610" s="104"/>
      <c r="AD610" s="104"/>
      <c r="AE610" s="104"/>
      <c r="AF610" s="95"/>
      <c r="AG610" s="53"/>
      <c r="AH610" s="95"/>
      <c r="AI610" s="53"/>
      <c r="AJ610" s="225"/>
      <c r="AK610" s="169"/>
      <c r="AL610" s="327"/>
      <c r="AM610" s="150" t="str">
        <f t="shared" si="596"/>
        <v/>
      </c>
      <c r="AN610" s="212" t="str">
        <f t="shared" si="597"/>
        <v/>
      </c>
      <c r="AO610" s="212" t="str">
        <f t="shared" si="598"/>
        <v/>
      </c>
      <c r="AP610" s="212" t="str">
        <f t="shared" si="599"/>
        <v/>
      </c>
      <c r="AQ610" s="151" t="str">
        <f t="shared" si="600"/>
        <v/>
      </c>
      <c r="AR610" s="68"/>
      <c r="AS610" s="69"/>
      <c r="AT610" s="68"/>
    </row>
    <row r="611" spans="2:46" ht="13.5" customHeight="1" x14ac:dyDescent="0.15">
      <c r="B611" s="327"/>
      <c r="C611" s="52" t="s">
        <v>50</v>
      </c>
      <c r="D611" s="73"/>
      <c r="E611" s="95"/>
      <c r="F611" s="103"/>
      <c r="G611" s="103"/>
      <c r="H611" s="103"/>
      <c r="I611" s="103"/>
      <c r="J611" s="103"/>
      <c r="K611" s="104"/>
      <c r="L611" s="206"/>
      <c r="M611" s="206"/>
      <c r="N611" s="95"/>
      <c r="O611" s="53"/>
      <c r="P611" s="95"/>
      <c r="Q611" s="53"/>
      <c r="R611" s="225"/>
      <c r="S611" s="161"/>
      <c r="T611" s="327"/>
      <c r="U611" s="52" t="s">
        <v>50</v>
      </c>
      <c r="V611" s="73"/>
      <c r="W611" s="95"/>
      <c r="X611" s="103"/>
      <c r="Y611" s="103"/>
      <c r="Z611" s="103"/>
      <c r="AA611" s="103"/>
      <c r="AB611" s="103"/>
      <c r="AC611" s="104"/>
      <c r="AD611" s="104"/>
      <c r="AE611" s="104"/>
      <c r="AF611" s="95"/>
      <c r="AG611" s="53"/>
      <c r="AH611" s="95"/>
      <c r="AI611" s="53"/>
      <c r="AJ611" s="225"/>
      <c r="AK611" s="169"/>
      <c r="AL611" s="327"/>
      <c r="AM611" s="150" t="str">
        <f t="shared" si="596"/>
        <v/>
      </c>
      <c r="AN611" s="212" t="str">
        <f t="shared" si="597"/>
        <v/>
      </c>
      <c r="AO611" s="212" t="str">
        <f t="shared" si="598"/>
        <v/>
      </c>
      <c r="AP611" s="212" t="str">
        <f t="shared" si="599"/>
        <v/>
      </c>
      <c r="AQ611" s="151" t="str">
        <f t="shared" si="600"/>
        <v/>
      </c>
      <c r="AR611" s="68"/>
      <c r="AS611" s="69"/>
      <c r="AT611" s="68"/>
    </row>
    <row r="612" spans="2:46" ht="13.5" customHeight="1" thickBot="1" x14ac:dyDescent="0.2">
      <c r="B612" s="328"/>
      <c r="C612" s="52" t="s">
        <v>51</v>
      </c>
      <c r="D612" s="74"/>
      <c r="E612" s="98"/>
      <c r="F612" s="105"/>
      <c r="G612" s="105"/>
      <c r="H612" s="105"/>
      <c r="I612" s="105"/>
      <c r="J612" s="105"/>
      <c r="K612" s="106"/>
      <c r="L612" s="207"/>
      <c r="M612" s="207"/>
      <c r="N612" s="98"/>
      <c r="O612" s="66"/>
      <c r="P612" s="98"/>
      <c r="Q612" s="66"/>
      <c r="R612" s="225"/>
      <c r="S612" s="161"/>
      <c r="T612" s="328"/>
      <c r="U612" s="52" t="s">
        <v>51</v>
      </c>
      <c r="V612" s="74"/>
      <c r="W612" s="98"/>
      <c r="X612" s="105"/>
      <c r="Y612" s="105"/>
      <c r="Z612" s="105"/>
      <c r="AA612" s="105"/>
      <c r="AB612" s="105"/>
      <c r="AC612" s="106"/>
      <c r="AD612" s="106"/>
      <c r="AE612" s="106"/>
      <c r="AF612" s="98"/>
      <c r="AG612" s="66"/>
      <c r="AH612" s="98"/>
      <c r="AI612" s="66"/>
      <c r="AJ612" s="225"/>
      <c r="AK612" s="169"/>
      <c r="AL612" s="328"/>
      <c r="AM612" s="213" t="str">
        <f t="shared" si="596"/>
        <v/>
      </c>
      <c r="AN612" s="214" t="str">
        <f t="shared" si="597"/>
        <v/>
      </c>
      <c r="AO612" s="214" t="str">
        <f t="shared" si="598"/>
        <v/>
      </c>
      <c r="AP612" s="214" t="str">
        <f t="shared" si="599"/>
        <v/>
      </c>
      <c r="AQ612" s="215" t="str">
        <f t="shared" si="600"/>
        <v/>
      </c>
      <c r="AR612" s="68"/>
      <c r="AS612" s="69"/>
      <c r="AT612" s="68"/>
    </row>
    <row r="613" spans="2:46" ht="13.5" customHeight="1" x14ac:dyDescent="0.15">
      <c r="B613" s="326" t="s">
        <v>207</v>
      </c>
      <c r="C613" s="50" t="s">
        <v>46</v>
      </c>
      <c r="D613" s="71"/>
      <c r="E613" s="93"/>
      <c r="F613" s="101"/>
      <c r="G613" s="101"/>
      <c r="H613" s="101"/>
      <c r="I613" s="101"/>
      <c r="J613" s="101"/>
      <c r="K613" s="102"/>
      <c r="L613" s="205"/>
      <c r="M613" s="205"/>
      <c r="N613" s="93"/>
      <c r="O613" s="51"/>
      <c r="P613" s="93"/>
      <c r="Q613" s="51"/>
      <c r="R613" s="224"/>
      <c r="S613" s="161"/>
      <c r="T613" s="326" t="s">
        <v>207</v>
      </c>
      <c r="U613" s="50" t="s">
        <v>46</v>
      </c>
      <c r="V613" s="71"/>
      <c r="W613" s="93"/>
      <c r="X613" s="101"/>
      <c r="Y613" s="101"/>
      <c r="Z613" s="101"/>
      <c r="AA613" s="101"/>
      <c r="AB613" s="101"/>
      <c r="AC613" s="102"/>
      <c r="AD613" s="102"/>
      <c r="AE613" s="102"/>
      <c r="AF613" s="93"/>
      <c r="AG613" s="51"/>
      <c r="AH613" s="93"/>
      <c r="AI613" s="51"/>
      <c r="AJ613" s="224"/>
      <c r="AK613" s="169"/>
      <c r="AL613" s="326" t="s">
        <v>207</v>
      </c>
      <c r="AM613" s="210" t="str">
        <f>IF(OR(X613="",F613=""),"",X613-F613)</f>
        <v/>
      </c>
      <c r="AN613" s="171" t="str">
        <f>IF(OR(Y613="",G613=""),"",Y613-G613)</f>
        <v/>
      </c>
      <c r="AO613" s="171" t="str">
        <f>IF(OR(Z613="",H613=""),"",Z613-H613)</f>
        <v/>
      </c>
      <c r="AP613" s="171" t="str">
        <f>IF(OR(AA613="",I613=""),"",AA613-I613)</f>
        <v/>
      </c>
      <c r="AQ613" s="211" t="str">
        <f>IF(OR(AB613="",J613=""),"",AB613-J613)</f>
        <v/>
      </c>
      <c r="AR613" s="68"/>
      <c r="AS613" s="69"/>
      <c r="AT613" s="68"/>
    </row>
    <row r="614" spans="2:46" ht="13.5" customHeight="1" x14ac:dyDescent="0.15">
      <c r="B614" s="327"/>
      <c r="C614" s="52" t="s">
        <v>47</v>
      </c>
      <c r="D614" s="73"/>
      <c r="E614" s="95"/>
      <c r="F614" s="103"/>
      <c r="G614" s="103"/>
      <c r="H614" s="103"/>
      <c r="I614" s="103"/>
      <c r="J614" s="103"/>
      <c r="K614" s="104"/>
      <c r="L614" s="206"/>
      <c r="M614" s="206"/>
      <c r="N614" s="95"/>
      <c r="O614" s="53"/>
      <c r="P614" s="95"/>
      <c r="Q614" s="53"/>
      <c r="R614" s="225"/>
      <c r="S614" s="161"/>
      <c r="T614" s="327"/>
      <c r="U614" s="52" t="s">
        <v>47</v>
      </c>
      <c r="V614" s="73"/>
      <c r="W614" s="95"/>
      <c r="X614" s="103"/>
      <c r="Y614" s="103"/>
      <c r="Z614" s="103"/>
      <c r="AA614" s="103"/>
      <c r="AB614" s="103"/>
      <c r="AC614" s="104"/>
      <c r="AD614" s="104"/>
      <c r="AE614" s="104"/>
      <c r="AF614" s="95"/>
      <c r="AG614" s="53"/>
      <c r="AH614" s="95"/>
      <c r="AI614" s="53"/>
      <c r="AJ614" s="225"/>
      <c r="AK614" s="169"/>
      <c r="AL614" s="327"/>
      <c r="AM614" s="150" t="str">
        <f t="shared" ref="AM614:AM617" si="601">IF(OR(X614="",F614=""),"",X614-F614)</f>
        <v/>
      </c>
      <c r="AN614" s="212" t="str">
        <f t="shared" ref="AN614:AN617" si="602">IF(OR(Y614="",G614=""),"",Y614-G614)</f>
        <v/>
      </c>
      <c r="AO614" s="212" t="str">
        <f t="shared" ref="AO614:AO617" si="603">IF(OR(Z614="",H614=""),"",Z614-H614)</f>
        <v/>
      </c>
      <c r="AP614" s="212" t="str">
        <f t="shared" ref="AP614:AP617" si="604">IF(OR(AA614="",I614=""),"",AA614-I614)</f>
        <v/>
      </c>
      <c r="AQ614" s="151" t="str">
        <f t="shared" ref="AQ614:AQ617" si="605">IF(OR(AB614="",J614=""),"",AB614-J614)</f>
        <v/>
      </c>
      <c r="AR614" s="68"/>
      <c r="AS614" s="69"/>
      <c r="AT614" s="68"/>
    </row>
    <row r="615" spans="2:46" ht="13.5" customHeight="1" x14ac:dyDescent="0.15">
      <c r="B615" s="327"/>
      <c r="C615" s="52" t="s">
        <v>48</v>
      </c>
      <c r="D615" s="73"/>
      <c r="E615" s="95"/>
      <c r="F615" s="103"/>
      <c r="G615" s="103"/>
      <c r="H615" s="103"/>
      <c r="I615" s="103"/>
      <c r="J615" s="103"/>
      <c r="K615" s="104"/>
      <c r="L615" s="206"/>
      <c r="M615" s="206"/>
      <c r="N615" s="95"/>
      <c r="O615" s="53"/>
      <c r="P615" s="95"/>
      <c r="Q615" s="53"/>
      <c r="R615" s="225"/>
      <c r="S615" s="161"/>
      <c r="T615" s="327"/>
      <c r="U615" s="52" t="s">
        <v>48</v>
      </c>
      <c r="V615" s="73"/>
      <c r="W615" s="95"/>
      <c r="X615" s="103"/>
      <c r="Y615" s="103"/>
      <c r="Z615" s="103"/>
      <c r="AA615" s="103"/>
      <c r="AB615" s="103"/>
      <c r="AC615" s="104"/>
      <c r="AD615" s="104"/>
      <c r="AE615" s="104"/>
      <c r="AF615" s="95"/>
      <c r="AG615" s="53"/>
      <c r="AH615" s="95"/>
      <c r="AI615" s="53"/>
      <c r="AJ615" s="225"/>
      <c r="AK615" s="169"/>
      <c r="AL615" s="327"/>
      <c r="AM615" s="150" t="str">
        <f t="shared" si="601"/>
        <v/>
      </c>
      <c r="AN615" s="212" t="str">
        <f t="shared" si="602"/>
        <v/>
      </c>
      <c r="AO615" s="212" t="str">
        <f t="shared" si="603"/>
        <v/>
      </c>
      <c r="AP615" s="212" t="str">
        <f t="shared" si="604"/>
        <v/>
      </c>
      <c r="AQ615" s="151" t="str">
        <f t="shared" si="605"/>
        <v/>
      </c>
      <c r="AR615" s="68"/>
      <c r="AS615" s="69"/>
      <c r="AT615" s="68"/>
    </row>
    <row r="616" spans="2:46" ht="13.5" customHeight="1" x14ac:dyDescent="0.15">
      <c r="B616" s="327"/>
      <c r="C616" s="52" t="s">
        <v>50</v>
      </c>
      <c r="D616" s="73"/>
      <c r="E616" s="95"/>
      <c r="F616" s="103"/>
      <c r="G616" s="103"/>
      <c r="H616" s="103"/>
      <c r="I616" s="103"/>
      <c r="J616" s="103"/>
      <c r="K616" s="104"/>
      <c r="L616" s="206"/>
      <c r="M616" s="206"/>
      <c r="N616" s="95"/>
      <c r="O616" s="53"/>
      <c r="P616" s="95"/>
      <c r="Q616" s="53"/>
      <c r="R616" s="225"/>
      <c r="S616" s="161"/>
      <c r="T616" s="327"/>
      <c r="U616" s="52" t="s">
        <v>50</v>
      </c>
      <c r="V616" s="73"/>
      <c r="W616" s="95"/>
      <c r="X616" s="103"/>
      <c r="Y616" s="103"/>
      <c r="Z616" s="103"/>
      <c r="AA616" s="103"/>
      <c r="AB616" s="103"/>
      <c r="AC616" s="104"/>
      <c r="AD616" s="104"/>
      <c r="AE616" s="104"/>
      <c r="AF616" s="95"/>
      <c r="AG616" s="53"/>
      <c r="AH616" s="95"/>
      <c r="AI616" s="53"/>
      <c r="AJ616" s="225"/>
      <c r="AK616" s="169"/>
      <c r="AL616" s="327"/>
      <c r="AM616" s="150" t="str">
        <f t="shared" si="601"/>
        <v/>
      </c>
      <c r="AN616" s="212" t="str">
        <f t="shared" si="602"/>
        <v/>
      </c>
      <c r="AO616" s="212" t="str">
        <f t="shared" si="603"/>
        <v/>
      </c>
      <c r="AP616" s="212" t="str">
        <f t="shared" si="604"/>
        <v/>
      </c>
      <c r="AQ616" s="151" t="str">
        <f t="shared" si="605"/>
        <v/>
      </c>
      <c r="AR616" s="68"/>
      <c r="AS616" s="69"/>
      <c r="AT616" s="68"/>
    </row>
    <row r="617" spans="2:46" ht="13.5" customHeight="1" thickBot="1" x14ac:dyDescent="0.2">
      <c r="B617" s="328"/>
      <c r="C617" s="52" t="s">
        <v>51</v>
      </c>
      <c r="D617" s="74"/>
      <c r="E617" s="98"/>
      <c r="F617" s="105"/>
      <c r="G617" s="105"/>
      <c r="H617" s="105"/>
      <c r="I617" s="105"/>
      <c r="J617" s="105"/>
      <c r="K617" s="106"/>
      <c r="L617" s="207"/>
      <c r="M617" s="207"/>
      <c r="N617" s="98"/>
      <c r="O617" s="66"/>
      <c r="P617" s="98"/>
      <c r="Q617" s="66"/>
      <c r="R617" s="225"/>
      <c r="S617" s="161"/>
      <c r="T617" s="328"/>
      <c r="U617" s="52" t="s">
        <v>51</v>
      </c>
      <c r="V617" s="74"/>
      <c r="W617" s="98"/>
      <c r="X617" s="105"/>
      <c r="Y617" s="105"/>
      <c r="Z617" s="105"/>
      <c r="AA617" s="105"/>
      <c r="AB617" s="105"/>
      <c r="AC617" s="106"/>
      <c r="AD617" s="106"/>
      <c r="AE617" s="106"/>
      <c r="AF617" s="98"/>
      <c r="AG617" s="66"/>
      <c r="AH617" s="98"/>
      <c r="AI617" s="66"/>
      <c r="AJ617" s="225"/>
      <c r="AK617" s="169"/>
      <c r="AL617" s="328"/>
      <c r="AM617" s="213" t="str">
        <f t="shared" si="601"/>
        <v/>
      </c>
      <c r="AN617" s="214" t="str">
        <f t="shared" si="602"/>
        <v/>
      </c>
      <c r="AO617" s="214" t="str">
        <f t="shared" si="603"/>
        <v/>
      </c>
      <c r="AP617" s="214" t="str">
        <f t="shared" si="604"/>
        <v/>
      </c>
      <c r="AQ617" s="215" t="str">
        <f t="shared" si="605"/>
        <v/>
      </c>
      <c r="AR617" s="68"/>
      <c r="AS617" s="69"/>
      <c r="AT617" s="68"/>
    </row>
    <row r="618" spans="2:46" ht="13.5" customHeight="1" x14ac:dyDescent="0.15">
      <c r="B618" s="326" t="s">
        <v>208</v>
      </c>
      <c r="C618" s="50" t="s">
        <v>46</v>
      </c>
      <c r="D618" s="71"/>
      <c r="E618" s="93"/>
      <c r="F618" s="101"/>
      <c r="G618" s="101"/>
      <c r="H618" s="101"/>
      <c r="I618" s="101"/>
      <c r="J618" s="101"/>
      <c r="K618" s="102"/>
      <c r="L618" s="205"/>
      <c r="M618" s="205"/>
      <c r="N618" s="93"/>
      <c r="O618" s="51"/>
      <c r="P618" s="93"/>
      <c r="Q618" s="51"/>
      <c r="R618" s="224"/>
      <c r="S618" s="161"/>
      <c r="T618" s="326" t="s">
        <v>208</v>
      </c>
      <c r="U618" s="50" t="s">
        <v>46</v>
      </c>
      <c r="V618" s="71"/>
      <c r="W618" s="93"/>
      <c r="X618" s="101"/>
      <c r="Y618" s="101"/>
      <c r="Z618" s="101"/>
      <c r="AA618" s="101"/>
      <c r="AB618" s="101"/>
      <c r="AC618" s="102"/>
      <c r="AD618" s="102"/>
      <c r="AE618" s="102"/>
      <c r="AF618" s="93"/>
      <c r="AG618" s="51"/>
      <c r="AH618" s="93"/>
      <c r="AI618" s="51"/>
      <c r="AJ618" s="224"/>
      <c r="AK618" s="169"/>
      <c r="AL618" s="326" t="s">
        <v>208</v>
      </c>
      <c r="AM618" s="210" t="str">
        <f>IF(OR(X618="",F618=""),"",X618-F618)</f>
        <v/>
      </c>
      <c r="AN618" s="171" t="str">
        <f>IF(OR(Y618="",G618=""),"",Y618-G618)</f>
        <v/>
      </c>
      <c r="AO618" s="171" t="str">
        <f>IF(OR(Z618="",H618=""),"",Z618-H618)</f>
        <v/>
      </c>
      <c r="AP618" s="171" t="str">
        <f>IF(OR(AA618="",I618=""),"",AA618-I618)</f>
        <v/>
      </c>
      <c r="AQ618" s="211" t="str">
        <f>IF(OR(AB618="",J618=""),"",AB618-J618)</f>
        <v/>
      </c>
      <c r="AR618" s="68"/>
      <c r="AS618" s="69"/>
      <c r="AT618" s="68"/>
    </row>
    <row r="619" spans="2:46" ht="13.5" customHeight="1" x14ac:dyDescent="0.15">
      <c r="B619" s="327"/>
      <c r="C619" s="52" t="s">
        <v>47</v>
      </c>
      <c r="D619" s="73"/>
      <c r="E619" s="95"/>
      <c r="F619" s="103"/>
      <c r="G619" s="103"/>
      <c r="H619" s="103"/>
      <c r="I619" s="103"/>
      <c r="J619" s="103"/>
      <c r="K619" s="104"/>
      <c r="L619" s="206"/>
      <c r="M619" s="206"/>
      <c r="N619" s="95"/>
      <c r="O619" s="53"/>
      <c r="P619" s="95"/>
      <c r="Q619" s="53"/>
      <c r="R619" s="225"/>
      <c r="S619" s="161"/>
      <c r="T619" s="327"/>
      <c r="U619" s="52" t="s">
        <v>47</v>
      </c>
      <c r="V619" s="73"/>
      <c r="W619" s="95"/>
      <c r="X619" s="103"/>
      <c r="Y619" s="103"/>
      <c r="Z619" s="103"/>
      <c r="AA619" s="103"/>
      <c r="AB619" s="103"/>
      <c r="AC619" s="104"/>
      <c r="AD619" s="104"/>
      <c r="AE619" s="104"/>
      <c r="AF619" s="95"/>
      <c r="AG619" s="53"/>
      <c r="AH619" s="95"/>
      <c r="AI619" s="53"/>
      <c r="AJ619" s="225"/>
      <c r="AK619" s="169"/>
      <c r="AL619" s="327"/>
      <c r="AM619" s="150" t="str">
        <f t="shared" ref="AM619:AM622" si="606">IF(OR(X619="",F619=""),"",X619-F619)</f>
        <v/>
      </c>
      <c r="AN619" s="212" t="str">
        <f t="shared" ref="AN619:AN622" si="607">IF(OR(Y619="",G619=""),"",Y619-G619)</f>
        <v/>
      </c>
      <c r="AO619" s="212" t="str">
        <f t="shared" ref="AO619:AO622" si="608">IF(OR(Z619="",H619=""),"",Z619-H619)</f>
        <v/>
      </c>
      <c r="AP619" s="212" t="str">
        <f t="shared" ref="AP619:AP622" si="609">IF(OR(AA619="",I619=""),"",AA619-I619)</f>
        <v/>
      </c>
      <c r="AQ619" s="151" t="str">
        <f t="shared" ref="AQ619:AQ622" si="610">IF(OR(AB619="",J619=""),"",AB619-J619)</f>
        <v/>
      </c>
      <c r="AR619" s="68"/>
      <c r="AS619" s="69"/>
      <c r="AT619" s="68"/>
    </row>
    <row r="620" spans="2:46" ht="13.5" customHeight="1" x14ac:dyDescent="0.15">
      <c r="B620" s="327"/>
      <c r="C620" s="52" t="s">
        <v>48</v>
      </c>
      <c r="D620" s="73"/>
      <c r="E620" s="95"/>
      <c r="F620" s="103"/>
      <c r="G620" s="103"/>
      <c r="H620" s="103"/>
      <c r="I620" s="103"/>
      <c r="J620" s="103"/>
      <c r="K620" s="104"/>
      <c r="L620" s="206"/>
      <c r="M620" s="206"/>
      <c r="N620" s="95"/>
      <c r="O620" s="53"/>
      <c r="P620" s="95"/>
      <c r="Q620" s="53"/>
      <c r="R620" s="225"/>
      <c r="S620" s="161"/>
      <c r="T620" s="327"/>
      <c r="U620" s="52" t="s">
        <v>48</v>
      </c>
      <c r="V620" s="73"/>
      <c r="W620" s="95"/>
      <c r="X620" s="103"/>
      <c r="Y620" s="103"/>
      <c r="Z620" s="103"/>
      <c r="AA620" s="103"/>
      <c r="AB620" s="103"/>
      <c r="AC620" s="104"/>
      <c r="AD620" s="104"/>
      <c r="AE620" s="104"/>
      <c r="AF620" s="95"/>
      <c r="AG620" s="53"/>
      <c r="AH620" s="95"/>
      <c r="AI620" s="53"/>
      <c r="AJ620" s="225"/>
      <c r="AK620" s="169"/>
      <c r="AL620" s="327"/>
      <c r="AM620" s="150" t="str">
        <f t="shared" si="606"/>
        <v/>
      </c>
      <c r="AN620" s="212" t="str">
        <f t="shared" si="607"/>
        <v/>
      </c>
      <c r="AO620" s="212" t="str">
        <f t="shared" si="608"/>
        <v/>
      </c>
      <c r="AP620" s="212" t="str">
        <f t="shared" si="609"/>
        <v/>
      </c>
      <c r="AQ620" s="151" t="str">
        <f t="shared" si="610"/>
        <v/>
      </c>
      <c r="AR620" s="68"/>
      <c r="AS620" s="69"/>
      <c r="AT620" s="68"/>
    </row>
    <row r="621" spans="2:46" ht="13.5" customHeight="1" x14ac:dyDescent="0.15">
      <c r="B621" s="327"/>
      <c r="C621" s="52" t="s">
        <v>50</v>
      </c>
      <c r="D621" s="73"/>
      <c r="E621" s="95"/>
      <c r="F621" s="103"/>
      <c r="G621" s="103"/>
      <c r="H621" s="103"/>
      <c r="I621" s="103"/>
      <c r="J621" s="103"/>
      <c r="K621" s="104"/>
      <c r="L621" s="206"/>
      <c r="M621" s="206"/>
      <c r="N621" s="95"/>
      <c r="O621" s="53"/>
      <c r="P621" s="95"/>
      <c r="Q621" s="53"/>
      <c r="R621" s="225"/>
      <c r="S621" s="161"/>
      <c r="T621" s="327"/>
      <c r="U621" s="52" t="s">
        <v>50</v>
      </c>
      <c r="V621" s="73"/>
      <c r="W621" s="95"/>
      <c r="X621" s="103"/>
      <c r="Y621" s="103"/>
      <c r="Z621" s="103"/>
      <c r="AA621" s="103"/>
      <c r="AB621" s="103"/>
      <c r="AC621" s="104"/>
      <c r="AD621" s="104"/>
      <c r="AE621" s="104"/>
      <c r="AF621" s="95"/>
      <c r="AG621" s="53"/>
      <c r="AH621" s="95"/>
      <c r="AI621" s="53"/>
      <c r="AJ621" s="225"/>
      <c r="AK621" s="169"/>
      <c r="AL621" s="327"/>
      <c r="AM621" s="150" t="str">
        <f t="shared" si="606"/>
        <v/>
      </c>
      <c r="AN621" s="212" t="str">
        <f t="shared" si="607"/>
        <v/>
      </c>
      <c r="AO621" s="212" t="str">
        <f t="shared" si="608"/>
        <v/>
      </c>
      <c r="AP621" s="212" t="str">
        <f t="shared" si="609"/>
        <v/>
      </c>
      <c r="AQ621" s="151" t="str">
        <f t="shared" si="610"/>
        <v/>
      </c>
      <c r="AR621" s="68"/>
      <c r="AS621" s="69"/>
      <c r="AT621" s="68"/>
    </row>
    <row r="622" spans="2:46" ht="13.5" customHeight="1" thickBot="1" x14ac:dyDescent="0.2">
      <c r="B622" s="328"/>
      <c r="C622" s="54" t="s">
        <v>51</v>
      </c>
      <c r="D622" s="74"/>
      <c r="E622" s="98"/>
      <c r="F622" s="105"/>
      <c r="G622" s="105"/>
      <c r="H622" s="105"/>
      <c r="I622" s="105"/>
      <c r="J622" s="105"/>
      <c r="K622" s="106"/>
      <c r="L622" s="207"/>
      <c r="M622" s="207"/>
      <c r="N622" s="98"/>
      <c r="O622" s="66"/>
      <c r="P622" s="98"/>
      <c r="Q622" s="66"/>
      <c r="R622" s="226"/>
      <c r="S622" s="161"/>
      <c r="T622" s="328"/>
      <c r="U622" s="54" t="s">
        <v>51</v>
      </c>
      <c r="V622" s="74"/>
      <c r="W622" s="98"/>
      <c r="X622" s="105"/>
      <c r="Y622" s="105"/>
      <c r="Z622" s="105"/>
      <c r="AA622" s="105"/>
      <c r="AB622" s="105"/>
      <c r="AC622" s="106"/>
      <c r="AD622" s="106"/>
      <c r="AE622" s="106"/>
      <c r="AF622" s="98"/>
      <c r="AG622" s="66"/>
      <c r="AH622" s="98"/>
      <c r="AI622" s="66"/>
      <c r="AJ622" s="226"/>
      <c r="AK622" s="169"/>
      <c r="AL622" s="328"/>
      <c r="AM622" s="213" t="str">
        <f t="shared" si="606"/>
        <v/>
      </c>
      <c r="AN622" s="214" t="str">
        <f t="shared" si="607"/>
        <v/>
      </c>
      <c r="AO622" s="214" t="str">
        <f t="shared" si="608"/>
        <v/>
      </c>
      <c r="AP622" s="214" t="str">
        <f t="shared" si="609"/>
        <v/>
      </c>
      <c r="AQ622" s="215" t="str">
        <f t="shared" si="610"/>
        <v/>
      </c>
      <c r="AR622" s="68"/>
      <c r="AS622" s="69"/>
      <c r="AT622" s="68"/>
    </row>
    <row r="623" spans="2:46" ht="13.5" customHeight="1" x14ac:dyDescent="0.15">
      <c r="B623" s="326" t="s">
        <v>209</v>
      </c>
      <c r="C623" s="50" t="s">
        <v>46</v>
      </c>
      <c r="D623" s="71"/>
      <c r="E623" s="93"/>
      <c r="F623" s="101"/>
      <c r="G623" s="101"/>
      <c r="H623" s="101"/>
      <c r="I623" s="101"/>
      <c r="J623" s="101"/>
      <c r="K623" s="102"/>
      <c r="L623" s="205"/>
      <c r="M623" s="205"/>
      <c r="N623" s="93"/>
      <c r="O623" s="51"/>
      <c r="P623" s="93"/>
      <c r="Q623" s="51"/>
      <c r="R623" s="224"/>
      <c r="S623" s="161"/>
      <c r="T623" s="326" t="s">
        <v>209</v>
      </c>
      <c r="U623" s="50" t="s">
        <v>46</v>
      </c>
      <c r="V623" s="71"/>
      <c r="W623" s="93"/>
      <c r="X623" s="101"/>
      <c r="Y623" s="101"/>
      <c r="Z623" s="101"/>
      <c r="AA623" s="101"/>
      <c r="AB623" s="101"/>
      <c r="AC623" s="102"/>
      <c r="AD623" s="102"/>
      <c r="AE623" s="102"/>
      <c r="AF623" s="93"/>
      <c r="AG623" s="51"/>
      <c r="AH623" s="93"/>
      <c r="AI623" s="51"/>
      <c r="AJ623" s="224"/>
      <c r="AK623" s="169"/>
      <c r="AL623" s="326" t="s">
        <v>209</v>
      </c>
      <c r="AM623" s="210" t="str">
        <f>IF(OR(X623="",F623=""),"",X623-F623)</f>
        <v/>
      </c>
      <c r="AN623" s="171" t="str">
        <f>IF(OR(Y623="",G623=""),"",Y623-G623)</f>
        <v/>
      </c>
      <c r="AO623" s="171" t="str">
        <f>IF(OR(Z623="",H623=""),"",Z623-H623)</f>
        <v/>
      </c>
      <c r="AP623" s="171" t="str">
        <f>IF(OR(AA623="",I623=""),"",AA623-I623)</f>
        <v/>
      </c>
      <c r="AQ623" s="211" t="str">
        <f>IF(OR(AB623="",J623=""),"",AB623-J623)</f>
        <v/>
      </c>
      <c r="AR623" s="68"/>
      <c r="AS623" s="69"/>
      <c r="AT623" s="68"/>
    </row>
    <row r="624" spans="2:46" ht="13.5" customHeight="1" x14ac:dyDescent="0.15">
      <c r="B624" s="327"/>
      <c r="C624" s="52" t="s">
        <v>47</v>
      </c>
      <c r="D624" s="73"/>
      <c r="E624" s="95"/>
      <c r="F624" s="103"/>
      <c r="G624" s="103"/>
      <c r="H624" s="103"/>
      <c r="I624" s="103"/>
      <c r="J624" s="103"/>
      <c r="K624" s="104"/>
      <c r="L624" s="206"/>
      <c r="M624" s="206"/>
      <c r="N624" s="95"/>
      <c r="O624" s="53"/>
      <c r="P624" s="95"/>
      <c r="Q624" s="53"/>
      <c r="R624" s="225"/>
      <c r="S624" s="161"/>
      <c r="T624" s="327"/>
      <c r="U624" s="52" t="s">
        <v>47</v>
      </c>
      <c r="V624" s="73"/>
      <c r="W624" s="95"/>
      <c r="X624" s="103"/>
      <c r="Y624" s="103"/>
      <c r="Z624" s="103"/>
      <c r="AA624" s="103"/>
      <c r="AB624" s="103"/>
      <c r="AC624" s="104"/>
      <c r="AD624" s="104"/>
      <c r="AE624" s="104"/>
      <c r="AF624" s="95"/>
      <c r="AG624" s="53"/>
      <c r="AH624" s="95"/>
      <c r="AI624" s="53"/>
      <c r="AJ624" s="225"/>
      <c r="AK624" s="169"/>
      <c r="AL624" s="327"/>
      <c r="AM624" s="150" t="str">
        <f t="shared" ref="AM624:AM627" si="611">IF(OR(X624="",F624=""),"",X624-F624)</f>
        <v/>
      </c>
      <c r="AN624" s="212" t="str">
        <f t="shared" ref="AN624:AN627" si="612">IF(OR(Y624="",G624=""),"",Y624-G624)</f>
        <v/>
      </c>
      <c r="AO624" s="212" t="str">
        <f t="shared" ref="AO624:AO627" si="613">IF(OR(Z624="",H624=""),"",Z624-H624)</f>
        <v/>
      </c>
      <c r="AP624" s="212" t="str">
        <f t="shared" ref="AP624:AP627" si="614">IF(OR(AA624="",I624=""),"",AA624-I624)</f>
        <v/>
      </c>
      <c r="AQ624" s="151" t="str">
        <f t="shared" ref="AQ624:AQ627" si="615">IF(OR(AB624="",J624=""),"",AB624-J624)</f>
        <v/>
      </c>
      <c r="AR624" s="68"/>
      <c r="AS624" s="69"/>
      <c r="AT624" s="68"/>
    </row>
    <row r="625" spans="2:46" ht="13.5" customHeight="1" x14ac:dyDescent="0.15">
      <c r="B625" s="327"/>
      <c r="C625" s="52" t="s">
        <v>48</v>
      </c>
      <c r="D625" s="73"/>
      <c r="E625" s="95"/>
      <c r="F625" s="103"/>
      <c r="G625" s="103"/>
      <c r="H625" s="103"/>
      <c r="I625" s="103"/>
      <c r="J625" s="103"/>
      <c r="K625" s="104"/>
      <c r="L625" s="206"/>
      <c r="M625" s="206"/>
      <c r="N625" s="95"/>
      <c r="O625" s="53"/>
      <c r="P625" s="95"/>
      <c r="Q625" s="53"/>
      <c r="R625" s="225"/>
      <c r="S625" s="161"/>
      <c r="T625" s="327"/>
      <c r="U625" s="52" t="s">
        <v>48</v>
      </c>
      <c r="V625" s="73"/>
      <c r="W625" s="95"/>
      <c r="X625" s="103"/>
      <c r="Y625" s="103"/>
      <c r="Z625" s="103"/>
      <c r="AA625" s="103"/>
      <c r="AB625" s="103"/>
      <c r="AC625" s="104"/>
      <c r="AD625" s="104"/>
      <c r="AE625" s="104"/>
      <c r="AF625" s="95"/>
      <c r="AG625" s="53"/>
      <c r="AH625" s="95"/>
      <c r="AI625" s="53"/>
      <c r="AJ625" s="225"/>
      <c r="AK625" s="169"/>
      <c r="AL625" s="327"/>
      <c r="AM625" s="150" t="str">
        <f t="shared" si="611"/>
        <v/>
      </c>
      <c r="AN625" s="212" t="str">
        <f t="shared" si="612"/>
        <v/>
      </c>
      <c r="AO625" s="212" t="str">
        <f t="shared" si="613"/>
        <v/>
      </c>
      <c r="AP625" s="212" t="str">
        <f t="shared" si="614"/>
        <v/>
      </c>
      <c r="AQ625" s="151" t="str">
        <f t="shared" si="615"/>
        <v/>
      </c>
      <c r="AR625" s="68"/>
      <c r="AS625" s="69"/>
      <c r="AT625" s="68"/>
    </row>
    <row r="626" spans="2:46" ht="13.5" customHeight="1" x14ac:dyDescent="0.15">
      <c r="B626" s="327"/>
      <c r="C626" s="52" t="s">
        <v>50</v>
      </c>
      <c r="D626" s="73"/>
      <c r="E626" s="95"/>
      <c r="F626" s="103"/>
      <c r="G626" s="103"/>
      <c r="H626" s="103"/>
      <c r="I626" s="103"/>
      <c r="J626" s="103"/>
      <c r="K626" s="104"/>
      <c r="L626" s="206"/>
      <c r="M626" s="206"/>
      <c r="N626" s="95"/>
      <c r="O626" s="53"/>
      <c r="P626" s="95"/>
      <c r="Q626" s="53"/>
      <c r="R626" s="225"/>
      <c r="S626" s="161"/>
      <c r="T626" s="327"/>
      <c r="U626" s="52" t="s">
        <v>50</v>
      </c>
      <c r="V626" s="73"/>
      <c r="W626" s="95"/>
      <c r="X626" s="103"/>
      <c r="Y626" s="103"/>
      <c r="Z626" s="103"/>
      <c r="AA626" s="103"/>
      <c r="AB626" s="103"/>
      <c r="AC626" s="104"/>
      <c r="AD626" s="104"/>
      <c r="AE626" s="104"/>
      <c r="AF626" s="95"/>
      <c r="AG626" s="53"/>
      <c r="AH626" s="95"/>
      <c r="AI626" s="53"/>
      <c r="AJ626" s="225"/>
      <c r="AK626" s="169"/>
      <c r="AL626" s="327"/>
      <c r="AM626" s="150" t="str">
        <f t="shared" si="611"/>
        <v/>
      </c>
      <c r="AN626" s="212" t="str">
        <f t="shared" si="612"/>
        <v/>
      </c>
      <c r="AO626" s="212" t="str">
        <f t="shared" si="613"/>
        <v/>
      </c>
      <c r="AP626" s="212" t="str">
        <f t="shared" si="614"/>
        <v/>
      </c>
      <c r="AQ626" s="151" t="str">
        <f t="shared" si="615"/>
        <v/>
      </c>
      <c r="AR626" s="68"/>
      <c r="AS626" s="69"/>
      <c r="AT626" s="68"/>
    </row>
    <row r="627" spans="2:46" ht="13.5" customHeight="1" thickBot="1" x14ac:dyDescent="0.2">
      <c r="B627" s="328"/>
      <c r="C627" s="52" t="s">
        <v>51</v>
      </c>
      <c r="D627" s="74"/>
      <c r="E627" s="98"/>
      <c r="F627" s="105"/>
      <c r="G627" s="105"/>
      <c r="H627" s="105"/>
      <c r="I627" s="105"/>
      <c r="J627" s="105"/>
      <c r="K627" s="106"/>
      <c r="L627" s="207"/>
      <c r="M627" s="207"/>
      <c r="N627" s="98"/>
      <c r="O627" s="66"/>
      <c r="P627" s="98"/>
      <c r="Q627" s="66"/>
      <c r="R627" s="225"/>
      <c r="S627" s="161"/>
      <c r="T627" s="328"/>
      <c r="U627" s="52" t="s">
        <v>51</v>
      </c>
      <c r="V627" s="74"/>
      <c r="W627" s="98"/>
      <c r="X627" s="105"/>
      <c r="Y627" s="105"/>
      <c r="Z627" s="105"/>
      <c r="AA627" s="105"/>
      <c r="AB627" s="105"/>
      <c r="AC627" s="106"/>
      <c r="AD627" s="106"/>
      <c r="AE627" s="106"/>
      <c r="AF627" s="98"/>
      <c r="AG627" s="66"/>
      <c r="AH627" s="98"/>
      <c r="AI627" s="66"/>
      <c r="AJ627" s="225"/>
      <c r="AK627" s="169"/>
      <c r="AL627" s="328"/>
      <c r="AM627" s="213" t="str">
        <f t="shared" si="611"/>
        <v/>
      </c>
      <c r="AN627" s="214" t="str">
        <f t="shared" si="612"/>
        <v/>
      </c>
      <c r="AO627" s="214" t="str">
        <f t="shared" si="613"/>
        <v/>
      </c>
      <c r="AP627" s="214" t="str">
        <f t="shared" si="614"/>
        <v/>
      </c>
      <c r="AQ627" s="215" t="str">
        <f t="shared" si="615"/>
        <v/>
      </c>
      <c r="AR627" s="68"/>
      <c r="AS627" s="69"/>
      <c r="AT627" s="68"/>
    </row>
    <row r="628" spans="2:46" ht="13.5" customHeight="1" x14ac:dyDescent="0.15">
      <c r="B628" s="326" t="s">
        <v>210</v>
      </c>
      <c r="C628" s="50" t="s">
        <v>46</v>
      </c>
      <c r="D628" s="71"/>
      <c r="E628" s="93"/>
      <c r="F628" s="101"/>
      <c r="G628" s="101"/>
      <c r="H628" s="101"/>
      <c r="I628" s="101"/>
      <c r="J628" s="101"/>
      <c r="K628" s="102"/>
      <c r="L628" s="205"/>
      <c r="M628" s="205"/>
      <c r="N628" s="93"/>
      <c r="O628" s="51"/>
      <c r="P628" s="93"/>
      <c r="Q628" s="51"/>
      <c r="R628" s="224"/>
      <c r="S628" s="161"/>
      <c r="T628" s="326" t="s">
        <v>210</v>
      </c>
      <c r="U628" s="50" t="s">
        <v>46</v>
      </c>
      <c r="V628" s="71"/>
      <c r="W628" s="93"/>
      <c r="X628" s="101"/>
      <c r="Y628" s="101"/>
      <c r="Z628" s="101"/>
      <c r="AA628" s="101"/>
      <c r="AB628" s="101"/>
      <c r="AC628" s="102"/>
      <c r="AD628" s="102"/>
      <c r="AE628" s="102"/>
      <c r="AF628" s="93"/>
      <c r="AG628" s="51"/>
      <c r="AH628" s="93"/>
      <c r="AI628" s="51"/>
      <c r="AJ628" s="224"/>
      <c r="AK628" s="169"/>
      <c r="AL628" s="326" t="s">
        <v>210</v>
      </c>
      <c r="AM628" s="210" t="str">
        <f>IF(OR(X628="",F628=""),"",X628-F628)</f>
        <v/>
      </c>
      <c r="AN628" s="171" t="str">
        <f>IF(OR(Y628="",G628=""),"",Y628-G628)</f>
        <v/>
      </c>
      <c r="AO628" s="171" t="str">
        <f>IF(OR(Z628="",H628=""),"",Z628-H628)</f>
        <v/>
      </c>
      <c r="AP628" s="171" t="str">
        <f>IF(OR(AA628="",I628=""),"",AA628-I628)</f>
        <v/>
      </c>
      <c r="AQ628" s="211" t="str">
        <f>IF(OR(AB628="",J628=""),"",AB628-J628)</f>
        <v/>
      </c>
      <c r="AR628" s="68"/>
      <c r="AS628" s="69"/>
      <c r="AT628" s="68"/>
    </row>
    <row r="629" spans="2:46" ht="13.5" customHeight="1" x14ac:dyDescent="0.15">
      <c r="B629" s="327"/>
      <c r="C629" s="52" t="s">
        <v>47</v>
      </c>
      <c r="D629" s="73"/>
      <c r="E629" s="95"/>
      <c r="F629" s="103"/>
      <c r="G629" s="103"/>
      <c r="H629" s="103"/>
      <c r="I629" s="103"/>
      <c r="J629" s="103"/>
      <c r="K629" s="104"/>
      <c r="L629" s="206"/>
      <c r="M629" s="206"/>
      <c r="N629" s="95"/>
      <c r="O629" s="53"/>
      <c r="P629" s="95"/>
      <c r="Q629" s="53"/>
      <c r="R629" s="225"/>
      <c r="S629" s="161"/>
      <c r="T629" s="327"/>
      <c r="U629" s="52" t="s">
        <v>47</v>
      </c>
      <c r="V629" s="73"/>
      <c r="W629" s="95"/>
      <c r="X629" s="103"/>
      <c r="Y629" s="103"/>
      <c r="Z629" s="103"/>
      <c r="AA629" s="103"/>
      <c r="AB629" s="103"/>
      <c r="AC629" s="104"/>
      <c r="AD629" s="104"/>
      <c r="AE629" s="104"/>
      <c r="AF629" s="95"/>
      <c r="AG629" s="53"/>
      <c r="AH629" s="95"/>
      <c r="AI629" s="53"/>
      <c r="AJ629" s="225"/>
      <c r="AK629" s="169"/>
      <c r="AL629" s="327"/>
      <c r="AM629" s="150" t="str">
        <f t="shared" ref="AM629:AM632" si="616">IF(OR(X629="",F629=""),"",X629-F629)</f>
        <v/>
      </c>
      <c r="AN629" s="212" t="str">
        <f t="shared" ref="AN629:AN632" si="617">IF(OR(Y629="",G629=""),"",Y629-G629)</f>
        <v/>
      </c>
      <c r="AO629" s="212" t="str">
        <f t="shared" ref="AO629:AO632" si="618">IF(OR(Z629="",H629=""),"",Z629-H629)</f>
        <v/>
      </c>
      <c r="AP629" s="212" t="str">
        <f t="shared" ref="AP629:AP632" si="619">IF(OR(AA629="",I629=""),"",AA629-I629)</f>
        <v/>
      </c>
      <c r="AQ629" s="151" t="str">
        <f t="shared" ref="AQ629:AQ632" si="620">IF(OR(AB629="",J629=""),"",AB629-J629)</f>
        <v/>
      </c>
      <c r="AR629" s="68"/>
      <c r="AS629" s="69"/>
      <c r="AT629" s="68"/>
    </row>
    <row r="630" spans="2:46" ht="13.5" customHeight="1" x14ac:dyDescent="0.15">
      <c r="B630" s="327"/>
      <c r="C630" s="52" t="s">
        <v>48</v>
      </c>
      <c r="D630" s="73"/>
      <c r="E630" s="95"/>
      <c r="F630" s="103"/>
      <c r="G630" s="103"/>
      <c r="H630" s="103"/>
      <c r="I630" s="103"/>
      <c r="J630" s="103"/>
      <c r="K630" s="104"/>
      <c r="L630" s="206"/>
      <c r="M630" s="206"/>
      <c r="N630" s="95"/>
      <c r="O630" s="53"/>
      <c r="P630" s="95"/>
      <c r="Q630" s="53"/>
      <c r="R630" s="225"/>
      <c r="S630" s="161"/>
      <c r="T630" s="327"/>
      <c r="U630" s="52" t="s">
        <v>48</v>
      </c>
      <c r="V630" s="73"/>
      <c r="W630" s="95"/>
      <c r="X630" s="103"/>
      <c r="Y630" s="103"/>
      <c r="Z630" s="103"/>
      <c r="AA630" s="103"/>
      <c r="AB630" s="103"/>
      <c r="AC630" s="104"/>
      <c r="AD630" s="104"/>
      <c r="AE630" s="104"/>
      <c r="AF630" s="95"/>
      <c r="AG630" s="53"/>
      <c r="AH630" s="95"/>
      <c r="AI630" s="53"/>
      <c r="AJ630" s="225"/>
      <c r="AK630" s="169"/>
      <c r="AL630" s="327"/>
      <c r="AM630" s="150" t="str">
        <f t="shared" si="616"/>
        <v/>
      </c>
      <c r="AN630" s="212" t="str">
        <f t="shared" si="617"/>
        <v/>
      </c>
      <c r="AO630" s="212" t="str">
        <f t="shared" si="618"/>
        <v/>
      </c>
      <c r="AP630" s="212" t="str">
        <f t="shared" si="619"/>
        <v/>
      </c>
      <c r="AQ630" s="151" t="str">
        <f t="shared" si="620"/>
        <v/>
      </c>
      <c r="AR630" s="68"/>
      <c r="AS630" s="69"/>
      <c r="AT630" s="68"/>
    </row>
    <row r="631" spans="2:46" ht="13.5" customHeight="1" x14ac:dyDescent="0.15">
      <c r="B631" s="327"/>
      <c r="C631" s="52" t="s">
        <v>50</v>
      </c>
      <c r="D631" s="73"/>
      <c r="E631" s="95"/>
      <c r="F631" s="103"/>
      <c r="G631" s="103"/>
      <c r="H631" s="103"/>
      <c r="I631" s="103"/>
      <c r="J631" s="103"/>
      <c r="K631" s="104"/>
      <c r="L631" s="206"/>
      <c r="M631" s="206"/>
      <c r="N631" s="95"/>
      <c r="O631" s="53"/>
      <c r="P631" s="95"/>
      <c r="Q631" s="53"/>
      <c r="R631" s="225"/>
      <c r="S631" s="161"/>
      <c r="T631" s="327"/>
      <c r="U631" s="52" t="s">
        <v>50</v>
      </c>
      <c r="V631" s="73"/>
      <c r="W631" s="95"/>
      <c r="X631" s="103"/>
      <c r="Y631" s="103"/>
      <c r="Z631" s="103"/>
      <c r="AA631" s="103"/>
      <c r="AB631" s="103"/>
      <c r="AC631" s="104"/>
      <c r="AD631" s="104"/>
      <c r="AE631" s="104"/>
      <c r="AF631" s="95"/>
      <c r="AG631" s="53"/>
      <c r="AH631" s="95"/>
      <c r="AI631" s="53"/>
      <c r="AJ631" s="225"/>
      <c r="AK631" s="169"/>
      <c r="AL631" s="327"/>
      <c r="AM631" s="150" t="str">
        <f t="shared" si="616"/>
        <v/>
      </c>
      <c r="AN631" s="212" t="str">
        <f t="shared" si="617"/>
        <v/>
      </c>
      <c r="AO631" s="212" t="str">
        <f t="shared" si="618"/>
        <v/>
      </c>
      <c r="AP631" s="212" t="str">
        <f t="shared" si="619"/>
        <v/>
      </c>
      <c r="AQ631" s="151" t="str">
        <f t="shared" si="620"/>
        <v/>
      </c>
      <c r="AR631" s="68"/>
      <c r="AS631" s="69"/>
      <c r="AT631" s="68"/>
    </row>
    <row r="632" spans="2:46" ht="13.5" customHeight="1" thickBot="1" x14ac:dyDescent="0.2">
      <c r="B632" s="328"/>
      <c r="C632" s="52" t="s">
        <v>51</v>
      </c>
      <c r="D632" s="74"/>
      <c r="E632" s="98"/>
      <c r="F632" s="105"/>
      <c r="G632" s="105"/>
      <c r="H632" s="105"/>
      <c r="I632" s="105"/>
      <c r="J632" s="105"/>
      <c r="K632" s="106"/>
      <c r="L632" s="207"/>
      <c r="M632" s="207"/>
      <c r="N632" s="98"/>
      <c r="O632" s="66"/>
      <c r="P632" s="98"/>
      <c r="Q632" s="66"/>
      <c r="R632" s="225"/>
      <c r="S632" s="161"/>
      <c r="T632" s="328"/>
      <c r="U632" s="52" t="s">
        <v>51</v>
      </c>
      <c r="V632" s="74"/>
      <c r="W632" s="98"/>
      <c r="X632" s="105"/>
      <c r="Y632" s="105"/>
      <c r="Z632" s="105"/>
      <c r="AA632" s="105"/>
      <c r="AB632" s="105"/>
      <c r="AC632" s="106"/>
      <c r="AD632" s="106"/>
      <c r="AE632" s="106"/>
      <c r="AF632" s="98"/>
      <c r="AG632" s="66"/>
      <c r="AH632" s="98"/>
      <c r="AI632" s="66"/>
      <c r="AJ632" s="225"/>
      <c r="AK632" s="169"/>
      <c r="AL632" s="328"/>
      <c r="AM632" s="213" t="str">
        <f t="shared" si="616"/>
        <v/>
      </c>
      <c r="AN632" s="214" t="str">
        <f t="shared" si="617"/>
        <v/>
      </c>
      <c r="AO632" s="214" t="str">
        <f t="shared" si="618"/>
        <v/>
      </c>
      <c r="AP632" s="214" t="str">
        <f t="shared" si="619"/>
        <v/>
      </c>
      <c r="AQ632" s="215" t="str">
        <f t="shared" si="620"/>
        <v/>
      </c>
      <c r="AR632" s="68"/>
      <c r="AS632" s="69"/>
      <c r="AT632" s="68"/>
    </row>
    <row r="633" spans="2:46" ht="13.5" customHeight="1" x14ac:dyDescent="0.15">
      <c r="B633" s="326" t="s">
        <v>211</v>
      </c>
      <c r="C633" s="50" t="s">
        <v>46</v>
      </c>
      <c r="D633" s="71"/>
      <c r="E633" s="93"/>
      <c r="F633" s="101"/>
      <c r="G633" s="101"/>
      <c r="H633" s="101"/>
      <c r="I633" s="101"/>
      <c r="J633" s="101"/>
      <c r="K633" s="102"/>
      <c r="L633" s="205"/>
      <c r="M633" s="205"/>
      <c r="N633" s="93"/>
      <c r="O633" s="51"/>
      <c r="P633" s="93"/>
      <c r="Q633" s="51"/>
      <c r="R633" s="224"/>
      <c r="S633" s="161"/>
      <c r="T633" s="326" t="s">
        <v>211</v>
      </c>
      <c r="U633" s="50" t="s">
        <v>46</v>
      </c>
      <c r="V633" s="71"/>
      <c r="W633" s="93"/>
      <c r="X633" s="101"/>
      <c r="Y633" s="101"/>
      <c r="Z633" s="101"/>
      <c r="AA633" s="101"/>
      <c r="AB633" s="101"/>
      <c r="AC633" s="102"/>
      <c r="AD633" s="102"/>
      <c r="AE633" s="102"/>
      <c r="AF633" s="93"/>
      <c r="AG633" s="51"/>
      <c r="AH633" s="93"/>
      <c r="AI633" s="51"/>
      <c r="AJ633" s="224"/>
      <c r="AK633" s="169"/>
      <c r="AL633" s="326" t="s">
        <v>211</v>
      </c>
      <c r="AM633" s="210" t="str">
        <f>IF(OR(X633="",F633=""),"",X633-F633)</f>
        <v/>
      </c>
      <c r="AN633" s="171" t="str">
        <f>IF(OR(Y633="",G633=""),"",Y633-G633)</f>
        <v/>
      </c>
      <c r="AO633" s="171" t="str">
        <f>IF(OR(Z633="",H633=""),"",Z633-H633)</f>
        <v/>
      </c>
      <c r="AP633" s="171" t="str">
        <f>IF(OR(AA633="",I633=""),"",AA633-I633)</f>
        <v/>
      </c>
      <c r="AQ633" s="211" t="str">
        <f>IF(OR(AB633="",J633=""),"",AB633-J633)</f>
        <v/>
      </c>
      <c r="AR633" s="68"/>
      <c r="AS633" s="69"/>
      <c r="AT633" s="68"/>
    </row>
    <row r="634" spans="2:46" ht="13.5" customHeight="1" x14ac:dyDescent="0.15">
      <c r="B634" s="327"/>
      <c r="C634" s="52" t="s">
        <v>47</v>
      </c>
      <c r="D634" s="73"/>
      <c r="E634" s="95"/>
      <c r="F634" s="103"/>
      <c r="G634" s="103"/>
      <c r="H634" s="103"/>
      <c r="I634" s="103"/>
      <c r="J634" s="103"/>
      <c r="K634" s="104"/>
      <c r="L634" s="206"/>
      <c r="M634" s="206"/>
      <c r="N634" s="95"/>
      <c r="O634" s="53"/>
      <c r="P634" s="95"/>
      <c r="Q634" s="53"/>
      <c r="R634" s="225"/>
      <c r="S634" s="161"/>
      <c r="T634" s="327"/>
      <c r="U634" s="52" t="s">
        <v>47</v>
      </c>
      <c r="V634" s="73"/>
      <c r="W634" s="95"/>
      <c r="X634" s="103"/>
      <c r="Y634" s="103"/>
      <c r="Z634" s="103"/>
      <c r="AA634" s="103"/>
      <c r="AB634" s="103"/>
      <c r="AC634" s="104"/>
      <c r="AD634" s="104"/>
      <c r="AE634" s="104"/>
      <c r="AF634" s="95"/>
      <c r="AG634" s="53"/>
      <c r="AH634" s="95"/>
      <c r="AI634" s="53"/>
      <c r="AJ634" s="225"/>
      <c r="AK634" s="169"/>
      <c r="AL634" s="327"/>
      <c r="AM634" s="150" t="str">
        <f t="shared" ref="AM634:AM637" si="621">IF(OR(X634="",F634=""),"",X634-F634)</f>
        <v/>
      </c>
      <c r="AN634" s="212" t="str">
        <f t="shared" ref="AN634:AN637" si="622">IF(OR(Y634="",G634=""),"",Y634-G634)</f>
        <v/>
      </c>
      <c r="AO634" s="212" t="str">
        <f t="shared" ref="AO634:AO637" si="623">IF(OR(Z634="",H634=""),"",Z634-H634)</f>
        <v/>
      </c>
      <c r="AP634" s="212" t="str">
        <f t="shared" ref="AP634:AP637" si="624">IF(OR(AA634="",I634=""),"",AA634-I634)</f>
        <v/>
      </c>
      <c r="AQ634" s="151" t="str">
        <f t="shared" ref="AQ634:AQ637" si="625">IF(OR(AB634="",J634=""),"",AB634-J634)</f>
        <v/>
      </c>
      <c r="AR634" s="68"/>
      <c r="AS634" s="69"/>
      <c r="AT634" s="68"/>
    </row>
    <row r="635" spans="2:46" ht="13.5" customHeight="1" x14ac:dyDescent="0.15">
      <c r="B635" s="327"/>
      <c r="C635" s="52" t="s">
        <v>48</v>
      </c>
      <c r="D635" s="73"/>
      <c r="E635" s="95"/>
      <c r="F635" s="103"/>
      <c r="G635" s="103"/>
      <c r="H635" s="103"/>
      <c r="I635" s="103"/>
      <c r="J635" s="103"/>
      <c r="K635" s="104"/>
      <c r="L635" s="206"/>
      <c r="M635" s="206"/>
      <c r="N635" s="95"/>
      <c r="O635" s="53"/>
      <c r="P635" s="95"/>
      <c r="Q635" s="53"/>
      <c r="R635" s="225"/>
      <c r="S635" s="161"/>
      <c r="T635" s="327"/>
      <c r="U635" s="52" t="s">
        <v>48</v>
      </c>
      <c r="V635" s="73"/>
      <c r="W635" s="95"/>
      <c r="X635" s="103"/>
      <c r="Y635" s="103"/>
      <c r="Z635" s="103"/>
      <c r="AA635" s="103"/>
      <c r="AB635" s="103"/>
      <c r="AC635" s="104"/>
      <c r="AD635" s="104"/>
      <c r="AE635" s="104"/>
      <c r="AF635" s="95"/>
      <c r="AG635" s="53"/>
      <c r="AH635" s="95"/>
      <c r="AI635" s="53"/>
      <c r="AJ635" s="225"/>
      <c r="AK635" s="169"/>
      <c r="AL635" s="327"/>
      <c r="AM635" s="150" t="str">
        <f t="shared" si="621"/>
        <v/>
      </c>
      <c r="AN635" s="212" t="str">
        <f t="shared" si="622"/>
        <v/>
      </c>
      <c r="AO635" s="212" t="str">
        <f t="shared" si="623"/>
        <v/>
      </c>
      <c r="AP635" s="212" t="str">
        <f t="shared" si="624"/>
        <v/>
      </c>
      <c r="AQ635" s="151" t="str">
        <f t="shared" si="625"/>
        <v/>
      </c>
      <c r="AR635" s="68"/>
      <c r="AS635" s="69"/>
      <c r="AT635" s="68"/>
    </row>
    <row r="636" spans="2:46" ht="13.5" customHeight="1" x14ac:dyDescent="0.15">
      <c r="B636" s="327"/>
      <c r="C636" s="52" t="s">
        <v>50</v>
      </c>
      <c r="D636" s="73"/>
      <c r="E636" s="95"/>
      <c r="F636" s="103"/>
      <c r="G636" s="103"/>
      <c r="H636" s="103"/>
      <c r="I636" s="103"/>
      <c r="J636" s="103"/>
      <c r="K636" s="104"/>
      <c r="L636" s="206"/>
      <c r="M636" s="206"/>
      <c r="N636" s="95"/>
      <c r="O636" s="53"/>
      <c r="P636" s="95"/>
      <c r="Q636" s="53"/>
      <c r="R636" s="225"/>
      <c r="S636" s="161"/>
      <c r="T636" s="327"/>
      <c r="U636" s="52" t="s">
        <v>50</v>
      </c>
      <c r="V636" s="73"/>
      <c r="W636" s="95"/>
      <c r="X636" s="103"/>
      <c r="Y636" s="103"/>
      <c r="Z636" s="103"/>
      <c r="AA636" s="103"/>
      <c r="AB636" s="103"/>
      <c r="AC636" s="104"/>
      <c r="AD636" s="104"/>
      <c r="AE636" s="104"/>
      <c r="AF636" s="95"/>
      <c r="AG636" s="53"/>
      <c r="AH636" s="95"/>
      <c r="AI636" s="53"/>
      <c r="AJ636" s="225"/>
      <c r="AK636" s="169"/>
      <c r="AL636" s="327"/>
      <c r="AM636" s="150" t="str">
        <f t="shared" si="621"/>
        <v/>
      </c>
      <c r="AN636" s="212" t="str">
        <f t="shared" si="622"/>
        <v/>
      </c>
      <c r="AO636" s="212" t="str">
        <f t="shared" si="623"/>
        <v/>
      </c>
      <c r="AP636" s="212" t="str">
        <f t="shared" si="624"/>
        <v/>
      </c>
      <c r="AQ636" s="151" t="str">
        <f t="shared" si="625"/>
        <v/>
      </c>
      <c r="AR636" s="68"/>
      <c r="AS636" s="69"/>
      <c r="AT636" s="68"/>
    </row>
    <row r="637" spans="2:46" ht="13.5" customHeight="1" thickBot="1" x14ac:dyDescent="0.2">
      <c r="B637" s="328"/>
      <c r="C637" s="54" t="s">
        <v>51</v>
      </c>
      <c r="D637" s="74"/>
      <c r="E637" s="98"/>
      <c r="F637" s="105"/>
      <c r="G637" s="105"/>
      <c r="H637" s="105"/>
      <c r="I637" s="105"/>
      <c r="J637" s="105"/>
      <c r="K637" s="106"/>
      <c r="L637" s="207"/>
      <c r="M637" s="207"/>
      <c r="N637" s="98"/>
      <c r="O637" s="66"/>
      <c r="P637" s="98"/>
      <c r="Q637" s="66"/>
      <c r="R637" s="226"/>
      <c r="S637" s="161"/>
      <c r="T637" s="328"/>
      <c r="U637" s="54" t="s">
        <v>51</v>
      </c>
      <c r="V637" s="74"/>
      <c r="W637" s="98"/>
      <c r="X637" s="105"/>
      <c r="Y637" s="105"/>
      <c r="Z637" s="105"/>
      <c r="AA637" s="105"/>
      <c r="AB637" s="105"/>
      <c r="AC637" s="106"/>
      <c r="AD637" s="106"/>
      <c r="AE637" s="106"/>
      <c r="AF637" s="98"/>
      <c r="AG637" s="66"/>
      <c r="AH637" s="98"/>
      <c r="AI637" s="66"/>
      <c r="AJ637" s="226"/>
      <c r="AK637" s="169"/>
      <c r="AL637" s="328"/>
      <c r="AM637" s="213" t="str">
        <f t="shared" si="621"/>
        <v/>
      </c>
      <c r="AN637" s="214" t="str">
        <f t="shared" si="622"/>
        <v/>
      </c>
      <c r="AO637" s="214" t="str">
        <f t="shared" si="623"/>
        <v/>
      </c>
      <c r="AP637" s="214" t="str">
        <f t="shared" si="624"/>
        <v/>
      </c>
      <c r="AQ637" s="215" t="str">
        <f t="shared" si="625"/>
        <v/>
      </c>
      <c r="AR637" s="68"/>
      <c r="AS637" s="69"/>
      <c r="AT637" s="68"/>
    </row>
    <row r="638" spans="2:46" ht="13.5" customHeight="1" thickBot="1" x14ac:dyDescent="0.2">
      <c r="B638" s="161"/>
      <c r="C638" s="161"/>
      <c r="D638" s="161"/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4"/>
      <c r="P638" s="161"/>
      <c r="Q638" s="161"/>
      <c r="R638" s="165"/>
      <c r="S638" s="161"/>
      <c r="T638" s="161"/>
      <c r="U638" s="161"/>
      <c r="V638" s="161"/>
      <c r="W638" s="161"/>
      <c r="X638" s="161"/>
      <c r="Y638" s="161"/>
      <c r="Z638" s="161"/>
      <c r="AA638" s="161"/>
      <c r="AB638" s="161"/>
      <c r="AC638" s="161"/>
      <c r="AD638" s="161"/>
      <c r="AE638" s="161"/>
      <c r="AF638" s="161"/>
      <c r="AG638" s="164"/>
      <c r="AH638" s="161"/>
      <c r="AI638" s="161"/>
      <c r="AJ638" s="165"/>
      <c r="AK638" s="169"/>
      <c r="AL638" s="169"/>
      <c r="AM638" s="72"/>
      <c r="AN638" s="72"/>
      <c r="AO638" s="72"/>
      <c r="AP638" s="68"/>
      <c r="AQ638" s="68"/>
      <c r="AR638" s="68"/>
      <c r="AS638" s="69"/>
      <c r="AT638" s="68"/>
    </row>
    <row r="639" spans="2:46" ht="13.95" customHeight="1" x14ac:dyDescent="0.15">
      <c r="B639" s="236"/>
      <c r="C639" s="237"/>
      <c r="D639" s="179"/>
      <c r="E639" s="180"/>
      <c r="F639" s="56" t="s">
        <v>64</v>
      </c>
      <c r="G639" s="58" t="s">
        <v>65</v>
      </c>
      <c r="H639" s="58" t="s">
        <v>65</v>
      </c>
      <c r="I639" s="58" t="s">
        <v>65</v>
      </c>
      <c r="J639" s="58" t="s">
        <v>65</v>
      </c>
      <c r="K639" s="181"/>
      <c r="L639" s="181"/>
      <c r="M639" s="181"/>
      <c r="N639" s="181"/>
      <c r="O639" s="182"/>
      <c r="P639" s="181"/>
      <c r="Q639" s="183"/>
      <c r="R639" s="184"/>
      <c r="T639" s="236"/>
      <c r="U639" s="237"/>
      <c r="V639" s="179"/>
      <c r="W639" s="180"/>
      <c r="X639" s="56" t="s">
        <v>64</v>
      </c>
      <c r="Y639" s="58" t="s">
        <v>65</v>
      </c>
      <c r="Z639" s="58" t="s">
        <v>65</v>
      </c>
      <c r="AA639" s="58" t="s">
        <v>65</v>
      </c>
      <c r="AB639" s="58" t="s">
        <v>65</v>
      </c>
      <c r="AC639" s="181"/>
      <c r="AD639" s="181"/>
      <c r="AE639" s="181"/>
      <c r="AF639" s="181"/>
      <c r="AG639" s="182"/>
      <c r="AH639" s="181"/>
      <c r="AI639" s="183"/>
      <c r="AJ639" s="184"/>
    </row>
    <row r="640" spans="2:46" ht="14.55" customHeight="1" thickBot="1" x14ac:dyDescent="0.2">
      <c r="B640" s="238"/>
      <c r="C640" s="169"/>
      <c r="F640" s="163" t="s">
        <v>71</v>
      </c>
      <c r="G640" s="164" t="s">
        <v>72</v>
      </c>
      <c r="H640" s="164" t="s">
        <v>73</v>
      </c>
      <c r="I640" s="164" t="s">
        <v>74</v>
      </c>
      <c r="J640" s="164" t="s">
        <v>75</v>
      </c>
      <c r="R640" s="185"/>
      <c r="T640" s="238"/>
      <c r="U640" s="169"/>
      <c r="V640" s="12"/>
      <c r="W640" s="34"/>
      <c r="X640" s="163" t="s">
        <v>71</v>
      </c>
      <c r="Y640" s="164" t="s">
        <v>72</v>
      </c>
      <c r="Z640" s="164" t="s">
        <v>73</v>
      </c>
      <c r="AA640" s="164" t="s">
        <v>74</v>
      </c>
      <c r="AB640" s="164" t="s">
        <v>75</v>
      </c>
      <c r="AC640" s="16"/>
      <c r="AD640" s="16"/>
      <c r="AE640" s="16"/>
      <c r="AF640" s="16"/>
      <c r="AH640" s="16"/>
      <c r="AI640" s="17"/>
      <c r="AJ640" s="185"/>
    </row>
    <row r="641" spans="2:36" x14ac:dyDescent="0.15">
      <c r="B641" s="326" t="s">
        <v>212</v>
      </c>
      <c r="C641" s="50" t="s">
        <v>46</v>
      </c>
      <c r="D641" s="186"/>
      <c r="E641" s="187"/>
      <c r="F641" s="229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229">
        <f t="shared" ref="G641:J641" si="626"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1" s="229">
        <f t="shared" si="626"/>
        <v>0</v>
      </c>
      <c r="I641" s="229">
        <f t="shared" si="626"/>
        <v>0</v>
      </c>
      <c r="J641" s="229">
        <f t="shared" si="626"/>
        <v>0</v>
      </c>
      <c r="K641" s="192"/>
      <c r="L641" s="192"/>
      <c r="M641" s="192"/>
      <c r="N641" s="192"/>
      <c r="O641" s="193"/>
      <c r="P641" s="192"/>
      <c r="Q641" s="194"/>
      <c r="R641" s="195"/>
      <c r="T641" s="326" t="s">
        <v>212</v>
      </c>
      <c r="U641" s="50" t="s">
        <v>46</v>
      </c>
      <c r="V641" s="186"/>
      <c r="W641" s="187"/>
      <c r="X641" s="229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229">
        <f t="shared" ref="Y641:AB641" si="627"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1" s="229">
        <f t="shared" si="627"/>
        <v>0</v>
      </c>
      <c r="AA641" s="229">
        <f t="shared" si="627"/>
        <v>0</v>
      </c>
      <c r="AB641" s="229">
        <f t="shared" si="627"/>
        <v>0</v>
      </c>
      <c r="AC641" s="192"/>
      <c r="AD641" s="192"/>
      <c r="AE641" s="192"/>
      <c r="AF641" s="192"/>
      <c r="AG641" s="193"/>
      <c r="AH641" s="192"/>
      <c r="AI641" s="194"/>
      <c r="AJ641" s="195"/>
    </row>
    <row r="642" spans="2:36" x14ac:dyDescent="0.15">
      <c r="B642" s="350"/>
      <c r="C642" s="52" t="s">
        <v>47</v>
      </c>
      <c r="D642" s="188"/>
      <c r="E642" s="189"/>
      <c r="F642" s="41">
        <f t="shared" ref="F642:J642" si="628"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2" s="41">
        <f t="shared" si="628"/>
        <v>0</v>
      </c>
      <c r="H642" s="41">
        <f t="shared" si="628"/>
        <v>0</v>
      </c>
      <c r="I642" s="41">
        <f t="shared" si="628"/>
        <v>0</v>
      </c>
      <c r="J642" s="41">
        <f t="shared" si="628"/>
        <v>0</v>
      </c>
      <c r="K642" s="196"/>
      <c r="L642" s="196"/>
      <c r="M642" s="196"/>
      <c r="N642" s="196"/>
      <c r="O642" s="197"/>
      <c r="P642" s="196"/>
      <c r="Q642" s="198"/>
      <c r="R642" s="199"/>
      <c r="T642" s="350"/>
      <c r="U642" s="52" t="s">
        <v>47</v>
      </c>
      <c r="V642" s="188"/>
      <c r="W642" s="189"/>
      <c r="X642" s="41">
        <f t="shared" ref="X642:AB642" si="629"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2" s="41">
        <f t="shared" si="629"/>
        <v>0</v>
      </c>
      <c r="Z642" s="41">
        <f t="shared" si="629"/>
        <v>0</v>
      </c>
      <c r="AA642" s="41">
        <f t="shared" si="629"/>
        <v>0</v>
      </c>
      <c r="AB642" s="41">
        <f t="shared" si="629"/>
        <v>0</v>
      </c>
      <c r="AC642" s="196"/>
      <c r="AD642" s="196"/>
      <c r="AE642" s="196"/>
      <c r="AF642" s="196"/>
      <c r="AG642" s="197"/>
      <c r="AH642" s="196"/>
      <c r="AI642" s="198"/>
      <c r="AJ642" s="199"/>
    </row>
    <row r="643" spans="2:36" x14ac:dyDescent="0.15">
      <c r="B643" s="350"/>
      <c r="C643" s="52" t="s">
        <v>48</v>
      </c>
      <c r="D643" s="188"/>
      <c r="E643" s="189"/>
      <c r="F643" s="41">
        <f t="shared" ref="F643:J643" si="630"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>0</v>
      </c>
      <c r="G643" s="41">
        <f t="shared" si="630"/>
        <v>0</v>
      </c>
      <c r="H643" s="41">
        <f t="shared" si="630"/>
        <v>0</v>
      </c>
      <c r="I643" s="41">
        <f t="shared" si="630"/>
        <v>0</v>
      </c>
      <c r="J643" s="41">
        <f t="shared" si="630"/>
        <v>0</v>
      </c>
      <c r="K643" s="196"/>
      <c r="L643" s="196"/>
      <c r="M643" s="196"/>
      <c r="N643" s="196"/>
      <c r="O643" s="197"/>
      <c r="P643" s="196"/>
      <c r="Q643" s="198"/>
      <c r="R643" s="199"/>
      <c r="T643" s="350"/>
      <c r="U643" s="52" t="s">
        <v>48</v>
      </c>
      <c r="V643" s="188"/>
      <c r="W643" s="189"/>
      <c r="X643" s="41">
        <f t="shared" ref="X643:AB643" si="631"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>0</v>
      </c>
      <c r="Y643" s="41">
        <f t="shared" si="631"/>
        <v>0</v>
      </c>
      <c r="Z643" s="41">
        <f t="shared" si="631"/>
        <v>0</v>
      </c>
      <c r="AA643" s="41">
        <f t="shared" si="631"/>
        <v>0</v>
      </c>
      <c r="AB643" s="41">
        <f t="shared" si="631"/>
        <v>0</v>
      </c>
      <c r="AC643" s="196"/>
      <c r="AD643" s="196"/>
      <c r="AE643" s="196"/>
      <c r="AF643" s="196"/>
      <c r="AG643" s="197"/>
      <c r="AH643" s="196"/>
      <c r="AI643" s="198"/>
      <c r="AJ643" s="199"/>
    </row>
    <row r="644" spans="2:36" x14ac:dyDescent="0.15">
      <c r="B644" s="350"/>
      <c r="C644" s="52" t="s">
        <v>50</v>
      </c>
      <c r="D644" s="188"/>
      <c r="E644" s="189"/>
      <c r="F644" s="41">
        <f t="shared" ref="F644:J644" si="632"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>0</v>
      </c>
      <c r="G644" s="41">
        <f t="shared" si="632"/>
        <v>0</v>
      </c>
      <c r="H644" s="41">
        <f t="shared" si="632"/>
        <v>0</v>
      </c>
      <c r="I644" s="41">
        <f t="shared" si="632"/>
        <v>0</v>
      </c>
      <c r="J644" s="41">
        <f t="shared" si="632"/>
        <v>0</v>
      </c>
      <c r="K644" s="196"/>
      <c r="L644" s="196"/>
      <c r="M644" s="196"/>
      <c r="N644" s="196"/>
      <c r="O644" s="197"/>
      <c r="P644" s="196"/>
      <c r="Q644" s="198"/>
      <c r="R644" s="199"/>
      <c r="T644" s="350"/>
      <c r="U644" s="52" t="s">
        <v>50</v>
      </c>
      <c r="V644" s="188"/>
      <c r="W644" s="189"/>
      <c r="X644" s="41">
        <f t="shared" ref="X644:AB644" si="633"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>0</v>
      </c>
      <c r="Y644" s="41">
        <f t="shared" si="633"/>
        <v>0</v>
      </c>
      <c r="Z644" s="41">
        <f t="shared" si="633"/>
        <v>0</v>
      </c>
      <c r="AA644" s="41">
        <f t="shared" si="633"/>
        <v>0</v>
      </c>
      <c r="AB644" s="41">
        <f t="shared" si="633"/>
        <v>0</v>
      </c>
      <c r="AC644" s="196"/>
      <c r="AD644" s="196"/>
      <c r="AE644" s="196"/>
      <c r="AF644" s="196"/>
      <c r="AG644" s="197"/>
      <c r="AH644" s="196"/>
      <c r="AI644" s="198"/>
      <c r="AJ644" s="199"/>
    </row>
    <row r="645" spans="2:36" ht="12.6" thickBot="1" x14ac:dyDescent="0.2">
      <c r="B645" s="351"/>
      <c r="C645" s="54" t="s">
        <v>51</v>
      </c>
      <c r="D645" s="190"/>
      <c r="E645" s="191"/>
      <c r="F645" s="230">
        <f t="shared" ref="F645:J645" si="634">MIN(F37,F42,F47,F52,F57,F62,F67,F72,F77,F82,F87,F92,F97,F102,F107,F112,F117,F122,F127,F132,F137,F142,F147,F152,F157,F162,F167,F172,F177,F182,F187,F192,F197,F202,F207,F212,F217,F222,F227,F232,F237,F242,F247,F252,F257,F262,F267,F272,F277,F282,F287,F292,F297,F302,F307,F312,F317,F322,F327,F332,F337,F342,F347,F352,F357,F362,F367,F372,F377,F382,F387,F392,F397,F402,F407,F412,F417,F422,F427,F432,F437,F442,F447,F452,F457,F462,F467,F472,F477,F482,F487,F492,F497,F502,F507,F512,F517,F522,F527,F532,F537,F542,F547,F552,F557,F562,F567,F572,F577,F582,F587,F592,F597,F602,F607,F612,F617,F622,F627,F632,F637)</f>
        <v>0</v>
      </c>
      <c r="G645" s="230">
        <f t="shared" si="634"/>
        <v>0</v>
      </c>
      <c r="H645" s="230">
        <f t="shared" si="634"/>
        <v>0</v>
      </c>
      <c r="I645" s="230">
        <f t="shared" si="634"/>
        <v>0</v>
      </c>
      <c r="J645" s="230">
        <f t="shared" si="634"/>
        <v>0</v>
      </c>
      <c r="K645" s="200"/>
      <c r="L645" s="200"/>
      <c r="M645" s="200"/>
      <c r="N645" s="200"/>
      <c r="O645" s="201"/>
      <c r="P645" s="200"/>
      <c r="Q645" s="202"/>
      <c r="R645" s="203"/>
      <c r="T645" s="351"/>
      <c r="U645" s="54" t="s">
        <v>51</v>
      </c>
      <c r="V645" s="190"/>
      <c r="W645" s="191"/>
      <c r="X645" s="230">
        <f t="shared" ref="X645:AB645" si="635">MIN(X37,X42,X47,X52,X57,X62,X67,X72,X77,X82,X87,X92,X97,X102,X107,X112,X117,X122,X127,X132,X137,X142,X147,X152,X157,X162,X167,X172,X177,X182,X187,X192,X197,X202,X207,X212,X217,X222,X227,X232,X237,X242,X247,X252,X257,X262,X267,X272,X277,X282,X287,X292,X297,X302,X307,X312,X317,X322,X327,X332,X337,X342,X347,X352,X357,X362,X367,X372,X377,X382,X387,X392,X397,X402,X407,X412,X417,X422,X427,X432,X437,X442,X447,X452,X457,X462,X467,X472,X477,X482,X487,X492,X497,X502,X507,X512,X517,X522,X527,X532,X537,X542,X547,X552,X557,X562,X567,X572,X577,X582,X587,X592,X597,X602,X607,X612,X617,X622,X627,X632,X637)</f>
        <v>0</v>
      </c>
      <c r="Y645" s="230">
        <f t="shared" si="635"/>
        <v>0</v>
      </c>
      <c r="Z645" s="230">
        <f t="shared" si="635"/>
        <v>0</v>
      </c>
      <c r="AA645" s="230">
        <f t="shared" si="635"/>
        <v>0</v>
      </c>
      <c r="AB645" s="230">
        <f t="shared" si="635"/>
        <v>0</v>
      </c>
      <c r="AC645" s="200"/>
      <c r="AD645" s="200"/>
      <c r="AE645" s="200"/>
      <c r="AF645" s="200"/>
      <c r="AG645" s="201"/>
      <c r="AH645" s="200"/>
      <c r="AI645" s="202"/>
      <c r="AJ645" s="203"/>
    </row>
    <row r="646" spans="2:36" x14ac:dyDescent="0.15">
      <c r="B646" s="350" t="s">
        <v>213</v>
      </c>
      <c r="C646" s="50" t="s">
        <v>46</v>
      </c>
      <c r="D646" s="186"/>
      <c r="E646" s="187"/>
      <c r="F646" s="229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229">
        <f t="shared" ref="G646:J646" si="636"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6" s="229">
        <f t="shared" si="636"/>
        <v>0</v>
      </c>
      <c r="I646" s="229">
        <f t="shared" si="636"/>
        <v>0</v>
      </c>
      <c r="J646" s="229">
        <f t="shared" si="636"/>
        <v>0</v>
      </c>
      <c r="K646" s="192"/>
      <c r="L646" s="192"/>
      <c r="M646" s="192"/>
      <c r="N646" s="192"/>
      <c r="O646" s="193"/>
      <c r="P646" s="192"/>
      <c r="Q646" s="194"/>
      <c r="R646" s="195"/>
      <c r="T646" s="350" t="s">
        <v>213</v>
      </c>
      <c r="U646" s="50" t="s">
        <v>46</v>
      </c>
      <c r="V646" s="186"/>
      <c r="W646" s="187"/>
      <c r="X646" s="229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229">
        <f t="shared" ref="Y646:AB646" si="637"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6" s="229">
        <f t="shared" si="637"/>
        <v>0</v>
      </c>
      <c r="AA646" s="229">
        <f t="shared" si="637"/>
        <v>0</v>
      </c>
      <c r="AB646" s="229">
        <f t="shared" si="637"/>
        <v>0</v>
      </c>
      <c r="AC646" s="192"/>
      <c r="AD646" s="192"/>
      <c r="AE646" s="192"/>
      <c r="AF646" s="192"/>
      <c r="AG646" s="193"/>
      <c r="AH646" s="192"/>
      <c r="AI646" s="194"/>
      <c r="AJ646" s="195"/>
    </row>
    <row r="647" spans="2:36" x14ac:dyDescent="0.15">
      <c r="B647" s="350"/>
      <c r="C647" s="52" t="s">
        <v>47</v>
      </c>
      <c r="D647" s="188"/>
      <c r="E647" s="189"/>
      <c r="F647" s="41">
        <f t="shared" ref="F647:J647" si="638"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7" s="41">
        <f t="shared" si="638"/>
        <v>0</v>
      </c>
      <c r="H647" s="41">
        <f t="shared" si="638"/>
        <v>0</v>
      </c>
      <c r="I647" s="41">
        <f t="shared" si="638"/>
        <v>0</v>
      </c>
      <c r="J647" s="41">
        <f t="shared" si="638"/>
        <v>0</v>
      </c>
      <c r="K647" s="196"/>
      <c r="L647" s="196"/>
      <c r="M647" s="196"/>
      <c r="N647" s="196"/>
      <c r="O647" s="197"/>
      <c r="P647" s="196"/>
      <c r="Q647" s="198"/>
      <c r="R647" s="199"/>
      <c r="T647" s="350"/>
      <c r="U647" s="52" t="s">
        <v>47</v>
      </c>
      <c r="V647" s="188"/>
      <c r="W647" s="189"/>
      <c r="X647" s="41">
        <f t="shared" ref="X647:AB647" si="639"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7" s="41">
        <f t="shared" si="639"/>
        <v>0</v>
      </c>
      <c r="Z647" s="41">
        <f t="shared" si="639"/>
        <v>0</v>
      </c>
      <c r="AA647" s="41">
        <f t="shared" si="639"/>
        <v>0</v>
      </c>
      <c r="AB647" s="41">
        <f t="shared" si="639"/>
        <v>0</v>
      </c>
      <c r="AC647" s="196"/>
      <c r="AD647" s="196"/>
      <c r="AE647" s="196"/>
      <c r="AF647" s="196"/>
      <c r="AG647" s="197"/>
      <c r="AH647" s="196"/>
      <c r="AI647" s="198"/>
      <c r="AJ647" s="199"/>
    </row>
    <row r="648" spans="2:36" x14ac:dyDescent="0.15">
      <c r="B648" s="350"/>
      <c r="C648" s="52" t="s">
        <v>48</v>
      </c>
      <c r="D648" s="188"/>
      <c r="E648" s="189"/>
      <c r="F648" s="41">
        <f t="shared" ref="F648:J648" si="640"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>0</v>
      </c>
      <c r="G648" s="41">
        <f t="shared" si="640"/>
        <v>0</v>
      </c>
      <c r="H648" s="41">
        <f t="shared" si="640"/>
        <v>0</v>
      </c>
      <c r="I648" s="41">
        <f t="shared" si="640"/>
        <v>0</v>
      </c>
      <c r="J648" s="41">
        <f t="shared" si="640"/>
        <v>0</v>
      </c>
      <c r="K648" s="196"/>
      <c r="L648" s="196"/>
      <c r="M648" s="196"/>
      <c r="N648" s="196"/>
      <c r="O648" s="197"/>
      <c r="P648" s="196"/>
      <c r="Q648" s="198"/>
      <c r="R648" s="199"/>
      <c r="T648" s="350"/>
      <c r="U648" s="52" t="s">
        <v>48</v>
      </c>
      <c r="V648" s="188"/>
      <c r="W648" s="189"/>
      <c r="X648" s="41">
        <f t="shared" ref="X648:AB648" si="641"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>0</v>
      </c>
      <c r="Y648" s="41">
        <f t="shared" si="641"/>
        <v>0</v>
      </c>
      <c r="Z648" s="41">
        <f t="shared" si="641"/>
        <v>0</v>
      </c>
      <c r="AA648" s="41">
        <f t="shared" si="641"/>
        <v>0</v>
      </c>
      <c r="AB648" s="41">
        <f t="shared" si="641"/>
        <v>0</v>
      </c>
      <c r="AC648" s="196"/>
      <c r="AD648" s="196"/>
      <c r="AE648" s="196"/>
      <c r="AF648" s="196"/>
      <c r="AG648" s="197"/>
      <c r="AH648" s="196"/>
      <c r="AI648" s="198"/>
      <c r="AJ648" s="199"/>
    </row>
    <row r="649" spans="2:36" x14ac:dyDescent="0.15">
      <c r="B649" s="350"/>
      <c r="C649" s="52" t="s">
        <v>50</v>
      </c>
      <c r="D649" s="188"/>
      <c r="E649" s="189"/>
      <c r="F649" s="41">
        <f t="shared" ref="F649:J649" si="642"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>0</v>
      </c>
      <c r="G649" s="41">
        <f t="shared" si="642"/>
        <v>0</v>
      </c>
      <c r="H649" s="41">
        <f t="shared" si="642"/>
        <v>0</v>
      </c>
      <c r="I649" s="41">
        <f t="shared" si="642"/>
        <v>0</v>
      </c>
      <c r="J649" s="41">
        <f t="shared" si="642"/>
        <v>0</v>
      </c>
      <c r="K649" s="196"/>
      <c r="L649" s="196"/>
      <c r="M649" s="196"/>
      <c r="N649" s="196"/>
      <c r="O649" s="197"/>
      <c r="P649" s="196"/>
      <c r="Q649" s="198"/>
      <c r="R649" s="199"/>
      <c r="T649" s="350"/>
      <c r="U649" s="52" t="s">
        <v>50</v>
      </c>
      <c r="V649" s="188"/>
      <c r="W649" s="189"/>
      <c r="X649" s="41">
        <f t="shared" ref="X649:AB649" si="643"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>0</v>
      </c>
      <c r="Y649" s="41">
        <f t="shared" si="643"/>
        <v>0</v>
      </c>
      <c r="Z649" s="41">
        <f t="shared" si="643"/>
        <v>0</v>
      </c>
      <c r="AA649" s="41">
        <f t="shared" si="643"/>
        <v>0</v>
      </c>
      <c r="AB649" s="41">
        <f t="shared" si="643"/>
        <v>0</v>
      </c>
      <c r="AC649" s="196"/>
      <c r="AD649" s="196"/>
      <c r="AE649" s="196"/>
      <c r="AF649" s="196"/>
      <c r="AG649" s="197"/>
      <c r="AH649" s="196"/>
      <c r="AI649" s="198"/>
      <c r="AJ649" s="199"/>
    </row>
    <row r="650" spans="2:36" ht="12.6" thickBot="1" x14ac:dyDescent="0.2">
      <c r="B650" s="351"/>
      <c r="C650" s="54" t="s">
        <v>51</v>
      </c>
      <c r="D650" s="190"/>
      <c r="E650" s="191"/>
      <c r="F650" s="230">
        <f t="shared" ref="F650:J650" si="644">MAX(F37,F42,F47,F52,F57,F62,F67,F72,F77,F82,F87,F92,F97,F102,F107,F112,F117,F122,F127,F132,F137,F142,F147,F152,F157,F162,F167,F172,F177,F182,F187,F192,F197,F202,F207,F212,F217,F222,F227,F232,F237,F242,F247,F252,F257,F262,F267,F272,F277,F282,F287,F292,F297,F302,F307,F312,F317,F322,F327,F332,F337,F342,F347,F352,F357,F362,F367,F372,F377,F382,F387,F392,F397,F402,F407,F412,F417,F422,F427,F432,F437,F442,F447,F452,F457,F462,F467,F472,F477,F482,F487,F492,F497,F502,F507,F512,F517,F522,F527,F532,F537,F542,F547,F552,F557,F562,F567,F572,F577,F582,F587,F592,F597,F602,F607,F612,F617,F622,F627,F632,F637)</f>
        <v>0</v>
      </c>
      <c r="G650" s="230">
        <f t="shared" si="644"/>
        <v>0</v>
      </c>
      <c r="H650" s="230">
        <f t="shared" si="644"/>
        <v>0</v>
      </c>
      <c r="I650" s="230">
        <f t="shared" si="644"/>
        <v>0</v>
      </c>
      <c r="J650" s="230">
        <f t="shared" si="644"/>
        <v>0</v>
      </c>
      <c r="K650" s="200"/>
      <c r="L650" s="200"/>
      <c r="M650" s="200"/>
      <c r="N650" s="200"/>
      <c r="O650" s="201"/>
      <c r="P650" s="200"/>
      <c r="Q650" s="202"/>
      <c r="R650" s="203"/>
      <c r="T650" s="351"/>
      <c r="U650" s="54" t="s">
        <v>51</v>
      </c>
      <c r="V650" s="190"/>
      <c r="W650" s="191"/>
      <c r="X650" s="230">
        <f t="shared" ref="X650:AB650" si="645">MAX(X37,X42,X47,X52,X57,X62,X67,X72,X77,X82,X87,X92,X97,X102,X107,X112,X117,X122,X127,X132,X137,X142,X147,X152,X157,X162,X167,X172,X177,X182,X187,X192,X197,X202,X207,X212,X217,X222,X227,X232,X237,X242,X247,X252,X257,X262,X267,X272,X277,X282,X287,X292,X297,X302,X307,X312,X317,X322,X327,X332,X337,X342,X347,X352,X357,X362,X367,X372,X377,X382,X387,X392,X397,X402,X407,X412,X417,X422,X427,X432,X437,X442,X447,X452,X457,X462,X467,X472,X477,X482,X487,X492,X497,X502,X507,X512,X517,X522,X527,X532,X537,X542,X547,X552,X557,X562,X567,X572,X577,X582,X587,X592,X597,X602,X607,X612,X617,X622,X627,X632,X637)</f>
        <v>0</v>
      </c>
      <c r="Y650" s="230">
        <f t="shared" si="645"/>
        <v>0</v>
      </c>
      <c r="Z650" s="230">
        <f t="shared" si="645"/>
        <v>0</v>
      </c>
      <c r="AA650" s="230">
        <f t="shared" si="645"/>
        <v>0</v>
      </c>
      <c r="AB650" s="230">
        <f t="shared" si="645"/>
        <v>0</v>
      </c>
      <c r="AC650" s="200"/>
      <c r="AD650" s="200"/>
      <c r="AE650" s="200"/>
      <c r="AF650" s="200"/>
      <c r="AG650" s="201"/>
      <c r="AH650" s="200"/>
      <c r="AI650" s="202"/>
      <c r="AJ650" s="203"/>
    </row>
    <row r="651" spans="2:36" ht="13.95" customHeight="1" x14ac:dyDescent="0.15">
      <c r="B651" s="352" t="s">
        <v>214</v>
      </c>
      <c r="C651" s="50" t="s">
        <v>46</v>
      </c>
      <c r="D651" s="186"/>
      <c r="E651" s="187"/>
      <c r="F651" s="229">
        <f>F646-F641</f>
        <v>0</v>
      </c>
      <c r="G651" s="229">
        <f>G646-G641</f>
        <v>0</v>
      </c>
      <c r="H651" s="229">
        <f>H646-H641</f>
        <v>0</v>
      </c>
      <c r="I651" s="229">
        <f>I646-I641</f>
        <v>0</v>
      </c>
      <c r="J651" s="229">
        <f>J646-J641</f>
        <v>0</v>
      </c>
      <c r="K651" s="192"/>
      <c r="L651" s="192"/>
      <c r="M651" s="192"/>
      <c r="N651" s="192"/>
      <c r="O651" s="193"/>
      <c r="P651" s="192"/>
      <c r="Q651" s="194"/>
      <c r="R651" s="195"/>
      <c r="T651" s="352" t="s">
        <v>214</v>
      </c>
      <c r="U651" s="50" t="s">
        <v>46</v>
      </c>
      <c r="V651" s="186"/>
      <c r="W651" s="187"/>
      <c r="X651" s="229">
        <f>X646-X641</f>
        <v>0</v>
      </c>
      <c r="Y651" s="229">
        <f>Y646-Y641</f>
        <v>0</v>
      </c>
      <c r="Z651" s="229">
        <f>Z646-Z641</f>
        <v>0</v>
      </c>
      <c r="AA651" s="229">
        <f>AA646-AA641</f>
        <v>0</v>
      </c>
      <c r="AB651" s="229">
        <f>AB646-AB641</f>
        <v>0</v>
      </c>
      <c r="AC651" s="192"/>
      <c r="AD651" s="192"/>
      <c r="AE651" s="192"/>
      <c r="AF651" s="192"/>
      <c r="AG651" s="193"/>
      <c r="AH651" s="192"/>
      <c r="AI651" s="194"/>
      <c r="AJ651" s="195"/>
    </row>
    <row r="652" spans="2:36" x14ac:dyDescent="0.15">
      <c r="B652" s="352"/>
      <c r="C652" s="52" t="s">
        <v>47</v>
      </c>
      <c r="D652" s="188"/>
      <c r="E652" s="189"/>
      <c r="F652" s="41">
        <f t="shared" ref="F652:G655" si="646">F647-F642</f>
        <v>0</v>
      </c>
      <c r="G652" s="41">
        <f t="shared" si="646"/>
        <v>0</v>
      </c>
      <c r="H652" s="41">
        <f t="shared" ref="H652:J652" si="647">H647-H642</f>
        <v>0</v>
      </c>
      <c r="I652" s="41">
        <f t="shared" si="647"/>
        <v>0</v>
      </c>
      <c r="J652" s="41">
        <f t="shared" si="647"/>
        <v>0</v>
      </c>
      <c r="K652" s="196"/>
      <c r="L652" s="196"/>
      <c r="M652" s="196"/>
      <c r="N652" s="196"/>
      <c r="O652" s="197"/>
      <c r="P652" s="196"/>
      <c r="Q652" s="198"/>
      <c r="R652" s="199"/>
      <c r="T652" s="352"/>
      <c r="U652" s="52" t="s">
        <v>47</v>
      </c>
      <c r="V652" s="188"/>
      <c r="W652" s="189"/>
      <c r="X652" s="41">
        <f t="shared" ref="X652:AB652" si="648">X647-X642</f>
        <v>0</v>
      </c>
      <c r="Y652" s="41">
        <f t="shared" si="648"/>
        <v>0</v>
      </c>
      <c r="Z652" s="41">
        <f t="shared" si="648"/>
        <v>0</v>
      </c>
      <c r="AA652" s="41">
        <f t="shared" si="648"/>
        <v>0</v>
      </c>
      <c r="AB652" s="41">
        <f t="shared" si="648"/>
        <v>0</v>
      </c>
      <c r="AC652" s="196"/>
      <c r="AD652" s="196"/>
      <c r="AE652" s="196"/>
      <c r="AF652" s="196"/>
      <c r="AG652" s="197"/>
      <c r="AH652" s="196"/>
      <c r="AI652" s="198"/>
      <c r="AJ652" s="199"/>
    </row>
    <row r="653" spans="2:36" x14ac:dyDescent="0.15">
      <c r="B653" s="352"/>
      <c r="C653" s="52" t="s">
        <v>48</v>
      </c>
      <c r="D653" s="188"/>
      <c r="E653" s="189"/>
      <c r="F653" s="41">
        <f t="shared" si="646"/>
        <v>0</v>
      </c>
      <c r="G653" s="41">
        <f t="shared" si="646"/>
        <v>0</v>
      </c>
      <c r="H653" s="41">
        <f t="shared" ref="H653:J653" si="649">H648-H643</f>
        <v>0</v>
      </c>
      <c r="I653" s="41">
        <f t="shared" si="649"/>
        <v>0</v>
      </c>
      <c r="J653" s="41">
        <f t="shared" si="649"/>
        <v>0</v>
      </c>
      <c r="K653" s="196"/>
      <c r="L653" s="196"/>
      <c r="M653" s="196"/>
      <c r="N653" s="196"/>
      <c r="O653" s="197"/>
      <c r="P653" s="196"/>
      <c r="Q653" s="198"/>
      <c r="R653" s="199"/>
      <c r="T653" s="352"/>
      <c r="U653" s="52" t="s">
        <v>48</v>
      </c>
      <c r="V653" s="188"/>
      <c r="W653" s="189"/>
      <c r="X653" s="41">
        <f t="shared" ref="X653:AB653" si="650">X648-X643</f>
        <v>0</v>
      </c>
      <c r="Y653" s="41">
        <f t="shared" si="650"/>
        <v>0</v>
      </c>
      <c r="Z653" s="41">
        <f t="shared" si="650"/>
        <v>0</v>
      </c>
      <c r="AA653" s="41">
        <f t="shared" si="650"/>
        <v>0</v>
      </c>
      <c r="AB653" s="41">
        <f t="shared" si="650"/>
        <v>0</v>
      </c>
      <c r="AC653" s="196"/>
      <c r="AD653" s="196"/>
      <c r="AE653" s="196"/>
      <c r="AF653" s="196"/>
      <c r="AG653" s="197"/>
      <c r="AH653" s="196"/>
      <c r="AI653" s="198"/>
      <c r="AJ653" s="199"/>
    </row>
    <row r="654" spans="2:36" x14ac:dyDescent="0.15">
      <c r="B654" s="352"/>
      <c r="C654" s="52" t="s">
        <v>50</v>
      </c>
      <c r="D654" s="188"/>
      <c r="E654" s="189"/>
      <c r="F654" s="41">
        <f t="shared" si="646"/>
        <v>0</v>
      </c>
      <c r="G654" s="41">
        <f t="shared" si="646"/>
        <v>0</v>
      </c>
      <c r="H654" s="41">
        <f t="shared" ref="H654:J654" si="651">H649-H644</f>
        <v>0</v>
      </c>
      <c r="I654" s="41">
        <f t="shared" si="651"/>
        <v>0</v>
      </c>
      <c r="J654" s="41">
        <f t="shared" si="651"/>
        <v>0</v>
      </c>
      <c r="K654" s="196"/>
      <c r="L654" s="196"/>
      <c r="M654" s="196"/>
      <c r="N654" s="196"/>
      <c r="O654" s="197"/>
      <c r="P654" s="196"/>
      <c r="Q654" s="198"/>
      <c r="R654" s="199"/>
      <c r="T654" s="352"/>
      <c r="U654" s="52" t="s">
        <v>50</v>
      </c>
      <c r="V654" s="188"/>
      <c r="W654" s="189"/>
      <c r="X654" s="41">
        <f t="shared" ref="X654:AB654" si="652">X649-X644</f>
        <v>0</v>
      </c>
      <c r="Y654" s="41">
        <f t="shared" si="652"/>
        <v>0</v>
      </c>
      <c r="Z654" s="41">
        <f t="shared" si="652"/>
        <v>0</v>
      </c>
      <c r="AA654" s="41">
        <f t="shared" si="652"/>
        <v>0</v>
      </c>
      <c r="AB654" s="41">
        <f t="shared" si="652"/>
        <v>0</v>
      </c>
      <c r="AC654" s="196"/>
      <c r="AD654" s="196"/>
      <c r="AE654" s="196"/>
      <c r="AF654" s="196"/>
      <c r="AG654" s="197"/>
      <c r="AH654" s="196"/>
      <c r="AI654" s="198"/>
      <c r="AJ654" s="199"/>
    </row>
    <row r="655" spans="2:36" ht="12.6" thickBot="1" x14ac:dyDescent="0.2">
      <c r="B655" s="353"/>
      <c r="C655" s="54" t="s">
        <v>51</v>
      </c>
      <c r="D655" s="190"/>
      <c r="E655" s="191"/>
      <c r="F655" s="230">
        <f t="shared" si="646"/>
        <v>0</v>
      </c>
      <c r="G655" s="230">
        <f t="shared" si="646"/>
        <v>0</v>
      </c>
      <c r="H655" s="230">
        <f t="shared" ref="H655:J655" si="653">H650-H645</f>
        <v>0</v>
      </c>
      <c r="I655" s="230">
        <f t="shared" si="653"/>
        <v>0</v>
      </c>
      <c r="J655" s="230">
        <f t="shared" si="653"/>
        <v>0</v>
      </c>
      <c r="K655" s="200"/>
      <c r="L655" s="200"/>
      <c r="M655" s="200"/>
      <c r="N655" s="200"/>
      <c r="O655" s="201"/>
      <c r="P655" s="200"/>
      <c r="Q655" s="202"/>
      <c r="R655" s="203"/>
      <c r="T655" s="353"/>
      <c r="U655" s="54" t="s">
        <v>51</v>
      </c>
      <c r="V655" s="190"/>
      <c r="W655" s="191"/>
      <c r="X655" s="230">
        <f t="shared" ref="X655:AB655" si="654">X650-X645</f>
        <v>0</v>
      </c>
      <c r="Y655" s="230">
        <f t="shared" si="654"/>
        <v>0</v>
      </c>
      <c r="Z655" s="230">
        <f t="shared" si="654"/>
        <v>0</v>
      </c>
      <c r="AA655" s="230">
        <f t="shared" si="654"/>
        <v>0</v>
      </c>
      <c r="AB655" s="230">
        <f t="shared" si="654"/>
        <v>0</v>
      </c>
      <c r="AC655" s="200"/>
      <c r="AD655" s="200"/>
      <c r="AE655" s="200"/>
      <c r="AF655" s="200"/>
      <c r="AG655" s="201"/>
      <c r="AH655" s="200"/>
      <c r="AI655" s="202"/>
      <c r="AJ655" s="203"/>
    </row>
    <row r="675" spans="2:10" x14ac:dyDescent="0.15">
      <c r="B675" s="348"/>
      <c r="C675" s="161"/>
      <c r="D675" s="161"/>
      <c r="E675" s="163"/>
      <c r="F675" s="259"/>
      <c r="G675" s="259"/>
      <c r="H675" s="259"/>
      <c r="I675" s="163"/>
      <c r="J675" s="163"/>
    </row>
    <row r="676" spans="2:10" x14ac:dyDescent="0.15">
      <c r="B676" s="349"/>
      <c r="C676" s="161"/>
      <c r="D676" s="161"/>
      <c r="E676" s="163"/>
      <c r="F676" s="259"/>
      <c r="G676" s="259"/>
      <c r="H676" s="259"/>
      <c r="I676" s="163"/>
      <c r="J676" s="163"/>
    </row>
    <row r="677" spans="2:10" x14ac:dyDescent="0.15">
      <c r="B677" s="349"/>
      <c r="C677" s="161"/>
      <c r="D677" s="161"/>
      <c r="E677" s="163"/>
      <c r="F677" s="259"/>
      <c r="G677" s="259"/>
      <c r="H677" s="259"/>
      <c r="I677" s="163"/>
      <c r="J677" s="163"/>
    </row>
    <row r="678" spans="2:10" x14ac:dyDescent="0.15">
      <c r="B678" s="349"/>
      <c r="C678" s="161"/>
      <c r="D678" s="161"/>
      <c r="E678" s="163"/>
      <c r="F678" s="259"/>
      <c r="G678" s="259"/>
      <c r="H678" s="259"/>
      <c r="I678" s="163"/>
      <c r="J678" s="163"/>
    </row>
    <row r="679" spans="2:10" x14ac:dyDescent="0.15">
      <c r="B679" s="349"/>
      <c r="C679" s="161"/>
      <c r="D679" s="161"/>
      <c r="E679" s="163"/>
      <c r="F679" s="259"/>
      <c r="G679" s="259"/>
      <c r="H679" s="259"/>
      <c r="I679" s="163"/>
      <c r="J679" s="163"/>
    </row>
    <row r="680" spans="2:10" x14ac:dyDescent="0.15">
      <c r="B680" s="348"/>
      <c r="C680" s="161"/>
      <c r="D680" s="161"/>
      <c r="E680" s="163"/>
      <c r="F680" s="259"/>
      <c r="G680" s="259"/>
      <c r="H680" s="259"/>
      <c r="I680" s="259"/>
      <c r="J680" s="259"/>
    </row>
    <row r="681" spans="2:10" x14ac:dyDescent="0.15">
      <c r="B681" s="349"/>
      <c r="C681" s="161"/>
      <c r="D681" s="161"/>
      <c r="E681" s="163"/>
      <c r="F681" s="259"/>
      <c r="G681" s="259"/>
      <c r="H681" s="259"/>
      <c r="I681" s="259"/>
      <c r="J681" s="259"/>
    </row>
    <row r="682" spans="2:10" x14ac:dyDescent="0.15">
      <c r="B682" s="349"/>
      <c r="C682" s="161"/>
      <c r="D682" s="161"/>
      <c r="E682" s="163"/>
      <c r="F682" s="259"/>
      <c r="G682" s="259"/>
      <c r="H682" s="259"/>
      <c r="I682" s="259"/>
      <c r="J682" s="259"/>
    </row>
    <row r="683" spans="2:10" x14ac:dyDescent="0.15">
      <c r="B683" s="349"/>
      <c r="C683" s="161"/>
      <c r="D683" s="161"/>
      <c r="E683" s="163"/>
      <c r="F683" s="259"/>
      <c r="G683" s="259"/>
      <c r="H683" s="259"/>
      <c r="I683" s="259"/>
      <c r="J683" s="259"/>
    </row>
    <row r="684" spans="2:10" x14ac:dyDescent="0.15">
      <c r="B684" s="349"/>
      <c r="C684" s="161"/>
      <c r="D684" s="161"/>
      <c r="E684" s="163"/>
      <c r="F684" s="259"/>
      <c r="G684" s="259"/>
      <c r="H684" s="259"/>
      <c r="I684" s="259"/>
      <c r="J684" s="259"/>
    </row>
    <row r="685" spans="2:10" x14ac:dyDescent="0.15">
      <c r="B685" s="348"/>
      <c r="C685" s="161"/>
      <c r="D685" s="161"/>
      <c r="E685" s="163"/>
      <c r="F685" s="259"/>
      <c r="G685" s="259"/>
      <c r="H685" s="259"/>
      <c r="I685" s="259"/>
      <c r="J685" s="259"/>
    </row>
    <row r="686" spans="2:10" x14ac:dyDescent="0.15">
      <c r="B686" s="349"/>
      <c r="C686" s="161"/>
      <c r="D686" s="161"/>
      <c r="E686" s="163"/>
      <c r="F686" s="259"/>
      <c r="G686" s="259"/>
      <c r="H686" s="259"/>
      <c r="I686" s="259"/>
      <c r="J686" s="259"/>
    </row>
    <row r="687" spans="2:10" x14ac:dyDescent="0.15">
      <c r="B687" s="349"/>
      <c r="C687" s="161"/>
      <c r="D687" s="161"/>
      <c r="E687" s="163"/>
      <c r="F687" s="259"/>
      <c r="G687" s="259"/>
      <c r="H687" s="259"/>
      <c r="I687" s="259"/>
      <c r="J687" s="259"/>
    </row>
    <row r="688" spans="2:10" x14ac:dyDescent="0.15">
      <c r="B688" s="349"/>
      <c r="C688" s="161"/>
      <c r="D688" s="161"/>
      <c r="E688" s="163"/>
      <c r="F688" s="259"/>
      <c r="G688" s="259"/>
      <c r="H688" s="259"/>
      <c r="I688" s="259"/>
      <c r="J688" s="259"/>
    </row>
    <row r="689" spans="2:10" x14ac:dyDescent="0.15">
      <c r="B689" s="349"/>
      <c r="C689" s="161"/>
      <c r="D689" s="161"/>
      <c r="E689" s="163"/>
      <c r="F689" s="259"/>
      <c r="G689" s="259"/>
      <c r="H689" s="259"/>
      <c r="I689" s="259"/>
      <c r="J689" s="259"/>
    </row>
  </sheetData>
  <mergeCells count="399">
    <mergeCell ref="B83:B87"/>
    <mergeCell ref="T83:T87"/>
    <mergeCell ref="T88:T92"/>
    <mergeCell ref="B88:B92"/>
    <mergeCell ref="B118:B122"/>
    <mergeCell ref="B123:B127"/>
    <mergeCell ref="B128:B132"/>
    <mergeCell ref="B133:B137"/>
    <mergeCell ref="T118:T122"/>
    <mergeCell ref="T123:T127"/>
    <mergeCell ref="T128:T132"/>
    <mergeCell ref="B93:B97"/>
    <mergeCell ref="B98:B102"/>
    <mergeCell ref="B103:B107"/>
    <mergeCell ref="B108:B112"/>
    <mergeCell ref="B113:B117"/>
    <mergeCell ref="T93:T97"/>
    <mergeCell ref="T98:T102"/>
    <mergeCell ref="T103:T107"/>
    <mergeCell ref="T108:T112"/>
    <mergeCell ref="T113:T117"/>
    <mergeCell ref="B58:B62"/>
    <mergeCell ref="T58:T62"/>
    <mergeCell ref="B63:B67"/>
    <mergeCell ref="T63:T67"/>
    <mergeCell ref="B68:B72"/>
    <mergeCell ref="T68:T72"/>
    <mergeCell ref="B73:B77"/>
    <mergeCell ref="T73:T77"/>
    <mergeCell ref="B78:B82"/>
    <mergeCell ref="T78:T82"/>
    <mergeCell ref="B33:B37"/>
    <mergeCell ref="T33:T37"/>
    <mergeCell ref="B38:B42"/>
    <mergeCell ref="T38:T42"/>
    <mergeCell ref="B43:B47"/>
    <mergeCell ref="T43:T47"/>
    <mergeCell ref="B48:B52"/>
    <mergeCell ref="T48:T52"/>
    <mergeCell ref="B53:B57"/>
    <mergeCell ref="T53:T57"/>
    <mergeCell ref="AV14:AX14"/>
    <mergeCell ref="B16:B20"/>
    <mergeCell ref="T16:T20"/>
    <mergeCell ref="C31:R31"/>
    <mergeCell ref="U31:AJ31"/>
    <mergeCell ref="AM31:AP31"/>
    <mergeCell ref="C13:R13"/>
    <mergeCell ref="U13:AJ13"/>
    <mergeCell ref="AM14:AT14"/>
    <mergeCell ref="B21:B22"/>
    <mergeCell ref="T21:T22"/>
    <mergeCell ref="AV21:AX21"/>
    <mergeCell ref="B23:B27"/>
    <mergeCell ref="T23:T27"/>
    <mergeCell ref="B675:B679"/>
    <mergeCell ref="B680:B684"/>
    <mergeCell ref="B685:B689"/>
    <mergeCell ref="T5:T9"/>
    <mergeCell ref="B5:B9"/>
    <mergeCell ref="B148:B152"/>
    <mergeCell ref="T148:T152"/>
    <mergeCell ref="B163:B167"/>
    <mergeCell ref="T163:T167"/>
    <mergeCell ref="B178:B182"/>
    <mergeCell ref="T178:T182"/>
    <mergeCell ref="B193:B197"/>
    <mergeCell ref="T193:T197"/>
    <mergeCell ref="B208:B212"/>
    <mergeCell ref="T208:T212"/>
    <mergeCell ref="B223:B227"/>
    <mergeCell ref="T133:T137"/>
    <mergeCell ref="B641:B645"/>
    <mergeCell ref="B646:B650"/>
    <mergeCell ref="B651:B655"/>
    <mergeCell ref="T641:T645"/>
    <mergeCell ref="T646:T650"/>
    <mergeCell ref="T651:T655"/>
    <mergeCell ref="T223:T227"/>
    <mergeCell ref="Q3:Q4"/>
    <mergeCell ref="AI3:AI4"/>
    <mergeCell ref="C2:R2"/>
    <mergeCell ref="U2:AJ2"/>
    <mergeCell ref="BD3:BF3"/>
    <mergeCell ref="AV3:BB3"/>
    <mergeCell ref="AM2:AQ2"/>
    <mergeCell ref="AJ3:AJ4"/>
    <mergeCell ref="R3:R4"/>
    <mergeCell ref="P3:P4"/>
    <mergeCell ref="AH3:AH4"/>
    <mergeCell ref="AL58:AL62"/>
    <mergeCell ref="AL63:AL67"/>
    <mergeCell ref="AL68:AL72"/>
    <mergeCell ref="AL73:AL77"/>
    <mergeCell ref="AL78:AL82"/>
    <mergeCell ref="AL33:AL37"/>
    <mergeCell ref="AL38:AL42"/>
    <mergeCell ref="AL43:AL47"/>
    <mergeCell ref="AL48:AL52"/>
    <mergeCell ref="AL53:AL57"/>
    <mergeCell ref="AL108:AL112"/>
    <mergeCell ref="AL113:AL117"/>
    <mergeCell ref="AL118:AL122"/>
    <mergeCell ref="AL123:AL127"/>
    <mergeCell ref="AL128:AL132"/>
    <mergeCell ref="AL83:AL87"/>
    <mergeCell ref="AL88:AL92"/>
    <mergeCell ref="AL93:AL97"/>
    <mergeCell ref="AL98:AL102"/>
    <mergeCell ref="AL103:AL107"/>
    <mergeCell ref="AL148:AL152"/>
    <mergeCell ref="B153:B157"/>
    <mergeCell ref="T153:T157"/>
    <mergeCell ref="AL153:AL157"/>
    <mergeCell ref="B158:B162"/>
    <mergeCell ref="T158:T162"/>
    <mergeCell ref="AL158:AL162"/>
    <mergeCell ref="AL133:AL137"/>
    <mergeCell ref="B138:B142"/>
    <mergeCell ref="T138:T142"/>
    <mergeCell ref="AL138:AL142"/>
    <mergeCell ref="B143:B147"/>
    <mergeCell ref="T143:T147"/>
    <mergeCell ref="AL143:AL147"/>
    <mergeCell ref="AL178:AL182"/>
    <mergeCell ref="B183:B187"/>
    <mergeCell ref="T183:T187"/>
    <mergeCell ref="AL183:AL187"/>
    <mergeCell ref="B188:B192"/>
    <mergeCell ref="T188:T192"/>
    <mergeCell ref="AL188:AL192"/>
    <mergeCell ref="AL163:AL167"/>
    <mergeCell ref="B168:B172"/>
    <mergeCell ref="T168:T172"/>
    <mergeCell ref="AL168:AL172"/>
    <mergeCell ref="B173:B177"/>
    <mergeCell ref="T173:T177"/>
    <mergeCell ref="AL173:AL177"/>
    <mergeCell ref="AL208:AL212"/>
    <mergeCell ref="B213:B217"/>
    <mergeCell ref="T213:T217"/>
    <mergeCell ref="AL213:AL217"/>
    <mergeCell ref="B218:B222"/>
    <mergeCell ref="T218:T222"/>
    <mergeCell ref="AL218:AL222"/>
    <mergeCell ref="AL193:AL197"/>
    <mergeCell ref="B198:B202"/>
    <mergeCell ref="T198:T202"/>
    <mergeCell ref="AL198:AL202"/>
    <mergeCell ref="B203:B207"/>
    <mergeCell ref="T203:T207"/>
    <mergeCell ref="AL203:AL207"/>
    <mergeCell ref="AL238:AL242"/>
    <mergeCell ref="B243:B247"/>
    <mergeCell ref="T243:T247"/>
    <mergeCell ref="AL243:AL247"/>
    <mergeCell ref="B248:B252"/>
    <mergeCell ref="T248:T252"/>
    <mergeCell ref="AL248:AL252"/>
    <mergeCell ref="AL223:AL227"/>
    <mergeCell ref="B228:B232"/>
    <mergeCell ref="T228:T232"/>
    <mergeCell ref="AL228:AL232"/>
    <mergeCell ref="B233:B237"/>
    <mergeCell ref="T233:T237"/>
    <mergeCell ref="AL233:AL237"/>
    <mergeCell ref="B238:B242"/>
    <mergeCell ref="T238:T242"/>
    <mergeCell ref="AL268:AL272"/>
    <mergeCell ref="B273:B277"/>
    <mergeCell ref="T273:T277"/>
    <mergeCell ref="AL273:AL277"/>
    <mergeCell ref="B278:B282"/>
    <mergeCell ref="T278:T282"/>
    <mergeCell ref="AL278:AL282"/>
    <mergeCell ref="AL253:AL257"/>
    <mergeCell ref="B258:B262"/>
    <mergeCell ref="T258:T262"/>
    <mergeCell ref="AL258:AL262"/>
    <mergeCell ref="B263:B267"/>
    <mergeCell ref="T263:T267"/>
    <mergeCell ref="AL263:AL267"/>
    <mergeCell ref="B253:B257"/>
    <mergeCell ref="T253:T257"/>
    <mergeCell ref="B268:B272"/>
    <mergeCell ref="T268:T272"/>
    <mergeCell ref="B293:B297"/>
    <mergeCell ref="T293:T297"/>
    <mergeCell ref="AL293:AL297"/>
    <mergeCell ref="B298:B302"/>
    <mergeCell ref="T298:T302"/>
    <mergeCell ref="AL298:AL302"/>
    <mergeCell ref="B283:B287"/>
    <mergeCell ref="T283:T287"/>
    <mergeCell ref="AL283:AL287"/>
    <mergeCell ref="B288:B292"/>
    <mergeCell ref="T288:T292"/>
    <mergeCell ref="AL288:AL292"/>
    <mergeCell ref="B313:B317"/>
    <mergeCell ref="T313:T317"/>
    <mergeCell ref="AL313:AL317"/>
    <mergeCell ref="B318:B322"/>
    <mergeCell ref="T318:T322"/>
    <mergeCell ref="AL318:AL322"/>
    <mergeCell ref="B303:B307"/>
    <mergeCell ref="T303:T307"/>
    <mergeCell ref="AL303:AL307"/>
    <mergeCell ref="B308:B312"/>
    <mergeCell ref="T308:T312"/>
    <mergeCell ref="AL308:AL312"/>
    <mergeCell ref="B333:B337"/>
    <mergeCell ref="T333:T337"/>
    <mergeCell ref="AL333:AL337"/>
    <mergeCell ref="B338:B342"/>
    <mergeCell ref="T338:T342"/>
    <mergeCell ref="AL338:AL342"/>
    <mergeCell ref="B323:B327"/>
    <mergeCell ref="T323:T327"/>
    <mergeCell ref="AL323:AL327"/>
    <mergeCell ref="B328:B332"/>
    <mergeCell ref="T328:T332"/>
    <mergeCell ref="AL328:AL332"/>
    <mergeCell ref="B353:B357"/>
    <mergeCell ref="T353:T357"/>
    <mergeCell ref="AL353:AL357"/>
    <mergeCell ref="B358:B362"/>
    <mergeCell ref="T358:T362"/>
    <mergeCell ref="AL358:AL362"/>
    <mergeCell ref="B343:B347"/>
    <mergeCell ref="T343:T347"/>
    <mergeCell ref="AL343:AL347"/>
    <mergeCell ref="B348:B352"/>
    <mergeCell ref="T348:T352"/>
    <mergeCell ref="AL348:AL352"/>
    <mergeCell ref="B373:B377"/>
    <mergeCell ref="T373:T377"/>
    <mergeCell ref="AL373:AL377"/>
    <mergeCell ref="B378:B382"/>
    <mergeCell ref="T378:T382"/>
    <mergeCell ref="AL378:AL382"/>
    <mergeCell ref="B363:B367"/>
    <mergeCell ref="T363:T367"/>
    <mergeCell ref="AL363:AL367"/>
    <mergeCell ref="B368:B372"/>
    <mergeCell ref="T368:T372"/>
    <mergeCell ref="AL368:AL372"/>
    <mergeCell ref="B393:B397"/>
    <mergeCell ref="T393:T397"/>
    <mergeCell ref="AL393:AL397"/>
    <mergeCell ref="B398:B402"/>
    <mergeCell ref="T398:T402"/>
    <mergeCell ref="AL398:AL402"/>
    <mergeCell ref="B383:B387"/>
    <mergeCell ref="T383:T387"/>
    <mergeCell ref="AL383:AL387"/>
    <mergeCell ref="B388:B392"/>
    <mergeCell ref="T388:T392"/>
    <mergeCell ref="AL388:AL392"/>
    <mergeCell ref="B413:B417"/>
    <mergeCell ref="T413:T417"/>
    <mergeCell ref="AL413:AL417"/>
    <mergeCell ref="B418:B422"/>
    <mergeCell ref="T418:T422"/>
    <mergeCell ref="AL418:AL422"/>
    <mergeCell ref="B403:B407"/>
    <mergeCell ref="T403:T407"/>
    <mergeCell ref="AL403:AL407"/>
    <mergeCell ref="B408:B412"/>
    <mergeCell ref="T408:T412"/>
    <mergeCell ref="AL408:AL412"/>
    <mergeCell ref="B433:B437"/>
    <mergeCell ref="T433:T437"/>
    <mergeCell ref="AL433:AL437"/>
    <mergeCell ref="B438:B442"/>
    <mergeCell ref="T438:T442"/>
    <mergeCell ref="AL438:AL442"/>
    <mergeCell ref="B423:B427"/>
    <mergeCell ref="T423:T427"/>
    <mergeCell ref="AL423:AL427"/>
    <mergeCell ref="B428:B432"/>
    <mergeCell ref="T428:T432"/>
    <mergeCell ref="AL428:AL432"/>
    <mergeCell ref="B453:B457"/>
    <mergeCell ref="T453:T457"/>
    <mergeCell ref="AL453:AL457"/>
    <mergeCell ref="B458:B462"/>
    <mergeCell ref="T458:T462"/>
    <mergeCell ref="AL458:AL462"/>
    <mergeCell ref="B443:B447"/>
    <mergeCell ref="T443:T447"/>
    <mergeCell ref="AL443:AL447"/>
    <mergeCell ref="B448:B452"/>
    <mergeCell ref="T448:T452"/>
    <mergeCell ref="AL448:AL452"/>
    <mergeCell ref="B473:B477"/>
    <mergeCell ref="T473:T477"/>
    <mergeCell ref="AL473:AL477"/>
    <mergeCell ref="B478:B482"/>
    <mergeCell ref="T478:T482"/>
    <mergeCell ref="AL478:AL482"/>
    <mergeCell ref="B463:B467"/>
    <mergeCell ref="T463:T467"/>
    <mergeCell ref="AL463:AL467"/>
    <mergeCell ref="B468:B472"/>
    <mergeCell ref="T468:T472"/>
    <mergeCell ref="AL468:AL472"/>
    <mergeCell ref="B493:B497"/>
    <mergeCell ref="T493:T497"/>
    <mergeCell ref="AL493:AL497"/>
    <mergeCell ref="B498:B502"/>
    <mergeCell ref="T498:T502"/>
    <mergeCell ref="AL498:AL502"/>
    <mergeCell ref="B483:B487"/>
    <mergeCell ref="T483:T487"/>
    <mergeCell ref="AL483:AL487"/>
    <mergeCell ref="B488:B492"/>
    <mergeCell ref="T488:T492"/>
    <mergeCell ref="AL488:AL492"/>
    <mergeCell ref="B513:B517"/>
    <mergeCell ref="T513:T517"/>
    <mergeCell ref="AL513:AL517"/>
    <mergeCell ref="B518:B522"/>
    <mergeCell ref="T518:T522"/>
    <mergeCell ref="AL518:AL522"/>
    <mergeCell ref="B503:B507"/>
    <mergeCell ref="T503:T507"/>
    <mergeCell ref="AL503:AL507"/>
    <mergeCell ref="B508:B512"/>
    <mergeCell ref="T508:T512"/>
    <mergeCell ref="AL508:AL512"/>
    <mergeCell ref="B533:B537"/>
    <mergeCell ref="T533:T537"/>
    <mergeCell ref="AL533:AL537"/>
    <mergeCell ref="B538:B542"/>
    <mergeCell ref="T538:T542"/>
    <mergeCell ref="AL538:AL542"/>
    <mergeCell ref="B523:B527"/>
    <mergeCell ref="T523:T527"/>
    <mergeCell ref="AL523:AL527"/>
    <mergeCell ref="B528:B532"/>
    <mergeCell ref="T528:T532"/>
    <mergeCell ref="AL528:AL532"/>
    <mergeCell ref="B553:B557"/>
    <mergeCell ref="T553:T557"/>
    <mergeCell ref="AL553:AL557"/>
    <mergeCell ref="B558:B562"/>
    <mergeCell ref="T558:T562"/>
    <mergeCell ref="AL558:AL562"/>
    <mergeCell ref="B543:B547"/>
    <mergeCell ref="T543:T547"/>
    <mergeCell ref="AL543:AL547"/>
    <mergeCell ref="B548:B552"/>
    <mergeCell ref="T548:T552"/>
    <mergeCell ref="AL548:AL552"/>
    <mergeCell ref="B573:B577"/>
    <mergeCell ref="T573:T577"/>
    <mergeCell ref="AL573:AL577"/>
    <mergeCell ref="B578:B582"/>
    <mergeCell ref="T578:T582"/>
    <mergeCell ref="AL578:AL582"/>
    <mergeCell ref="B563:B567"/>
    <mergeCell ref="T563:T567"/>
    <mergeCell ref="AL563:AL567"/>
    <mergeCell ref="B568:B572"/>
    <mergeCell ref="T568:T572"/>
    <mergeCell ref="AL568:AL572"/>
    <mergeCell ref="B593:B597"/>
    <mergeCell ref="T593:T597"/>
    <mergeCell ref="AL593:AL597"/>
    <mergeCell ref="B598:B602"/>
    <mergeCell ref="T598:T602"/>
    <mergeCell ref="AL598:AL602"/>
    <mergeCell ref="B583:B587"/>
    <mergeCell ref="T583:T587"/>
    <mergeCell ref="AL583:AL587"/>
    <mergeCell ref="B588:B592"/>
    <mergeCell ref="T588:T592"/>
    <mergeCell ref="AL588:AL592"/>
    <mergeCell ref="B613:B617"/>
    <mergeCell ref="T613:T617"/>
    <mergeCell ref="AL613:AL617"/>
    <mergeCell ref="B618:B622"/>
    <mergeCell ref="T618:T622"/>
    <mergeCell ref="AL618:AL622"/>
    <mergeCell ref="B603:B607"/>
    <mergeCell ref="T603:T607"/>
    <mergeCell ref="AL603:AL607"/>
    <mergeCell ref="B608:B612"/>
    <mergeCell ref="T608:T612"/>
    <mergeCell ref="AL608:AL612"/>
    <mergeCell ref="B633:B637"/>
    <mergeCell ref="T633:T637"/>
    <mergeCell ref="AL633:AL637"/>
    <mergeCell ref="B623:B627"/>
    <mergeCell ref="T623:T627"/>
    <mergeCell ref="AL623:AL627"/>
    <mergeCell ref="B628:B632"/>
    <mergeCell ref="T628:T632"/>
    <mergeCell ref="AL628:AL632"/>
  </mergeCells>
  <phoneticPr fontId="25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F430E06F6A0F47B9C36EBFA05F847B" ma:contentTypeVersion="14" ma:contentTypeDescription="Create a new document." ma:contentTypeScope="" ma:versionID="36df7c796c59ab53ac7e929da0a9c13a">
  <xsd:schema xmlns:xsd="http://www.w3.org/2001/XMLSchema" xmlns:xs="http://www.w3.org/2001/XMLSchema" xmlns:p="http://schemas.microsoft.com/office/2006/metadata/properties" xmlns:ns2="906c8664-b94a-46c6-8176-10cc82cf053a" xmlns:ns3="699c9f84-b649-4254-a6a1-367c4285fb97" targetNamespace="http://schemas.microsoft.com/office/2006/metadata/properties" ma:root="true" ma:fieldsID="fe20f3cf26e4b1b36d860b7d002bbeb5" ns2:_="" ns3:_="">
    <xsd:import namespace="906c8664-b94a-46c6-8176-10cc82cf053a"/>
    <xsd:import namespace="699c9f84-b649-4254-a6a1-367c4285fb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c8664-b94a-46c6-8176-10cc82cf05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9c9f84-b649-4254-a6a1-367c4285fb9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584e50f-e35f-4c1f-a098-14299f58aa02}" ma:internalName="TaxCatchAll" ma:showField="CatchAllData" ma:web="699c9f84-b649-4254-a6a1-367c4285fb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99c9f84-b649-4254-a6a1-367c4285fb97" xsi:nil="true"/>
    <lcf76f155ced4ddcb4097134ff3c332f xmlns="906c8664-b94a-46c6-8176-10cc82cf053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7CD5095-2FAE-4763-970C-DF4AA190A8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c8664-b94a-46c6-8176-10cc82cf053a"/>
    <ds:schemaRef ds:uri="699c9f84-b649-4254-a6a1-367c4285fb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541E596-792A-40F0-82F3-87DB04D7E053}">
  <ds:schemaRefs>
    <ds:schemaRef ds:uri="http://schemas.openxmlformats.org/package/2006/metadata/core-properties"/>
    <ds:schemaRef ds:uri="http://schemas.microsoft.com/office/2006/documentManagement/types"/>
    <ds:schemaRef ds:uri="699c9f84-b649-4254-a6a1-367c4285fb97"/>
    <ds:schemaRef ds:uri="http://schemas.microsoft.com/office/2006/metadata/properties"/>
    <ds:schemaRef ds:uri="http://purl.org/dc/elements/1.1/"/>
    <ds:schemaRef ds:uri="http://purl.org/dc/dcmitype/"/>
    <ds:schemaRef ds:uri="906c8664-b94a-46c6-8176-10cc82cf053a"/>
    <ds:schemaRef ds:uri="http://purl.org/dc/terms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 (auto)</vt:lpstr>
      <vt:lpstr>RGB-PSNR</vt:lpstr>
      <vt:lpstr>YUV-PSNR</vt:lpstr>
      <vt:lpstr>YUV-SSIM</vt:lpstr>
      <vt:lpstr>YUV-IVSSIM</vt:lpstr>
      <vt:lpstr>M_NC2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2025-05-03T13:42:32Z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