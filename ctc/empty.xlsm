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enhance_raht_precision\GPCC_encoder_3dgs\ctc\"/>
    </mc:Choice>
  </mc:AlternateContent>
  <xr:revisionPtr revIDLastSave="0" documentId="13_ncr:1_{0213BB1B-9D45-4E90-AF9E-2B7B9FA4AC96}" xr6:coauthVersionLast="47" xr6:coauthVersionMax="47" xr10:uidLastSave="{00000000-0000-0000-0000-000000000000}"/>
  <bookViews>
    <workbookView xWindow="4464" yWindow="3228" windowWidth="14556" windowHeight="12120" tabRatio="749" xr2:uid="{5714A0B6-0A77-4029-A9AA-375F54EA0F3F}"/>
  </bookViews>
  <sheets>
    <sheet name="Summary (auto)" sheetId="1" r:id="rId1"/>
    <sheet name="RGB-PSNR" sheetId="61" r:id="rId2"/>
    <sheet name="YUV-PSNR" sheetId="78" r:id="rId3"/>
    <sheet name="YUV-SSIM" sheetId="79" r:id="rId4"/>
    <sheet name="bartender_track" sheetId="106" r:id="rId5"/>
    <sheet name="breakfast_track" sheetId="141" r:id="rId6"/>
    <sheet name="cinema_track" sheetId="142" r:id="rId7"/>
    <sheet name="ManWithFruit" sheetId="149" r:id="rId8"/>
    <sheet name="LEGO_Ferrari" sheetId="150" r:id="rId9"/>
    <sheet name="LEGO_Bugatti" sheetId="151" r:id="rId10"/>
    <sheet name="Plant" sheetId="152" r:id="rId11"/>
    <sheet name="Tennis_Player" sheetId="153" r:id="rId12"/>
    <sheet name="Cricket_Player" sheetId="144" r:id="rId13"/>
    <sheet name="Tango_Duo" sheetId="143" r:id="rId14"/>
    <sheet name="Solo_Tango_Female" sheetId="154" r:id="rId15"/>
    <sheet name="Solo_Tango_Male" sheetId="155" r:id="rId16"/>
    <sheet name="BlueBackpack_UVGgs_0100" sheetId="156" r:id="rId17"/>
    <sheet name="BlueBackpack_UVGgs_0200" sheetId="157" r:id="rId18"/>
    <sheet name="FlowerDance_UVGgs_0000" sheetId="158" r:id="rId19"/>
    <sheet name="FlowerDance_UVGgs_0200" sheetId="159" r:id="rId20"/>
    <sheet name="Gymnast_UVGgs_0100" sheetId="160" r:id="rId21"/>
    <sheet name="Gymnast_UVGgs_0200" sheetId="161" r:id="rId22"/>
    <sheet name="artwork" sheetId="162" r:id="rId23"/>
    <sheet name="panda" sheetId="163" r:id="rId24"/>
    <sheet name="wukong" sheetId="164" r:id="rId2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7" i="164" l="1"/>
  <c r="E26" i="164"/>
  <c r="E25" i="164"/>
  <c r="E24" i="164"/>
  <c r="E23" i="164"/>
  <c r="AC27" i="164"/>
  <c r="AC26" i="164"/>
  <c r="AC25" i="164"/>
  <c r="AC24" i="164"/>
  <c r="AC23" i="164"/>
  <c r="E27" i="163"/>
  <c r="E26" i="163"/>
  <c r="E25" i="163"/>
  <c r="E24" i="163"/>
  <c r="E23" i="163"/>
  <c r="AC27" i="163"/>
  <c r="AC26" i="163"/>
  <c r="AC25" i="163"/>
  <c r="AC24" i="163"/>
  <c r="AC23" i="163"/>
  <c r="E27" i="162"/>
  <c r="E26" i="162"/>
  <c r="E25" i="162"/>
  <c r="E24" i="162"/>
  <c r="E23" i="162"/>
  <c r="AC27" i="162"/>
  <c r="AC26" i="162"/>
  <c r="AC25" i="162"/>
  <c r="AC24" i="162"/>
  <c r="AC23" i="162"/>
  <c r="E27" i="161"/>
  <c r="E26" i="161"/>
  <c r="E25" i="161"/>
  <c r="E24" i="161"/>
  <c r="E23" i="161"/>
  <c r="AC27" i="161"/>
  <c r="AC26" i="161"/>
  <c r="AC25" i="161"/>
  <c r="AC24" i="161"/>
  <c r="AC23" i="161"/>
  <c r="E27" i="160"/>
  <c r="E26" i="160"/>
  <c r="E25" i="160"/>
  <c r="E24" i="160"/>
  <c r="E23" i="160"/>
  <c r="AC27" i="160"/>
  <c r="AC26" i="160"/>
  <c r="AC25" i="160"/>
  <c r="AC24" i="160"/>
  <c r="AC23" i="160"/>
  <c r="E27" i="159"/>
  <c r="E26" i="159"/>
  <c r="E25" i="159"/>
  <c r="E24" i="159"/>
  <c r="E23" i="159"/>
  <c r="AC27" i="159"/>
  <c r="AC26" i="159"/>
  <c r="AC25" i="159"/>
  <c r="AC24" i="159"/>
  <c r="AC23" i="159"/>
  <c r="E27" i="158"/>
  <c r="E26" i="158"/>
  <c r="E25" i="158"/>
  <c r="E24" i="158"/>
  <c r="E23" i="158"/>
  <c r="AC27" i="158"/>
  <c r="AC26" i="158"/>
  <c r="AC25" i="158"/>
  <c r="AC24" i="158"/>
  <c r="AC23" i="158"/>
  <c r="E27" i="157"/>
  <c r="E26" i="157"/>
  <c r="E25" i="157"/>
  <c r="E24" i="157"/>
  <c r="E23" i="157"/>
  <c r="AC27" i="157"/>
  <c r="AC26" i="157"/>
  <c r="AC25" i="157"/>
  <c r="AC24" i="157"/>
  <c r="AC23" i="157"/>
  <c r="E27" i="156"/>
  <c r="E26" i="156"/>
  <c r="E25" i="156"/>
  <c r="E24" i="156"/>
  <c r="E23" i="156"/>
  <c r="AC27" i="156"/>
  <c r="AC26" i="156"/>
  <c r="AC25" i="156"/>
  <c r="AC24" i="156"/>
  <c r="AC23" i="156"/>
  <c r="E27" i="155"/>
  <c r="E26" i="155"/>
  <c r="E25" i="155"/>
  <c r="E24" i="155"/>
  <c r="E23" i="155"/>
  <c r="AC27" i="155"/>
  <c r="AC26" i="155"/>
  <c r="AC25" i="155"/>
  <c r="AC24" i="155"/>
  <c r="AC23" i="155"/>
  <c r="E27" i="154"/>
  <c r="E26" i="154"/>
  <c r="E25" i="154"/>
  <c r="E24" i="154"/>
  <c r="E23" i="154"/>
  <c r="AC27" i="154"/>
  <c r="AC26" i="154"/>
  <c r="AC25" i="154"/>
  <c r="AC24" i="154"/>
  <c r="AC23" i="154"/>
  <c r="E27" i="143"/>
  <c r="E26" i="143"/>
  <c r="E25" i="143"/>
  <c r="E24" i="143"/>
  <c r="E23" i="143"/>
  <c r="AC27" i="143"/>
  <c r="AC26" i="143"/>
  <c r="AC25" i="143"/>
  <c r="AC24" i="143"/>
  <c r="AC23" i="143"/>
  <c r="E27" i="144"/>
  <c r="E26" i="144"/>
  <c r="E25" i="144"/>
  <c r="E24" i="144"/>
  <c r="E23" i="144"/>
  <c r="AC27" i="144"/>
  <c r="AC26" i="144"/>
  <c r="AC25" i="144"/>
  <c r="AC24" i="144"/>
  <c r="AC23" i="144"/>
  <c r="E27" i="153"/>
  <c r="E26" i="153"/>
  <c r="E25" i="153"/>
  <c r="E24" i="153"/>
  <c r="E23" i="153"/>
  <c r="AC27" i="153"/>
  <c r="AC26" i="153"/>
  <c r="AC25" i="153"/>
  <c r="AC24" i="153"/>
  <c r="AC23" i="153"/>
  <c r="E27" i="152"/>
  <c r="E26" i="152"/>
  <c r="E25" i="152"/>
  <c r="E24" i="152"/>
  <c r="E23" i="152"/>
  <c r="AC27" i="152"/>
  <c r="AC26" i="152"/>
  <c r="AC25" i="152"/>
  <c r="AC24" i="152"/>
  <c r="AC23" i="152"/>
  <c r="E27" i="151"/>
  <c r="E26" i="151"/>
  <c r="E25" i="151"/>
  <c r="E24" i="151"/>
  <c r="E23" i="151"/>
  <c r="AC27" i="151"/>
  <c r="AC26" i="151"/>
  <c r="AC25" i="151"/>
  <c r="AC24" i="151"/>
  <c r="AC23" i="151"/>
  <c r="E27" i="150"/>
  <c r="E26" i="150"/>
  <c r="E25" i="150"/>
  <c r="E24" i="150"/>
  <c r="E23" i="150"/>
  <c r="AC27" i="150"/>
  <c r="AC26" i="150"/>
  <c r="AC25" i="150"/>
  <c r="AC24" i="150"/>
  <c r="AC23" i="150"/>
  <c r="E27" i="149"/>
  <c r="E26" i="149"/>
  <c r="E25" i="149"/>
  <c r="E24" i="149"/>
  <c r="E23" i="149"/>
  <c r="AC27" i="149"/>
  <c r="AC26" i="149"/>
  <c r="AC25" i="149"/>
  <c r="AC24" i="149"/>
  <c r="AC23" i="149"/>
  <c r="AC27" i="142"/>
  <c r="AC26" i="142"/>
  <c r="AC25" i="142"/>
  <c r="AC24" i="142"/>
  <c r="AC23" i="142"/>
  <c r="E27" i="142"/>
  <c r="E26" i="142"/>
  <c r="E25" i="142"/>
  <c r="E24" i="142"/>
  <c r="E23" i="142"/>
  <c r="E23" i="141"/>
  <c r="AC27" i="141"/>
  <c r="AC26" i="141"/>
  <c r="AC25" i="141"/>
  <c r="AC24" i="141"/>
  <c r="AC23" i="141"/>
  <c r="E27" i="141"/>
  <c r="E26" i="141"/>
  <c r="E25" i="141"/>
  <c r="E24" i="141"/>
  <c r="AC23" i="106"/>
  <c r="AC27" i="106"/>
  <c r="AC26" i="106"/>
  <c r="AC25" i="106"/>
  <c r="AC24" i="106"/>
  <c r="AU9" i="164"/>
  <c r="AT9" i="164"/>
  <c r="AS9" i="164"/>
  <c r="AR9" i="164"/>
  <c r="AQ9" i="164"/>
  <c r="AP9" i="164"/>
  <c r="AO9" i="164"/>
  <c r="AN9" i="164"/>
  <c r="AU8" i="164"/>
  <c r="AT8" i="164"/>
  <c r="AS8" i="164"/>
  <c r="AR8" i="164"/>
  <c r="AQ8" i="164"/>
  <c r="AP8" i="164"/>
  <c r="AO8" i="164"/>
  <c r="AN8" i="164"/>
  <c r="AU7" i="164"/>
  <c r="AT7" i="164"/>
  <c r="AS7" i="164"/>
  <c r="AR7" i="164"/>
  <c r="AQ7" i="164"/>
  <c r="AP7" i="164"/>
  <c r="AO7" i="164"/>
  <c r="AN7" i="164"/>
  <c r="AU6" i="164"/>
  <c r="AT6" i="164"/>
  <c r="AS6" i="164"/>
  <c r="AR6" i="164"/>
  <c r="AQ6" i="164"/>
  <c r="AP6" i="164"/>
  <c r="AO6" i="164"/>
  <c r="AN6" i="164"/>
  <c r="AU5" i="164"/>
  <c r="AT5" i="164"/>
  <c r="AS5" i="164"/>
  <c r="AR5" i="164"/>
  <c r="AQ5" i="164"/>
  <c r="AP5" i="164"/>
  <c r="AO5" i="164"/>
  <c r="AN5" i="164"/>
  <c r="W9" i="164"/>
  <c r="V9" i="164"/>
  <c r="U9" i="164"/>
  <c r="T9" i="164"/>
  <c r="S9" i="164"/>
  <c r="R9" i="164"/>
  <c r="Q9" i="164"/>
  <c r="P9" i="164"/>
  <c r="W8" i="164"/>
  <c r="V8" i="164"/>
  <c r="U8" i="164"/>
  <c r="T8" i="164"/>
  <c r="S8" i="164"/>
  <c r="R8" i="164"/>
  <c r="Q8" i="164"/>
  <c r="P8" i="164"/>
  <c r="W7" i="164"/>
  <c r="V7" i="164"/>
  <c r="U7" i="164"/>
  <c r="T7" i="164"/>
  <c r="S7" i="164"/>
  <c r="R7" i="164"/>
  <c r="Q7" i="164"/>
  <c r="P7" i="164"/>
  <c r="W6" i="164"/>
  <c r="V6" i="164"/>
  <c r="U6" i="164"/>
  <c r="T6" i="164"/>
  <c r="S6" i="164"/>
  <c r="R6" i="164"/>
  <c r="Q6" i="164"/>
  <c r="P6" i="164"/>
  <c r="W5" i="164"/>
  <c r="V5" i="164"/>
  <c r="U5" i="164"/>
  <c r="T5" i="164"/>
  <c r="S5" i="164"/>
  <c r="R5" i="164"/>
  <c r="Q5" i="164"/>
  <c r="P5" i="164"/>
  <c r="W9" i="163"/>
  <c r="V9" i="163"/>
  <c r="U9" i="163"/>
  <c r="T9" i="163"/>
  <c r="S9" i="163"/>
  <c r="R9" i="163"/>
  <c r="Q9" i="163"/>
  <c r="P9" i="163"/>
  <c r="W8" i="163"/>
  <c r="V8" i="163"/>
  <c r="U8" i="163"/>
  <c r="T8" i="163"/>
  <c r="S8" i="163"/>
  <c r="R8" i="163"/>
  <c r="Q8" i="163"/>
  <c r="P8" i="163"/>
  <c r="W7" i="163"/>
  <c r="V7" i="163"/>
  <c r="U7" i="163"/>
  <c r="T7" i="163"/>
  <c r="S7" i="163"/>
  <c r="R7" i="163"/>
  <c r="Q7" i="163"/>
  <c r="P7" i="163"/>
  <c r="W6" i="163"/>
  <c r="V6" i="163"/>
  <c r="U6" i="163"/>
  <c r="T6" i="163"/>
  <c r="S6" i="163"/>
  <c r="R6" i="163"/>
  <c r="Q6" i="163"/>
  <c r="P6" i="163"/>
  <c r="W5" i="163"/>
  <c r="V5" i="163"/>
  <c r="U5" i="163"/>
  <c r="T5" i="163"/>
  <c r="S5" i="163"/>
  <c r="R5" i="163"/>
  <c r="Q5" i="163"/>
  <c r="P5" i="163"/>
  <c r="AU9" i="163"/>
  <c r="AT9" i="163"/>
  <c r="AS9" i="163"/>
  <c r="AR9" i="163"/>
  <c r="AQ9" i="163"/>
  <c r="AP9" i="163"/>
  <c r="AO9" i="163"/>
  <c r="AN9" i="163"/>
  <c r="AU8" i="163"/>
  <c r="AT8" i="163"/>
  <c r="AS8" i="163"/>
  <c r="AR8" i="163"/>
  <c r="AQ8" i="163"/>
  <c r="AP8" i="163"/>
  <c r="AO8" i="163"/>
  <c r="AN8" i="163"/>
  <c r="AU7" i="163"/>
  <c r="AT7" i="163"/>
  <c r="AS7" i="163"/>
  <c r="AR7" i="163"/>
  <c r="AQ7" i="163"/>
  <c r="AP7" i="163"/>
  <c r="AO7" i="163"/>
  <c r="AN7" i="163"/>
  <c r="AU6" i="163"/>
  <c r="AT6" i="163"/>
  <c r="AS6" i="163"/>
  <c r="AR6" i="163"/>
  <c r="AQ6" i="163"/>
  <c r="AP6" i="163"/>
  <c r="AO6" i="163"/>
  <c r="AN6" i="163"/>
  <c r="AU5" i="163"/>
  <c r="AT5" i="163"/>
  <c r="AS5" i="163"/>
  <c r="AR5" i="163"/>
  <c r="AQ5" i="163"/>
  <c r="AP5" i="163"/>
  <c r="AO5" i="163"/>
  <c r="AN5" i="163"/>
  <c r="W9" i="162"/>
  <c r="V9" i="162"/>
  <c r="U9" i="162"/>
  <c r="T9" i="162"/>
  <c r="S9" i="162"/>
  <c r="R9" i="162"/>
  <c r="Q9" i="162"/>
  <c r="P9" i="162"/>
  <c r="W8" i="162"/>
  <c r="V8" i="162"/>
  <c r="U8" i="162"/>
  <c r="T8" i="162"/>
  <c r="S8" i="162"/>
  <c r="R8" i="162"/>
  <c r="Q8" i="162"/>
  <c r="P8" i="162"/>
  <c r="W7" i="162"/>
  <c r="V7" i="162"/>
  <c r="U7" i="162"/>
  <c r="T7" i="162"/>
  <c r="S7" i="162"/>
  <c r="R7" i="162"/>
  <c r="Q7" i="162"/>
  <c r="P7" i="162"/>
  <c r="W6" i="162"/>
  <c r="V6" i="162"/>
  <c r="U6" i="162"/>
  <c r="T6" i="162"/>
  <c r="S6" i="162"/>
  <c r="R6" i="162"/>
  <c r="Q6" i="162"/>
  <c r="P6" i="162"/>
  <c r="W5" i="162"/>
  <c r="V5" i="162"/>
  <c r="U5" i="162"/>
  <c r="T5" i="162"/>
  <c r="S5" i="162"/>
  <c r="R5" i="162"/>
  <c r="Q5" i="162"/>
  <c r="P5" i="162"/>
  <c r="AU9" i="162"/>
  <c r="AT9" i="162"/>
  <c r="AS9" i="162"/>
  <c r="AR9" i="162"/>
  <c r="AQ9" i="162"/>
  <c r="AP9" i="162"/>
  <c r="AO9" i="162"/>
  <c r="AN9" i="162"/>
  <c r="AU8" i="162"/>
  <c r="AT8" i="162"/>
  <c r="AS8" i="162"/>
  <c r="AR8" i="162"/>
  <c r="AQ8" i="162"/>
  <c r="AP8" i="162"/>
  <c r="AO8" i="162"/>
  <c r="AN8" i="162"/>
  <c r="AU7" i="162"/>
  <c r="AT7" i="162"/>
  <c r="AS7" i="162"/>
  <c r="AR7" i="162"/>
  <c r="AQ7" i="162"/>
  <c r="AP7" i="162"/>
  <c r="AO7" i="162"/>
  <c r="AN7" i="162"/>
  <c r="AU6" i="162"/>
  <c r="AT6" i="162"/>
  <c r="AS6" i="162"/>
  <c r="AR6" i="162"/>
  <c r="AQ6" i="162"/>
  <c r="AP6" i="162"/>
  <c r="AO6" i="162"/>
  <c r="AN6" i="162"/>
  <c r="AU5" i="162"/>
  <c r="AT5" i="162"/>
  <c r="AS5" i="162"/>
  <c r="AR5" i="162"/>
  <c r="AQ5" i="162"/>
  <c r="AP5" i="162"/>
  <c r="AO5" i="162"/>
  <c r="AN5" i="162"/>
  <c r="W9" i="161"/>
  <c r="V9" i="161"/>
  <c r="U9" i="161"/>
  <c r="T9" i="161"/>
  <c r="S9" i="161"/>
  <c r="R9" i="161"/>
  <c r="Q9" i="161"/>
  <c r="P9" i="161"/>
  <c r="W8" i="161"/>
  <c r="V8" i="161"/>
  <c r="U8" i="161"/>
  <c r="T8" i="161"/>
  <c r="S8" i="161"/>
  <c r="R8" i="161"/>
  <c r="Q8" i="161"/>
  <c r="P8" i="161"/>
  <c r="W7" i="161"/>
  <c r="V7" i="161"/>
  <c r="U7" i="161"/>
  <c r="T7" i="161"/>
  <c r="S7" i="161"/>
  <c r="R7" i="161"/>
  <c r="Q7" i="161"/>
  <c r="P7" i="161"/>
  <c r="W6" i="161"/>
  <c r="V6" i="161"/>
  <c r="U6" i="161"/>
  <c r="T6" i="161"/>
  <c r="S6" i="161"/>
  <c r="R6" i="161"/>
  <c r="Q6" i="161"/>
  <c r="P6" i="161"/>
  <c r="W5" i="161"/>
  <c r="V5" i="161"/>
  <c r="U5" i="161"/>
  <c r="T5" i="161"/>
  <c r="S5" i="161"/>
  <c r="R5" i="161"/>
  <c r="Q5" i="161"/>
  <c r="P5" i="161"/>
  <c r="AU9" i="161"/>
  <c r="AT9" i="161"/>
  <c r="AS9" i="161"/>
  <c r="AR9" i="161"/>
  <c r="AQ9" i="161"/>
  <c r="AP9" i="161"/>
  <c r="AO9" i="161"/>
  <c r="AN9" i="161"/>
  <c r="AU8" i="161"/>
  <c r="AT8" i="161"/>
  <c r="AS8" i="161"/>
  <c r="AR8" i="161"/>
  <c r="AQ8" i="161"/>
  <c r="AP8" i="161"/>
  <c r="AO8" i="161"/>
  <c r="AN8" i="161"/>
  <c r="AU7" i="161"/>
  <c r="AT7" i="161"/>
  <c r="AS7" i="161"/>
  <c r="AR7" i="161"/>
  <c r="AQ7" i="161"/>
  <c r="AP7" i="161"/>
  <c r="AO7" i="161"/>
  <c r="AN7" i="161"/>
  <c r="AU6" i="161"/>
  <c r="AT6" i="161"/>
  <c r="AS6" i="161"/>
  <c r="AR6" i="161"/>
  <c r="AQ6" i="161"/>
  <c r="AP6" i="161"/>
  <c r="AO6" i="161"/>
  <c r="AN6" i="161"/>
  <c r="AU5" i="161"/>
  <c r="AT5" i="161"/>
  <c r="AS5" i="161"/>
  <c r="AR5" i="161"/>
  <c r="AQ5" i="161"/>
  <c r="AP5" i="161"/>
  <c r="AO5" i="161"/>
  <c r="AN5" i="161"/>
  <c r="W9" i="160"/>
  <c r="V9" i="160"/>
  <c r="U9" i="160"/>
  <c r="T9" i="160"/>
  <c r="S9" i="160"/>
  <c r="R9" i="160"/>
  <c r="Q9" i="160"/>
  <c r="P9" i="160"/>
  <c r="W8" i="160"/>
  <c r="V8" i="160"/>
  <c r="U8" i="160"/>
  <c r="T8" i="160"/>
  <c r="S8" i="160"/>
  <c r="R8" i="160"/>
  <c r="Q8" i="160"/>
  <c r="P8" i="160"/>
  <c r="W7" i="160"/>
  <c r="V7" i="160"/>
  <c r="U7" i="160"/>
  <c r="T7" i="160"/>
  <c r="S7" i="160"/>
  <c r="R7" i="160"/>
  <c r="Q7" i="160"/>
  <c r="P7" i="160"/>
  <c r="W6" i="160"/>
  <c r="V6" i="160"/>
  <c r="U6" i="160"/>
  <c r="T6" i="160"/>
  <c r="S6" i="160"/>
  <c r="R6" i="160"/>
  <c r="Q6" i="160"/>
  <c r="P6" i="160"/>
  <c r="W5" i="160"/>
  <c r="V5" i="160"/>
  <c r="U5" i="160"/>
  <c r="T5" i="160"/>
  <c r="S5" i="160"/>
  <c r="R5" i="160"/>
  <c r="Q5" i="160"/>
  <c r="P5" i="160"/>
  <c r="AU9" i="160"/>
  <c r="AT9" i="160"/>
  <c r="AS9" i="160"/>
  <c r="AR9" i="160"/>
  <c r="AQ9" i="160"/>
  <c r="AP9" i="160"/>
  <c r="AO9" i="160"/>
  <c r="AN9" i="160"/>
  <c r="AU8" i="160"/>
  <c r="AT8" i="160"/>
  <c r="AS8" i="160"/>
  <c r="AR8" i="160"/>
  <c r="AQ8" i="160"/>
  <c r="AP8" i="160"/>
  <c r="AO8" i="160"/>
  <c r="AN8" i="160"/>
  <c r="AU7" i="160"/>
  <c r="AT7" i="160"/>
  <c r="AS7" i="160"/>
  <c r="AR7" i="160"/>
  <c r="AQ7" i="160"/>
  <c r="AP7" i="160"/>
  <c r="AO7" i="160"/>
  <c r="AN7" i="160"/>
  <c r="AU6" i="160"/>
  <c r="AT6" i="160"/>
  <c r="AS6" i="160"/>
  <c r="AR6" i="160"/>
  <c r="AQ6" i="160"/>
  <c r="AP6" i="160"/>
  <c r="AO6" i="160"/>
  <c r="AN6" i="160"/>
  <c r="AU5" i="160"/>
  <c r="AT5" i="160"/>
  <c r="AS5" i="160"/>
  <c r="AR5" i="160"/>
  <c r="AQ5" i="160"/>
  <c r="AP5" i="160"/>
  <c r="AO5" i="160"/>
  <c r="AN5" i="160"/>
  <c r="W9" i="159"/>
  <c r="V9" i="159"/>
  <c r="U9" i="159"/>
  <c r="T9" i="159"/>
  <c r="S9" i="159"/>
  <c r="R9" i="159"/>
  <c r="Q9" i="159"/>
  <c r="P9" i="159"/>
  <c r="W8" i="159"/>
  <c r="V8" i="159"/>
  <c r="U8" i="159"/>
  <c r="T8" i="159"/>
  <c r="S8" i="159"/>
  <c r="R8" i="159"/>
  <c r="Q8" i="159"/>
  <c r="P8" i="159"/>
  <c r="W7" i="159"/>
  <c r="V7" i="159"/>
  <c r="U7" i="159"/>
  <c r="T7" i="159"/>
  <c r="S7" i="159"/>
  <c r="R7" i="159"/>
  <c r="Q7" i="159"/>
  <c r="P7" i="159"/>
  <c r="W6" i="159"/>
  <c r="V6" i="159"/>
  <c r="U6" i="159"/>
  <c r="T6" i="159"/>
  <c r="S6" i="159"/>
  <c r="R6" i="159"/>
  <c r="Q6" i="159"/>
  <c r="P6" i="159"/>
  <c r="W5" i="159"/>
  <c r="V5" i="159"/>
  <c r="U5" i="159"/>
  <c r="T5" i="159"/>
  <c r="S5" i="159"/>
  <c r="R5" i="159"/>
  <c r="Q5" i="159"/>
  <c r="P5" i="159"/>
  <c r="AU9" i="159"/>
  <c r="AT9" i="159"/>
  <c r="AS9" i="159"/>
  <c r="AR9" i="159"/>
  <c r="AQ9" i="159"/>
  <c r="AP9" i="159"/>
  <c r="AO9" i="159"/>
  <c r="AN9" i="159"/>
  <c r="AU8" i="159"/>
  <c r="AT8" i="159"/>
  <c r="AS8" i="159"/>
  <c r="AR8" i="159"/>
  <c r="AQ8" i="159"/>
  <c r="AP8" i="159"/>
  <c r="AO8" i="159"/>
  <c r="AN8" i="159"/>
  <c r="AU7" i="159"/>
  <c r="AT7" i="159"/>
  <c r="AS7" i="159"/>
  <c r="AR7" i="159"/>
  <c r="AQ7" i="159"/>
  <c r="AP7" i="159"/>
  <c r="AO7" i="159"/>
  <c r="AN7" i="159"/>
  <c r="AU6" i="159"/>
  <c r="AT6" i="159"/>
  <c r="AS6" i="159"/>
  <c r="AR6" i="159"/>
  <c r="AQ6" i="159"/>
  <c r="AP6" i="159"/>
  <c r="AO6" i="159"/>
  <c r="AN6" i="159"/>
  <c r="AU5" i="159"/>
  <c r="AT5" i="159"/>
  <c r="AS5" i="159"/>
  <c r="AR5" i="159"/>
  <c r="AQ5" i="159"/>
  <c r="AP5" i="159"/>
  <c r="AO5" i="159"/>
  <c r="AN5" i="159"/>
  <c r="W9" i="158"/>
  <c r="V9" i="158"/>
  <c r="U9" i="158"/>
  <c r="T9" i="158"/>
  <c r="S9" i="158"/>
  <c r="R9" i="158"/>
  <c r="Q9" i="158"/>
  <c r="P9" i="158"/>
  <c r="W8" i="158"/>
  <c r="V8" i="158"/>
  <c r="U8" i="158"/>
  <c r="T8" i="158"/>
  <c r="S8" i="158"/>
  <c r="R8" i="158"/>
  <c r="Q8" i="158"/>
  <c r="P8" i="158"/>
  <c r="W7" i="158"/>
  <c r="V7" i="158"/>
  <c r="U7" i="158"/>
  <c r="T7" i="158"/>
  <c r="S7" i="158"/>
  <c r="R7" i="158"/>
  <c r="Q7" i="158"/>
  <c r="P7" i="158"/>
  <c r="W6" i="158"/>
  <c r="V6" i="158"/>
  <c r="U6" i="158"/>
  <c r="T6" i="158"/>
  <c r="S6" i="158"/>
  <c r="R6" i="158"/>
  <c r="Q6" i="158"/>
  <c r="P6" i="158"/>
  <c r="W5" i="158"/>
  <c r="V5" i="158"/>
  <c r="U5" i="158"/>
  <c r="T5" i="158"/>
  <c r="S5" i="158"/>
  <c r="R5" i="158"/>
  <c r="Q5" i="158"/>
  <c r="P5" i="158"/>
  <c r="AU9" i="158"/>
  <c r="AT9" i="158"/>
  <c r="AS9" i="158"/>
  <c r="AR9" i="158"/>
  <c r="AQ9" i="158"/>
  <c r="AP9" i="158"/>
  <c r="AO9" i="158"/>
  <c r="AN9" i="158"/>
  <c r="AU8" i="158"/>
  <c r="AT8" i="158"/>
  <c r="AS8" i="158"/>
  <c r="AR8" i="158"/>
  <c r="AQ8" i="158"/>
  <c r="AP8" i="158"/>
  <c r="AO8" i="158"/>
  <c r="AN8" i="158"/>
  <c r="AU7" i="158"/>
  <c r="AT7" i="158"/>
  <c r="AS7" i="158"/>
  <c r="AR7" i="158"/>
  <c r="AQ7" i="158"/>
  <c r="AP7" i="158"/>
  <c r="AO7" i="158"/>
  <c r="AN7" i="158"/>
  <c r="AU6" i="158"/>
  <c r="AT6" i="158"/>
  <c r="AS6" i="158"/>
  <c r="AR6" i="158"/>
  <c r="AQ6" i="158"/>
  <c r="AP6" i="158"/>
  <c r="AO6" i="158"/>
  <c r="AN6" i="158"/>
  <c r="AU5" i="158"/>
  <c r="AT5" i="158"/>
  <c r="AS5" i="158"/>
  <c r="AR5" i="158"/>
  <c r="AQ5" i="158"/>
  <c r="AP5" i="158"/>
  <c r="AO5" i="158"/>
  <c r="AN5" i="158"/>
  <c r="W9" i="157"/>
  <c r="V9" i="157"/>
  <c r="U9" i="157"/>
  <c r="T9" i="157"/>
  <c r="S9" i="157"/>
  <c r="R9" i="157"/>
  <c r="Q9" i="157"/>
  <c r="P9" i="157"/>
  <c r="W8" i="157"/>
  <c r="V8" i="157"/>
  <c r="U8" i="157"/>
  <c r="T8" i="157"/>
  <c r="S8" i="157"/>
  <c r="R8" i="157"/>
  <c r="Q8" i="157"/>
  <c r="P8" i="157"/>
  <c r="W7" i="157"/>
  <c r="V7" i="157"/>
  <c r="U7" i="157"/>
  <c r="T7" i="157"/>
  <c r="S7" i="157"/>
  <c r="R7" i="157"/>
  <c r="Q7" i="157"/>
  <c r="P7" i="157"/>
  <c r="W6" i="157"/>
  <c r="V6" i="157"/>
  <c r="U6" i="157"/>
  <c r="T6" i="157"/>
  <c r="S6" i="157"/>
  <c r="R6" i="157"/>
  <c r="Q6" i="157"/>
  <c r="P6" i="157"/>
  <c r="W5" i="157"/>
  <c r="V5" i="157"/>
  <c r="U5" i="157"/>
  <c r="T5" i="157"/>
  <c r="S5" i="157"/>
  <c r="R5" i="157"/>
  <c r="Q5" i="157"/>
  <c r="P5" i="157"/>
  <c r="AU9" i="157"/>
  <c r="AT9" i="157"/>
  <c r="AS9" i="157"/>
  <c r="AR9" i="157"/>
  <c r="AQ9" i="157"/>
  <c r="AP9" i="157"/>
  <c r="AO9" i="157"/>
  <c r="AN9" i="157"/>
  <c r="AU8" i="157"/>
  <c r="AT8" i="157"/>
  <c r="AS8" i="157"/>
  <c r="AR8" i="157"/>
  <c r="AQ8" i="157"/>
  <c r="AP8" i="157"/>
  <c r="AO8" i="157"/>
  <c r="AN8" i="157"/>
  <c r="AU7" i="157"/>
  <c r="AT7" i="157"/>
  <c r="AS7" i="157"/>
  <c r="AR7" i="157"/>
  <c r="AQ7" i="157"/>
  <c r="AP7" i="157"/>
  <c r="AO7" i="157"/>
  <c r="AN7" i="157"/>
  <c r="AU6" i="157"/>
  <c r="AT6" i="157"/>
  <c r="AS6" i="157"/>
  <c r="AR6" i="157"/>
  <c r="AQ6" i="157"/>
  <c r="AP6" i="157"/>
  <c r="AO6" i="157"/>
  <c r="AN6" i="157"/>
  <c r="AU5" i="157"/>
  <c r="AT5" i="157"/>
  <c r="AS5" i="157"/>
  <c r="AR5" i="157"/>
  <c r="AQ5" i="157"/>
  <c r="AP5" i="157"/>
  <c r="AO5" i="157"/>
  <c r="AN5" i="157"/>
  <c r="W9" i="156"/>
  <c r="V9" i="156"/>
  <c r="U9" i="156"/>
  <c r="T9" i="156"/>
  <c r="S9" i="156"/>
  <c r="R9" i="156"/>
  <c r="Q9" i="156"/>
  <c r="P9" i="156"/>
  <c r="W8" i="156"/>
  <c r="V8" i="156"/>
  <c r="U8" i="156"/>
  <c r="T8" i="156"/>
  <c r="S8" i="156"/>
  <c r="R8" i="156"/>
  <c r="Q8" i="156"/>
  <c r="P8" i="156"/>
  <c r="W7" i="156"/>
  <c r="V7" i="156"/>
  <c r="U7" i="156"/>
  <c r="T7" i="156"/>
  <c r="S7" i="156"/>
  <c r="R7" i="156"/>
  <c r="Q7" i="156"/>
  <c r="P7" i="156"/>
  <c r="W6" i="156"/>
  <c r="V6" i="156"/>
  <c r="U6" i="156"/>
  <c r="T6" i="156"/>
  <c r="S6" i="156"/>
  <c r="R6" i="156"/>
  <c r="Q6" i="156"/>
  <c r="P6" i="156"/>
  <c r="W5" i="156"/>
  <c r="V5" i="156"/>
  <c r="U5" i="156"/>
  <c r="T5" i="156"/>
  <c r="S5" i="156"/>
  <c r="R5" i="156"/>
  <c r="Q5" i="156"/>
  <c r="P5" i="156"/>
  <c r="AU9" i="156"/>
  <c r="AT9" i="156"/>
  <c r="AS9" i="156"/>
  <c r="AR9" i="156"/>
  <c r="AQ9" i="156"/>
  <c r="AP9" i="156"/>
  <c r="AO9" i="156"/>
  <c r="AN9" i="156"/>
  <c r="AU8" i="156"/>
  <c r="AT8" i="156"/>
  <c r="AS8" i="156"/>
  <c r="AR8" i="156"/>
  <c r="AQ8" i="156"/>
  <c r="AP8" i="156"/>
  <c r="AO8" i="156"/>
  <c r="AN8" i="156"/>
  <c r="AU7" i="156"/>
  <c r="AT7" i="156"/>
  <c r="AS7" i="156"/>
  <c r="AR7" i="156"/>
  <c r="AQ7" i="156"/>
  <c r="AP7" i="156"/>
  <c r="AO7" i="156"/>
  <c r="AN7" i="156"/>
  <c r="AU6" i="156"/>
  <c r="AT6" i="156"/>
  <c r="AS6" i="156"/>
  <c r="AR6" i="156"/>
  <c r="AQ6" i="156"/>
  <c r="AP6" i="156"/>
  <c r="AO6" i="156"/>
  <c r="AN6" i="156"/>
  <c r="AU5" i="156"/>
  <c r="AT5" i="156"/>
  <c r="AS5" i="156"/>
  <c r="AR5" i="156"/>
  <c r="AQ5" i="156"/>
  <c r="AP5" i="156"/>
  <c r="AO5" i="156"/>
  <c r="AN5" i="156"/>
  <c r="W9" i="155"/>
  <c r="V9" i="155"/>
  <c r="U9" i="155"/>
  <c r="T9" i="155"/>
  <c r="S9" i="155"/>
  <c r="R9" i="155"/>
  <c r="Q9" i="155"/>
  <c r="P9" i="155"/>
  <c r="W8" i="155"/>
  <c r="V8" i="155"/>
  <c r="U8" i="155"/>
  <c r="T8" i="155"/>
  <c r="S8" i="155"/>
  <c r="R8" i="155"/>
  <c r="Q8" i="155"/>
  <c r="P8" i="155"/>
  <c r="W7" i="155"/>
  <c r="V7" i="155"/>
  <c r="U7" i="155"/>
  <c r="T7" i="155"/>
  <c r="S7" i="155"/>
  <c r="R7" i="155"/>
  <c r="Q7" i="155"/>
  <c r="P7" i="155"/>
  <c r="W6" i="155"/>
  <c r="V6" i="155"/>
  <c r="U6" i="155"/>
  <c r="T6" i="155"/>
  <c r="S6" i="155"/>
  <c r="R6" i="155"/>
  <c r="Q6" i="155"/>
  <c r="P6" i="155"/>
  <c r="W5" i="155"/>
  <c r="V5" i="155"/>
  <c r="U5" i="155"/>
  <c r="T5" i="155"/>
  <c r="S5" i="155"/>
  <c r="R5" i="155"/>
  <c r="Q5" i="155"/>
  <c r="P5" i="155"/>
  <c r="AU9" i="155"/>
  <c r="AT9" i="155"/>
  <c r="AS9" i="155"/>
  <c r="AR9" i="155"/>
  <c r="AQ9" i="155"/>
  <c r="AP9" i="155"/>
  <c r="AO9" i="155"/>
  <c r="AN9" i="155"/>
  <c r="AU8" i="155"/>
  <c r="AT8" i="155"/>
  <c r="AS8" i="155"/>
  <c r="AR8" i="155"/>
  <c r="AQ8" i="155"/>
  <c r="AP8" i="155"/>
  <c r="AO8" i="155"/>
  <c r="AN8" i="155"/>
  <c r="AU7" i="155"/>
  <c r="AT7" i="155"/>
  <c r="AS7" i="155"/>
  <c r="AR7" i="155"/>
  <c r="AQ7" i="155"/>
  <c r="AP7" i="155"/>
  <c r="AO7" i="155"/>
  <c r="AN7" i="155"/>
  <c r="AU6" i="155"/>
  <c r="AT6" i="155"/>
  <c r="AS6" i="155"/>
  <c r="AR6" i="155"/>
  <c r="AQ6" i="155"/>
  <c r="AP6" i="155"/>
  <c r="AO6" i="155"/>
  <c r="AN6" i="155"/>
  <c r="AU5" i="155"/>
  <c r="AT5" i="155"/>
  <c r="AS5" i="155"/>
  <c r="AR5" i="155"/>
  <c r="AQ5" i="155"/>
  <c r="AP5" i="155"/>
  <c r="AO5" i="155"/>
  <c r="AN5" i="155"/>
  <c r="AV9" i="154"/>
  <c r="AV8" i="154"/>
  <c r="AV7" i="154"/>
  <c r="AV6" i="154"/>
  <c r="AV5" i="154"/>
  <c r="AI9" i="154"/>
  <c r="AH9" i="154"/>
  <c r="AG9" i="154"/>
  <c r="AF9" i="154"/>
  <c r="AE9" i="154"/>
  <c r="AD9" i="154"/>
  <c r="AI8" i="154"/>
  <c r="AH8" i="154"/>
  <c r="AG8" i="154"/>
  <c r="AF8" i="154"/>
  <c r="AE8" i="154"/>
  <c r="AD8" i="154"/>
  <c r="AI7" i="154"/>
  <c r="AH7" i="154"/>
  <c r="AG7" i="154"/>
  <c r="AF7" i="154"/>
  <c r="AE7" i="154"/>
  <c r="AD7" i="154"/>
  <c r="AI6" i="154"/>
  <c r="AH6" i="154"/>
  <c r="AG6" i="154"/>
  <c r="AF6" i="154"/>
  <c r="AE6" i="154"/>
  <c r="AD6" i="154"/>
  <c r="AI5" i="154"/>
  <c r="AH5" i="154"/>
  <c r="AG5" i="154"/>
  <c r="AF5" i="154"/>
  <c r="AE5" i="154"/>
  <c r="AD5" i="154"/>
  <c r="AU9" i="154"/>
  <c r="AT9" i="154"/>
  <c r="AS9" i="154"/>
  <c r="AR9" i="154"/>
  <c r="AQ9" i="154"/>
  <c r="AP9" i="154"/>
  <c r="AO9" i="154"/>
  <c r="AN9" i="154"/>
  <c r="AU8" i="154"/>
  <c r="AT8" i="154"/>
  <c r="AS8" i="154"/>
  <c r="AR8" i="154"/>
  <c r="AQ8" i="154"/>
  <c r="AP8" i="154"/>
  <c r="AO8" i="154"/>
  <c r="AN8" i="154"/>
  <c r="AU7" i="154"/>
  <c r="AT7" i="154"/>
  <c r="AS7" i="154"/>
  <c r="AR7" i="154"/>
  <c r="AQ7" i="154"/>
  <c r="AP7" i="154"/>
  <c r="AO7" i="154"/>
  <c r="AN7" i="154"/>
  <c r="AU6" i="154"/>
  <c r="AT6" i="154"/>
  <c r="AS6" i="154"/>
  <c r="AR6" i="154"/>
  <c r="AQ6" i="154"/>
  <c r="AP6" i="154"/>
  <c r="AO6" i="154"/>
  <c r="AN6" i="154"/>
  <c r="AU5" i="154"/>
  <c r="AT5" i="154"/>
  <c r="AS5" i="154"/>
  <c r="AR5" i="154"/>
  <c r="AQ5" i="154"/>
  <c r="AP5" i="154"/>
  <c r="AO5" i="154"/>
  <c r="AN5" i="154"/>
  <c r="W9" i="154"/>
  <c r="V9" i="154"/>
  <c r="U9" i="154"/>
  <c r="T9" i="154"/>
  <c r="S9" i="154"/>
  <c r="R9" i="154"/>
  <c r="Q9" i="154"/>
  <c r="P9" i="154"/>
  <c r="W8" i="154"/>
  <c r="V8" i="154"/>
  <c r="U8" i="154"/>
  <c r="T8" i="154"/>
  <c r="S8" i="154"/>
  <c r="R8" i="154"/>
  <c r="Q8" i="154"/>
  <c r="P8" i="154"/>
  <c r="W7" i="154"/>
  <c r="V7" i="154"/>
  <c r="U7" i="154"/>
  <c r="T7" i="154"/>
  <c r="S7" i="154"/>
  <c r="R7" i="154"/>
  <c r="Q7" i="154"/>
  <c r="P7" i="154"/>
  <c r="W6" i="154"/>
  <c r="V6" i="154"/>
  <c r="U6" i="154"/>
  <c r="T6" i="154"/>
  <c r="S6" i="154"/>
  <c r="R6" i="154"/>
  <c r="Q6" i="154"/>
  <c r="P6" i="154"/>
  <c r="W5" i="154"/>
  <c r="V5" i="154"/>
  <c r="U5" i="154"/>
  <c r="T5" i="154"/>
  <c r="S5" i="154"/>
  <c r="R5" i="154"/>
  <c r="Q5" i="154"/>
  <c r="P5" i="154"/>
  <c r="W9" i="143"/>
  <c r="V9" i="143"/>
  <c r="U9" i="143"/>
  <c r="T9" i="143"/>
  <c r="S9" i="143"/>
  <c r="R9" i="143"/>
  <c r="Q9" i="143"/>
  <c r="P9" i="143"/>
  <c r="W8" i="143"/>
  <c r="V8" i="143"/>
  <c r="U8" i="143"/>
  <c r="T8" i="143"/>
  <c r="S8" i="143"/>
  <c r="R8" i="143"/>
  <c r="Q8" i="143"/>
  <c r="P8" i="143"/>
  <c r="W7" i="143"/>
  <c r="V7" i="143"/>
  <c r="U7" i="143"/>
  <c r="T7" i="143"/>
  <c r="S7" i="143"/>
  <c r="R7" i="143"/>
  <c r="Q7" i="143"/>
  <c r="P7" i="143"/>
  <c r="W6" i="143"/>
  <c r="V6" i="143"/>
  <c r="U6" i="143"/>
  <c r="T6" i="143"/>
  <c r="S6" i="143"/>
  <c r="R6" i="143"/>
  <c r="Q6" i="143"/>
  <c r="P6" i="143"/>
  <c r="W5" i="143"/>
  <c r="V5" i="143"/>
  <c r="U5" i="143"/>
  <c r="T5" i="143"/>
  <c r="S5" i="143"/>
  <c r="R5" i="143"/>
  <c r="Q5" i="143"/>
  <c r="P5" i="143"/>
  <c r="AU9" i="143"/>
  <c r="AT9" i="143"/>
  <c r="AS9" i="143"/>
  <c r="AR9" i="143"/>
  <c r="AQ9" i="143"/>
  <c r="AP9" i="143"/>
  <c r="AO9" i="143"/>
  <c r="AN9" i="143"/>
  <c r="AU8" i="143"/>
  <c r="AT8" i="143"/>
  <c r="AS8" i="143"/>
  <c r="AR8" i="143"/>
  <c r="AQ8" i="143"/>
  <c r="AP8" i="143"/>
  <c r="AO8" i="143"/>
  <c r="AN8" i="143"/>
  <c r="AU7" i="143"/>
  <c r="AT7" i="143"/>
  <c r="AS7" i="143"/>
  <c r="AR7" i="143"/>
  <c r="AQ7" i="143"/>
  <c r="AP7" i="143"/>
  <c r="AO7" i="143"/>
  <c r="AN7" i="143"/>
  <c r="AU6" i="143"/>
  <c r="AT6" i="143"/>
  <c r="AS6" i="143"/>
  <c r="AR6" i="143"/>
  <c r="AQ6" i="143"/>
  <c r="AP6" i="143"/>
  <c r="AO6" i="143"/>
  <c r="AN6" i="143"/>
  <c r="AU5" i="143"/>
  <c r="AT5" i="143"/>
  <c r="AS5" i="143"/>
  <c r="AR5" i="143"/>
  <c r="AQ5" i="143"/>
  <c r="AP5" i="143"/>
  <c r="AO5" i="143"/>
  <c r="AN5" i="143"/>
  <c r="W9" i="144"/>
  <c r="V9" i="144"/>
  <c r="U9" i="144"/>
  <c r="T9" i="144"/>
  <c r="S9" i="144"/>
  <c r="R9" i="144"/>
  <c r="Q9" i="144"/>
  <c r="P9" i="144"/>
  <c r="W8" i="144"/>
  <c r="V8" i="144"/>
  <c r="U8" i="144"/>
  <c r="T8" i="144"/>
  <c r="S8" i="144"/>
  <c r="R8" i="144"/>
  <c r="Q8" i="144"/>
  <c r="P8" i="144"/>
  <c r="W7" i="144"/>
  <c r="V7" i="144"/>
  <c r="U7" i="144"/>
  <c r="T7" i="144"/>
  <c r="S7" i="144"/>
  <c r="R7" i="144"/>
  <c r="Q7" i="144"/>
  <c r="P7" i="144"/>
  <c r="W6" i="144"/>
  <c r="V6" i="144"/>
  <c r="U6" i="144"/>
  <c r="T6" i="144"/>
  <c r="S6" i="144"/>
  <c r="R6" i="144"/>
  <c r="Q6" i="144"/>
  <c r="P6" i="144"/>
  <c r="W5" i="144"/>
  <c r="V5" i="144"/>
  <c r="U5" i="144"/>
  <c r="T5" i="144"/>
  <c r="S5" i="144"/>
  <c r="R5" i="144"/>
  <c r="Q5" i="144"/>
  <c r="P5" i="144"/>
  <c r="AU9" i="144"/>
  <c r="AT9" i="144"/>
  <c r="AS9" i="144"/>
  <c r="AR9" i="144"/>
  <c r="AQ9" i="144"/>
  <c r="AP9" i="144"/>
  <c r="AO9" i="144"/>
  <c r="AN9" i="144"/>
  <c r="AU8" i="144"/>
  <c r="AT8" i="144"/>
  <c r="AS8" i="144"/>
  <c r="AR8" i="144"/>
  <c r="AQ8" i="144"/>
  <c r="AP8" i="144"/>
  <c r="AO8" i="144"/>
  <c r="AN8" i="144"/>
  <c r="AU7" i="144"/>
  <c r="AT7" i="144"/>
  <c r="AS7" i="144"/>
  <c r="AR7" i="144"/>
  <c r="AQ7" i="144"/>
  <c r="AP7" i="144"/>
  <c r="AO7" i="144"/>
  <c r="AN7" i="144"/>
  <c r="AU6" i="144"/>
  <c r="AT6" i="144"/>
  <c r="AS6" i="144"/>
  <c r="AR6" i="144"/>
  <c r="AQ6" i="144"/>
  <c r="AP6" i="144"/>
  <c r="AO6" i="144"/>
  <c r="AN6" i="144"/>
  <c r="AU5" i="144"/>
  <c r="AT5" i="144"/>
  <c r="AS5" i="144"/>
  <c r="AR5" i="144"/>
  <c r="AQ5" i="144"/>
  <c r="AP5" i="144"/>
  <c r="AO5" i="144"/>
  <c r="AN5" i="144"/>
  <c r="W9" i="153"/>
  <c r="V9" i="153"/>
  <c r="U9" i="153"/>
  <c r="T9" i="153"/>
  <c r="S9" i="153"/>
  <c r="R9" i="153"/>
  <c r="Q9" i="153"/>
  <c r="P9" i="153"/>
  <c r="W8" i="153"/>
  <c r="V8" i="153"/>
  <c r="U8" i="153"/>
  <c r="T8" i="153"/>
  <c r="S8" i="153"/>
  <c r="R8" i="153"/>
  <c r="Q8" i="153"/>
  <c r="P8" i="153"/>
  <c r="W7" i="153"/>
  <c r="V7" i="153"/>
  <c r="U7" i="153"/>
  <c r="T7" i="153"/>
  <c r="S7" i="153"/>
  <c r="R7" i="153"/>
  <c r="Q7" i="153"/>
  <c r="P7" i="153"/>
  <c r="W6" i="153"/>
  <c r="V6" i="153"/>
  <c r="U6" i="153"/>
  <c r="T6" i="153"/>
  <c r="S6" i="153"/>
  <c r="R6" i="153"/>
  <c r="Q6" i="153"/>
  <c r="P6" i="153"/>
  <c r="W5" i="153"/>
  <c r="V5" i="153"/>
  <c r="U5" i="153"/>
  <c r="T5" i="153"/>
  <c r="S5" i="153"/>
  <c r="R5" i="153"/>
  <c r="Q5" i="153"/>
  <c r="P5" i="153"/>
  <c r="AU9" i="153"/>
  <c r="AT9" i="153"/>
  <c r="AS9" i="153"/>
  <c r="AR9" i="153"/>
  <c r="AQ9" i="153"/>
  <c r="AP9" i="153"/>
  <c r="AO9" i="153"/>
  <c r="AN9" i="153"/>
  <c r="AU8" i="153"/>
  <c r="AT8" i="153"/>
  <c r="AS8" i="153"/>
  <c r="AR8" i="153"/>
  <c r="AQ8" i="153"/>
  <c r="AP8" i="153"/>
  <c r="AO8" i="153"/>
  <c r="AN8" i="153"/>
  <c r="AU7" i="153"/>
  <c r="AT7" i="153"/>
  <c r="AS7" i="153"/>
  <c r="AR7" i="153"/>
  <c r="AQ7" i="153"/>
  <c r="AP7" i="153"/>
  <c r="AO7" i="153"/>
  <c r="AN7" i="153"/>
  <c r="AU6" i="153"/>
  <c r="AT6" i="153"/>
  <c r="AS6" i="153"/>
  <c r="AR6" i="153"/>
  <c r="AQ6" i="153"/>
  <c r="AP6" i="153"/>
  <c r="AO6" i="153"/>
  <c r="AN6" i="153"/>
  <c r="AU5" i="153"/>
  <c r="AT5" i="153"/>
  <c r="AS5" i="153"/>
  <c r="AR5" i="153"/>
  <c r="AQ5" i="153"/>
  <c r="AP5" i="153"/>
  <c r="AO5" i="153"/>
  <c r="AN5" i="153"/>
  <c r="W9" i="152"/>
  <c r="V9" i="152"/>
  <c r="U9" i="152"/>
  <c r="T9" i="152"/>
  <c r="S9" i="152"/>
  <c r="R9" i="152"/>
  <c r="Q9" i="152"/>
  <c r="P9" i="152"/>
  <c r="W8" i="152"/>
  <c r="V8" i="152"/>
  <c r="U8" i="152"/>
  <c r="T8" i="152"/>
  <c r="S8" i="152"/>
  <c r="R8" i="152"/>
  <c r="Q8" i="152"/>
  <c r="P8" i="152"/>
  <c r="W7" i="152"/>
  <c r="V7" i="152"/>
  <c r="U7" i="152"/>
  <c r="T7" i="152"/>
  <c r="S7" i="152"/>
  <c r="R7" i="152"/>
  <c r="Q7" i="152"/>
  <c r="P7" i="152"/>
  <c r="W6" i="152"/>
  <c r="V6" i="152"/>
  <c r="U6" i="152"/>
  <c r="T6" i="152"/>
  <c r="S6" i="152"/>
  <c r="R6" i="152"/>
  <c r="Q6" i="152"/>
  <c r="P6" i="152"/>
  <c r="W5" i="152"/>
  <c r="V5" i="152"/>
  <c r="U5" i="152"/>
  <c r="T5" i="152"/>
  <c r="S5" i="152"/>
  <c r="R5" i="152"/>
  <c r="Q5" i="152"/>
  <c r="P5" i="152"/>
  <c r="AU9" i="152"/>
  <c r="AT9" i="152"/>
  <c r="AS9" i="152"/>
  <c r="AR9" i="152"/>
  <c r="AQ9" i="152"/>
  <c r="AP9" i="152"/>
  <c r="AO9" i="152"/>
  <c r="AN9" i="152"/>
  <c r="AU8" i="152"/>
  <c r="AT8" i="152"/>
  <c r="AS8" i="152"/>
  <c r="AR8" i="152"/>
  <c r="AQ8" i="152"/>
  <c r="AP8" i="152"/>
  <c r="AO8" i="152"/>
  <c r="AN8" i="152"/>
  <c r="AU7" i="152"/>
  <c r="AT7" i="152"/>
  <c r="AS7" i="152"/>
  <c r="AR7" i="152"/>
  <c r="AQ7" i="152"/>
  <c r="AP7" i="152"/>
  <c r="AO7" i="152"/>
  <c r="AN7" i="152"/>
  <c r="AU6" i="152"/>
  <c r="AT6" i="152"/>
  <c r="AS6" i="152"/>
  <c r="AR6" i="152"/>
  <c r="AQ6" i="152"/>
  <c r="AP6" i="152"/>
  <c r="AO6" i="152"/>
  <c r="AN6" i="152"/>
  <c r="AU5" i="152"/>
  <c r="AT5" i="152"/>
  <c r="AS5" i="152"/>
  <c r="AR5" i="152"/>
  <c r="AQ5" i="152"/>
  <c r="AP5" i="152"/>
  <c r="AO5" i="152"/>
  <c r="AN5" i="152"/>
  <c r="W9" i="151"/>
  <c r="V9" i="151"/>
  <c r="U9" i="151"/>
  <c r="T9" i="151"/>
  <c r="S9" i="151"/>
  <c r="R9" i="151"/>
  <c r="Q9" i="151"/>
  <c r="P9" i="151"/>
  <c r="W8" i="151"/>
  <c r="V8" i="151"/>
  <c r="U8" i="151"/>
  <c r="T8" i="151"/>
  <c r="S8" i="151"/>
  <c r="R8" i="151"/>
  <c r="Q8" i="151"/>
  <c r="P8" i="151"/>
  <c r="W7" i="151"/>
  <c r="V7" i="151"/>
  <c r="U7" i="151"/>
  <c r="T7" i="151"/>
  <c r="S7" i="151"/>
  <c r="R7" i="151"/>
  <c r="Q7" i="151"/>
  <c r="P7" i="151"/>
  <c r="W6" i="151"/>
  <c r="V6" i="151"/>
  <c r="U6" i="151"/>
  <c r="T6" i="151"/>
  <c r="S6" i="151"/>
  <c r="R6" i="151"/>
  <c r="Q6" i="151"/>
  <c r="P6" i="151"/>
  <c r="W5" i="151"/>
  <c r="V5" i="151"/>
  <c r="U5" i="151"/>
  <c r="T5" i="151"/>
  <c r="S5" i="151"/>
  <c r="R5" i="151"/>
  <c r="Q5" i="151"/>
  <c r="P5" i="151"/>
  <c r="AU9" i="151"/>
  <c r="AT9" i="151"/>
  <c r="AS9" i="151"/>
  <c r="AR9" i="151"/>
  <c r="AQ9" i="151"/>
  <c r="AP9" i="151"/>
  <c r="AO9" i="151"/>
  <c r="AN9" i="151"/>
  <c r="AU8" i="151"/>
  <c r="AT8" i="151"/>
  <c r="AS8" i="151"/>
  <c r="AR8" i="151"/>
  <c r="AQ8" i="151"/>
  <c r="AP8" i="151"/>
  <c r="AO8" i="151"/>
  <c r="AN8" i="151"/>
  <c r="AU7" i="151"/>
  <c r="AT7" i="151"/>
  <c r="AS7" i="151"/>
  <c r="AR7" i="151"/>
  <c r="AQ7" i="151"/>
  <c r="AP7" i="151"/>
  <c r="AO7" i="151"/>
  <c r="AN7" i="151"/>
  <c r="AU6" i="151"/>
  <c r="AT6" i="151"/>
  <c r="AS6" i="151"/>
  <c r="AR6" i="151"/>
  <c r="AQ6" i="151"/>
  <c r="AP6" i="151"/>
  <c r="AO6" i="151"/>
  <c r="AN6" i="151"/>
  <c r="AU5" i="151"/>
  <c r="AT5" i="151"/>
  <c r="AS5" i="151"/>
  <c r="AR5" i="151"/>
  <c r="AQ5" i="151"/>
  <c r="AP5" i="151"/>
  <c r="AO5" i="151"/>
  <c r="AN5" i="151"/>
  <c r="W9" i="150"/>
  <c r="V9" i="150"/>
  <c r="U9" i="150"/>
  <c r="T9" i="150"/>
  <c r="S9" i="150"/>
  <c r="R9" i="150"/>
  <c r="Q9" i="150"/>
  <c r="P9" i="150"/>
  <c r="W8" i="150"/>
  <c r="V8" i="150"/>
  <c r="U8" i="150"/>
  <c r="T8" i="150"/>
  <c r="S8" i="150"/>
  <c r="R8" i="150"/>
  <c r="Q8" i="150"/>
  <c r="P8" i="150"/>
  <c r="W7" i="150"/>
  <c r="V7" i="150"/>
  <c r="U7" i="150"/>
  <c r="T7" i="150"/>
  <c r="S7" i="150"/>
  <c r="R7" i="150"/>
  <c r="Q7" i="150"/>
  <c r="P7" i="150"/>
  <c r="W6" i="150"/>
  <c r="V6" i="150"/>
  <c r="U6" i="150"/>
  <c r="T6" i="150"/>
  <c r="S6" i="150"/>
  <c r="R6" i="150"/>
  <c r="Q6" i="150"/>
  <c r="P6" i="150"/>
  <c r="W5" i="150"/>
  <c r="V5" i="150"/>
  <c r="U5" i="150"/>
  <c r="T5" i="150"/>
  <c r="S5" i="150"/>
  <c r="R5" i="150"/>
  <c r="Q5" i="150"/>
  <c r="P5" i="150"/>
  <c r="AU9" i="150"/>
  <c r="AT9" i="150"/>
  <c r="AS9" i="150"/>
  <c r="AR9" i="150"/>
  <c r="AQ9" i="150"/>
  <c r="AP9" i="150"/>
  <c r="AO9" i="150"/>
  <c r="AN9" i="150"/>
  <c r="AU8" i="150"/>
  <c r="AT8" i="150"/>
  <c r="AS8" i="150"/>
  <c r="AR8" i="150"/>
  <c r="AQ8" i="150"/>
  <c r="AP8" i="150"/>
  <c r="AO8" i="150"/>
  <c r="AN8" i="150"/>
  <c r="AU7" i="150"/>
  <c r="AT7" i="150"/>
  <c r="AS7" i="150"/>
  <c r="AR7" i="150"/>
  <c r="AQ7" i="150"/>
  <c r="AP7" i="150"/>
  <c r="AO7" i="150"/>
  <c r="AN7" i="150"/>
  <c r="AU6" i="150"/>
  <c r="AT6" i="150"/>
  <c r="AS6" i="150"/>
  <c r="AR6" i="150"/>
  <c r="AQ6" i="150"/>
  <c r="AP6" i="150"/>
  <c r="AO6" i="150"/>
  <c r="AN6" i="150"/>
  <c r="AU5" i="150"/>
  <c r="AT5" i="150"/>
  <c r="AS5" i="150"/>
  <c r="AR5" i="150"/>
  <c r="AQ5" i="150"/>
  <c r="AP5" i="150"/>
  <c r="AO5" i="150"/>
  <c r="AN5" i="150"/>
  <c r="W9" i="149"/>
  <c r="V9" i="149"/>
  <c r="U9" i="149"/>
  <c r="T9" i="149"/>
  <c r="S9" i="149"/>
  <c r="R9" i="149"/>
  <c r="Q9" i="149"/>
  <c r="P9" i="149"/>
  <c r="W8" i="149"/>
  <c r="V8" i="149"/>
  <c r="U8" i="149"/>
  <c r="T8" i="149"/>
  <c r="S8" i="149"/>
  <c r="R8" i="149"/>
  <c r="Q8" i="149"/>
  <c r="P8" i="149"/>
  <c r="W7" i="149"/>
  <c r="V7" i="149"/>
  <c r="U7" i="149"/>
  <c r="T7" i="149"/>
  <c r="S7" i="149"/>
  <c r="R7" i="149"/>
  <c r="Q7" i="149"/>
  <c r="P7" i="149"/>
  <c r="W6" i="149"/>
  <c r="V6" i="149"/>
  <c r="U6" i="149"/>
  <c r="T6" i="149"/>
  <c r="S6" i="149"/>
  <c r="R6" i="149"/>
  <c r="Q6" i="149"/>
  <c r="P6" i="149"/>
  <c r="W5" i="149"/>
  <c r="V5" i="149"/>
  <c r="U5" i="149"/>
  <c r="T5" i="149"/>
  <c r="S5" i="149"/>
  <c r="R5" i="149"/>
  <c r="Q5" i="149"/>
  <c r="P5" i="149"/>
  <c r="AU9" i="149"/>
  <c r="AT9" i="149"/>
  <c r="AS9" i="149"/>
  <c r="AR9" i="149"/>
  <c r="AQ9" i="149"/>
  <c r="AP9" i="149"/>
  <c r="AO9" i="149"/>
  <c r="AN9" i="149"/>
  <c r="AU8" i="149"/>
  <c r="AT8" i="149"/>
  <c r="AS8" i="149"/>
  <c r="AR8" i="149"/>
  <c r="AQ8" i="149"/>
  <c r="AP8" i="149"/>
  <c r="AO8" i="149"/>
  <c r="AN8" i="149"/>
  <c r="AU7" i="149"/>
  <c r="AT7" i="149"/>
  <c r="AS7" i="149"/>
  <c r="AR7" i="149"/>
  <c r="AQ7" i="149"/>
  <c r="AP7" i="149"/>
  <c r="AO7" i="149"/>
  <c r="AN7" i="149"/>
  <c r="AU6" i="149"/>
  <c r="AT6" i="149"/>
  <c r="AS6" i="149"/>
  <c r="AR6" i="149"/>
  <c r="AQ6" i="149"/>
  <c r="AP6" i="149"/>
  <c r="AO6" i="149"/>
  <c r="AN6" i="149"/>
  <c r="AU5" i="149"/>
  <c r="AT5" i="149"/>
  <c r="AS5" i="149"/>
  <c r="AR5" i="149"/>
  <c r="AQ5" i="149"/>
  <c r="AP5" i="149"/>
  <c r="AO5" i="149"/>
  <c r="AN5" i="149"/>
  <c r="W9" i="142"/>
  <c r="V9" i="142"/>
  <c r="U9" i="142"/>
  <c r="T9" i="142"/>
  <c r="S9" i="142"/>
  <c r="R9" i="142"/>
  <c r="Q9" i="142"/>
  <c r="P9" i="142"/>
  <c r="W8" i="142"/>
  <c r="V8" i="142"/>
  <c r="U8" i="142"/>
  <c r="T8" i="142"/>
  <c r="S8" i="142"/>
  <c r="R8" i="142"/>
  <c r="Q8" i="142"/>
  <c r="P8" i="142"/>
  <c r="W7" i="142"/>
  <c r="V7" i="142"/>
  <c r="U7" i="142"/>
  <c r="T7" i="142"/>
  <c r="S7" i="142"/>
  <c r="R7" i="142"/>
  <c r="Q7" i="142"/>
  <c r="P7" i="142"/>
  <c r="W6" i="142"/>
  <c r="V6" i="142"/>
  <c r="U6" i="142"/>
  <c r="T6" i="142"/>
  <c r="S6" i="142"/>
  <c r="R6" i="142"/>
  <c r="Q6" i="142"/>
  <c r="P6" i="142"/>
  <c r="W5" i="142"/>
  <c r="V5" i="142"/>
  <c r="U5" i="142"/>
  <c r="T5" i="142"/>
  <c r="S5" i="142"/>
  <c r="R5" i="142"/>
  <c r="Q5" i="142"/>
  <c r="P5" i="142"/>
  <c r="AU9" i="142"/>
  <c r="AT9" i="142"/>
  <c r="AS9" i="142"/>
  <c r="AR9" i="142"/>
  <c r="AQ9" i="142"/>
  <c r="AP9" i="142"/>
  <c r="AO9" i="142"/>
  <c r="AN9" i="142"/>
  <c r="AU8" i="142"/>
  <c r="AT8" i="142"/>
  <c r="AS8" i="142"/>
  <c r="AR8" i="142"/>
  <c r="AQ8" i="142"/>
  <c r="AP8" i="142"/>
  <c r="AO8" i="142"/>
  <c r="AN8" i="142"/>
  <c r="AU7" i="142"/>
  <c r="AT7" i="142"/>
  <c r="AS7" i="142"/>
  <c r="AR7" i="142"/>
  <c r="AQ7" i="142"/>
  <c r="AP7" i="142"/>
  <c r="AO7" i="142"/>
  <c r="AN7" i="142"/>
  <c r="AU6" i="142"/>
  <c r="AT6" i="142"/>
  <c r="AS6" i="142"/>
  <c r="AR6" i="142"/>
  <c r="AQ6" i="142"/>
  <c r="AP6" i="142"/>
  <c r="AO6" i="142"/>
  <c r="AN6" i="142"/>
  <c r="AU5" i="142"/>
  <c r="AT5" i="142"/>
  <c r="AS5" i="142"/>
  <c r="AR5" i="142"/>
  <c r="AQ5" i="142"/>
  <c r="AP5" i="142"/>
  <c r="AO5" i="142"/>
  <c r="AN5" i="142"/>
  <c r="W9" i="141"/>
  <c r="V9" i="141"/>
  <c r="U9" i="141"/>
  <c r="T9" i="141"/>
  <c r="S9" i="141"/>
  <c r="R9" i="141"/>
  <c r="Q9" i="141"/>
  <c r="P9" i="141"/>
  <c r="W8" i="141"/>
  <c r="V8" i="141"/>
  <c r="U8" i="141"/>
  <c r="T8" i="141"/>
  <c r="S8" i="141"/>
  <c r="R8" i="141"/>
  <c r="Q8" i="141"/>
  <c r="P8" i="141"/>
  <c r="W7" i="141"/>
  <c r="V7" i="141"/>
  <c r="U7" i="141"/>
  <c r="T7" i="141"/>
  <c r="S7" i="141"/>
  <c r="R7" i="141"/>
  <c r="Q7" i="141"/>
  <c r="P7" i="141"/>
  <c r="W6" i="141"/>
  <c r="V6" i="141"/>
  <c r="U6" i="141"/>
  <c r="T6" i="141"/>
  <c r="S6" i="141"/>
  <c r="R6" i="141"/>
  <c r="Q6" i="141"/>
  <c r="P6" i="141"/>
  <c r="W5" i="141"/>
  <c r="V5" i="141"/>
  <c r="U5" i="141"/>
  <c r="T5" i="141"/>
  <c r="S5" i="141"/>
  <c r="R5" i="141"/>
  <c r="Q5" i="141"/>
  <c r="P5" i="141"/>
  <c r="AU9" i="141"/>
  <c r="AT9" i="141"/>
  <c r="AS9" i="141"/>
  <c r="AR9" i="141"/>
  <c r="AQ9" i="141"/>
  <c r="AP9" i="141"/>
  <c r="AO9" i="141"/>
  <c r="AN9" i="141"/>
  <c r="AU8" i="141"/>
  <c r="AT8" i="141"/>
  <c r="AS8" i="141"/>
  <c r="AR8" i="141"/>
  <c r="AQ8" i="141"/>
  <c r="AP8" i="141"/>
  <c r="AO8" i="141"/>
  <c r="AN8" i="141"/>
  <c r="AU7" i="141"/>
  <c r="AT7" i="141"/>
  <c r="AS7" i="141"/>
  <c r="AR7" i="141"/>
  <c r="AQ7" i="141"/>
  <c r="AP7" i="141"/>
  <c r="AO7" i="141"/>
  <c r="AN7" i="141"/>
  <c r="AU6" i="141"/>
  <c r="AT6" i="141"/>
  <c r="AS6" i="141"/>
  <c r="AR6" i="141"/>
  <c r="AQ6" i="141"/>
  <c r="AP6" i="141"/>
  <c r="AO6" i="141"/>
  <c r="AN6" i="141"/>
  <c r="AU5" i="141"/>
  <c r="AT5" i="141"/>
  <c r="AS5" i="141"/>
  <c r="AR5" i="141"/>
  <c r="AQ5" i="141"/>
  <c r="AP5" i="141"/>
  <c r="AO5" i="141"/>
  <c r="AN5" i="141"/>
  <c r="AV9" i="164"/>
  <c r="AV8" i="164"/>
  <c r="AV7" i="164"/>
  <c r="AV6" i="164"/>
  <c r="AV5" i="164"/>
  <c r="AI9" i="164"/>
  <c r="AH9" i="164"/>
  <c r="AG9" i="164"/>
  <c r="AF9" i="164"/>
  <c r="AE9" i="164"/>
  <c r="AD9" i="164"/>
  <c r="AI8" i="164"/>
  <c r="AH8" i="164"/>
  <c r="AG8" i="164"/>
  <c r="AF8" i="164"/>
  <c r="AE8" i="164"/>
  <c r="AD8" i="164"/>
  <c r="AI7" i="164"/>
  <c r="AH7" i="164"/>
  <c r="AG7" i="164"/>
  <c r="AF7" i="164"/>
  <c r="AE7" i="164"/>
  <c r="AD7" i="164"/>
  <c r="AI6" i="164"/>
  <c r="AH6" i="164"/>
  <c r="AG6" i="164"/>
  <c r="AF6" i="164"/>
  <c r="AE6" i="164"/>
  <c r="AD6" i="164"/>
  <c r="AI5" i="164"/>
  <c r="AH5" i="164"/>
  <c r="AG5" i="164"/>
  <c r="AF5" i="164"/>
  <c r="AE5" i="164"/>
  <c r="AD5" i="164"/>
  <c r="X9" i="164"/>
  <c r="X8" i="164"/>
  <c r="X7" i="164"/>
  <c r="X6" i="164"/>
  <c r="X5" i="164"/>
  <c r="K9" i="164"/>
  <c r="J9" i="164"/>
  <c r="I9" i="164"/>
  <c r="H9" i="164"/>
  <c r="G9" i="164"/>
  <c r="F9" i="164"/>
  <c r="K8" i="164"/>
  <c r="J8" i="164"/>
  <c r="I8" i="164"/>
  <c r="H8" i="164"/>
  <c r="G8" i="164"/>
  <c r="F8" i="164"/>
  <c r="K7" i="164"/>
  <c r="J7" i="164"/>
  <c r="I7" i="164"/>
  <c r="H7" i="164"/>
  <c r="G7" i="164"/>
  <c r="F7" i="164"/>
  <c r="K6" i="164"/>
  <c r="J6" i="164"/>
  <c r="I6" i="164"/>
  <c r="H6" i="164"/>
  <c r="G6" i="164"/>
  <c r="F6" i="164"/>
  <c r="K5" i="164"/>
  <c r="J5" i="164"/>
  <c r="I5" i="164"/>
  <c r="H5" i="164"/>
  <c r="G5" i="164"/>
  <c r="F5" i="164"/>
  <c r="AV9" i="163"/>
  <c r="AV8" i="163"/>
  <c r="AV7" i="163"/>
  <c r="AV6" i="163"/>
  <c r="AV5" i="163"/>
  <c r="AI9" i="163"/>
  <c r="AH9" i="163"/>
  <c r="AG9" i="163"/>
  <c r="AF9" i="163"/>
  <c r="AE9" i="163"/>
  <c r="AD9" i="163"/>
  <c r="AI8" i="163"/>
  <c r="AH8" i="163"/>
  <c r="AG8" i="163"/>
  <c r="AF8" i="163"/>
  <c r="AE8" i="163"/>
  <c r="AD8" i="163"/>
  <c r="AI7" i="163"/>
  <c r="AH7" i="163"/>
  <c r="AG7" i="163"/>
  <c r="AF7" i="163"/>
  <c r="AE7" i="163"/>
  <c r="AD7" i="163"/>
  <c r="AI6" i="163"/>
  <c r="AH6" i="163"/>
  <c r="AG6" i="163"/>
  <c r="AF6" i="163"/>
  <c r="AE6" i="163"/>
  <c r="AD6" i="163"/>
  <c r="AI5" i="163"/>
  <c r="AH5" i="163"/>
  <c r="AG5" i="163"/>
  <c r="AF5" i="163"/>
  <c r="AE5" i="163"/>
  <c r="AD5" i="163"/>
  <c r="X9" i="163"/>
  <c r="X8" i="163"/>
  <c r="X7" i="163"/>
  <c r="X6" i="163"/>
  <c r="X5" i="163"/>
  <c r="K9" i="163"/>
  <c r="J9" i="163"/>
  <c r="I9" i="163"/>
  <c r="H9" i="163"/>
  <c r="G9" i="163"/>
  <c r="F9" i="163"/>
  <c r="K8" i="163"/>
  <c r="J8" i="163"/>
  <c r="I8" i="163"/>
  <c r="H8" i="163"/>
  <c r="G8" i="163"/>
  <c r="F8" i="163"/>
  <c r="K7" i="163"/>
  <c r="J7" i="163"/>
  <c r="I7" i="163"/>
  <c r="H7" i="163"/>
  <c r="G7" i="163"/>
  <c r="F7" i="163"/>
  <c r="K6" i="163"/>
  <c r="J6" i="163"/>
  <c r="I6" i="163"/>
  <c r="H6" i="163"/>
  <c r="G6" i="163"/>
  <c r="F6" i="163"/>
  <c r="K5" i="163"/>
  <c r="J5" i="163"/>
  <c r="I5" i="163"/>
  <c r="H5" i="163"/>
  <c r="G5" i="163"/>
  <c r="F5" i="163"/>
  <c r="AV9" i="162"/>
  <c r="AV8" i="162"/>
  <c r="AV7" i="162"/>
  <c r="AV6" i="162"/>
  <c r="AV5" i="162"/>
  <c r="AI9" i="162"/>
  <c r="AH9" i="162"/>
  <c r="AG9" i="162"/>
  <c r="AF9" i="162"/>
  <c r="AE9" i="162"/>
  <c r="AD9" i="162"/>
  <c r="AI8" i="162"/>
  <c r="AH8" i="162"/>
  <c r="AG8" i="162"/>
  <c r="AF8" i="162"/>
  <c r="AE8" i="162"/>
  <c r="AD8" i="162"/>
  <c r="AI7" i="162"/>
  <c r="AH7" i="162"/>
  <c r="AG7" i="162"/>
  <c r="AF7" i="162"/>
  <c r="AE7" i="162"/>
  <c r="AD7" i="162"/>
  <c r="AI6" i="162"/>
  <c r="AH6" i="162"/>
  <c r="AG6" i="162"/>
  <c r="AF6" i="162"/>
  <c r="AE6" i="162"/>
  <c r="AD6" i="162"/>
  <c r="AI5" i="162"/>
  <c r="AH5" i="162"/>
  <c r="AG5" i="162"/>
  <c r="AF5" i="162"/>
  <c r="AE5" i="162"/>
  <c r="AD5" i="162"/>
  <c r="X9" i="162"/>
  <c r="X8" i="162"/>
  <c r="X7" i="162"/>
  <c r="X6" i="162"/>
  <c r="X5" i="162"/>
  <c r="K9" i="162"/>
  <c r="J9" i="162"/>
  <c r="I9" i="162"/>
  <c r="H9" i="162"/>
  <c r="G9" i="162"/>
  <c r="F9" i="162"/>
  <c r="K8" i="162"/>
  <c r="J8" i="162"/>
  <c r="I8" i="162"/>
  <c r="H8" i="162"/>
  <c r="G8" i="162"/>
  <c r="F8" i="162"/>
  <c r="K7" i="162"/>
  <c r="J7" i="162"/>
  <c r="I7" i="162"/>
  <c r="H7" i="162"/>
  <c r="G7" i="162"/>
  <c r="F7" i="162"/>
  <c r="K6" i="162"/>
  <c r="J6" i="162"/>
  <c r="I6" i="162"/>
  <c r="H6" i="162"/>
  <c r="G6" i="162"/>
  <c r="F6" i="162"/>
  <c r="K5" i="162"/>
  <c r="J5" i="162"/>
  <c r="I5" i="162"/>
  <c r="H5" i="162"/>
  <c r="G5" i="162"/>
  <c r="F5" i="162"/>
  <c r="AV9" i="161"/>
  <c r="AV8" i="161"/>
  <c r="AV7" i="161"/>
  <c r="AV6" i="161"/>
  <c r="AV5" i="161"/>
  <c r="AI9" i="161"/>
  <c r="AH9" i="161"/>
  <c r="AG9" i="161"/>
  <c r="AF9" i="161"/>
  <c r="AE9" i="161"/>
  <c r="AD9" i="161"/>
  <c r="AI8" i="161"/>
  <c r="AH8" i="161"/>
  <c r="AG8" i="161"/>
  <c r="AF8" i="161"/>
  <c r="AE8" i="161"/>
  <c r="AD8" i="161"/>
  <c r="AI7" i="161"/>
  <c r="AH7" i="161"/>
  <c r="AG7" i="161"/>
  <c r="AF7" i="161"/>
  <c r="AE7" i="161"/>
  <c r="AD7" i="161"/>
  <c r="AI6" i="161"/>
  <c r="AH6" i="161"/>
  <c r="AG6" i="161"/>
  <c r="AF6" i="161"/>
  <c r="AE6" i="161"/>
  <c r="AD6" i="161"/>
  <c r="AI5" i="161"/>
  <c r="AH5" i="161"/>
  <c r="AG5" i="161"/>
  <c r="AF5" i="161"/>
  <c r="AE5" i="161"/>
  <c r="AD5" i="161"/>
  <c r="X9" i="161"/>
  <c r="X8" i="161"/>
  <c r="X7" i="161"/>
  <c r="X6" i="161"/>
  <c r="X5" i="161"/>
  <c r="K9" i="161"/>
  <c r="J9" i="161"/>
  <c r="I9" i="161"/>
  <c r="H9" i="161"/>
  <c r="G9" i="161"/>
  <c r="F9" i="161"/>
  <c r="K8" i="161"/>
  <c r="J8" i="161"/>
  <c r="I8" i="161"/>
  <c r="H8" i="161"/>
  <c r="G8" i="161"/>
  <c r="F8" i="161"/>
  <c r="K7" i="161"/>
  <c r="J7" i="161"/>
  <c r="I7" i="161"/>
  <c r="H7" i="161"/>
  <c r="G7" i="161"/>
  <c r="F7" i="161"/>
  <c r="K6" i="161"/>
  <c r="J6" i="161"/>
  <c r="I6" i="161"/>
  <c r="H6" i="161"/>
  <c r="G6" i="161"/>
  <c r="F6" i="161"/>
  <c r="K5" i="161"/>
  <c r="J5" i="161"/>
  <c r="I5" i="161"/>
  <c r="H5" i="161"/>
  <c r="G5" i="161"/>
  <c r="F5" i="161"/>
  <c r="AV9" i="160"/>
  <c r="AV8" i="160"/>
  <c r="AV7" i="160"/>
  <c r="AV6" i="160"/>
  <c r="AV5" i="160"/>
  <c r="AI9" i="160"/>
  <c r="AH9" i="160"/>
  <c r="AG9" i="160"/>
  <c r="AF9" i="160"/>
  <c r="AE9" i="160"/>
  <c r="AD9" i="160"/>
  <c r="AI8" i="160"/>
  <c r="AH8" i="160"/>
  <c r="AG8" i="160"/>
  <c r="AF8" i="160"/>
  <c r="AE8" i="160"/>
  <c r="AD8" i="160"/>
  <c r="AI7" i="160"/>
  <c r="AH7" i="160"/>
  <c r="AG7" i="160"/>
  <c r="AF7" i="160"/>
  <c r="AE7" i="160"/>
  <c r="AD7" i="160"/>
  <c r="AI6" i="160"/>
  <c r="AH6" i="160"/>
  <c r="AG6" i="160"/>
  <c r="AF6" i="160"/>
  <c r="AE6" i="160"/>
  <c r="AD6" i="160"/>
  <c r="AI5" i="160"/>
  <c r="AH5" i="160"/>
  <c r="AG5" i="160"/>
  <c r="AF5" i="160"/>
  <c r="AE5" i="160"/>
  <c r="AD5" i="160"/>
  <c r="X9" i="160"/>
  <c r="X8" i="160"/>
  <c r="X7" i="160"/>
  <c r="X6" i="160"/>
  <c r="X5" i="160"/>
  <c r="K9" i="160"/>
  <c r="J9" i="160"/>
  <c r="I9" i="160"/>
  <c r="H9" i="160"/>
  <c r="G9" i="160"/>
  <c r="F9" i="160"/>
  <c r="K8" i="160"/>
  <c r="J8" i="160"/>
  <c r="I8" i="160"/>
  <c r="H8" i="160"/>
  <c r="G8" i="160"/>
  <c r="F8" i="160"/>
  <c r="K7" i="160"/>
  <c r="J7" i="160"/>
  <c r="I7" i="160"/>
  <c r="H7" i="160"/>
  <c r="G7" i="160"/>
  <c r="F7" i="160"/>
  <c r="K6" i="160"/>
  <c r="J6" i="160"/>
  <c r="I6" i="160"/>
  <c r="H6" i="160"/>
  <c r="G6" i="160"/>
  <c r="F6" i="160"/>
  <c r="K5" i="160"/>
  <c r="J5" i="160"/>
  <c r="I5" i="160"/>
  <c r="H5" i="160"/>
  <c r="G5" i="160"/>
  <c r="F5" i="160"/>
  <c r="AV9" i="159"/>
  <c r="AV8" i="159"/>
  <c r="AV7" i="159"/>
  <c r="AV6" i="159"/>
  <c r="AV5" i="159"/>
  <c r="AI9" i="159"/>
  <c r="AH9" i="159"/>
  <c r="AG9" i="159"/>
  <c r="AF9" i="159"/>
  <c r="AE9" i="159"/>
  <c r="AD9" i="159"/>
  <c r="AI8" i="159"/>
  <c r="AH8" i="159"/>
  <c r="AG8" i="159"/>
  <c r="AF8" i="159"/>
  <c r="AE8" i="159"/>
  <c r="AD8" i="159"/>
  <c r="AI7" i="159"/>
  <c r="AH7" i="159"/>
  <c r="AG7" i="159"/>
  <c r="AF7" i="159"/>
  <c r="AE7" i="159"/>
  <c r="AD7" i="159"/>
  <c r="AI6" i="159"/>
  <c r="AH6" i="159"/>
  <c r="AG6" i="159"/>
  <c r="AF6" i="159"/>
  <c r="AE6" i="159"/>
  <c r="AD6" i="159"/>
  <c r="AI5" i="159"/>
  <c r="AH5" i="159"/>
  <c r="AG5" i="159"/>
  <c r="AF5" i="159"/>
  <c r="AE5" i="159"/>
  <c r="AD5" i="159"/>
  <c r="X9" i="159"/>
  <c r="X8" i="159"/>
  <c r="X7" i="159"/>
  <c r="X6" i="159"/>
  <c r="X5" i="159"/>
  <c r="K9" i="159"/>
  <c r="J9" i="159"/>
  <c r="I9" i="159"/>
  <c r="H9" i="159"/>
  <c r="G9" i="159"/>
  <c r="F9" i="159"/>
  <c r="K8" i="159"/>
  <c r="J8" i="159"/>
  <c r="I8" i="159"/>
  <c r="H8" i="159"/>
  <c r="G8" i="159"/>
  <c r="F8" i="159"/>
  <c r="K7" i="159"/>
  <c r="J7" i="159"/>
  <c r="I7" i="159"/>
  <c r="H7" i="159"/>
  <c r="G7" i="159"/>
  <c r="F7" i="159"/>
  <c r="K6" i="159"/>
  <c r="J6" i="159"/>
  <c r="I6" i="159"/>
  <c r="H6" i="159"/>
  <c r="G6" i="159"/>
  <c r="F6" i="159"/>
  <c r="K5" i="159"/>
  <c r="J5" i="159"/>
  <c r="I5" i="159"/>
  <c r="H5" i="159"/>
  <c r="G5" i="159"/>
  <c r="F5" i="159"/>
  <c r="AV9" i="158"/>
  <c r="AV8" i="158"/>
  <c r="AV7" i="158"/>
  <c r="AV6" i="158"/>
  <c r="AV5" i="158"/>
  <c r="AI9" i="158"/>
  <c r="AH9" i="158"/>
  <c r="AG9" i="158"/>
  <c r="AF9" i="158"/>
  <c r="AE9" i="158"/>
  <c r="AD9" i="158"/>
  <c r="AI8" i="158"/>
  <c r="AH8" i="158"/>
  <c r="AG8" i="158"/>
  <c r="AF8" i="158"/>
  <c r="AE8" i="158"/>
  <c r="AD8" i="158"/>
  <c r="AI7" i="158"/>
  <c r="AH7" i="158"/>
  <c r="AG7" i="158"/>
  <c r="AF7" i="158"/>
  <c r="AE7" i="158"/>
  <c r="AD7" i="158"/>
  <c r="AI6" i="158"/>
  <c r="AH6" i="158"/>
  <c r="AG6" i="158"/>
  <c r="AF6" i="158"/>
  <c r="AE6" i="158"/>
  <c r="AD6" i="158"/>
  <c r="AI5" i="158"/>
  <c r="AH5" i="158"/>
  <c r="AG5" i="158"/>
  <c r="AF5" i="158"/>
  <c r="AE5" i="158"/>
  <c r="AD5" i="158"/>
  <c r="X9" i="158"/>
  <c r="X8" i="158"/>
  <c r="X7" i="158"/>
  <c r="X6" i="158"/>
  <c r="X5" i="158"/>
  <c r="K9" i="158"/>
  <c r="J9" i="158"/>
  <c r="I9" i="158"/>
  <c r="H9" i="158"/>
  <c r="G9" i="158"/>
  <c r="F9" i="158"/>
  <c r="K8" i="158"/>
  <c r="J8" i="158"/>
  <c r="I8" i="158"/>
  <c r="H8" i="158"/>
  <c r="G8" i="158"/>
  <c r="F8" i="158"/>
  <c r="K7" i="158"/>
  <c r="J7" i="158"/>
  <c r="I7" i="158"/>
  <c r="H7" i="158"/>
  <c r="G7" i="158"/>
  <c r="F7" i="158"/>
  <c r="K6" i="158"/>
  <c r="J6" i="158"/>
  <c r="I6" i="158"/>
  <c r="H6" i="158"/>
  <c r="G6" i="158"/>
  <c r="F6" i="158"/>
  <c r="K5" i="158"/>
  <c r="J5" i="158"/>
  <c r="I5" i="158"/>
  <c r="H5" i="158"/>
  <c r="G5" i="158"/>
  <c r="F5" i="158"/>
  <c r="AV9" i="157"/>
  <c r="AV8" i="157"/>
  <c r="AV7" i="157"/>
  <c r="AV6" i="157"/>
  <c r="AV5" i="157"/>
  <c r="AI9" i="157"/>
  <c r="AH9" i="157"/>
  <c r="AG9" i="157"/>
  <c r="AF9" i="157"/>
  <c r="AE9" i="157"/>
  <c r="AD9" i="157"/>
  <c r="AI8" i="157"/>
  <c r="AH8" i="157"/>
  <c r="AG8" i="157"/>
  <c r="AF8" i="157"/>
  <c r="AE8" i="157"/>
  <c r="AD8" i="157"/>
  <c r="AI7" i="157"/>
  <c r="AH7" i="157"/>
  <c r="AG7" i="157"/>
  <c r="AF7" i="157"/>
  <c r="AE7" i="157"/>
  <c r="AD7" i="157"/>
  <c r="AI6" i="157"/>
  <c r="AH6" i="157"/>
  <c r="AG6" i="157"/>
  <c r="AF6" i="157"/>
  <c r="AE6" i="157"/>
  <c r="AD6" i="157"/>
  <c r="AI5" i="157"/>
  <c r="AH5" i="157"/>
  <c r="AG5" i="157"/>
  <c r="AF5" i="157"/>
  <c r="AE5" i="157"/>
  <c r="AD5" i="157"/>
  <c r="X9" i="157"/>
  <c r="X8" i="157"/>
  <c r="X7" i="157"/>
  <c r="X6" i="157"/>
  <c r="X5" i="157"/>
  <c r="K9" i="157"/>
  <c r="J9" i="157"/>
  <c r="I9" i="157"/>
  <c r="H9" i="157"/>
  <c r="G9" i="157"/>
  <c r="F9" i="157"/>
  <c r="K8" i="157"/>
  <c r="J8" i="157"/>
  <c r="I8" i="157"/>
  <c r="H8" i="157"/>
  <c r="G8" i="157"/>
  <c r="F8" i="157"/>
  <c r="K7" i="157"/>
  <c r="J7" i="157"/>
  <c r="I7" i="157"/>
  <c r="H7" i="157"/>
  <c r="G7" i="157"/>
  <c r="F7" i="157"/>
  <c r="K6" i="157"/>
  <c r="J6" i="157"/>
  <c r="I6" i="157"/>
  <c r="H6" i="157"/>
  <c r="G6" i="157"/>
  <c r="F6" i="157"/>
  <c r="K5" i="157"/>
  <c r="J5" i="157"/>
  <c r="I5" i="157"/>
  <c r="H5" i="157"/>
  <c r="G5" i="157"/>
  <c r="F5" i="157"/>
  <c r="AV9" i="156"/>
  <c r="AV8" i="156"/>
  <c r="AV7" i="156"/>
  <c r="AV6" i="156"/>
  <c r="AV5" i="156"/>
  <c r="AI9" i="156"/>
  <c r="AH9" i="156"/>
  <c r="AG9" i="156"/>
  <c r="AF9" i="156"/>
  <c r="AE9" i="156"/>
  <c r="AD9" i="156"/>
  <c r="AI8" i="156"/>
  <c r="AH8" i="156"/>
  <c r="AG8" i="156"/>
  <c r="AF8" i="156"/>
  <c r="AE8" i="156"/>
  <c r="AD8" i="156"/>
  <c r="AI7" i="156"/>
  <c r="AH7" i="156"/>
  <c r="AG7" i="156"/>
  <c r="AF7" i="156"/>
  <c r="AE7" i="156"/>
  <c r="AD7" i="156"/>
  <c r="AI6" i="156"/>
  <c r="AH6" i="156"/>
  <c r="AG6" i="156"/>
  <c r="AF6" i="156"/>
  <c r="AE6" i="156"/>
  <c r="AD6" i="156"/>
  <c r="AI5" i="156"/>
  <c r="AH5" i="156"/>
  <c r="AG5" i="156"/>
  <c r="AF5" i="156"/>
  <c r="AE5" i="156"/>
  <c r="AD5" i="156"/>
  <c r="X9" i="156"/>
  <c r="X8" i="156"/>
  <c r="X7" i="156"/>
  <c r="X6" i="156"/>
  <c r="X5" i="156"/>
  <c r="K9" i="156"/>
  <c r="J9" i="156"/>
  <c r="I9" i="156"/>
  <c r="H9" i="156"/>
  <c r="G9" i="156"/>
  <c r="F9" i="156"/>
  <c r="K8" i="156"/>
  <c r="J8" i="156"/>
  <c r="I8" i="156"/>
  <c r="H8" i="156"/>
  <c r="G8" i="156"/>
  <c r="F8" i="156"/>
  <c r="K7" i="156"/>
  <c r="J7" i="156"/>
  <c r="I7" i="156"/>
  <c r="H7" i="156"/>
  <c r="G7" i="156"/>
  <c r="F7" i="156"/>
  <c r="K6" i="156"/>
  <c r="J6" i="156"/>
  <c r="I6" i="156"/>
  <c r="H6" i="156"/>
  <c r="G6" i="156"/>
  <c r="F6" i="156"/>
  <c r="K5" i="156"/>
  <c r="J5" i="156"/>
  <c r="I5" i="156"/>
  <c r="H5" i="156"/>
  <c r="G5" i="156"/>
  <c r="F5" i="156"/>
  <c r="AV9" i="155"/>
  <c r="AV8" i="155"/>
  <c r="AV7" i="155"/>
  <c r="AV6" i="155"/>
  <c r="AV5" i="155"/>
  <c r="AI9" i="155"/>
  <c r="AH9" i="155"/>
  <c r="AG9" i="155"/>
  <c r="AF9" i="155"/>
  <c r="AE9" i="155"/>
  <c r="AD9" i="155"/>
  <c r="AI8" i="155"/>
  <c r="AH8" i="155"/>
  <c r="AG8" i="155"/>
  <c r="AF8" i="155"/>
  <c r="AE8" i="155"/>
  <c r="AD8" i="155"/>
  <c r="AI7" i="155"/>
  <c r="AH7" i="155"/>
  <c r="AG7" i="155"/>
  <c r="AF7" i="155"/>
  <c r="AE7" i="155"/>
  <c r="AD7" i="155"/>
  <c r="AI6" i="155"/>
  <c r="AH6" i="155"/>
  <c r="AG6" i="155"/>
  <c r="AF6" i="155"/>
  <c r="AE6" i="155"/>
  <c r="AD6" i="155"/>
  <c r="AI5" i="155"/>
  <c r="AH5" i="155"/>
  <c r="AG5" i="155"/>
  <c r="AF5" i="155"/>
  <c r="AE5" i="155"/>
  <c r="AD5" i="155"/>
  <c r="X9" i="155"/>
  <c r="X8" i="155"/>
  <c r="X7" i="155"/>
  <c r="X6" i="155"/>
  <c r="X5" i="155"/>
  <c r="K9" i="155"/>
  <c r="J9" i="155"/>
  <c r="I9" i="155"/>
  <c r="H9" i="155"/>
  <c r="G9" i="155"/>
  <c r="F9" i="155"/>
  <c r="K8" i="155"/>
  <c r="J8" i="155"/>
  <c r="I8" i="155"/>
  <c r="H8" i="155"/>
  <c r="G8" i="155"/>
  <c r="F8" i="155"/>
  <c r="K7" i="155"/>
  <c r="J7" i="155"/>
  <c r="I7" i="155"/>
  <c r="H7" i="155"/>
  <c r="G7" i="155"/>
  <c r="F7" i="155"/>
  <c r="K6" i="155"/>
  <c r="J6" i="155"/>
  <c r="I6" i="155"/>
  <c r="H6" i="155"/>
  <c r="G6" i="155"/>
  <c r="F6" i="155"/>
  <c r="K5" i="155"/>
  <c r="J5" i="155"/>
  <c r="I5" i="155"/>
  <c r="H5" i="155"/>
  <c r="G5" i="155"/>
  <c r="F5" i="155"/>
  <c r="X9" i="154"/>
  <c r="X8" i="154"/>
  <c r="X7" i="154"/>
  <c r="X6" i="154"/>
  <c r="X5" i="154"/>
  <c r="K9" i="154"/>
  <c r="J9" i="154"/>
  <c r="I9" i="154"/>
  <c r="H9" i="154"/>
  <c r="G9" i="154"/>
  <c r="F9" i="154"/>
  <c r="K8" i="154"/>
  <c r="J8" i="154"/>
  <c r="I8" i="154"/>
  <c r="H8" i="154"/>
  <c r="G8" i="154"/>
  <c r="F8" i="154"/>
  <c r="K7" i="154"/>
  <c r="J7" i="154"/>
  <c r="I7" i="154"/>
  <c r="H7" i="154"/>
  <c r="G7" i="154"/>
  <c r="F7" i="154"/>
  <c r="K6" i="154"/>
  <c r="J6" i="154"/>
  <c r="I6" i="154"/>
  <c r="H6" i="154"/>
  <c r="G6" i="154"/>
  <c r="F6" i="154"/>
  <c r="K5" i="154"/>
  <c r="J5" i="154"/>
  <c r="I5" i="154"/>
  <c r="H5" i="154"/>
  <c r="G5" i="154"/>
  <c r="F5" i="154"/>
  <c r="AV9" i="143"/>
  <c r="AV8" i="143"/>
  <c r="AV7" i="143"/>
  <c r="AV6" i="143"/>
  <c r="AV5" i="143"/>
  <c r="AI9" i="143"/>
  <c r="AH9" i="143"/>
  <c r="AG9" i="143"/>
  <c r="AF9" i="143"/>
  <c r="AE9" i="143"/>
  <c r="AD9" i="143"/>
  <c r="AI8" i="143"/>
  <c r="AH8" i="143"/>
  <c r="AG8" i="143"/>
  <c r="AF8" i="143"/>
  <c r="AE8" i="143"/>
  <c r="AD8" i="143"/>
  <c r="AI7" i="143"/>
  <c r="AH7" i="143"/>
  <c r="AG7" i="143"/>
  <c r="AF7" i="143"/>
  <c r="AE7" i="143"/>
  <c r="AD7" i="143"/>
  <c r="AI6" i="143"/>
  <c r="AH6" i="143"/>
  <c r="AG6" i="143"/>
  <c r="AF6" i="143"/>
  <c r="AE6" i="143"/>
  <c r="AD6" i="143"/>
  <c r="AI5" i="143"/>
  <c r="AH5" i="143"/>
  <c r="AG5" i="143"/>
  <c r="AF5" i="143"/>
  <c r="AE5" i="143"/>
  <c r="AD5" i="143"/>
  <c r="X9" i="143"/>
  <c r="X8" i="143"/>
  <c r="X7" i="143"/>
  <c r="X6" i="143"/>
  <c r="X5" i="143"/>
  <c r="K9" i="143"/>
  <c r="J9" i="143"/>
  <c r="I9" i="143"/>
  <c r="H9" i="143"/>
  <c r="G9" i="143"/>
  <c r="F9" i="143"/>
  <c r="K8" i="143"/>
  <c r="J8" i="143"/>
  <c r="I8" i="143"/>
  <c r="H8" i="143"/>
  <c r="G8" i="143"/>
  <c r="F8" i="143"/>
  <c r="K7" i="143"/>
  <c r="J7" i="143"/>
  <c r="I7" i="143"/>
  <c r="H7" i="143"/>
  <c r="G7" i="143"/>
  <c r="F7" i="143"/>
  <c r="K6" i="143"/>
  <c r="J6" i="143"/>
  <c r="I6" i="143"/>
  <c r="H6" i="143"/>
  <c r="G6" i="143"/>
  <c r="F6" i="143"/>
  <c r="K5" i="143"/>
  <c r="J5" i="143"/>
  <c r="I5" i="143"/>
  <c r="H5" i="143"/>
  <c r="G5" i="143"/>
  <c r="F5" i="143"/>
  <c r="AV9" i="144"/>
  <c r="AV8" i="144"/>
  <c r="AV7" i="144"/>
  <c r="AV6" i="144"/>
  <c r="AV5" i="144"/>
  <c r="AI9" i="144"/>
  <c r="AH9" i="144"/>
  <c r="AG9" i="144"/>
  <c r="AF9" i="144"/>
  <c r="AE9" i="144"/>
  <c r="AD9" i="144"/>
  <c r="AI8" i="144"/>
  <c r="AH8" i="144"/>
  <c r="AG8" i="144"/>
  <c r="AF8" i="144"/>
  <c r="AE8" i="144"/>
  <c r="AD8" i="144"/>
  <c r="AI7" i="144"/>
  <c r="AH7" i="144"/>
  <c r="AG7" i="144"/>
  <c r="AF7" i="144"/>
  <c r="AE7" i="144"/>
  <c r="AD7" i="144"/>
  <c r="AI6" i="144"/>
  <c r="AH6" i="144"/>
  <c r="AG6" i="144"/>
  <c r="AF6" i="144"/>
  <c r="AE6" i="144"/>
  <c r="AD6" i="144"/>
  <c r="AI5" i="144"/>
  <c r="AH5" i="144"/>
  <c r="AG5" i="144"/>
  <c r="AF5" i="144"/>
  <c r="AE5" i="144"/>
  <c r="AD5" i="144"/>
  <c r="X9" i="144"/>
  <c r="X8" i="144"/>
  <c r="X7" i="144"/>
  <c r="X6" i="144"/>
  <c r="X5" i="144"/>
  <c r="K9" i="144"/>
  <c r="J9" i="144"/>
  <c r="I9" i="144"/>
  <c r="H9" i="144"/>
  <c r="G9" i="144"/>
  <c r="F9" i="144"/>
  <c r="K8" i="144"/>
  <c r="J8" i="144"/>
  <c r="I8" i="144"/>
  <c r="H8" i="144"/>
  <c r="G8" i="144"/>
  <c r="F8" i="144"/>
  <c r="K7" i="144"/>
  <c r="J7" i="144"/>
  <c r="I7" i="144"/>
  <c r="H7" i="144"/>
  <c r="G7" i="144"/>
  <c r="F7" i="144"/>
  <c r="K6" i="144"/>
  <c r="J6" i="144"/>
  <c r="I6" i="144"/>
  <c r="H6" i="144"/>
  <c r="G6" i="144"/>
  <c r="F6" i="144"/>
  <c r="K5" i="144"/>
  <c r="J5" i="144"/>
  <c r="I5" i="144"/>
  <c r="H5" i="144"/>
  <c r="G5" i="144"/>
  <c r="F5" i="144"/>
  <c r="AV9" i="153"/>
  <c r="AV8" i="153"/>
  <c r="AV7" i="153"/>
  <c r="AV6" i="153"/>
  <c r="AV5" i="153"/>
  <c r="AI9" i="153"/>
  <c r="AH9" i="153"/>
  <c r="AG9" i="153"/>
  <c r="AF9" i="153"/>
  <c r="AE9" i="153"/>
  <c r="AD9" i="153"/>
  <c r="AI8" i="153"/>
  <c r="AH8" i="153"/>
  <c r="AG8" i="153"/>
  <c r="AF8" i="153"/>
  <c r="AE8" i="153"/>
  <c r="AD8" i="153"/>
  <c r="AI7" i="153"/>
  <c r="AH7" i="153"/>
  <c r="AG7" i="153"/>
  <c r="AF7" i="153"/>
  <c r="AE7" i="153"/>
  <c r="AD7" i="153"/>
  <c r="AI6" i="153"/>
  <c r="AH6" i="153"/>
  <c r="AG6" i="153"/>
  <c r="AF6" i="153"/>
  <c r="AE6" i="153"/>
  <c r="AD6" i="153"/>
  <c r="AI5" i="153"/>
  <c r="AH5" i="153"/>
  <c r="AG5" i="153"/>
  <c r="AF5" i="153"/>
  <c r="AE5" i="153"/>
  <c r="AD5" i="153"/>
  <c r="X9" i="153"/>
  <c r="X8" i="153"/>
  <c r="X7" i="153"/>
  <c r="X6" i="153"/>
  <c r="X5" i="153"/>
  <c r="K9" i="153"/>
  <c r="J9" i="153"/>
  <c r="I9" i="153"/>
  <c r="H9" i="153"/>
  <c r="G9" i="153"/>
  <c r="F9" i="153"/>
  <c r="K8" i="153"/>
  <c r="J8" i="153"/>
  <c r="I8" i="153"/>
  <c r="H8" i="153"/>
  <c r="G8" i="153"/>
  <c r="F8" i="153"/>
  <c r="K7" i="153"/>
  <c r="J7" i="153"/>
  <c r="I7" i="153"/>
  <c r="H7" i="153"/>
  <c r="G7" i="153"/>
  <c r="F7" i="153"/>
  <c r="K6" i="153"/>
  <c r="J6" i="153"/>
  <c r="I6" i="153"/>
  <c r="H6" i="153"/>
  <c r="G6" i="153"/>
  <c r="F6" i="153"/>
  <c r="K5" i="153"/>
  <c r="J5" i="153"/>
  <c r="I5" i="153"/>
  <c r="H5" i="153"/>
  <c r="G5" i="153"/>
  <c r="F5" i="153"/>
  <c r="AV9" i="152"/>
  <c r="AV8" i="152"/>
  <c r="AV7" i="152"/>
  <c r="AV6" i="152"/>
  <c r="AV5" i="152"/>
  <c r="AI9" i="152"/>
  <c r="AH9" i="152"/>
  <c r="AG9" i="152"/>
  <c r="AF9" i="152"/>
  <c r="AE9" i="152"/>
  <c r="AD9" i="152"/>
  <c r="AI8" i="152"/>
  <c r="AH8" i="152"/>
  <c r="AG8" i="152"/>
  <c r="AF8" i="152"/>
  <c r="AE8" i="152"/>
  <c r="AD8" i="152"/>
  <c r="AI7" i="152"/>
  <c r="AH7" i="152"/>
  <c r="AG7" i="152"/>
  <c r="AF7" i="152"/>
  <c r="AE7" i="152"/>
  <c r="AD7" i="152"/>
  <c r="AI6" i="152"/>
  <c r="AH6" i="152"/>
  <c r="AG6" i="152"/>
  <c r="AF6" i="152"/>
  <c r="AE6" i="152"/>
  <c r="AD6" i="152"/>
  <c r="AI5" i="152"/>
  <c r="AH5" i="152"/>
  <c r="AG5" i="152"/>
  <c r="AF5" i="152"/>
  <c r="AE5" i="152"/>
  <c r="AD5" i="152"/>
  <c r="X9" i="152"/>
  <c r="X8" i="152"/>
  <c r="X7" i="152"/>
  <c r="X6" i="152"/>
  <c r="X5" i="152"/>
  <c r="K9" i="152"/>
  <c r="J9" i="152"/>
  <c r="I9" i="152"/>
  <c r="H9" i="152"/>
  <c r="G9" i="152"/>
  <c r="F9" i="152"/>
  <c r="K8" i="152"/>
  <c r="J8" i="152"/>
  <c r="I8" i="152"/>
  <c r="H8" i="152"/>
  <c r="G8" i="152"/>
  <c r="F8" i="152"/>
  <c r="K7" i="152"/>
  <c r="J7" i="152"/>
  <c r="I7" i="152"/>
  <c r="H7" i="152"/>
  <c r="G7" i="152"/>
  <c r="F7" i="152"/>
  <c r="K6" i="152"/>
  <c r="J6" i="152"/>
  <c r="I6" i="152"/>
  <c r="H6" i="152"/>
  <c r="G6" i="152"/>
  <c r="F6" i="152"/>
  <c r="K5" i="152"/>
  <c r="J5" i="152"/>
  <c r="I5" i="152"/>
  <c r="H5" i="152"/>
  <c r="G5" i="152"/>
  <c r="F5" i="152"/>
  <c r="AV9" i="151"/>
  <c r="AV8" i="151"/>
  <c r="AV7" i="151"/>
  <c r="AV6" i="151"/>
  <c r="AV5" i="151"/>
  <c r="AI9" i="151"/>
  <c r="AH9" i="151"/>
  <c r="AG9" i="151"/>
  <c r="AF9" i="151"/>
  <c r="AE9" i="151"/>
  <c r="AD9" i="151"/>
  <c r="AI8" i="151"/>
  <c r="AH8" i="151"/>
  <c r="AG8" i="151"/>
  <c r="AF8" i="151"/>
  <c r="AE8" i="151"/>
  <c r="AD8" i="151"/>
  <c r="AI7" i="151"/>
  <c r="AH7" i="151"/>
  <c r="AG7" i="151"/>
  <c r="AF7" i="151"/>
  <c r="AE7" i="151"/>
  <c r="AD7" i="151"/>
  <c r="AI6" i="151"/>
  <c r="AH6" i="151"/>
  <c r="AG6" i="151"/>
  <c r="AF6" i="151"/>
  <c r="AE6" i="151"/>
  <c r="AD6" i="151"/>
  <c r="AI5" i="151"/>
  <c r="AH5" i="151"/>
  <c r="AG5" i="151"/>
  <c r="AF5" i="151"/>
  <c r="AE5" i="151"/>
  <c r="AD5" i="151"/>
  <c r="X9" i="151"/>
  <c r="X8" i="151"/>
  <c r="X7" i="151"/>
  <c r="X6" i="151"/>
  <c r="X5" i="151"/>
  <c r="K9" i="151"/>
  <c r="J9" i="151"/>
  <c r="I9" i="151"/>
  <c r="H9" i="151"/>
  <c r="G9" i="151"/>
  <c r="F9" i="151"/>
  <c r="K8" i="151"/>
  <c r="J8" i="151"/>
  <c r="I8" i="151"/>
  <c r="H8" i="151"/>
  <c r="G8" i="151"/>
  <c r="F8" i="151"/>
  <c r="K7" i="151"/>
  <c r="J7" i="151"/>
  <c r="I7" i="151"/>
  <c r="H7" i="151"/>
  <c r="G7" i="151"/>
  <c r="F7" i="151"/>
  <c r="K6" i="151"/>
  <c r="J6" i="151"/>
  <c r="I6" i="151"/>
  <c r="H6" i="151"/>
  <c r="G6" i="151"/>
  <c r="F6" i="151"/>
  <c r="K5" i="151"/>
  <c r="J5" i="151"/>
  <c r="I5" i="151"/>
  <c r="H5" i="151"/>
  <c r="G5" i="151"/>
  <c r="F5" i="151"/>
  <c r="AV9" i="150"/>
  <c r="AV8" i="150"/>
  <c r="AV7" i="150"/>
  <c r="AV6" i="150"/>
  <c r="AV5" i="150"/>
  <c r="AI9" i="150"/>
  <c r="AH9" i="150"/>
  <c r="AG9" i="150"/>
  <c r="AF9" i="150"/>
  <c r="AE9" i="150"/>
  <c r="AD9" i="150"/>
  <c r="AI8" i="150"/>
  <c r="AH8" i="150"/>
  <c r="AG8" i="150"/>
  <c r="AF8" i="150"/>
  <c r="AE8" i="150"/>
  <c r="AD8" i="150"/>
  <c r="AI7" i="150"/>
  <c r="AH7" i="150"/>
  <c r="AG7" i="150"/>
  <c r="AF7" i="150"/>
  <c r="AE7" i="150"/>
  <c r="AD7" i="150"/>
  <c r="AI6" i="150"/>
  <c r="AH6" i="150"/>
  <c r="AG6" i="150"/>
  <c r="AF6" i="150"/>
  <c r="AE6" i="150"/>
  <c r="AD6" i="150"/>
  <c r="AI5" i="150"/>
  <c r="AH5" i="150"/>
  <c r="AG5" i="150"/>
  <c r="AF5" i="150"/>
  <c r="AE5" i="150"/>
  <c r="AD5" i="150"/>
  <c r="X9" i="150"/>
  <c r="X8" i="150"/>
  <c r="X7" i="150"/>
  <c r="X6" i="150"/>
  <c r="X5" i="150"/>
  <c r="K9" i="150"/>
  <c r="J9" i="150"/>
  <c r="I9" i="150"/>
  <c r="H9" i="150"/>
  <c r="G9" i="150"/>
  <c r="F9" i="150"/>
  <c r="K8" i="150"/>
  <c r="J8" i="150"/>
  <c r="I8" i="150"/>
  <c r="H8" i="150"/>
  <c r="G8" i="150"/>
  <c r="F8" i="150"/>
  <c r="K7" i="150"/>
  <c r="J7" i="150"/>
  <c r="I7" i="150"/>
  <c r="H7" i="150"/>
  <c r="G7" i="150"/>
  <c r="F7" i="150"/>
  <c r="K6" i="150"/>
  <c r="J6" i="150"/>
  <c r="I6" i="150"/>
  <c r="H6" i="150"/>
  <c r="G6" i="150"/>
  <c r="F6" i="150"/>
  <c r="K5" i="150"/>
  <c r="J5" i="150"/>
  <c r="I5" i="150"/>
  <c r="H5" i="150"/>
  <c r="G5" i="150"/>
  <c r="F5" i="150"/>
  <c r="AV9" i="149"/>
  <c r="AV8" i="149"/>
  <c r="AV7" i="149"/>
  <c r="AV6" i="149"/>
  <c r="AV5" i="149"/>
  <c r="AI9" i="149"/>
  <c r="AH9" i="149"/>
  <c r="AG9" i="149"/>
  <c r="AF9" i="149"/>
  <c r="AE9" i="149"/>
  <c r="AD9" i="149"/>
  <c r="AI8" i="149"/>
  <c r="AH8" i="149"/>
  <c r="AG8" i="149"/>
  <c r="AF8" i="149"/>
  <c r="AE8" i="149"/>
  <c r="AD8" i="149"/>
  <c r="AI7" i="149"/>
  <c r="AH7" i="149"/>
  <c r="AG7" i="149"/>
  <c r="AF7" i="149"/>
  <c r="AE7" i="149"/>
  <c r="AD7" i="149"/>
  <c r="AI6" i="149"/>
  <c r="AH6" i="149"/>
  <c r="AG6" i="149"/>
  <c r="AF6" i="149"/>
  <c r="AE6" i="149"/>
  <c r="AD6" i="149"/>
  <c r="AI5" i="149"/>
  <c r="AH5" i="149"/>
  <c r="AG5" i="149"/>
  <c r="AF5" i="149"/>
  <c r="AE5" i="149"/>
  <c r="AD5" i="149"/>
  <c r="X9" i="149"/>
  <c r="X8" i="149"/>
  <c r="X7" i="149"/>
  <c r="X6" i="149"/>
  <c r="X5" i="149"/>
  <c r="K9" i="149"/>
  <c r="J9" i="149"/>
  <c r="I9" i="149"/>
  <c r="H9" i="149"/>
  <c r="G9" i="149"/>
  <c r="F9" i="149"/>
  <c r="K8" i="149"/>
  <c r="J8" i="149"/>
  <c r="I8" i="149"/>
  <c r="H8" i="149"/>
  <c r="G8" i="149"/>
  <c r="F8" i="149"/>
  <c r="K7" i="149"/>
  <c r="J7" i="149"/>
  <c r="I7" i="149"/>
  <c r="H7" i="149"/>
  <c r="G7" i="149"/>
  <c r="F7" i="149"/>
  <c r="K6" i="149"/>
  <c r="J6" i="149"/>
  <c r="I6" i="149"/>
  <c r="H6" i="149"/>
  <c r="G6" i="149"/>
  <c r="F6" i="149"/>
  <c r="K5" i="149"/>
  <c r="J5" i="149"/>
  <c r="I5" i="149"/>
  <c r="H5" i="149"/>
  <c r="G5" i="149"/>
  <c r="F5" i="149"/>
  <c r="AV9" i="142"/>
  <c r="AV8" i="142"/>
  <c r="AV7" i="142"/>
  <c r="AV6" i="142"/>
  <c r="AV5" i="142"/>
  <c r="AI9" i="142"/>
  <c r="AH9" i="142"/>
  <c r="AG9" i="142"/>
  <c r="AF9" i="142"/>
  <c r="AE9" i="142"/>
  <c r="AD9" i="142"/>
  <c r="AI8" i="142"/>
  <c r="AH8" i="142"/>
  <c r="AG8" i="142"/>
  <c r="AF8" i="142"/>
  <c r="AE8" i="142"/>
  <c r="AD8" i="142"/>
  <c r="AI7" i="142"/>
  <c r="AH7" i="142"/>
  <c r="AG7" i="142"/>
  <c r="AF7" i="142"/>
  <c r="AE7" i="142"/>
  <c r="AD7" i="142"/>
  <c r="AI6" i="142"/>
  <c r="AH6" i="142"/>
  <c r="AG6" i="142"/>
  <c r="AF6" i="142"/>
  <c r="AE6" i="142"/>
  <c r="AD6" i="142"/>
  <c r="AI5" i="142"/>
  <c r="AH5" i="142"/>
  <c r="AG5" i="142"/>
  <c r="AF5" i="142"/>
  <c r="AE5" i="142"/>
  <c r="AD5" i="142"/>
  <c r="X9" i="142"/>
  <c r="X8" i="142"/>
  <c r="X7" i="142"/>
  <c r="X6" i="142"/>
  <c r="X5" i="142"/>
  <c r="K9" i="142"/>
  <c r="J9" i="142"/>
  <c r="I9" i="142"/>
  <c r="H9" i="142"/>
  <c r="G9" i="142"/>
  <c r="F9" i="142"/>
  <c r="K8" i="142"/>
  <c r="J8" i="142"/>
  <c r="I8" i="142"/>
  <c r="H8" i="142"/>
  <c r="G8" i="142"/>
  <c r="F8" i="142"/>
  <c r="K7" i="142"/>
  <c r="J7" i="142"/>
  <c r="I7" i="142"/>
  <c r="H7" i="142"/>
  <c r="G7" i="142"/>
  <c r="F7" i="142"/>
  <c r="K6" i="142"/>
  <c r="J6" i="142"/>
  <c r="I6" i="142"/>
  <c r="H6" i="142"/>
  <c r="G6" i="142"/>
  <c r="F6" i="142"/>
  <c r="K5" i="142"/>
  <c r="J5" i="142"/>
  <c r="I5" i="142"/>
  <c r="H5" i="142"/>
  <c r="G5" i="142"/>
  <c r="F5" i="142"/>
  <c r="AV9" i="141"/>
  <c r="AV8" i="141"/>
  <c r="AV7" i="141"/>
  <c r="AV6" i="141"/>
  <c r="AV5" i="141"/>
  <c r="AI9" i="141"/>
  <c r="AH9" i="141"/>
  <c r="AG9" i="141"/>
  <c r="AF9" i="141"/>
  <c r="AE9" i="141"/>
  <c r="AD9" i="141"/>
  <c r="AI8" i="141"/>
  <c r="AH8" i="141"/>
  <c r="AG8" i="141"/>
  <c r="AF8" i="141"/>
  <c r="AE8" i="141"/>
  <c r="AD8" i="141"/>
  <c r="AI7" i="141"/>
  <c r="AH7" i="141"/>
  <c r="AG7" i="141"/>
  <c r="AF7" i="141"/>
  <c r="AE7" i="141"/>
  <c r="AD7" i="141"/>
  <c r="AI6" i="141"/>
  <c r="AH6" i="141"/>
  <c r="AG6" i="141"/>
  <c r="AF6" i="141"/>
  <c r="AE6" i="141"/>
  <c r="AD6" i="141"/>
  <c r="AI5" i="141"/>
  <c r="AH5" i="141"/>
  <c r="AG5" i="141"/>
  <c r="AF5" i="141"/>
  <c r="AE5" i="141"/>
  <c r="AD5" i="141"/>
  <c r="X9" i="141"/>
  <c r="X8" i="141"/>
  <c r="X7" i="141"/>
  <c r="X6" i="141"/>
  <c r="X5" i="141"/>
  <c r="AV9" i="106"/>
  <c r="AV8" i="106"/>
  <c r="AV7" i="106"/>
  <c r="AV6" i="106"/>
  <c r="AV5" i="106"/>
  <c r="AU9" i="106"/>
  <c r="AT9" i="106"/>
  <c r="AS9" i="106"/>
  <c r="AR9" i="106"/>
  <c r="AQ9" i="106"/>
  <c r="AP9" i="106"/>
  <c r="AO9" i="106"/>
  <c r="AN9" i="106"/>
  <c r="AU8" i="106"/>
  <c r="AT8" i="106"/>
  <c r="AS8" i="106"/>
  <c r="AR8" i="106"/>
  <c r="AQ8" i="106"/>
  <c r="AP8" i="106"/>
  <c r="AO8" i="106"/>
  <c r="AN8" i="106"/>
  <c r="AU7" i="106"/>
  <c r="AT7" i="106"/>
  <c r="AS7" i="106"/>
  <c r="AR7" i="106"/>
  <c r="AQ7" i="106"/>
  <c r="AP7" i="106"/>
  <c r="AO7" i="106"/>
  <c r="AN7" i="106"/>
  <c r="AU6" i="106"/>
  <c r="AT6" i="106"/>
  <c r="AS6" i="106"/>
  <c r="AR6" i="106"/>
  <c r="AQ6" i="106"/>
  <c r="AP6" i="106"/>
  <c r="AO6" i="106"/>
  <c r="AN6" i="106"/>
  <c r="AU5" i="106"/>
  <c r="AT5" i="106"/>
  <c r="AS5" i="106"/>
  <c r="AR5" i="106"/>
  <c r="AQ5" i="106"/>
  <c r="AP5" i="106"/>
  <c r="AO5" i="106"/>
  <c r="AN5" i="106"/>
  <c r="X9" i="106"/>
  <c r="X8" i="106"/>
  <c r="X7" i="106"/>
  <c r="X6" i="106"/>
  <c r="X5" i="106"/>
  <c r="W9" i="106"/>
  <c r="V9" i="106"/>
  <c r="U9" i="106"/>
  <c r="T9" i="106"/>
  <c r="S9" i="106"/>
  <c r="R9" i="106"/>
  <c r="Q9" i="106"/>
  <c r="P9" i="106"/>
  <c r="W8" i="106"/>
  <c r="V8" i="106"/>
  <c r="U8" i="106"/>
  <c r="T8" i="106"/>
  <c r="S8" i="106"/>
  <c r="R8" i="106"/>
  <c r="Q8" i="106"/>
  <c r="P8" i="106"/>
  <c r="W7" i="106"/>
  <c r="V7" i="106"/>
  <c r="U7" i="106"/>
  <c r="T7" i="106"/>
  <c r="S7" i="106"/>
  <c r="R7" i="106"/>
  <c r="Q7" i="106"/>
  <c r="P7" i="106"/>
  <c r="W6" i="106"/>
  <c r="V6" i="106"/>
  <c r="U6" i="106"/>
  <c r="T6" i="106"/>
  <c r="S6" i="106"/>
  <c r="R6" i="106"/>
  <c r="Q6" i="106"/>
  <c r="P6" i="106"/>
  <c r="W5" i="106"/>
  <c r="V5" i="106"/>
  <c r="U5" i="106"/>
  <c r="T5" i="106"/>
  <c r="S5" i="106"/>
  <c r="R5" i="106"/>
  <c r="Q5" i="106"/>
  <c r="P5" i="106"/>
  <c r="AY5" i="106"/>
  <c r="K9" i="141" l="1"/>
  <c r="J9" i="141"/>
  <c r="I9" i="141"/>
  <c r="H9" i="141"/>
  <c r="G9" i="141"/>
  <c r="F9" i="141"/>
  <c r="K8" i="141"/>
  <c r="J8" i="141"/>
  <c r="I8" i="141"/>
  <c r="H8" i="141"/>
  <c r="G8" i="141"/>
  <c r="F8" i="141"/>
  <c r="K7" i="141"/>
  <c r="J7" i="141"/>
  <c r="I7" i="141"/>
  <c r="H7" i="141"/>
  <c r="G7" i="141"/>
  <c r="F7" i="141"/>
  <c r="K6" i="141"/>
  <c r="J6" i="141"/>
  <c r="I6" i="141"/>
  <c r="H6" i="141"/>
  <c r="G6" i="141"/>
  <c r="F6" i="141"/>
  <c r="K5" i="141"/>
  <c r="J5" i="141"/>
  <c r="I5" i="141"/>
  <c r="H5" i="141"/>
  <c r="G5" i="141"/>
  <c r="F5" i="141"/>
  <c r="AI9" i="106"/>
  <c r="AH9" i="106"/>
  <c r="AG9" i="106"/>
  <c r="AF9" i="106"/>
  <c r="AE9" i="106"/>
  <c r="AD9" i="106"/>
  <c r="AI8" i="106"/>
  <c r="AH8" i="106"/>
  <c r="AG8" i="106"/>
  <c r="AF8" i="106"/>
  <c r="AE8" i="106"/>
  <c r="AD8" i="106"/>
  <c r="AI7" i="106"/>
  <c r="AH7" i="106"/>
  <c r="AG7" i="106"/>
  <c r="AF7" i="106"/>
  <c r="AE7" i="106"/>
  <c r="AD7" i="106"/>
  <c r="AI6" i="106"/>
  <c r="AH6" i="106"/>
  <c r="AG6" i="106"/>
  <c r="AF6" i="106"/>
  <c r="AE6" i="106"/>
  <c r="AD6" i="106"/>
  <c r="AI5" i="106"/>
  <c r="AH5" i="106"/>
  <c r="AG5" i="106"/>
  <c r="AF5" i="106"/>
  <c r="AE5" i="106"/>
  <c r="AD5" i="106"/>
  <c r="K9" i="106"/>
  <c r="J9" i="106"/>
  <c r="I9" i="106"/>
  <c r="H9" i="106"/>
  <c r="G9" i="106"/>
  <c r="F9" i="106"/>
  <c r="K8" i="106"/>
  <c r="J8" i="106"/>
  <c r="I8" i="106"/>
  <c r="H8" i="106"/>
  <c r="G8" i="106"/>
  <c r="F8" i="106"/>
  <c r="K7" i="106"/>
  <c r="J7" i="106"/>
  <c r="I7" i="106"/>
  <c r="H7" i="106"/>
  <c r="G7" i="106"/>
  <c r="F7" i="106"/>
  <c r="K6" i="106"/>
  <c r="J6" i="106"/>
  <c r="I6" i="106"/>
  <c r="H6" i="106"/>
  <c r="G6" i="106"/>
  <c r="F6" i="106"/>
  <c r="K5" i="106"/>
  <c r="J5" i="106"/>
  <c r="I5" i="106"/>
  <c r="H5" i="106"/>
  <c r="G5" i="106"/>
  <c r="F5" i="106"/>
  <c r="E27" i="106"/>
  <c r="E26" i="106"/>
  <c r="E25" i="106"/>
  <c r="E24" i="106"/>
  <c r="E23" i="106"/>
  <c r="BF37" i="164"/>
  <c r="BE37" i="164"/>
  <c r="BC37" i="164"/>
  <c r="BB37" i="164"/>
  <c r="BA37" i="164"/>
  <c r="AZ37" i="164"/>
  <c r="AY37" i="164"/>
  <c r="BF36" i="164"/>
  <c r="BE36" i="164"/>
  <c r="BC36" i="164"/>
  <c r="BB36" i="164"/>
  <c r="BA36" i="164"/>
  <c r="AZ36" i="164"/>
  <c r="AY36" i="164"/>
  <c r="BF35" i="164"/>
  <c r="BE35" i="164"/>
  <c r="BC35" i="164"/>
  <c r="BB35" i="164"/>
  <c r="BA35" i="164"/>
  <c r="AZ35" i="164"/>
  <c r="AY35" i="164"/>
  <c r="BF34" i="164"/>
  <c r="BE34" i="164"/>
  <c r="BC34" i="164"/>
  <c r="BB34" i="164"/>
  <c r="BA34" i="164"/>
  <c r="AZ34" i="164"/>
  <c r="AY34" i="164"/>
  <c r="BF33" i="164"/>
  <c r="BE33" i="164"/>
  <c r="BC33" i="164"/>
  <c r="BB33" i="164"/>
  <c r="BA33" i="164"/>
  <c r="AZ33" i="164"/>
  <c r="AY33" i="164"/>
  <c r="AA31" i="164"/>
  <c r="C31" i="164"/>
  <c r="AC9" i="164"/>
  <c r="E9" i="164"/>
  <c r="AC8" i="164"/>
  <c r="E8" i="164"/>
  <c r="AC7" i="164"/>
  <c r="E7" i="164"/>
  <c r="AC6" i="164"/>
  <c r="E6" i="164"/>
  <c r="AC5" i="164"/>
  <c r="E5" i="164"/>
  <c r="BE19" i="164"/>
  <c r="BD19" i="164"/>
  <c r="BC19" i="164"/>
  <c r="BB19" i="164"/>
  <c r="BA19" i="164"/>
  <c r="AZ19" i="164"/>
  <c r="AY19" i="164"/>
  <c r="AX19" i="164"/>
  <c r="BE18" i="164"/>
  <c r="BD18" i="164"/>
  <c r="BC18" i="164"/>
  <c r="BB18" i="164"/>
  <c r="BA18" i="164"/>
  <c r="AZ18" i="164"/>
  <c r="AY18" i="164"/>
  <c r="AX18" i="164"/>
  <c r="BE17" i="164"/>
  <c r="BD17" i="164"/>
  <c r="BC17" i="164"/>
  <c r="BB17" i="164"/>
  <c r="BA17" i="164"/>
  <c r="AZ17" i="164"/>
  <c r="AY17" i="164"/>
  <c r="AX17" i="164"/>
  <c r="BE16" i="164"/>
  <c r="BE21" i="164" s="1"/>
  <c r="BD16" i="164"/>
  <c r="BD21" i="164" s="1"/>
  <c r="BC16" i="164"/>
  <c r="BC21" i="164" s="1"/>
  <c r="BB16" i="164"/>
  <c r="BA16" i="164"/>
  <c r="AZ16" i="164"/>
  <c r="AY16" i="164"/>
  <c r="AX16" i="164"/>
  <c r="AA13" i="164"/>
  <c r="C13" i="164"/>
  <c r="AX2" i="164"/>
  <c r="AA2" i="164"/>
  <c r="Z2" i="164"/>
  <c r="C2" i="164"/>
  <c r="BF37" i="163"/>
  <c r="BE37" i="163"/>
  <c r="BC37" i="163"/>
  <c r="BB37" i="163"/>
  <c r="BA37" i="163"/>
  <c r="AZ37" i="163"/>
  <c r="AY37" i="163"/>
  <c r="BF36" i="163"/>
  <c r="BE36" i="163"/>
  <c r="BC36" i="163"/>
  <c r="BB36" i="163"/>
  <c r="BA36" i="163"/>
  <c r="AZ36" i="163"/>
  <c r="AY36" i="163"/>
  <c r="BF35" i="163"/>
  <c r="BE35" i="163"/>
  <c r="BC35" i="163"/>
  <c r="BB35" i="163"/>
  <c r="BA35" i="163"/>
  <c r="AZ35" i="163"/>
  <c r="AY35" i="163"/>
  <c r="BF34" i="163"/>
  <c r="BE34" i="163"/>
  <c r="BC34" i="163"/>
  <c r="BB34" i="163"/>
  <c r="BA34" i="163"/>
  <c r="AZ34" i="163"/>
  <c r="AY34" i="163"/>
  <c r="BF33" i="163"/>
  <c r="BE33" i="163"/>
  <c r="BC33" i="163"/>
  <c r="BB33" i="163"/>
  <c r="BA33" i="163"/>
  <c r="AZ33" i="163"/>
  <c r="AY33" i="163"/>
  <c r="AA31" i="163"/>
  <c r="C31" i="163"/>
  <c r="E9" i="163"/>
  <c r="E8" i="163"/>
  <c r="AC7" i="163"/>
  <c r="E7" i="163"/>
  <c r="AC6" i="163"/>
  <c r="E6" i="163"/>
  <c r="AC5" i="163"/>
  <c r="E5" i="163"/>
  <c r="BE19" i="163"/>
  <c r="BD19" i="163"/>
  <c r="BC19" i="163"/>
  <c r="BB19" i="163"/>
  <c r="BA19" i="163"/>
  <c r="AZ19" i="163"/>
  <c r="AY19" i="163"/>
  <c r="AX19" i="163"/>
  <c r="BE18" i="163"/>
  <c r="BD18" i="163"/>
  <c r="BC18" i="163"/>
  <c r="BB18" i="163"/>
  <c r="BA18" i="163"/>
  <c r="AZ18" i="163"/>
  <c r="AY18" i="163"/>
  <c r="AX18" i="163"/>
  <c r="BE17" i="163"/>
  <c r="BD17" i="163"/>
  <c r="BC17" i="163"/>
  <c r="BB17" i="163"/>
  <c r="BA17" i="163"/>
  <c r="AZ17" i="163"/>
  <c r="AY17" i="163"/>
  <c r="AX17" i="163"/>
  <c r="BE16" i="163"/>
  <c r="BD16" i="163"/>
  <c r="BC16" i="163"/>
  <c r="BC21" i="163" s="1"/>
  <c r="BB16" i="163"/>
  <c r="BB21" i="163" s="1"/>
  <c r="BA16" i="163"/>
  <c r="AZ16" i="163"/>
  <c r="AZ21" i="163" s="1"/>
  <c r="AY16" i="163"/>
  <c r="AX16" i="163"/>
  <c r="AA13" i="163"/>
  <c r="C13" i="163"/>
  <c r="AC9" i="163"/>
  <c r="AC8" i="163"/>
  <c r="AX2" i="163"/>
  <c r="AA2" i="163"/>
  <c r="Z2" i="163"/>
  <c r="C2" i="163"/>
  <c r="BF37" i="162"/>
  <c r="BE37" i="162"/>
  <c r="BC37" i="162"/>
  <c r="BB37" i="162"/>
  <c r="BA37" i="162"/>
  <c r="AZ37" i="162"/>
  <c r="AY37" i="162"/>
  <c r="BF36" i="162"/>
  <c r="BE36" i="162"/>
  <c r="BC36" i="162"/>
  <c r="BB36" i="162"/>
  <c r="BA36" i="162"/>
  <c r="AZ36" i="162"/>
  <c r="AY36" i="162"/>
  <c r="BF35" i="162"/>
  <c r="BE35" i="162"/>
  <c r="BC35" i="162"/>
  <c r="BB35" i="162"/>
  <c r="BA35" i="162"/>
  <c r="AZ35" i="162"/>
  <c r="AY35" i="162"/>
  <c r="BF34" i="162"/>
  <c r="BE34" i="162"/>
  <c r="BC34" i="162"/>
  <c r="BB34" i="162"/>
  <c r="BA34" i="162"/>
  <c r="AZ34" i="162"/>
  <c r="AY34" i="162"/>
  <c r="BF33" i="162"/>
  <c r="BE33" i="162"/>
  <c r="BC33" i="162"/>
  <c r="BB33" i="162"/>
  <c r="BA33" i="162"/>
  <c r="AZ33" i="162"/>
  <c r="AY33" i="162"/>
  <c r="AA31" i="162"/>
  <c r="C31" i="162"/>
  <c r="E8" i="162"/>
  <c r="AC7" i="162"/>
  <c r="E7" i="162"/>
  <c r="AC6" i="162"/>
  <c r="E6" i="162"/>
  <c r="E5" i="162"/>
  <c r="BE19" i="162"/>
  <c r="BD19" i="162"/>
  <c r="BC19" i="162"/>
  <c r="BB19" i="162"/>
  <c r="BA19" i="162"/>
  <c r="AZ19" i="162"/>
  <c r="AY19" i="162"/>
  <c r="AX19" i="162"/>
  <c r="BE18" i="162"/>
  <c r="BD18" i="162"/>
  <c r="BC18" i="162"/>
  <c r="BB18" i="162"/>
  <c r="BA18" i="162"/>
  <c r="AZ18" i="162"/>
  <c r="AY18" i="162"/>
  <c r="AX18" i="162"/>
  <c r="BE17" i="162"/>
  <c r="BD17" i="162"/>
  <c r="BC17" i="162"/>
  <c r="BB17" i="162"/>
  <c r="BA17" i="162"/>
  <c r="AZ17" i="162"/>
  <c r="AY17" i="162"/>
  <c r="AX17" i="162"/>
  <c r="BE16" i="162"/>
  <c r="BD16" i="162"/>
  <c r="BC16" i="162"/>
  <c r="BB16" i="162"/>
  <c r="BB21" i="162" s="1"/>
  <c r="BA16" i="162"/>
  <c r="BA21" i="162" s="1"/>
  <c r="AZ16" i="162"/>
  <c r="AY16" i="162"/>
  <c r="AY21" i="162" s="1"/>
  <c r="AX16" i="162"/>
  <c r="AX21" i="162" s="1"/>
  <c r="AA13" i="162"/>
  <c r="C13" i="162"/>
  <c r="AC9" i="162"/>
  <c r="E9" i="162"/>
  <c r="AC8" i="162"/>
  <c r="AC5" i="162"/>
  <c r="AX2" i="162"/>
  <c r="AA2" i="162"/>
  <c r="Z2" i="162"/>
  <c r="C2" i="162"/>
  <c r="BF37" i="161"/>
  <c r="BE37" i="161"/>
  <c r="BC37" i="161"/>
  <c r="BB37" i="161"/>
  <c r="BA37" i="161"/>
  <c r="AZ37" i="161"/>
  <c r="AY37" i="161"/>
  <c r="BF36" i="161"/>
  <c r="BE36" i="161"/>
  <c r="BC36" i="161"/>
  <c r="BB36" i="161"/>
  <c r="BA36" i="161"/>
  <c r="AZ36" i="161"/>
  <c r="AY36" i="161"/>
  <c r="BF35" i="161"/>
  <c r="BE35" i="161"/>
  <c r="BC35" i="161"/>
  <c r="BB35" i="161"/>
  <c r="BA35" i="161"/>
  <c r="AZ35" i="161"/>
  <c r="AY35" i="161"/>
  <c r="BF34" i="161"/>
  <c r="BE34" i="161"/>
  <c r="BC34" i="161"/>
  <c r="BB34" i="161"/>
  <c r="BA34" i="161"/>
  <c r="AZ34" i="161"/>
  <c r="AY34" i="161"/>
  <c r="BF33" i="161"/>
  <c r="BE33" i="161"/>
  <c r="BC33" i="161"/>
  <c r="BB33" i="161"/>
  <c r="BA33" i="161"/>
  <c r="AZ33" i="161"/>
  <c r="AY33" i="161"/>
  <c r="AA31" i="161"/>
  <c r="C31" i="161"/>
  <c r="E8" i="161"/>
  <c r="AC7" i="161"/>
  <c r="E7" i="161"/>
  <c r="AC6" i="161"/>
  <c r="E6" i="161"/>
  <c r="AC5" i="161"/>
  <c r="BE19" i="161"/>
  <c r="BD19" i="161"/>
  <c r="BC19" i="161"/>
  <c r="BB19" i="161"/>
  <c r="BA19" i="161"/>
  <c r="AZ19" i="161"/>
  <c r="AY19" i="161"/>
  <c r="AX19" i="161"/>
  <c r="BE18" i="161"/>
  <c r="BD18" i="161"/>
  <c r="BC18" i="161"/>
  <c r="BB18" i="161"/>
  <c r="BA18" i="161"/>
  <c r="AZ18" i="161"/>
  <c r="AY18" i="161"/>
  <c r="AX18" i="161"/>
  <c r="BE17" i="161"/>
  <c r="BD17" i="161"/>
  <c r="BC17" i="161"/>
  <c r="BB17" i="161"/>
  <c r="BA17" i="161"/>
  <c r="AZ17" i="161"/>
  <c r="AZ21" i="161" s="1"/>
  <c r="AY17" i="161"/>
  <c r="AX17" i="161"/>
  <c r="BE16" i="161"/>
  <c r="BD16" i="161"/>
  <c r="BC16" i="161"/>
  <c r="BB16" i="161"/>
  <c r="BB21" i="161" s="1"/>
  <c r="BA16" i="161"/>
  <c r="BA21" i="161" s="1"/>
  <c r="AZ16" i="161"/>
  <c r="AY16" i="161"/>
  <c r="AY21" i="161" s="1"/>
  <c r="AX16" i="161"/>
  <c r="AA13" i="161"/>
  <c r="C13" i="161"/>
  <c r="AC9" i="161"/>
  <c r="E9" i="161"/>
  <c r="AC8" i="161"/>
  <c r="E5" i="161"/>
  <c r="AX2" i="161"/>
  <c r="AA2" i="161"/>
  <c r="Z2" i="161"/>
  <c r="C2" i="161"/>
  <c r="BF37" i="160"/>
  <c r="BE37" i="160"/>
  <c r="BC37" i="160"/>
  <c r="BB37" i="160"/>
  <c r="BA37" i="160"/>
  <c r="AZ37" i="160"/>
  <c r="AY37" i="160"/>
  <c r="BF36" i="160"/>
  <c r="BE36" i="160"/>
  <c r="BC36" i="160"/>
  <c r="BB36" i="160"/>
  <c r="BA36" i="160"/>
  <c r="AZ36" i="160"/>
  <c r="AY36" i="160"/>
  <c r="BF35" i="160"/>
  <c r="BE35" i="160"/>
  <c r="BC35" i="160"/>
  <c r="BB35" i="160"/>
  <c r="BA35" i="160"/>
  <c r="AZ35" i="160"/>
  <c r="AY35" i="160"/>
  <c r="BF34" i="160"/>
  <c r="BE34" i="160"/>
  <c r="BC34" i="160"/>
  <c r="BB34" i="160"/>
  <c r="BA34" i="160"/>
  <c r="AZ34" i="160"/>
  <c r="AY34" i="160"/>
  <c r="BF33" i="160"/>
  <c r="BE33" i="160"/>
  <c r="BC33" i="160"/>
  <c r="BB33" i="160"/>
  <c r="BA33" i="160"/>
  <c r="AZ33" i="160"/>
  <c r="AY33" i="160"/>
  <c r="AA31" i="160"/>
  <c r="C31" i="160"/>
  <c r="E8" i="160"/>
  <c r="AC7" i="160"/>
  <c r="E7" i="160"/>
  <c r="AC6" i="160"/>
  <c r="E6" i="160"/>
  <c r="AC5" i="160"/>
  <c r="E5" i="160"/>
  <c r="BE19" i="160"/>
  <c r="BD19" i="160"/>
  <c r="BC19" i="160"/>
  <c r="BB19" i="160"/>
  <c r="BA19" i="160"/>
  <c r="AZ19" i="160"/>
  <c r="AY19" i="160"/>
  <c r="AX19" i="160"/>
  <c r="BE18" i="160"/>
  <c r="BD18" i="160"/>
  <c r="BC18" i="160"/>
  <c r="BB18" i="160"/>
  <c r="BA18" i="160"/>
  <c r="AZ18" i="160"/>
  <c r="AY18" i="160"/>
  <c r="AX18" i="160"/>
  <c r="BE17" i="160"/>
  <c r="BE21" i="160" s="1"/>
  <c r="BD17" i="160"/>
  <c r="BC17" i="160"/>
  <c r="BB17" i="160"/>
  <c r="BA17" i="160"/>
  <c r="AZ17" i="160"/>
  <c r="AY17" i="160"/>
  <c r="AX17" i="160"/>
  <c r="BE16" i="160"/>
  <c r="BD16" i="160"/>
  <c r="BC16" i="160"/>
  <c r="BC21" i="160" s="1"/>
  <c r="BB16" i="160"/>
  <c r="BB21" i="160" s="1"/>
  <c r="BA16" i="160"/>
  <c r="AZ16" i="160"/>
  <c r="AZ21" i="160" s="1"/>
  <c r="AY16" i="160"/>
  <c r="AX16" i="160"/>
  <c r="AA13" i="160"/>
  <c r="C13" i="160"/>
  <c r="AC9" i="160"/>
  <c r="E9" i="160"/>
  <c r="AC8" i="160"/>
  <c r="AX2" i="160"/>
  <c r="AA2" i="160"/>
  <c r="Z2" i="160"/>
  <c r="C2" i="160"/>
  <c r="BF37" i="159"/>
  <c r="BE37" i="159"/>
  <c r="BC37" i="159"/>
  <c r="BB37" i="159"/>
  <c r="BA37" i="159"/>
  <c r="AZ37" i="159"/>
  <c r="AY37" i="159"/>
  <c r="BF36" i="159"/>
  <c r="BE36" i="159"/>
  <c r="BC36" i="159"/>
  <c r="BB36" i="159"/>
  <c r="BA36" i="159"/>
  <c r="AZ36" i="159"/>
  <c r="AY36" i="159"/>
  <c r="BF35" i="159"/>
  <c r="BE35" i="159"/>
  <c r="BC35" i="159"/>
  <c r="BB35" i="159"/>
  <c r="BA35" i="159"/>
  <c r="AZ35" i="159"/>
  <c r="AY35" i="159"/>
  <c r="BF34" i="159"/>
  <c r="BE34" i="159"/>
  <c r="BC34" i="159"/>
  <c r="BB34" i="159"/>
  <c r="BA34" i="159"/>
  <c r="AZ34" i="159"/>
  <c r="AY34" i="159"/>
  <c r="BF33" i="159"/>
  <c r="BE33" i="159"/>
  <c r="BC33" i="159"/>
  <c r="BB33" i="159"/>
  <c r="BA33" i="159"/>
  <c r="AZ33" i="159"/>
  <c r="AY33" i="159"/>
  <c r="AA31" i="159"/>
  <c r="C31" i="159"/>
  <c r="AC7" i="159"/>
  <c r="E7" i="159"/>
  <c r="AC6" i="159"/>
  <c r="E6" i="159"/>
  <c r="AC5" i="159"/>
  <c r="E5" i="159"/>
  <c r="BE19" i="159"/>
  <c r="BD19" i="159"/>
  <c r="BC19" i="159"/>
  <c r="BB19" i="159"/>
  <c r="BA19" i="159"/>
  <c r="AZ19" i="159"/>
  <c r="AY19" i="159"/>
  <c r="AX19" i="159"/>
  <c r="BE18" i="159"/>
  <c r="BD18" i="159"/>
  <c r="BC18" i="159"/>
  <c r="BB18" i="159"/>
  <c r="BA18" i="159"/>
  <c r="AZ18" i="159"/>
  <c r="AY18" i="159"/>
  <c r="AX18" i="159"/>
  <c r="BE17" i="159"/>
  <c r="BD17" i="159"/>
  <c r="BC17" i="159"/>
  <c r="BB17" i="159"/>
  <c r="BA17" i="159"/>
  <c r="AZ17" i="159"/>
  <c r="AY17" i="159"/>
  <c r="AX17" i="159"/>
  <c r="BE16" i="159"/>
  <c r="BE21" i="159" s="1"/>
  <c r="BD16" i="159"/>
  <c r="BC16" i="159"/>
  <c r="BB16" i="159"/>
  <c r="BA16" i="159"/>
  <c r="AZ16" i="159"/>
  <c r="AY16" i="159"/>
  <c r="AY21" i="159" s="1"/>
  <c r="AX16" i="159"/>
  <c r="AX21" i="159" s="1"/>
  <c r="AA13" i="159"/>
  <c r="C13" i="159"/>
  <c r="AC9" i="159"/>
  <c r="E9" i="159"/>
  <c r="AC8" i="159"/>
  <c r="E8" i="159"/>
  <c r="AX2" i="159"/>
  <c r="AA2" i="159"/>
  <c r="Z2" i="159"/>
  <c r="C2" i="159"/>
  <c r="BF37" i="158"/>
  <c r="BE37" i="158"/>
  <c r="BC37" i="158"/>
  <c r="BB37" i="158"/>
  <c r="BA37" i="158"/>
  <c r="AZ37" i="158"/>
  <c r="AY37" i="158"/>
  <c r="BF36" i="158"/>
  <c r="BE36" i="158"/>
  <c r="BC36" i="158"/>
  <c r="BB36" i="158"/>
  <c r="BA36" i="158"/>
  <c r="AZ36" i="158"/>
  <c r="AY36" i="158"/>
  <c r="BF35" i="158"/>
  <c r="BE35" i="158"/>
  <c r="BC35" i="158"/>
  <c r="BB35" i="158"/>
  <c r="BA35" i="158"/>
  <c r="AZ35" i="158"/>
  <c r="AY35" i="158"/>
  <c r="BF34" i="158"/>
  <c r="BE34" i="158"/>
  <c r="BC34" i="158"/>
  <c r="BB34" i="158"/>
  <c r="BA34" i="158"/>
  <c r="AZ34" i="158"/>
  <c r="AY34" i="158"/>
  <c r="BF33" i="158"/>
  <c r="BE33" i="158"/>
  <c r="BC33" i="158"/>
  <c r="BB33" i="158"/>
  <c r="BA33" i="158"/>
  <c r="AZ33" i="158"/>
  <c r="AY33" i="158"/>
  <c r="AA31" i="158"/>
  <c r="C31" i="158"/>
  <c r="E9" i="158"/>
  <c r="AC8" i="158"/>
  <c r="AC7" i="158"/>
  <c r="E7" i="158"/>
  <c r="AC6" i="158"/>
  <c r="E6" i="158"/>
  <c r="AC5" i="158"/>
  <c r="E5" i="158"/>
  <c r="BE19" i="158"/>
  <c r="BD19" i="158"/>
  <c r="BC19" i="158"/>
  <c r="BB19" i="158"/>
  <c r="BA19" i="158"/>
  <c r="AZ19" i="158"/>
  <c r="AY19" i="158"/>
  <c r="AX19" i="158"/>
  <c r="BE18" i="158"/>
  <c r="BD18" i="158"/>
  <c r="BC18" i="158"/>
  <c r="BB18" i="158"/>
  <c r="BA18" i="158"/>
  <c r="AZ18" i="158"/>
  <c r="AY18" i="158"/>
  <c r="AX18" i="158"/>
  <c r="BE17" i="158"/>
  <c r="BD17" i="158"/>
  <c r="BC17" i="158"/>
  <c r="BB17" i="158"/>
  <c r="BA17" i="158"/>
  <c r="AZ17" i="158"/>
  <c r="AY17" i="158"/>
  <c r="AX17" i="158"/>
  <c r="BE16" i="158"/>
  <c r="BE21" i="158" s="1"/>
  <c r="BD16" i="158"/>
  <c r="BC16" i="158"/>
  <c r="BB16" i="158"/>
  <c r="BB21" i="158" s="1"/>
  <c r="BA16" i="158"/>
  <c r="AZ16" i="158"/>
  <c r="AY16" i="158"/>
  <c r="AX16" i="158"/>
  <c r="AA13" i="158"/>
  <c r="C13" i="158"/>
  <c r="AC9" i="158"/>
  <c r="E8" i="158"/>
  <c r="AX2" i="158"/>
  <c r="AA2" i="158"/>
  <c r="Z2" i="158"/>
  <c r="C2" i="158"/>
  <c r="BF37" i="157"/>
  <c r="BE37" i="157"/>
  <c r="BC37" i="157"/>
  <c r="BB37" i="157"/>
  <c r="BA37" i="157"/>
  <c r="AZ37" i="157"/>
  <c r="AY37" i="157"/>
  <c r="BF36" i="157"/>
  <c r="BE36" i="157"/>
  <c r="BC36" i="157"/>
  <c r="BB36" i="157"/>
  <c r="BA36" i="157"/>
  <c r="AZ36" i="157"/>
  <c r="AY36" i="157"/>
  <c r="BF35" i="157"/>
  <c r="BE35" i="157"/>
  <c r="BC35" i="157"/>
  <c r="BB35" i="157"/>
  <c r="BA35" i="157"/>
  <c r="AZ35" i="157"/>
  <c r="AY35" i="157"/>
  <c r="BF34" i="157"/>
  <c r="BE34" i="157"/>
  <c r="BC34" i="157"/>
  <c r="BB34" i="157"/>
  <c r="BA34" i="157"/>
  <c r="AZ34" i="157"/>
  <c r="AY34" i="157"/>
  <c r="BF33" i="157"/>
  <c r="BE33" i="157"/>
  <c r="BC33" i="157"/>
  <c r="BB33" i="157"/>
  <c r="BA33" i="157"/>
  <c r="AZ33" i="157"/>
  <c r="AY33" i="157"/>
  <c r="AA31" i="157"/>
  <c r="C31" i="157"/>
  <c r="E9" i="157"/>
  <c r="E8" i="157"/>
  <c r="AC7" i="157"/>
  <c r="E7" i="157"/>
  <c r="AC6" i="157"/>
  <c r="E6" i="157"/>
  <c r="AC5" i="157"/>
  <c r="BE19" i="157"/>
  <c r="BD19" i="157"/>
  <c r="BC19" i="157"/>
  <c r="BB19" i="157"/>
  <c r="BA19" i="157"/>
  <c r="AZ19" i="157"/>
  <c r="AY19" i="157"/>
  <c r="AX19" i="157"/>
  <c r="BE18" i="157"/>
  <c r="BD18" i="157"/>
  <c r="BC18" i="157"/>
  <c r="BB18" i="157"/>
  <c r="BA18" i="157"/>
  <c r="AZ18" i="157"/>
  <c r="AY18" i="157"/>
  <c r="AX18" i="157"/>
  <c r="BE17" i="157"/>
  <c r="BD17" i="157"/>
  <c r="BC17" i="157"/>
  <c r="BB17" i="157"/>
  <c r="BA17" i="157"/>
  <c r="AZ17" i="157"/>
  <c r="AY17" i="157"/>
  <c r="AX17" i="157"/>
  <c r="BE16" i="157"/>
  <c r="BD16" i="157"/>
  <c r="BD21" i="157" s="1"/>
  <c r="BC16" i="157"/>
  <c r="BC21" i="157" s="1"/>
  <c r="BB16" i="157"/>
  <c r="BA16" i="157"/>
  <c r="AZ16" i="157"/>
  <c r="AZ21" i="157" s="1"/>
  <c r="AY16" i="157"/>
  <c r="AX16" i="157"/>
  <c r="AA13" i="157"/>
  <c r="C13" i="157"/>
  <c r="AC9" i="157"/>
  <c r="AC8" i="157"/>
  <c r="E5" i="157"/>
  <c r="AX2" i="157"/>
  <c r="AA2" i="157"/>
  <c r="Z2" i="157"/>
  <c r="C2" i="157"/>
  <c r="BF37" i="156"/>
  <c r="BE37" i="156"/>
  <c r="BC37" i="156"/>
  <c r="BB37" i="156"/>
  <c r="BA37" i="156"/>
  <c r="AZ37" i="156"/>
  <c r="AY37" i="156"/>
  <c r="BF36" i="156"/>
  <c r="BE36" i="156"/>
  <c r="BC36" i="156"/>
  <c r="BB36" i="156"/>
  <c r="BA36" i="156"/>
  <c r="AZ36" i="156"/>
  <c r="AY36" i="156"/>
  <c r="BF35" i="156"/>
  <c r="BE35" i="156"/>
  <c r="BC35" i="156"/>
  <c r="BB35" i="156"/>
  <c r="BA35" i="156"/>
  <c r="AZ35" i="156"/>
  <c r="AY35" i="156"/>
  <c r="BF34" i="156"/>
  <c r="BE34" i="156"/>
  <c r="BC34" i="156"/>
  <c r="BB34" i="156"/>
  <c r="BA34" i="156"/>
  <c r="AZ34" i="156"/>
  <c r="AY34" i="156"/>
  <c r="BF33" i="156"/>
  <c r="BE33" i="156"/>
  <c r="BC33" i="156"/>
  <c r="BB33" i="156"/>
  <c r="BA33" i="156"/>
  <c r="AZ33" i="156"/>
  <c r="AY33" i="156"/>
  <c r="AA31" i="156"/>
  <c r="C31" i="156"/>
  <c r="E9" i="156"/>
  <c r="E8" i="156"/>
  <c r="AC7" i="156"/>
  <c r="E7" i="156"/>
  <c r="AC6" i="156"/>
  <c r="BE19" i="156"/>
  <c r="BD19" i="156"/>
  <c r="BC19" i="156"/>
  <c r="BB19" i="156"/>
  <c r="BA19" i="156"/>
  <c r="AZ19" i="156"/>
  <c r="AY19" i="156"/>
  <c r="AX19" i="156"/>
  <c r="BE18" i="156"/>
  <c r="BD18" i="156"/>
  <c r="BC18" i="156"/>
  <c r="BB18" i="156"/>
  <c r="BA18" i="156"/>
  <c r="AZ18" i="156"/>
  <c r="AY18" i="156"/>
  <c r="AX18" i="156"/>
  <c r="BE17" i="156"/>
  <c r="BD17" i="156"/>
  <c r="BC17" i="156"/>
  <c r="BB17" i="156"/>
  <c r="BA17" i="156"/>
  <c r="AZ17" i="156"/>
  <c r="AY17" i="156"/>
  <c r="AX17" i="156"/>
  <c r="BE16" i="156"/>
  <c r="BD16" i="156"/>
  <c r="BC16" i="156"/>
  <c r="BC21" i="156" s="1"/>
  <c r="BB16" i="156"/>
  <c r="BB21" i="156" s="1"/>
  <c r="BA16" i="156"/>
  <c r="AZ16" i="156"/>
  <c r="AY16" i="156"/>
  <c r="AY21" i="156" s="1"/>
  <c r="AX16" i="156"/>
  <c r="AA13" i="156"/>
  <c r="C13" i="156"/>
  <c r="AC9" i="156"/>
  <c r="AC8" i="156"/>
  <c r="E6" i="156"/>
  <c r="AC5" i="156"/>
  <c r="E5" i="156"/>
  <c r="AX2" i="156"/>
  <c r="AA2" i="156"/>
  <c r="Z2" i="156"/>
  <c r="C2" i="156"/>
  <c r="BF37" i="155"/>
  <c r="BE37" i="155"/>
  <c r="BC37" i="155"/>
  <c r="BB37" i="155"/>
  <c r="BA37" i="155"/>
  <c r="AZ37" i="155"/>
  <c r="AY37" i="155"/>
  <c r="BF36" i="155"/>
  <c r="BE36" i="155"/>
  <c r="BC36" i="155"/>
  <c r="BB36" i="155"/>
  <c r="BA36" i="155"/>
  <c r="AZ36" i="155"/>
  <c r="AY36" i="155"/>
  <c r="BF35" i="155"/>
  <c r="BE35" i="155"/>
  <c r="BC35" i="155"/>
  <c r="BB35" i="155"/>
  <c r="BA35" i="155"/>
  <c r="AZ35" i="155"/>
  <c r="AY35" i="155"/>
  <c r="BF34" i="155"/>
  <c r="BE34" i="155"/>
  <c r="BC34" i="155"/>
  <c r="BB34" i="155"/>
  <c r="BA34" i="155"/>
  <c r="AZ34" i="155"/>
  <c r="AY34" i="155"/>
  <c r="BF33" i="155"/>
  <c r="BE33" i="155"/>
  <c r="BC33" i="155"/>
  <c r="BB33" i="155"/>
  <c r="BA33" i="155"/>
  <c r="AZ33" i="155"/>
  <c r="AY33" i="155"/>
  <c r="AA31" i="155"/>
  <c r="C31" i="155"/>
  <c r="E8" i="155"/>
  <c r="AC7" i="155"/>
  <c r="E7" i="155"/>
  <c r="BE19" i="155"/>
  <c r="BD19" i="155"/>
  <c r="BC19" i="155"/>
  <c r="BB19" i="155"/>
  <c r="BA19" i="155"/>
  <c r="AZ19" i="155"/>
  <c r="AY19" i="155"/>
  <c r="AX19" i="155"/>
  <c r="BE18" i="155"/>
  <c r="BD18" i="155"/>
  <c r="BC18" i="155"/>
  <c r="BB18" i="155"/>
  <c r="BA18" i="155"/>
  <c r="AZ18" i="155"/>
  <c r="AY18" i="155"/>
  <c r="AX18" i="155"/>
  <c r="BE17" i="155"/>
  <c r="BD17" i="155"/>
  <c r="BC17" i="155"/>
  <c r="BB17" i="155"/>
  <c r="BA17" i="155"/>
  <c r="AZ17" i="155"/>
  <c r="AY17" i="155"/>
  <c r="AX17" i="155"/>
  <c r="BE16" i="155"/>
  <c r="BD16" i="155"/>
  <c r="BD21" i="155" s="1"/>
  <c r="BC16" i="155"/>
  <c r="BC21" i="155" s="1"/>
  <c r="BB16" i="155"/>
  <c r="BA16" i="155"/>
  <c r="AZ16" i="155"/>
  <c r="AZ21" i="155" s="1"/>
  <c r="AY16" i="155"/>
  <c r="AX16" i="155"/>
  <c r="AA13" i="155"/>
  <c r="C13" i="155"/>
  <c r="AC9" i="155"/>
  <c r="E9" i="155"/>
  <c r="AC8" i="155"/>
  <c r="AC6" i="155"/>
  <c r="E6" i="155"/>
  <c r="AC5" i="155"/>
  <c r="E5" i="155"/>
  <c r="AX2" i="155"/>
  <c r="AA2" i="155"/>
  <c r="Z2" i="155"/>
  <c r="C2" i="155"/>
  <c r="BF37" i="154"/>
  <c r="BE37" i="154"/>
  <c r="BC37" i="154"/>
  <c r="BB37" i="154"/>
  <c r="BA37" i="154"/>
  <c r="AZ37" i="154"/>
  <c r="AY37" i="154"/>
  <c r="BF36" i="154"/>
  <c r="BE36" i="154"/>
  <c r="BC36" i="154"/>
  <c r="BB36" i="154"/>
  <c r="BA36" i="154"/>
  <c r="AZ36" i="154"/>
  <c r="AY36" i="154"/>
  <c r="BF35" i="154"/>
  <c r="BE35" i="154"/>
  <c r="BC35" i="154"/>
  <c r="BB35" i="154"/>
  <c r="BA35" i="154"/>
  <c r="AZ35" i="154"/>
  <c r="AY35" i="154"/>
  <c r="BF34" i="154"/>
  <c r="BE34" i="154"/>
  <c r="BC34" i="154"/>
  <c r="BB34" i="154"/>
  <c r="BA34" i="154"/>
  <c r="AZ34" i="154"/>
  <c r="AY34" i="154"/>
  <c r="BF33" i="154"/>
  <c r="BE33" i="154"/>
  <c r="BC33" i="154"/>
  <c r="BB33" i="154"/>
  <c r="BA33" i="154"/>
  <c r="AZ33" i="154"/>
  <c r="AY33" i="154"/>
  <c r="AA31" i="154"/>
  <c r="C31" i="154"/>
  <c r="E9" i="154"/>
  <c r="E8" i="154"/>
  <c r="AC7" i="154"/>
  <c r="E5" i="154"/>
  <c r="BE19" i="154"/>
  <c r="BD19" i="154"/>
  <c r="BC19" i="154"/>
  <c r="BB19" i="154"/>
  <c r="BA19" i="154"/>
  <c r="AZ19" i="154"/>
  <c r="AY19" i="154"/>
  <c r="AX19" i="154"/>
  <c r="BE18" i="154"/>
  <c r="BD18" i="154"/>
  <c r="BC18" i="154"/>
  <c r="BB18" i="154"/>
  <c r="BA18" i="154"/>
  <c r="AZ18" i="154"/>
  <c r="AY18" i="154"/>
  <c r="AX18" i="154"/>
  <c r="BE17" i="154"/>
  <c r="BD17" i="154"/>
  <c r="BC17" i="154"/>
  <c r="BB17" i="154"/>
  <c r="BA17" i="154"/>
  <c r="AZ17" i="154"/>
  <c r="AY17" i="154"/>
  <c r="AX17" i="154"/>
  <c r="BE16" i="154"/>
  <c r="BE21" i="154" s="1"/>
  <c r="BD16" i="154"/>
  <c r="BD21" i="154" s="1"/>
  <c r="BC16" i="154"/>
  <c r="BB16" i="154"/>
  <c r="BA16" i="154"/>
  <c r="BA21" i="154" s="1"/>
  <c r="AZ16" i="154"/>
  <c r="AY16" i="154"/>
  <c r="AX16" i="154"/>
  <c r="AA13" i="154"/>
  <c r="C13" i="154"/>
  <c r="AC9" i="154"/>
  <c r="AC8" i="154"/>
  <c r="E7" i="154"/>
  <c r="AC6" i="154"/>
  <c r="E6" i="154"/>
  <c r="AC5" i="154"/>
  <c r="AX2" i="154"/>
  <c r="AA2" i="154"/>
  <c r="Z2" i="154"/>
  <c r="C2" i="154"/>
  <c r="BF37" i="153"/>
  <c r="BE37" i="153"/>
  <c r="BC37" i="153"/>
  <c r="BB37" i="153"/>
  <c r="BA37" i="153"/>
  <c r="AZ37" i="153"/>
  <c r="AY37" i="153"/>
  <c r="BF36" i="153"/>
  <c r="BE36" i="153"/>
  <c r="BC36" i="153"/>
  <c r="BB36" i="153"/>
  <c r="BA36" i="153"/>
  <c r="AZ36" i="153"/>
  <c r="AY36" i="153"/>
  <c r="BF35" i="153"/>
  <c r="BE35" i="153"/>
  <c r="BC35" i="153"/>
  <c r="BB35" i="153"/>
  <c r="BA35" i="153"/>
  <c r="AZ35" i="153"/>
  <c r="AY35" i="153"/>
  <c r="BF34" i="153"/>
  <c r="BE34" i="153"/>
  <c r="BC34" i="153"/>
  <c r="BB34" i="153"/>
  <c r="BA34" i="153"/>
  <c r="AZ34" i="153"/>
  <c r="AY34" i="153"/>
  <c r="BF33" i="153"/>
  <c r="BE33" i="153"/>
  <c r="BC33" i="153"/>
  <c r="BB33" i="153"/>
  <c r="BA33" i="153"/>
  <c r="AZ33" i="153"/>
  <c r="AY33" i="153"/>
  <c r="AA31" i="153"/>
  <c r="C31" i="153"/>
  <c r="AC9" i="153"/>
  <c r="AC8" i="153"/>
  <c r="E8" i="153"/>
  <c r="E7" i="153"/>
  <c r="AC6" i="153"/>
  <c r="E6" i="153"/>
  <c r="AC5" i="153"/>
  <c r="E5" i="153"/>
  <c r="BE19" i="153"/>
  <c r="BE21" i="153" s="1"/>
  <c r="BD19" i="153"/>
  <c r="BC19" i="153"/>
  <c r="BB19" i="153"/>
  <c r="BA19" i="153"/>
  <c r="AZ19" i="153"/>
  <c r="AY19" i="153"/>
  <c r="AX19" i="153"/>
  <c r="BE18" i="153"/>
  <c r="BD18" i="153"/>
  <c r="BC18" i="153"/>
  <c r="BB18" i="153"/>
  <c r="BA18" i="153"/>
  <c r="AZ18" i="153"/>
  <c r="AY18" i="153"/>
  <c r="AX18" i="153"/>
  <c r="BE17" i="153"/>
  <c r="BD17" i="153"/>
  <c r="BC17" i="153"/>
  <c r="BB17" i="153"/>
  <c r="BA17" i="153"/>
  <c r="AZ17" i="153"/>
  <c r="AY17" i="153"/>
  <c r="AX17" i="153"/>
  <c r="BE16" i="153"/>
  <c r="BD16" i="153"/>
  <c r="BC16" i="153"/>
  <c r="BC21" i="153" s="1"/>
  <c r="BB16" i="153"/>
  <c r="BA16" i="153"/>
  <c r="AZ16" i="153"/>
  <c r="AY16" i="153"/>
  <c r="AX16" i="153"/>
  <c r="AA13" i="153"/>
  <c r="C13" i="153"/>
  <c r="E9" i="153"/>
  <c r="AC7" i="153"/>
  <c r="AX2" i="153"/>
  <c r="AA2" i="153"/>
  <c r="Z2" i="153"/>
  <c r="C2" i="153"/>
  <c r="BF37" i="152"/>
  <c r="BE37" i="152"/>
  <c r="BC37" i="152"/>
  <c r="BB37" i="152"/>
  <c r="BA37" i="152"/>
  <c r="AZ37" i="152"/>
  <c r="AY37" i="152"/>
  <c r="BF36" i="152"/>
  <c r="BE36" i="152"/>
  <c r="BC36" i="152"/>
  <c r="BB36" i="152"/>
  <c r="BA36" i="152"/>
  <c r="AZ36" i="152"/>
  <c r="AY36" i="152"/>
  <c r="BF35" i="152"/>
  <c r="BE35" i="152"/>
  <c r="BC35" i="152"/>
  <c r="BB35" i="152"/>
  <c r="BA35" i="152"/>
  <c r="AZ35" i="152"/>
  <c r="AY35" i="152"/>
  <c r="BF34" i="152"/>
  <c r="BE34" i="152"/>
  <c r="BC34" i="152"/>
  <c r="BB34" i="152"/>
  <c r="BA34" i="152"/>
  <c r="AZ34" i="152"/>
  <c r="AY34" i="152"/>
  <c r="BF33" i="152"/>
  <c r="BE33" i="152"/>
  <c r="BC33" i="152"/>
  <c r="BB33" i="152"/>
  <c r="BA33" i="152"/>
  <c r="AZ33" i="152"/>
  <c r="AY33" i="152"/>
  <c r="AA31" i="152"/>
  <c r="C31" i="152"/>
  <c r="E9" i="152"/>
  <c r="AC8" i="152"/>
  <c r="E8" i="152"/>
  <c r="AC7" i="152"/>
  <c r="E7" i="152"/>
  <c r="AC6" i="152"/>
  <c r="E6" i="152"/>
  <c r="AC5" i="152"/>
  <c r="E5" i="152"/>
  <c r="BE19" i="152"/>
  <c r="BD19" i="152"/>
  <c r="BC19" i="152"/>
  <c r="BB19" i="152"/>
  <c r="BA19" i="152"/>
  <c r="AZ19" i="152"/>
  <c r="AY19" i="152"/>
  <c r="AX19" i="152"/>
  <c r="BE18" i="152"/>
  <c r="BD18" i="152"/>
  <c r="BC18" i="152"/>
  <c r="BB18" i="152"/>
  <c r="BA18" i="152"/>
  <c r="AZ18" i="152"/>
  <c r="AY18" i="152"/>
  <c r="AX18" i="152"/>
  <c r="BE17" i="152"/>
  <c r="BD17" i="152"/>
  <c r="BC17" i="152"/>
  <c r="BB17" i="152"/>
  <c r="BA17" i="152"/>
  <c r="AZ17" i="152"/>
  <c r="AY17" i="152"/>
  <c r="AX17" i="152"/>
  <c r="BE16" i="152"/>
  <c r="BD16" i="152"/>
  <c r="BD21" i="152" s="1"/>
  <c r="BC16" i="152"/>
  <c r="BB16" i="152"/>
  <c r="BA16" i="152"/>
  <c r="AZ16" i="152"/>
  <c r="AY16" i="152"/>
  <c r="AX16" i="152"/>
  <c r="AA13" i="152"/>
  <c r="C13" i="152"/>
  <c r="AC9" i="152"/>
  <c r="AX2" i="152"/>
  <c r="AA2" i="152"/>
  <c r="Z2" i="152"/>
  <c r="C2" i="152"/>
  <c r="BF37" i="151"/>
  <c r="BE37" i="151"/>
  <c r="BC37" i="151"/>
  <c r="BB37" i="151"/>
  <c r="BA37" i="151"/>
  <c r="AZ37" i="151"/>
  <c r="AY37" i="151"/>
  <c r="BF36" i="151"/>
  <c r="BE36" i="151"/>
  <c r="BC36" i="151"/>
  <c r="BB36" i="151"/>
  <c r="BA36" i="151"/>
  <c r="AZ36" i="151"/>
  <c r="AY36" i="151"/>
  <c r="BF35" i="151"/>
  <c r="BE35" i="151"/>
  <c r="BC35" i="151"/>
  <c r="BB35" i="151"/>
  <c r="BA35" i="151"/>
  <c r="AZ35" i="151"/>
  <c r="AY35" i="151"/>
  <c r="BF34" i="151"/>
  <c r="BE34" i="151"/>
  <c r="BC34" i="151"/>
  <c r="BB34" i="151"/>
  <c r="BA34" i="151"/>
  <c r="AZ34" i="151"/>
  <c r="AY34" i="151"/>
  <c r="BF33" i="151"/>
  <c r="BE33" i="151"/>
  <c r="BC33" i="151"/>
  <c r="BB33" i="151"/>
  <c r="BA33" i="151"/>
  <c r="AZ33" i="151"/>
  <c r="AY33" i="151"/>
  <c r="AA31" i="151"/>
  <c r="C31" i="151"/>
  <c r="E9" i="151"/>
  <c r="E7" i="151"/>
  <c r="AC6" i="151"/>
  <c r="AC5" i="151"/>
  <c r="BE19" i="151"/>
  <c r="BD19" i="151"/>
  <c r="BC19" i="151"/>
  <c r="BB19" i="151"/>
  <c r="BA19" i="151"/>
  <c r="AZ19" i="151"/>
  <c r="AY19" i="151"/>
  <c r="AX19" i="151"/>
  <c r="BE18" i="151"/>
  <c r="BD18" i="151"/>
  <c r="BC18" i="151"/>
  <c r="BB18" i="151"/>
  <c r="BA18" i="151"/>
  <c r="AZ18" i="151"/>
  <c r="AY18" i="151"/>
  <c r="AX18" i="151"/>
  <c r="BE17" i="151"/>
  <c r="BD17" i="151"/>
  <c r="BC17" i="151"/>
  <c r="BB17" i="151"/>
  <c r="BA17" i="151"/>
  <c r="AZ17" i="151"/>
  <c r="AY17" i="151"/>
  <c r="AX17" i="151"/>
  <c r="BE16" i="151"/>
  <c r="BD16" i="151"/>
  <c r="BC16" i="151"/>
  <c r="BB16" i="151"/>
  <c r="BB21" i="151" s="1"/>
  <c r="BA16" i="151"/>
  <c r="AZ16" i="151"/>
  <c r="AY16" i="151"/>
  <c r="AX16" i="151"/>
  <c r="AX21" i="151" s="1"/>
  <c r="AA13" i="151"/>
  <c r="C13" i="151"/>
  <c r="AC9" i="151"/>
  <c r="AC8" i="151"/>
  <c r="E8" i="151"/>
  <c r="AC7" i="151"/>
  <c r="E6" i="151"/>
  <c r="E5" i="151"/>
  <c r="AX2" i="151"/>
  <c r="AA2" i="151"/>
  <c r="Z2" i="151"/>
  <c r="C2" i="151"/>
  <c r="BF37" i="150"/>
  <c r="BE37" i="150"/>
  <c r="BC37" i="150"/>
  <c r="BB37" i="150"/>
  <c r="BA37" i="150"/>
  <c r="AZ37" i="150"/>
  <c r="AY37" i="150"/>
  <c r="BF36" i="150"/>
  <c r="BE36" i="150"/>
  <c r="BC36" i="150"/>
  <c r="BB36" i="150"/>
  <c r="BA36" i="150"/>
  <c r="AZ36" i="150"/>
  <c r="AY36" i="150"/>
  <c r="BF35" i="150"/>
  <c r="BE35" i="150"/>
  <c r="BC35" i="150"/>
  <c r="BB35" i="150"/>
  <c r="BA35" i="150"/>
  <c r="AZ35" i="150"/>
  <c r="AY35" i="150"/>
  <c r="BF34" i="150"/>
  <c r="BE34" i="150"/>
  <c r="BC34" i="150"/>
  <c r="BB34" i="150"/>
  <c r="BA34" i="150"/>
  <c r="AZ34" i="150"/>
  <c r="AY34" i="150"/>
  <c r="BF33" i="150"/>
  <c r="BE33" i="150"/>
  <c r="BC33" i="150"/>
  <c r="BB33" i="150"/>
  <c r="BA33" i="150"/>
  <c r="AZ33" i="150"/>
  <c r="AY33" i="150"/>
  <c r="AA31" i="150"/>
  <c r="C31" i="150"/>
  <c r="AC9" i="150"/>
  <c r="E9" i="150"/>
  <c r="AC8" i="150"/>
  <c r="E8" i="150"/>
  <c r="AC7" i="150"/>
  <c r="E7" i="150"/>
  <c r="BE19" i="150"/>
  <c r="BD19" i="150"/>
  <c r="BC19" i="150"/>
  <c r="BB19" i="150"/>
  <c r="BA19" i="150"/>
  <c r="AZ19" i="150"/>
  <c r="AY19" i="150"/>
  <c r="AX19" i="150"/>
  <c r="BE18" i="150"/>
  <c r="BD18" i="150"/>
  <c r="BC18" i="150"/>
  <c r="BB18" i="150"/>
  <c r="BA18" i="150"/>
  <c r="AZ18" i="150"/>
  <c r="AY18" i="150"/>
  <c r="AX18" i="150"/>
  <c r="BE17" i="150"/>
  <c r="BD17" i="150"/>
  <c r="BC17" i="150"/>
  <c r="BB17" i="150"/>
  <c r="BA17" i="150"/>
  <c r="AZ17" i="150"/>
  <c r="AY17" i="150"/>
  <c r="AX17" i="150"/>
  <c r="BE16" i="150"/>
  <c r="BD16" i="150"/>
  <c r="BC16" i="150"/>
  <c r="BC21" i="150" s="1"/>
  <c r="BB16" i="150"/>
  <c r="BA16" i="150"/>
  <c r="AZ16" i="150"/>
  <c r="AY16" i="150"/>
  <c r="AY21" i="150" s="1"/>
  <c r="AX16" i="150"/>
  <c r="AA13" i="150"/>
  <c r="C13" i="150"/>
  <c r="AC6" i="150"/>
  <c r="E6" i="150"/>
  <c r="AC5" i="150"/>
  <c r="E5" i="150"/>
  <c r="AX2" i="150"/>
  <c r="AA2" i="150"/>
  <c r="Z2" i="150"/>
  <c r="C2" i="150"/>
  <c r="BF37" i="149"/>
  <c r="BE37" i="149"/>
  <c r="BC37" i="149"/>
  <c r="BB37" i="149"/>
  <c r="BA37" i="149"/>
  <c r="AZ37" i="149"/>
  <c r="AY37" i="149"/>
  <c r="BF36" i="149"/>
  <c r="BE36" i="149"/>
  <c r="BC36" i="149"/>
  <c r="BB36" i="149"/>
  <c r="BA36" i="149"/>
  <c r="AZ36" i="149"/>
  <c r="AY36" i="149"/>
  <c r="BF35" i="149"/>
  <c r="BE35" i="149"/>
  <c r="BC35" i="149"/>
  <c r="BB35" i="149"/>
  <c r="BA35" i="149"/>
  <c r="AZ35" i="149"/>
  <c r="AY35" i="149"/>
  <c r="BF34" i="149"/>
  <c r="BE34" i="149"/>
  <c r="BC34" i="149"/>
  <c r="BB34" i="149"/>
  <c r="BA34" i="149"/>
  <c r="AZ34" i="149"/>
  <c r="AY34" i="149"/>
  <c r="BF33" i="149"/>
  <c r="BE33" i="149"/>
  <c r="BC33" i="149"/>
  <c r="BB33" i="149"/>
  <c r="BA33" i="149"/>
  <c r="AZ33" i="149"/>
  <c r="AY33" i="149"/>
  <c r="AA31" i="149"/>
  <c r="C31" i="149"/>
  <c r="E9" i="149"/>
  <c r="AC8" i="149"/>
  <c r="AC7" i="149"/>
  <c r="E7" i="149"/>
  <c r="AC6" i="149"/>
  <c r="AC5" i="149"/>
  <c r="E5" i="149"/>
  <c r="BE19" i="149"/>
  <c r="BD19" i="149"/>
  <c r="BC19" i="149"/>
  <c r="BB19" i="149"/>
  <c r="BA19" i="149"/>
  <c r="AZ19" i="149"/>
  <c r="AY19" i="149"/>
  <c r="AX19" i="149"/>
  <c r="BE18" i="149"/>
  <c r="BD18" i="149"/>
  <c r="BC18" i="149"/>
  <c r="BB18" i="149"/>
  <c r="BA18" i="149"/>
  <c r="AZ18" i="149"/>
  <c r="AY18" i="149"/>
  <c r="AX18" i="149"/>
  <c r="BE17" i="149"/>
  <c r="BD17" i="149"/>
  <c r="BC17" i="149"/>
  <c r="BB17" i="149"/>
  <c r="BA17" i="149"/>
  <c r="AZ17" i="149"/>
  <c r="AY17" i="149"/>
  <c r="AX17" i="149"/>
  <c r="BE16" i="149"/>
  <c r="BD16" i="149"/>
  <c r="BC16" i="149"/>
  <c r="BC21" i="149" s="1"/>
  <c r="BB16" i="149"/>
  <c r="BB21" i="149" s="1"/>
  <c r="BA16" i="149"/>
  <c r="AZ16" i="149"/>
  <c r="AY16" i="149"/>
  <c r="AY21" i="149" s="1"/>
  <c r="AX16" i="149"/>
  <c r="AA13" i="149"/>
  <c r="C13" i="149"/>
  <c r="AC9" i="149"/>
  <c r="E8" i="149"/>
  <c r="E6" i="149"/>
  <c r="AX2" i="149"/>
  <c r="AA2" i="149"/>
  <c r="Z2" i="149"/>
  <c r="C2" i="149"/>
  <c r="BF37" i="144"/>
  <c r="BE37" i="144"/>
  <c r="BC37" i="144"/>
  <c r="BB37" i="144"/>
  <c r="BA37" i="144"/>
  <c r="AZ37" i="144"/>
  <c r="AY37" i="144"/>
  <c r="BF36" i="144"/>
  <c r="BE36" i="144"/>
  <c r="BC36" i="144"/>
  <c r="BB36" i="144"/>
  <c r="BA36" i="144"/>
  <c r="AZ36" i="144"/>
  <c r="AY36" i="144"/>
  <c r="BF35" i="144"/>
  <c r="BE35" i="144"/>
  <c r="BC35" i="144"/>
  <c r="BB35" i="144"/>
  <c r="BA35" i="144"/>
  <c r="AZ35" i="144"/>
  <c r="AY35" i="144"/>
  <c r="BF34" i="144"/>
  <c r="BE34" i="144"/>
  <c r="BC34" i="144"/>
  <c r="BB34" i="144"/>
  <c r="BA34" i="144"/>
  <c r="AZ34" i="144"/>
  <c r="AY34" i="144"/>
  <c r="BF33" i="144"/>
  <c r="BE33" i="144"/>
  <c r="BC33" i="144"/>
  <c r="BB33" i="144"/>
  <c r="BA33" i="144"/>
  <c r="AZ33" i="144"/>
  <c r="AY33" i="144"/>
  <c r="AA31" i="144"/>
  <c r="C31" i="144"/>
  <c r="AC9" i="144"/>
  <c r="E9" i="144"/>
  <c r="AC8" i="144"/>
  <c r="AC7" i="144"/>
  <c r="E7" i="144"/>
  <c r="AC6" i="144"/>
  <c r="E6" i="144"/>
  <c r="AC5" i="144"/>
  <c r="E5" i="144"/>
  <c r="BE19" i="144"/>
  <c r="BD19" i="144"/>
  <c r="BC19" i="144"/>
  <c r="BB19" i="144"/>
  <c r="BA19" i="144"/>
  <c r="AZ19" i="144"/>
  <c r="AY19" i="144"/>
  <c r="AX19" i="144"/>
  <c r="BE18" i="144"/>
  <c r="BD18" i="144"/>
  <c r="BC18" i="144"/>
  <c r="BB18" i="144"/>
  <c r="BA18" i="144"/>
  <c r="AZ18" i="144"/>
  <c r="AY18" i="144"/>
  <c r="AX18" i="144"/>
  <c r="BE17" i="144"/>
  <c r="BD17" i="144"/>
  <c r="BC17" i="144"/>
  <c r="BB17" i="144"/>
  <c r="BA17" i="144"/>
  <c r="AZ17" i="144"/>
  <c r="AY17" i="144"/>
  <c r="AX17" i="144"/>
  <c r="BE16" i="144"/>
  <c r="BD16" i="144"/>
  <c r="BC16" i="144"/>
  <c r="BB16" i="144"/>
  <c r="BA16" i="144"/>
  <c r="AZ16" i="144"/>
  <c r="AZ21" i="144" s="1"/>
  <c r="AY16" i="144"/>
  <c r="AY21" i="144" s="1"/>
  <c r="AX16" i="144"/>
  <c r="AA13" i="144"/>
  <c r="C13" i="144"/>
  <c r="E8" i="144"/>
  <c r="AX2" i="144"/>
  <c r="AA2" i="144"/>
  <c r="Z2" i="144"/>
  <c r="C2" i="144"/>
  <c r="BF37" i="143"/>
  <c r="BE37" i="143"/>
  <c r="BC37" i="143"/>
  <c r="BB37" i="143"/>
  <c r="BA37" i="143"/>
  <c r="AZ37" i="143"/>
  <c r="AY37" i="143"/>
  <c r="BF36" i="143"/>
  <c r="BE36" i="143"/>
  <c r="BC36" i="143"/>
  <c r="BB36" i="143"/>
  <c r="BA36" i="143"/>
  <c r="AZ36" i="143"/>
  <c r="AY36" i="143"/>
  <c r="BF35" i="143"/>
  <c r="BE35" i="143"/>
  <c r="BC35" i="143"/>
  <c r="BB35" i="143"/>
  <c r="BA35" i="143"/>
  <c r="AZ35" i="143"/>
  <c r="AY35" i="143"/>
  <c r="BF34" i="143"/>
  <c r="BE34" i="143"/>
  <c r="BC34" i="143"/>
  <c r="BB34" i="143"/>
  <c r="BA34" i="143"/>
  <c r="AZ34" i="143"/>
  <c r="AY34" i="143"/>
  <c r="BF33" i="143"/>
  <c r="BE33" i="143"/>
  <c r="BC33" i="143"/>
  <c r="BB33" i="143"/>
  <c r="BA33" i="143"/>
  <c r="AZ33" i="143"/>
  <c r="AY33" i="143"/>
  <c r="AA31" i="143"/>
  <c r="C31" i="143"/>
  <c r="AC9" i="143"/>
  <c r="AC8" i="143"/>
  <c r="E8" i="143"/>
  <c r="AC7" i="143"/>
  <c r="E7" i="143"/>
  <c r="AC5" i="143"/>
  <c r="E5" i="143"/>
  <c r="BE19" i="143"/>
  <c r="BD19" i="143"/>
  <c r="BC19" i="143"/>
  <c r="BB19" i="143"/>
  <c r="BA19" i="143"/>
  <c r="AZ19" i="143"/>
  <c r="AY19" i="143"/>
  <c r="AX19" i="143"/>
  <c r="BE18" i="143"/>
  <c r="BD18" i="143"/>
  <c r="BC18" i="143"/>
  <c r="BB18" i="143"/>
  <c r="BA18" i="143"/>
  <c r="AZ18" i="143"/>
  <c r="AY18" i="143"/>
  <c r="AX18" i="143"/>
  <c r="BE17" i="143"/>
  <c r="BD17" i="143"/>
  <c r="BC17" i="143"/>
  <c r="BB17" i="143"/>
  <c r="BA17" i="143"/>
  <c r="AZ17" i="143"/>
  <c r="AZ21" i="143" s="1"/>
  <c r="AY17" i="143"/>
  <c r="AX17" i="143"/>
  <c r="BE16" i="143"/>
  <c r="BD16" i="143"/>
  <c r="BC16" i="143"/>
  <c r="BB16" i="143"/>
  <c r="BA16" i="143"/>
  <c r="AZ16" i="143"/>
  <c r="AY16" i="143"/>
  <c r="AX16" i="143"/>
  <c r="AA13" i="143"/>
  <c r="C13" i="143"/>
  <c r="E9" i="143"/>
  <c r="AC6" i="143"/>
  <c r="E6" i="143"/>
  <c r="AX2" i="143"/>
  <c r="AA2" i="143"/>
  <c r="Z2" i="143"/>
  <c r="C2" i="143"/>
  <c r="BF37" i="142"/>
  <c r="BE37" i="142"/>
  <c r="BC37" i="142"/>
  <c r="BB37" i="142"/>
  <c r="BA37" i="142"/>
  <c r="AZ37" i="142"/>
  <c r="AY37" i="142"/>
  <c r="BF36" i="142"/>
  <c r="BE36" i="142"/>
  <c r="BC36" i="142"/>
  <c r="BB36" i="142"/>
  <c r="BA36" i="142"/>
  <c r="AZ36" i="142"/>
  <c r="AY36" i="142"/>
  <c r="BF35" i="142"/>
  <c r="BE35" i="142"/>
  <c r="BC35" i="142"/>
  <c r="BB35" i="142"/>
  <c r="BA35" i="142"/>
  <c r="AZ35" i="142"/>
  <c r="AY35" i="142"/>
  <c r="BF34" i="142"/>
  <c r="BE34" i="142"/>
  <c r="BC34" i="142"/>
  <c r="BB34" i="142"/>
  <c r="BA34" i="142"/>
  <c r="AZ34" i="142"/>
  <c r="AY34" i="142"/>
  <c r="BF33" i="142"/>
  <c r="BE33" i="142"/>
  <c r="BC33" i="142"/>
  <c r="BB33" i="142"/>
  <c r="BA33" i="142"/>
  <c r="AZ33" i="142"/>
  <c r="AY33" i="142"/>
  <c r="AA31" i="142"/>
  <c r="C31" i="142"/>
  <c r="AC9" i="142"/>
  <c r="E9" i="142"/>
  <c r="AC8" i="142"/>
  <c r="E8" i="142"/>
  <c r="E6" i="142"/>
  <c r="AC5" i="142"/>
  <c r="E5" i="142"/>
  <c r="BE19" i="142"/>
  <c r="BD19" i="142"/>
  <c r="BC19" i="142"/>
  <c r="BB19" i="142"/>
  <c r="BA19" i="142"/>
  <c r="AZ19" i="142"/>
  <c r="AY19" i="142"/>
  <c r="AX19" i="142"/>
  <c r="BE18" i="142"/>
  <c r="BD18" i="142"/>
  <c r="BC18" i="142"/>
  <c r="BB18" i="142"/>
  <c r="BA18" i="142"/>
  <c r="AZ18" i="142"/>
  <c r="AY18" i="142"/>
  <c r="AX18" i="142"/>
  <c r="BE17" i="142"/>
  <c r="BD17" i="142"/>
  <c r="BC17" i="142"/>
  <c r="BB17" i="142"/>
  <c r="BA17" i="142"/>
  <c r="AZ17" i="142"/>
  <c r="AY17" i="142"/>
  <c r="AX17" i="142"/>
  <c r="BE16" i="142"/>
  <c r="BD16" i="142"/>
  <c r="BC16" i="142"/>
  <c r="BB16" i="142"/>
  <c r="BA16" i="142"/>
  <c r="AZ16" i="142"/>
  <c r="AY16" i="142"/>
  <c r="AX16" i="142"/>
  <c r="AX21" i="142" s="1"/>
  <c r="AA13" i="142"/>
  <c r="C13" i="142"/>
  <c r="AC7" i="142"/>
  <c r="E7" i="142"/>
  <c r="AC6" i="142"/>
  <c r="AX2" i="142"/>
  <c r="AA2" i="142"/>
  <c r="Z2" i="142"/>
  <c r="C2" i="142"/>
  <c r="BF37" i="141"/>
  <c r="BE37" i="141"/>
  <c r="BC37" i="141"/>
  <c r="BB37" i="141"/>
  <c r="BA37" i="141"/>
  <c r="AZ37" i="141"/>
  <c r="AY37" i="141"/>
  <c r="BF36" i="141"/>
  <c r="BE36" i="141"/>
  <c r="BC36" i="141"/>
  <c r="BB36" i="141"/>
  <c r="BA36" i="141"/>
  <c r="AZ36" i="141"/>
  <c r="AY36" i="141"/>
  <c r="BF35" i="141"/>
  <c r="BE35" i="141"/>
  <c r="BC35" i="141"/>
  <c r="BB35" i="141"/>
  <c r="BA35" i="141"/>
  <c r="AZ35" i="141"/>
  <c r="AY35" i="141"/>
  <c r="BF34" i="141"/>
  <c r="BE34" i="141"/>
  <c r="BC34" i="141"/>
  <c r="BB34" i="141"/>
  <c r="BA34" i="141"/>
  <c r="AZ34" i="141"/>
  <c r="AY34" i="141"/>
  <c r="BF33" i="141"/>
  <c r="BE33" i="141"/>
  <c r="BC33" i="141"/>
  <c r="BB33" i="141"/>
  <c r="BA33" i="141"/>
  <c r="AZ33" i="141"/>
  <c r="AY33" i="141"/>
  <c r="AA31" i="141"/>
  <c r="C31" i="141"/>
  <c r="AC9" i="141"/>
  <c r="E9" i="141"/>
  <c r="E8" i="141"/>
  <c r="AC7" i="141"/>
  <c r="E7" i="141"/>
  <c r="AC6" i="141"/>
  <c r="E6" i="141"/>
  <c r="AC5" i="141"/>
  <c r="E5" i="141"/>
  <c r="BE19" i="141"/>
  <c r="BD19" i="141"/>
  <c r="BC19" i="141"/>
  <c r="BB19" i="141"/>
  <c r="BA19" i="141"/>
  <c r="AZ19" i="141"/>
  <c r="AY19" i="141"/>
  <c r="AX19" i="141"/>
  <c r="BE18" i="141"/>
  <c r="BD18" i="141"/>
  <c r="BC18" i="141"/>
  <c r="BB18" i="141"/>
  <c r="BA18" i="141"/>
  <c r="AZ18" i="141"/>
  <c r="AY18" i="141"/>
  <c r="AX18" i="141"/>
  <c r="BE17" i="141"/>
  <c r="BD17" i="141"/>
  <c r="BC17" i="141"/>
  <c r="BB17" i="141"/>
  <c r="BA17" i="141"/>
  <c r="AZ17" i="141"/>
  <c r="AY17" i="141"/>
  <c r="AX17" i="141"/>
  <c r="BE16" i="141"/>
  <c r="BD16" i="141"/>
  <c r="BC16" i="141"/>
  <c r="BB16" i="141"/>
  <c r="BA16" i="141"/>
  <c r="AZ16" i="141"/>
  <c r="AY16" i="141"/>
  <c r="AX16" i="141"/>
  <c r="AA13" i="141"/>
  <c r="C13" i="141"/>
  <c r="AC8" i="141"/>
  <c r="AX2" i="141"/>
  <c r="AA2" i="141"/>
  <c r="Z2" i="141"/>
  <c r="C2" i="141"/>
  <c r="BC5" i="161"/>
  <c r="AZ5" i="154"/>
  <c r="AZ5" i="161"/>
  <c r="AZ5" i="164"/>
  <c r="AZ5" i="163"/>
  <c r="BA5" i="154"/>
  <c r="AZ5" i="149"/>
  <c r="BC5" i="154"/>
  <c r="BA5" i="159"/>
  <c r="AY5" i="163"/>
  <c r="BA5" i="141"/>
  <c r="AZ5" i="162"/>
  <c r="AZ5" i="159"/>
  <c r="AZ5" i="150"/>
  <c r="AY5" i="152"/>
  <c r="AY5" i="159"/>
  <c r="AY5" i="144"/>
  <c r="AY5" i="155"/>
  <c r="BA5" i="144"/>
  <c r="BC5" i="150"/>
  <c r="AZ5" i="143"/>
  <c r="BA5" i="150"/>
  <c r="BA5" i="155"/>
  <c r="BA5" i="156"/>
  <c r="AZ5" i="142"/>
  <c r="AY5" i="161"/>
  <c r="BC5" i="156"/>
  <c r="BC5" i="164"/>
  <c r="BA5" i="164"/>
  <c r="AZ5" i="157"/>
  <c r="AZ5" i="141"/>
  <c r="AZ5" i="160"/>
  <c r="BC5" i="155"/>
  <c r="BC5" i="163"/>
  <c r="AY5" i="150"/>
  <c r="BC5" i="141"/>
  <c r="BC5" i="158"/>
  <c r="BA5" i="143"/>
  <c r="AY5" i="149"/>
  <c r="AY5" i="153"/>
  <c r="BA5" i="163"/>
  <c r="BC5" i="142"/>
  <c r="BA5" i="160"/>
  <c r="AY5" i="164"/>
  <c r="BC5" i="152"/>
  <c r="BC5" i="151"/>
  <c r="BA5" i="162"/>
  <c r="BC5" i="144"/>
  <c r="AZ5" i="152"/>
  <c r="AZ5" i="156"/>
  <c r="AZ5" i="151"/>
  <c r="BA5" i="158"/>
  <c r="BA5" i="153"/>
  <c r="AY5" i="156"/>
  <c r="AY5" i="162"/>
  <c r="BA5" i="157"/>
  <c r="AY5" i="151"/>
  <c r="BC5" i="162"/>
  <c r="BC5" i="149"/>
  <c r="BA5" i="161"/>
  <c r="AY5" i="141"/>
  <c r="AY5" i="154"/>
  <c r="BC5" i="157"/>
  <c r="BA5" i="152"/>
  <c r="BA5" i="151"/>
  <c r="BA5" i="149"/>
  <c r="AY5" i="143"/>
  <c r="AZ5" i="153"/>
  <c r="AZ5" i="155"/>
  <c r="AZ5" i="144"/>
  <c r="BC5" i="160"/>
  <c r="BC5" i="159"/>
  <c r="AY5" i="157"/>
  <c r="AY5" i="142"/>
  <c r="AY5" i="158"/>
  <c r="AZ5" i="158"/>
  <c r="BC5" i="153"/>
  <c r="AY5" i="160"/>
  <c r="BA5" i="142"/>
  <c r="BC5" i="143"/>
  <c r="BD21" i="141" l="1"/>
  <c r="BA21" i="160"/>
  <c r="AZ21" i="162"/>
  <c r="BA21" i="163"/>
  <c r="BA21" i="153"/>
  <c r="AY21" i="154"/>
  <c r="AX21" i="155"/>
  <c r="AX21" i="157"/>
  <c r="AZ21" i="158"/>
  <c r="BC21" i="159"/>
  <c r="AX21" i="149"/>
  <c r="AX21" i="150"/>
  <c r="BB21" i="153"/>
  <c r="AZ21" i="154"/>
  <c r="AY21" i="155"/>
  <c r="AX21" i="156"/>
  <c r="AY21" i="157"/>
  <c r="BA21" i="158"/>
  <c r="BD21" i="159"/>
  <c r="AZ21" i="149"/>
  <c r="AY21" i="151"/>
  <c r="BB21" i="154"/>
  <c r="BA21" i="155"/>
  <c r="AZ21" i="156"/>
  <c r="BA21" i="157"/>
  <c r="BC21" i="158"/>
  <c r="AX21" i="144"/>
  <c r="BA21" i="149"/>
  <c r="AZ21" i="151"/>
  <c r="BC21" i="154"/>
  <c r="BB21" i="155"/>
  <c r="BA21" i="156"/>
  <c r="BB21" i="157"/>
  <c r="BD21" i="158"/>
  <c r="AY21" i="142"/>
  <c r="BA21" i="144"/>
  <c r="BD21" i="156"/>
  <c r="AY21" i="141"/>
  <c r="AY21" i="143"/>
  <c r="BC21" i="144"/>
  <c r="BE21" i="151"/>
  <c r="BB21" i="142"/>
  <c r="BD21" i="144"/>
  <c r="AX21" i="164"/>
  <c r="BA21" i="142"/>
  <c r="BA21" i="141"/>
  <c r="BA21" i="143"/>
  <c r="BC21" i="142"/>
  <c r="BB21" i="143"/>
  <c r="BE21" i="144"/>
  <c r="AY21" i="164"/>
  <c r="AX21" i="143"/>
  <c r="BD21" i="149"/>
  <c r="BC21" i="141"/>
  <c r="BD21" i="142"/>
  <c r="BC21" i="143"/>
  <c r="AZ21" i="164"/>
  <c r="AX21" i="141"/>
  <c r="BE21" i="155"/>
  <c r="BE21" i="157"/>
  <c r="AZ21" i="142"/>
  <c r="BB21" i="144"/>
  <c r="BE21" i="149"/>
  <c r="BE21" i="150"/>
  <c r="BE21" i="156"/>
  <c r="AZ21" i="141"/>
  <c r="BB21" i="141"/>
  <c r="BE21" i="142"/>
  <c r="BD21" i="143"/>
  <c r="AX21" i="160"/>
  <c r="AX21" i="163"/>
  <c r="BA21" i="164"/>
  <c r="BE21" i="141"/>
  <c r="BE21" i="143"/>
  <c r="AY21" i="160"/>
  <c r="AX21" i="161"/>
  <c r="AY21" i="163"/>
  <c r="BB21" i="164"/>
  <c r="AX21" i="153"/>
  <c r="AZ21" i="159"/>
  <c r="BD21" i="160"/>
  <c r="BC21" i="161"/>
  <c r="BC21" i="162"/>
  <c r="BD21" i="163"/>
  <c r="AY21" i="153"/>
  <c r="AX21" i="158"/>
  <c r="BA21" i="159"/>
  <c r="BD21" i="161"/>
  <c r="BD21" i="162"/>
  <c r="BE21" i="163"/>
  <c r="AZ21" i="153"/>
  <c r="AX21" i="154"/>
  <c r="AY21" i="158"/>
  <c r="BB21" i="159"/>
  <c r="BE21" i="161"/>
  <c r="BE21" i="162"/>
  <c r="BA21" i="151"/>
  <c r="BD21" i="153"/>
  <c r="BC21" i="151"/>
  <c r="AX21" i="152"/>
  <c r="BD21" i="151"/>
  <c r="AY21" i="152"/>
  <c r="AZ21" i="152"/>
  <c r="AZ21" i="150"/>
  <c r="BA21" i="152"/>
  <c r="BA21" i="150"/>
  <c r="BB21" i="152"/>
  <c r="BB21" i="150"/>
  <c r="BC21" i="152"/>
  <c r="BD21" i="150"/>
  <c r="BE21" i="152"/>
  <c r="BB16" i="106"/>
  <c r="BB21" i="106" s="1"/>
  <c r="BB17" i="106"/>
  <c r="BB18" i="106"/>
  <c r="BB19" i="106"/>
  <c r="BB33" i="106"/>
  <c r="BB34" i="106"/>
  <c r="BB35" i="106"/>
  <c r="BB36" i="106"/>
  <c r="BB37" i="106"/>
  <c r="AA31" i="106" l="1"/>
  <c r="C31" i="106"/>
  <c r="M134" i="78"/>
  <c r="M135" i="78" s="1"/>
  <c r="L134" i="78"/>
  <c r="L135" i="78" s="1"/>
  <c r="M233" i="79"/>
  <c r="L233" i="79"/>
  <c r="M222" i="79"/>
  <c r="L222" i="79"/>
  <c r="M211" i="79"/>
  <c r="L211" i="79"/>
  <c r="M200" i="79"/>
  <c r="L200" i="79"/>
  <c r="M189" i="79"/>
  <c r="L189" i="79"/>
  <c r="M178" i="79"/>
  <c r="L178" i="79"/>
  <c r="M167" i="79"/>
  <c r="L167" i="79"/>
  <c r="M156" i="79"/>
  <c r="L156" i="79"/>
  <c r="M145" i="79"/>
  <c r="L145" i="79"/>
  <c r="M134" i="79"/>
  <c r="L134" i="79"/>
  <c r="M123" i="79"/>
  <c r="L123" i="79"/>
  <c r="M112" i="79"/>
  <c r="L112" i="79"/>
  <c r="M101" i="79"/>
  <c r="L101" i="79"/>
  <c r="M90" i="79"/>
  <c r="L90" i="79"/>
  <c r="M79" i="79"/>
  <c r="L79" i="79"/>
  <c r="M68" i="79"/>
  <c r="L68" i="79"/>
  <c r="M57" i="79"/>
  <c r="L57" i="79"/>
  <c r="M46" i="79"/>
  <c r="L46" i="79"/>
  <c r="L37" i="79"/>
  <c r="M35" i="79"/>
  <c r="L35" i="79"/>
  <c r="L26" i="79"/>
  <c r="M24" i="79"/>
  <c r="L24" i="79"/>
  <c r="M233" i="78"/>
  <c r="L233" i="78"/>
  <c r="M222" i="78"/>
  <c r="L222" i="78"/>
  <c r="M211" i="78"/>
  <c r="L211" i="78"/>
  <c r="M200" i="78"/>
  <c r="L200" i="78"/>
  <c r="M189" i="78"/>
  <c r="L189" i="78"/>
  <c r="M178" i="78"/>
  <c r="L178" i="78"/>
  <c r="M167" i="78"/>
  <c r="L167" i="78"/>
  <c r="M156" i="78"/>
  <c r="L156" i="78"/>
  <c r="M145" i="78"/>
  <c r="L145" i="78"/>
  <c r="M123" i="78"/>
  <c r="L123" i="78"/>
  <c r="M112" i="78"/>
  <c r="L112" i="78"/>
  <c r="M101" i="78"/>
  <c r="L101" i="78"/>
  <c r="M90" i="78"/>
  <c r="L90" i="78"/>
  <c r="M79" i="78"/>
  <c r="L79" i="78"/>
  <c r="M68" i="78"/>
  <c r="L68" i="78"/>
  <c r="M57" i="78"/>
  <c r="L57" i="78"/>
  <c r="M46" i="78"/>
  <c r="L46" i="78"/>
  <c r="M35" i="78"/>
  <c r="L35" i="78"/>
  <c r="B227" i="79"/>
  <c r="F224" i="79"/>
  <c r="F217" i="79"/>
  <c r="F218" i="79" s="1"/>
  <c r="F219" i="79" s="1"/>
  <c r="F220" i="79" s="1"/>
  <c r="B216" i="79"/>
  <c r="B217" i="79" s="1"/>
  <c r="F213" i="79"/>
  <c r="F216" i="79" s="1"/>
  <c r="B205" i="79"/>
  <c r="F202" i="79"/>
  <c r="F205" i="79" s="1"/>
  <c r="F206" i="79" s="1"/>
  <c r="F207" i="79" s="1"/>
  <c r="F208" i="79" s="1"/>
  <c r="F209" i="79" s="1"/>
  <c r="B194" i="79"/>
  <c r="F191" i="79"/>
  <c r="F194" i="79" s="1"/>
  <c r="F195" i="79" s="1"/>
  <c r="F196" i="79" s="1"/>
  <c r="F197" i="79" s="1"/>
  <c r="F198" i="79" s="1"/>
  <c r="B183" i="79"/>
  <c r="F180" i="79"/>
  <c r="F183" i="79" s="1"/>
  <c r="F184" i="79" s="1"/>
  <c r="F185" i="79" s="1"/>
  <c r="F186" i="79" s="1"/>
  <c r="F187" i="79" s="1"/>
  <c r="B172" i="79"/>
  <c r="B173" i="79" s="1"/>
  <c r="F169" i="79"/>
  <c r="F172" i="79" s="1"/>
  <c r="F173" i="79" s="1"/>
  <c r="F174" i="79" s="1"/>
  <c r="F175" i="79" s="1"/>
  <c r="F176" i="79" s="1"/>
  <c r="B161" i="79"/>
  <c r="B162" i="79" s="1"/>
  <c r="F158" i="79"/>
  <c r="L158" i="79" s="1"/>
  <c r="B150" i="79"/>
  <c r="B151" i="79" s="1"/>
  <c r="F147" i="79"/>
  <c r="F150" i="79" s="1"/>
  <c r="F151" i="79" s="1"/>
  <c r="F152" i="79" s="1"/>
  <c r="F153" i="79" s="1"/>
  <c r="F154" i="79" s="1"/>
  <c r="B139" i="79"/>
  <c r="B140" i="79" s="1"/>
  <c r="B141" i="79" s="1"/>
  <c r="F136" i="79"/>
  <c r="B128" i="79"/>
  <c r="F125" i="79"/>
  <c r="F128" i="79" s="1"/>
  <c r="F129" i="79" s="1"/>
  <c r="F130" i="79" s="1"/>
  <c r="F131" i="79" s="1"/>
  <c r="F132" i="79" s="1"/>
  <c r="B117" i="79"/>
  <c r="F114" i="79"/>
  <c r="F117" i="79" s="1"/>
  <c r="F118" i="79" s="1"/>
  <c r="F119" i="79" s="1"/>
  <c r="F120" i="79" s="1"/>
  <c r="F121" i="79" s="1"/>
  <c r="B106" i="79"/>
  <c r="F103" i="79"/>
  <c r="F106" i="79" s="1"/>
  <c r="F107" i="79" s="1"/>
  <c r="F108" i="79" s="1"/>
  <c r="F109" i="79" s="1"/>
  <c r="F110" i="79" s="1"/>
  <c r="B95" i="79"/>
  <c r="B96" i="79" s="1"/>
  <c r="F92" i="79"/>
  <c r="L92" i="79" s="1"/>
  <c r="B84" i="79"/>
  <c r="F81" i="79"/>
  <c r="B73" i="79"/>
  <c r="F70" i="79"/>
  <c r="F73" i="79" s="1"/>
  <c r="F74" i="79" s="1"/>
  <c r="F75" i="79" s="1"/>
  <c r="F76" i="79" s="1"/>
  <c r="F77" i="79" s="1"/>
  <c r="B62" i="79"/>
  <c r="F59" i="79"/>
  <c r="F62" i="79" s="1"/>
  <c r="F63" i="79" s="1"/>
  <c r="F64" i="79" s="1"/>
  <c r="F65" i="79" s="1"/>
  <c r="F66" i="79" s="1"/>
  <c r="B51" i="79"/>
  <c r="F48" i="79"/>
  <c r="B40" i="79"/>
  <c r="B41" i="79" s="1"/>
  <c r="F37" i="79"/>
  <c r="F40" i="79" s="1"/>
  <c r="F41" i="79" s="1"/>
  <c r="F42" i="79" s="1"/>
  <c r="F43" i="79" s="1"/>
  <c r="F44" i="79" s="1"/>
  <c r="B29" i="79"/>
  <c r="F26" i="79"/>
  <c r="F29" i="79" s="1"/>
  <c r="F30" i="79" s="1"/>
  <c r="F31" i="79" s="1"/>
  <c r="F32" i="79" s="1"/>
  <c r="F33" i="79" s="1"/>
  <c r="B18" i="79"/>
  <c r="F15" i="79"/>
  <c r="F18" i="79" s="1"/>
  <c r="F19" i="79" s="1"/>
  <c r="F20" i="79" s="1"/>
  <c r="F21" i="79" s="1"/>
  <c r="F22" i="79" s="1"/>
  <c r="B7" i="79"/>
  <c r="B8" i="79" s="1"/>
  <c r="B9" i="79" s="1"/>
  <c r="B10" i="79" s="1"/>
  <c r="F4" i="79"/>
  <c r="F7" i="79" s="1"/>
  <c r="F8" i="79" s="1"/>
  <c r="F9" i="79" s="1"/>
  <c r="F10" i="79" s="1"/>
  <c r="F11" i="79" s="1"/>
  <c r="B227" i="78"/>
  <c r="F224" i="78"/>
  <c r="L224" i="78" s="1"/>
  <c r="B216" i="78"/>
  <c r="F213" i="78"/>
  <c r="L213" i="78" s="1"/>
  <c r="B205" i="78"/>
  <c r="F202" i="78"/>
  <c r="F205" i="78" s="1"/>
  <c r="F206" i="78" s="1"/>
  <c r="F207" i="78" s="1"/>
  <c r="F208" i="78" s="1"/>
  <c r="F209" i="78" s="1"/>
  <c r="B194" i="78"/>
  <c r="B195" i="78" s="1"/>
  <c r="F191" i="78"/>
  <c r="F194" i="78" s="1"/>
  <c r="F195" i="78" s="1"/>
  <c r="F196" i="78" s="1"/>
  <c r="F197" i="78" s="1"/>
  <c r="F198" i="78" s="1"/>
  <c r="B183" i="78"/>
  <c r="F180" i="78"/>
  <c r="F183" i="78" s="1"/>
  <c r="F184" i="78" s="1"/>
  <c r="F185" i="78" s="1"/>
  <c r="F186" i="78" s="1"/>
  <c r="F187" i="78" s="1"/>
  <c r="B172" i="78"/>
  <c r="B173" i="78" s="1"/>
  <c r="F169" i="78"/>
  <c r="F172" i="78" s="1"/>
  <c r="F173" i="78" s="1"/>
  <c r="F174" i="78" s="1"/>
  <c r="F175" i="78" s="1"/>
  <c r="F176" i="78" s="1"/>
  <c r="B161" i="78"/>
  <c r="B162" i="78" s="1"/>
  <c r="F158" i="78"/>
  <c r="L158" i="78" s="1"/>
  <c r="B150" i="78"/>
  <c r="B151" i="78" s="1"/>
  <c r="F147" i="78"/>
  <c r="F150" i="78" s="1"/>
  <c r="F151" i="78" s="1"/>
  <c r="F152" i="78" s="1"/>
  <c r="F153" i="78" s="1"/>
  <c r="F154" i="78" s="1"/>
  <c r="B139" i="78"/>
  <c r="B140" i="78" s="1"/>
  <c r="F136" i="78"/>
  <c r="F139" i="78" s="1"/>
  <c r="F140" i="78" s="1"/>
  <c r="F141" i="78" s="1"/>
  <c r="F142" i="78" s="1"/>
  <c r="F143" i="78" s="1"/>
  <c r="B128" i="78"/>
  <c r="F125" i="78"/>
  <c r="B117" i="78"/>
  <c r="F114" i="78"/>
  <c r="F117" i="78" s="1"/>
  <c r="F118" i="78" s="1"/>
  <c r="F119" i="78" s="1"/>
  <c r="F120" i="78" s="1"/>
  <c r="F121" i="78" s="1"/>
  <c r="B106" i="78"/>
  <c r="F103" i="78"/>
  <c r="L103" i="78" s="1"/>
  <c r="B95" i="78"/>
  <c r="B96" i="78" s="1"/>
  <c r="B97" i="78" s="1"/>
  <c r="F92" i="78"/>
  <c r="L92" i="78" s="1"/>
  <c r="B84" i="78"/>
  <c r="B85" i="78" s="1"/>
  <c r="B86" i="78" s="1"/>
  <c r="F81" i="78"/>
  <c r="B73" i="78"/>
  <c r="B74" i="78" s="1"/>
  <c r="B75" i="78" s="1"/>
  <c r="B76" i="78" s="1"/>
  <c r="F70" i="78"/>
  <c r="F73" i="78" s="1"/>
  <c r="F74" i="78" s="1"/>
  <c r="F75" i="78" s="1"/>
  <c r="F76" i="78" s="1"/>
  <c r="F77" i="78" s="1"/>
  <c r="B62" i="78"/>
  <c r="F59" i="78"/>
  <c r="F62" i="78" s="1"/>
  <c r="F63" i="78" s="1"/>
  <c r="F64" i="78" s="1"/>
  <c r="F65" i="78" s="1"/>
  <c r="F66" i="78" s="1"/>
  <c r="B51" i="78"/>
  <c r="B52" i="78" s="1"/>
  <c r="F48" i="78"/>
  <c r="F51" i="78" s="1"/>
  <c r="F52" i="78" s="1"/>
  <c r="F53" i="78" s="1"/>
  <c r="F54" i="78" s="1"/>
  <c r="F55" i="78" s="1"/>
  <c r="B40" i="78"/>
  <c r="F37" i="78"/>
  <c r="L37" i="78" s="1"/>
  <c r="B29" i="78"/>
  <c r="F26" i="78"/>
  <c r="F29" i="78" s="1"/>
  <c r="F30" i="78" s="1"/>
  <c r="F31" i="78" s="1"/>
  <c r="F32" i="78" s="1"/>
  <c r="F33" i="78" s="1"/>
  <c r="B18" i="78"/>
  <c r="F15" i="78"/>
  <c r="B7" i="78"/>
  <c r="F4" i="78"/>
  <c r="F7" i="78" s="1"/>
  <c r="F8" i="78" s="1"/>
  <c r="F9" i="78" s="1"/>
  <c r="F10" i="78" s="1"/>
  <c r="F11" i="78" s="1"/>
  <c r="M24" i="78"/>
  <c r="L24" i="78"/>
  <c r="F136" i="61"/>
  <c r="L136" i="61" s="1"/>
  <c r="B139" i="61"/>
  <c r="L48" i="78" l="1"/>
  <c r="F161" i="79"/>
  <c r="F162" i="79" s="1"/>
  <c r="F163" i="79" s="1"/>
  <c r="F164" i="79" s="1"/>
  <c r="F165" i="79" s="1"/>
  <c r="L70" i="79"/>
  <c r="L147" i="79"/>
  <c r="L180" i="79"/>
  <c r="L191" i="79"/>
  <c r="L103" i="79"/>
  <c r="L15" i="79"/>
  <c r="L202" i="79"/>
  <c r="L125" i="79"/>
  <c r="L114" i="79"/>
  <c r="B228" i="78"/>
  <c r="L169" i="79"/>
  <c r="B107" i="78"/>
  <c r="F128" i="78"/>
  <c r="F129" i="78" s="1"/>
  <c r="F130" i="78" s="1"/>
  <c r="F131" i="78" s="1"/>
  <c r="F132" i="78" s="1"/>
  <c r="L125" i="78"/>
  <c r="F95" i="79"/>
  <c r="F96" i="79" s="1"/>
  <c r="F97" i="79" s="1"/>
  <c r="F98" i="79" s="1"/>
  <c r="F99" i="79" s="1"/>
  <c r="B8" i="78"/>
  <c r="B9" i="78" s="1"/>
  <c r="B19" i="78"/>
  <c r="B20" i="78" s="1"/>
  <c r="F84" i="79"/>
  <c r="F85" i="79" s="1"/>
  <c r="F86" i="79" s="1"/>
  <c r="F87" i="79" s="1"/>
  <c r="F88" i="79" s="1"/>
  <c r="L81" i="79"/>
  <c r="B118" i="78"/>
  <c r="B119" i="78" s="1"/>
  <c r="B129" i="78"/>
  <c r="B130" i="78" s="1"/>
  <c r="F139" i="79"/>
  <c r="F140" i="79" s="1"/>
  <c r="F141" i="79" s="1"/>
  <c r="F142" i="79" s="1"/>
  <c r="F143" i="79" s="1"/>
  <c r="L136" i="79"/>
  <c r="L114" i="78"/>
  <c r="B85" i="79"/>
  <c r="B218" i="79"/>
  <c r="F51" i="79"/>
  <c r="F52" i="79" s="1"/>
  <c r="F53" i="79" s="1"/>
  <c r="F54" i="79" s="1"/>
  <c r="F55" i="79" s="1"/>
  <c r="L48" i="79"/>
  <c r="L81" i="78"/>
  <c r="F84" i="78"/>
  <c r="F85" i="78" s="1"/>
  <c r="F86" i="78" s="1"/>
  <c r="F87" i="78" s="1"/>
  <c r="F88" i="78" s="1"/>
  <c r="F227" i="79"/>
  <c r="F228" i="79" s="1"/>
  <c r="F229" i="79" s="1"/>
  <c r="F230" i="79" s="1"/>
  <c r="F231" i="79" s="1"/>
  <c r="L224" i="79"/>
  <c r="B74" i="79"/>
  <c r="B107" i="79"/>
  <c r="B184" i="79"/>
  <c r="B185" i="79" s="1"/>
  <c r="L169" i="78"/>
  <c r="L59" i="78"/>
  <c r="L213" i="79"/>
  <c r="F40" i="78"/>
  <c r="F41" i="78" s="1"/>
  <c r="F42" i="78" s="1"/>
  <c r="F43" i="78" s="1"/>
  <c r="F44" i="78" s="1"/>
  <c r="B195" i="79"/>
  <c r="L59" i="79"/>
  <c r="B129" i="79"/>
  <c r="L70" i="78"/>
  <c r="F227" i="78"/>
  <c r="F228" i="78" s="1"/>
  <c r="F229" i="78" s="1"/>
  <c r="F230" i="78" s="1"/>
  <c r="F231" i="78" s="1"/>
  <c r="F95" i="78"/>
  <c r="F96" i="78" s="1"/>
  <c r="F97" i="78" s="1"/>
  <c r="F98" i="78" s="1"/>
  <c r="F99" i="78" s="1"/>
  <c r="F106" i="78"/>
  <c r="F107" i="78" s="1"/>
  <c r="F108" i="78" s="1"/>
  <c r="F109" i="78" s="1"/>
  <c r="F110" i="78" s="1"/>
  <c r="L191" i="78"/>
  <c r="L136" i="78"/>
  <c r="L180" i="78"/>
  <c r="L26" i="78"/>
  <c r="F161" i="78"/>
  <c r="F162" i="78" s="1"/>
  <c r="F163" i="78" s="1"/>
  <c r="F164" i="78" s="1"/>
  <c r="F165" i="78" s="1"/>
  <c r="L202" i="78"/>
  <c r="L147" i="78"/>
  <c r="F216" i="78"/>
  <c r="F217" i="78" s="1"/>
  <c r="F218" i="78" s="1"/>
  <c r="F219" i="78" s="1"/>
  <c r="F220" i="78" s="1"/>
  <c r="B42" i="79"/>
  <c r="B30" i="79"/>
  <c r="B63" i="79"/>
  <c r="B75" i="79"/>
  <c r="B97" i="79"/>
  <c r="B19" i="79"/>
  <c r="B52" i="79"/>
  <c r="B206" i="79"/>
  <c r="B174" i="79"/>
  <c r="B11" i="79"/>
  <c r="B152" i="79"/>
  <c r="B118" i="79"/>
  <c r="B142" i="79"/>
  <c r="B163" i="79"/>
  <c r="B228" i="79"/>
  <c r="B87" i="78"/>
  <c r="B53" i="78"/>
  <c r="B152" i="78"/>
  <c r="B98" i="78"/>
  <c r="B41" i="78"/>
  <c r="B196" i="78"/>
  <c r="B206" i="78"/>
  <c r="B184" i="78"/>
  <c r="B174" i="78"/>
  <c r="B30" i="78"/>
  <c r="B229" i="78"/>
  <c r="B141" i="78"/>
  <c r="B163" i="78"/>
  <c r="B63" i="78"/>
  <c r="F18" i="78"/>
  <c r="F19" i="78" s="1"/>
  <c r="F20" i="78" s="1"/>
  <c r="F21" i="78" s="1"/>
  <c r="F22" i="78" s="1"/>
  <c r="L15" i="78"/>
  <c r="B77" i="78"/>
  <c r="B217" i="78"/>
  <c r="F139" i="61"/>
  <c r="B219" i="79" l="1"/>
  <c r="B108" i="79"/>
  <c r="B130" i="79"/>
  <c r="B196" i="79"/>
  <c r="B108" i="78"/>
  <c r="B86" i="79"/>
  <c r="B76" i="79"/>
  <c r="B164" i="79"/>
  <c r="B20" i="79"/>
  <c r="B153" i="79"/>
  <c r="B207" i="79"/>
  <c r="B53" i="79"/>
  <c r="B197" i="79"/>
  <c r="B143" i="79"/>
  <c r="B64" i="79"/>
  <c r="B186" i="79"/>
  <c r="B175" i="79"/>
  <c r="B31" i="79"/>
  <c r="B119" i="79"/>
  <c r="B229" i="79"/>
  <c r="B98" i="79"/>
  <c r="B43" i="79"/>
  <c r="B164" i="78"/>
  <c r="B10" i="78"/>
  <c r="B185" i="78"/>
  <c r="B230" i="78"/>
  <c r="B131" i="78"/>
  <c r="B142" i="78"/>
  <c r="B153" i="78"/>
  <c r="B120" i="78"/>
  <c r="B207" i="78"/>
  <c r="B21" i="78"/>
  <c r="B175" i="78"/>
  <c r="B54" i="78"/>
  <c r="B42" i="78"/>
  <c r="B99" i="78"/>
  <c r="B218" i="78"/>
  <c r="B31" i="78"/>
  <c r="B64" i="78"/>
  <c r="B197" i="78"/>
  <c r="B88" i="78"/>
  <c r="B109" i="79" l="1"/>
  <c r="B109" i="78"/>
  <c r="B131" i="79"/>
  <c r="B87" i="79"/>
  <c r="B220" i="79"/>
  <c r="B176" i="79"/>
  <c r="B154" i="79"/>
  <c r="B198" i="79"/>
  <c r="B21" i="79"/>
  <c r="B44" i="79"/>
  <c r="B165" i="79"/>
  <c r="B187" i="79"/>
  <c r="B230" i="79"/>
  <c r="B65" i="79"/>
  <c r="B99" i="79"/>
  <c r="B120" i="79"/>
  <c r="B54" i="79"/>
  <c r="B77" i="79"/>
  <c r="B208" i="79"/>
  <c r="B32" i="79"/>
  <c r="B231" i="78"/>
  <c r="B208" i="78"/>
  <c r="B198" i="78"/>
  <c r="B43" i="78"/>
  <c r="B22" i="78"/>
  <c r="B219" i="78"/>
  <c r="B121" i="78"/>
  <c r="B154" i="78"/>
  <c r="B132" i="78"/>
  <c r="B65" i="78"/>
  <c r="B143" i="78"/>
  <c r="B11" i="78"/>
  <c r="B186" i="78"/>
  <c r="B55" i="78"/>
  <c r="B176" i="78"/>
  <c r="B165" i="78"/>
  <c r="B32" i="78"/>
  <c r="B140" i="61"/>
  <c r="B110" i="79" l="1"/>
  <c r="B132" i="79"/>
  <c r="B88" i="79"/>
  <c r="B110" i="78"/>
  <c r="B121" i="79"/>
  <c r="B33" i="79"/>
  <c r="B209" i="79"/>
  <c r="B22" i="79"/>
  <c r="B66" i="79"/>
  <c r="B231" i="79"/>
  <c r="B55" i="79"/>
  <c r="B66" i="78"/>
  <c r="B44" i="78"/>
  <c r="B187" i="78"/>
  <c r="B33" i="78"/>
  <c r="B209" i="78"/>
  <c r="B220" i="78"/>
  <c r="F140" i="61"/>
  <c r="B141" i="61" l="1"/>
  <c r="F141" i="61"/>
  <c r="F142" i="61" s="1"/>
  <c r="F143" i="61" s="1"/>
  <c r="L145" i="61"/>
  <c r="M145" i="61"/>
  <c r="F147" i="61"/>
  <c r="L147" i="61" s="1"/>
  <c r="B150" i="61"/>
  <c r="B142" i="61" l="1"/>
  <c r="F150" i="61"/>
  <c r="B151" i="61"/>
  <c r="F151" i="61"/>
  <c r="B152" i="61"/>
  <c r="F152" i="61"/>
  <c r="F153" i="61" s="1"/>
  <c r="F154" i="61" s="1"/>
  <c r="L156" i="61"/>
  <c r="M156" i="61"/>
  <c r="F158" i="61"/>
  <c r="L158" i="61" s="1"/>
  <c r="B161" i="61"/>
  <c r="B153" i="61" l="1"/>
  <c r="B143" i="61"/>
  <c r="F161" i="61"/>
  <c r="B162" i="61"/>
  <c r="B163" i="61" s="1"/>
  <c r="B164" i="61" s="1"/>
  <c r="B165" i="61" s="1"/>
  <c r="F162" i="61"/>
  <c r="F163" i="61"/>
  <c r="F164" i="61"/>
  <c r="F165" i="61"/>
  <c r="L167" i="61"/>
  <c r="M167" i="61"/>
  <c r="F169" i="61"/>
  <c r="L169" i="61" s="1"/>
  <c r="B172" i="61"/>
  <c r="B154" i="61" l="1"/>
  <c r="F172" i="61"/>
  <c r="F173" i="61" s="1"/>
  <c r="F174" i="61" s="1"/>
  <c r="F175" i="61" s="1"/>
  <c r="F176" i="61" s="1"/>
  <c r="B173" i="61"/>
  <c r="B174" i="61"/>
  <c r="B175" i="61" s="1"/>
  <c r="L178" i="61"/>
  <c r="M178" i="61"/>
  <c r="F180" i="61"/>
  <c r="L180" i="61" s="1"/>
  <c r="B183" i="61"/>
  <c r="B176" i="61" l="1"/>
  <c r="F183" i="61"/>
  <c r="B184" i="61"/>
  <c r="F184" i="61"/>
  <c r="F185" i="61" s="1"/>
  <c r="F186" i="61" s="1"/>
  <c r="F187" i="61" s="1"/>
  <c r="B185" i="61"/>
  <c r="B186" i="61"/>
  <c r="B187" i="61"/>
  <c r="L189" i="61"/>
  <c r="M189" i="61"/>
  <c r="F191" i="61"/>
  <c r="L191" i="61" s="1"/>
  <c r="B194" i="61"/>
  <c r="F194" i="61" l="1"/>
  <c r="B195" i="61"/>
  <c r="B196" i="61" s="1"/>
  <c r="F195" i="61"/>
  <c r="F196" i="61" s="1"/>
  <c r="F197" i="61" s="1"/>
  <c r="F198" i="61" s="1"/>
  <c r="L200" i="61"/>
  <c r="M200" i="61"/>
  <c r="F202" i="61"/>
  <c r="L202" i="61" s="1"/>
  <c r="B205" i="61"/>
  <c r="B197" i="61" l="1"/>
  <c r="F205" i="61"/>
  <c r="B206" i="61"/>
  <c r="F206" i="61"/>
  <c r="B207" i="61"/>
  <c r="F207" i="61"/>
  <c r="B208" i="61"/>
  <c r="F208" i="61"/>
  <c r="B209" i="61"/>
  <c r="F209" i="61"/>
  <c r="L211" i="61"/>
  <c r="M211" i="61"/>
  <c r="F213" i="61"/>
  <c r="L213" i="61" s="1"/>
  <c r="B216" i="61"/>
  <c r="B198" i="61" l="1"/>
  <c r="F216" i="61"/>
  <c r="B217" i="61"/>
  <c r="F217" i="61"/>
  <c r="B218" i="61"/>
  <c r="F218" i="61"/>
  <c r="B219" i="61"/>
  <c r="F219" i="61"/>
  <c r="B220" i="61"/>
  <c r="F220" i="61"/>
  <c r="L222" i="61"/>
  <c r="M222" i="61"/>
  <c r="F224" i="61"/>
  <c r="L224" i="61" s="1"/>
  <c r="B227" i="61"/>
  <c r="F227" i="61" l="1"/>
  <c r="F228" i="61" s="1"/>
  <c r="F229" i="61" s="1"/>
  <c r="F230" i="61" s="1"/>
  <c r="F231" i="61" s="1"/>
  <c r="B228" i="61"/>
  <c r="B229" i="61" s="1"/>
  <c r="L233" i="61"/>
  <c r="M233" i="61"/>
  <c r="M134" i="61"/>
  <c r="L134" i="61"/>
  <c r="B128" i="61"/>
  <c r="B129" i="61" s="1"/>
  <c r="F125" i="61"/>
  <c r="L125" i="61" s="1"/>
  <c r="M123" i="61"/>
  <c r="L123" i="61"/>
  <c r="B117" i="61"/>
  <c r="B118" i="61" s="1"/>
  <c r="F114" i="61"/>
  <c r="L114" i="61" s="1"/>
  <c r="M112" i="61"/>
  <c r="L112" i="61"/>
  <c r="B106" i="61"/>
  <c r="B107" i="61" s="1"/>
  <c r="F103" i="61"/>
  <c r="F106" i="61" s="1"/>
  <c r="F107" i="61" s="1"/>
  <c r="F108" i="61" s="1"/>
  <c r="F109" i="61" s="1"/>
  <c r="F110" i="61" s="1"/>
  <c r="M101" i="61"/>
  <c r="L101" i="61"/>
  <c r="B95" i="61"/>
  <c r="B96" i="61" s="1"/>
  <c r="F92" i="61"/>
  <c r="F95" i="61" s="1"/>
  <c r="F96" i="61" s="1"/>
  <c r="F97" i="61" s="1"/>
  <c r="F98" i="61" s="1"/>
  <c r="F99" i="61" s="1"/>
  <c r="M90" i="61"/>
  <c r="L90" i="61"/>
  <c r="B84" i="61"/>
  <c r="B85" i="61" s="1"/>
  <c r="F81" i="61"/>
  <c r="F84" i="61" s="1"/>
  <c r="F85" i="61" s="1"/>
  <c r="F86" i="61" s="1"/>
  <c r="F87" i="61" s="1"/>
  <c r="F88" i="61" s="1"/>
  <c r="M79" i="61"/>
  <c r="L79" i="61"/>
  <c r="B73" i="61"/>
  <c r="B74" i="61" s="1"/>
  <c r="F70" i="61"/>
  <c r="F73" i="61" s="1"/>
  <c r="F74" i="61" s="1"/>
  <c r="F75" i="61" s="1"/>
  <c r="F76" i="61" s="1"/>
  <c r="F77" i="61" s="1"/>
  <c r="M68" i="61"/>
  <c r="L68" i="61"/>
  <c r="B62" i="61"/>
  <c r="F59" i="61"/>
  <c r="L59" i="61" s="1"/>
  <c r="M57" i="61"/>
  <c r="L57" i="61"/>
  <c r="B51" i="61"/>
  <c r="B52" i="61" s="1"/>
  <c r="F48" i="61"/>
  <c r="F51" i="61" s="1"/>
  <c r="F52" i="61" s="1"/>
  <c r="F53" i="61" s="1"/>
  <c r="F54" i="61" s="1"/>
  <c r="F55" i="61" s="1"/>
  <c r="M46" i="61"/>
  <c r="L46" i="61"/>
  <c r="B40" i="61"/>
  <c r="B41" i="61" s="1"/>
  <c r="F37" i="61"/>
  <c r="L37" i="61" s="1"/>
  <c r="M35" i="61"/>
  <c r="L35" i="61"/>
  <c r="B29" i="61"/>
  <c r="B30" i="61" s="1"/>
  <c r="F26" i="61"/>
  <c r="F29" i="61" s="1"/>
  <c r="F30" i="61" s="1"/>
  <c r="F31" i="61" s="1"/>
  <c r="F32" i="61" s="1"/>
  <c r="F33" i="61" s="1"/>
  <c r="M24" i="61"/>
  <c r="L24" i="61"/>
  <c r="B18" i="61"/>
  <c r="B19" i="61" s="1"/>
  <c r="F15" i="61"/>
  <c r="L15" i="61" s="1"/>
  <c r="F62" i="61" l="1"/>
  <c r="F63" i="61" s="1"/>
  <c r="F64" i="61" s="1"/>
  <c r="F65" i="61" s="1"/>
  <c r="F66" i="61" s="1"/>
  <c r="L81" i="61"/>
  <c r="B230" i="61"/>
  <c r="F128" i="61"/>
  <c r="F129" i="61" s="1"/>
  <c r="F130" i="61" s="1"/>
  <c r="F131" i="61" s="1"/>
  <c r="F132" i="61" s="1"/>
  <c r="F117" i="61"/>
  <c r="F118" i="61" s="1"/>
  <c r="F119" i="61" s="1"/>
  <c r="F120" i="61" s="1"/>
  <c r="F121" i="61" s="1"/>
  <c r="L103" i="61"/>
  <c r="L92" i="61"/>
  <c r="L70" i="61"/>
  <c r="L48" i="61"/>
  <c r="F40" i="61"/>
  <c r="F41" i="61" s="1"/>
  <c r="F42" i="61" s="1"/>
  <c r="F43" i="61" s="1"/>
  <c r="F44" i="61" s="1"/>
  <c r="L26" i="61"/>
  <c r="F18" i="61"/>
  <c r="F19" i="61" s="1"/>
  <c r="F20" i="61" s="1"/>
  <c r="F21" i="61" s="1"/>
  <c r="F22" i="61" s="1"/>
  <c r="B130" i="61"/>
  <c r="B119" i="61"/>
  <c r="B108" i="61"/>
  <c r="B97" i="61"/>
  <c r="B86" i="61"/>
  <c r="B75" i="61"/>
  <c r="B63" i="61"/>
  <c r="B53" i="61"/>
  <c r="B42" i="61"/>
  <c r="B31" i="61"/>
  <c r="B20" i="61"/>
  <c r="B231" i="61" l="1"/>
  <c r="B131" i="61"/>
  <c r="B120" i="61"/>
  <c r="B109" i="61"/>
  <c r="B98" i="61"/>
  <c r="B87" i="61"/>
  <c r="B76" i="61"/>
  <c r="B64" i="61"/>
  <c r="B54" i="61"/>
  <c r="B43" i="61"/>
  <c r="B32" i="61"/>
  <c r="B21" i="61"/>
  <c r="B132" i="61" l="1"/>
  <c r="B121" i="61"/>
  <c r="B110" i="61"/>
  <c r="B99" i="61"/>
  <c r="B88" i="61"/>
  <c r="B77" i="61"/>
  <c r="B65" i="61"/>
  <c r="B55" i="61"/>
  <c r="B44" i="61"/>
  <c r="B33" i="61"/>
  <c r="B22" i="61"/>
  <c r="B66" i="61" l="1"/>
  <c r="AC9" i="106" l="1"/>
  <c r="E9" i="106"/>
  <c r="BE19" i="106" l="1"/>
  <c r="BD19" i="106"/>
  <c r="BE18" i="106"/>
  <c r="BD18" i="106"/>
  <c r="BE17" i="106"/>
  <c r="BD17" i="106"/>
  <c r="BE16" i="106"/>
  <c r="BD16" i="106"/>
  <c r="BD21" i="106" s="1"/>
  <c r="BC19" i="106"/>
  <c r="BC18" i="106"/>
  <c r="BC17" i="106"/>
  <c r="BC16" i="106"/>
  <c r="BA19" i="106"/>
  <c r="AZ19" i="106"/>
  <c r="BA18" i="106"/>
  <c r="AZ18" i="106"/>
  <c r="BA17" i="106"/>
  <c r="AZ17" i="106"/>
  <c r="BA16" i="106"/>
  <c r="AZ16" i="106"/>
  <c r="AY17" i="106"/>
  <c r="AY18" i="106"/>
  <c r="AY19" i="106"/>
  <c r="AY16" i="106"/>
  <c r="M13" i="79"/>
  <c r="L13" i="79"/>
  <c r="L4" i="79"/>
  <c r="M13" i="78"/>
  <c r="L13" i="78"/>
  <c r="L4" i="78"/>
  <c r="M13" i="61"/>
  <c r="L13" i="61"/>
  <c r="B7" i="61"/>
  <c r="F4" i="61"/>
  <c r="L4" i="61" s="1"/>
  <c r="H97" i="78"/>
  <c r="H165" i="61"/>
  <c r="L143" i="61"/>
  <c r="M109" i="79"/>
  <c r="M205" i="79"/>
  <c r="K29" i="1"/>
  <c r="M209" i="61"/>
  <c r="M86" i="79"/>
  <c r="H172" i="78"/>
  <c r="L183" i="61"/>
  <c r="H218" i="78"/>
  <c r="E21" i="1"/>
  <c r="L42" i="78"/>
  <c r="D43" i="79"/>
  <c r="H196" i="79"/>
  <c r="H41" i="61"/>
  <c r="D194" i="79"/>
  <c r="E28" i="1"/>
  <c r="D186" i="79"/>
  <c r="E27" i="1"/>
  <c r="L109" i="79"/>
  <c r="L66" i="78"/>
  <c r="M140" i="79"/>
  <c r="D164" i="79"/>
  <c r="M22" i="78"/>
  <c r="M110" i="78"/>
  <c r="G11" i="1"/>
  <c r="H108" i="79"/>
  <c r="F27" i="1"/>
  <c r="E26" i="1"/>
  <c r="M84" i="79"/>
  <c r="M30" i="61"/>
  <c r="L173" i="79"/>
  <c r="D30" i="61"/>
  <c r="M176" i="79"/>
  <c r="M216" i="78"/>
  <c r="H130" i="61"/>
  <c r="D63" i="61"/>
  <c r="L150" i="61"/>
  <c r="H183" i="79"/>
  <c r="L64" i="79"/>
  <c r="H154" i="61"/>
  <c r="L75" i="61"/>
  <c r="M64" i="61"/>
  <c r="H163" i="78"/>
  <c r="D54" i="61"/>
  <c r="K10" i="1"/>
  <c r="H183" i="78"/>
  <c r="H219" i="79"/>
  <c r="L76" i="79"/>
  <c r="M106" i="79"/>
  <c r="M229" i="61"/>
  <c r="L18" i="79"/>
  <c r="H18" i="78"/>
  <c r="H142" i="61"/>
  <c r="M31" i="61"/>
  <c r="D107" i="78"/>
  <c r="H63" i="79"/>
  <c r="D142" i="78"/>
  <c r="M64" i="78"/>
  <c r="H197" i="78"/>
  <c r="M29" i="78"/>
  <c r="L152" i="78"/>
  <c r="H230" i="78"/>
  <c r="M51" i="61"/>
  <c r="G28" i="1"/>
  <c r="H84" i="61"/>
  <c r="M32" i="61"/>
  <c r="H118" i="79"/>
  <c r="D165" i="61"/>
  <c r="I28" i="1"/>
  <c r="L209" i="79"/>
  <c r="G31" i="1"/>
  <c r="I32" i="1"/>
  <c r="M32" i="79"/>
  <c r="L118" i="79"/>
  <c r="M85" i="78"/>
  <c r="H11" i="1"/>
  <c r="H44" i="78"/>
  <c r="H131" i="78"/>
  <c r="J20" i="1"/>
  <c r="M11" i="1"/>
  <c r="M183" i="78"/>
  <c r="H23" i="1"/>
  <c r="D21" i="1"/>
  <c r="H207" i="78"/>
  <c r="L96" i="78"/>
  <c r="M109" i="61"/>
  <c r="L195" i="61"/>
  <c r="M228" i="78"/>
  <c r="L24" i="1"/>
  <c r="H74" i="79"/>
  <c r="M194" i="78"/>
  <c r="H99" i="78"/>
  <c r="M53" i="78"/>
  <c r="D31" i="1"/>
  <c r="L218" i="61"/>
  <c r="H227" i="78"/>
  <c r="H43" i="78"/>
  <c r="D183" i="78"/>
  <c r="D109" i="78"/>
  <c r="L43" i="61"/>
  <c r="M95" i="61"/>
  <c r="L20" i="79"/>
  <c r="D230" i="78"/>
  <c r="H209" i="79"/>
  <c r="D52" i="61"/>
  <c r="F19" i="1"/>
  <c r="J29" i="1"/>
  <c r="M84" i="78"/>
  <c r="L131" i="78"/>
  <c r="L208" i="79"/>
  <c r="H20" i="1"/>
  <c r="L54" i="61"/>
  <c r="D110" i="78"/>
  <c r="M142" i="61"/>
  <c r="L54" i="79"/>
  <c r="M196" i="61"/>
  <c r="M195" i="79"/>
  <c r="I22" i="1"/>
  <c r="M77" i="78"/>
  <c r="M216" i="61"/>
  <c r="L85" i="79"/>
  <c r="H219" i="78"/>
  <c r="D53" i="61"/>
  <c r="L66" i="79"/>
  <c r="H151" i="61"/>
  <c r="M96" i="79"/>
  <c r="M175" i="61"/>
  <c r="M73" i="79"/>
  <c r="D120" i="61"/>
  <c r="L216" i="78"/>
  <c r="G27" i="1"/>
  <c r="D26" i="1"/>
  <c r="D184" i="79"/>
  <c r="L73" i="78"/>
  <c r="L219" i="79"/>
  <c r="L186" i="79"/>
  <c r="H119" i="79"/>
  <c r="H97" i="79"/>
  <c r="D19" i="79"/>
  <c r="D32" i="1"/>
  <c r="H44" i="79"/>
  <c r="J34" i="1"/>
  <c r="L132" i="78"/>
  <c r="D184" i="78"/>
  <c r="L53" i="61"/>
  <c r="C25" i="1"/>
  <c r="L29" i="79"/>
  <c r="M132" i="61"/>
  <c r="M218" i="61"/>
  <c r="M65" i="79"/>
  <c r="D207" i="78"/>
  <c r="H230" i="79"/>
  <c r="D152" i="79"/>
  <c r="H31" i="61"/>
  <c r="G10" i="1"/>
  <c r="L130" i="79"/>
  <c r="H165" i="79"/>
  <c r="M19" i="61"/>
  <c r="L163" i="79"/>
  <c r="H33" i="1"/>
  <c r="D151" i="61"/>
  <c r="M40" i="61"/>
  <c r="H217" i="79"/>
  <c r="M217" i="61"/>
  <c r="F22" i="1"/>
  <c r="H162" i="61"/>
  <c r="L75" i="79"/>
  <c r="D220" i="78"/>
  <c r="D174" i="79"/>
  <c r="M198" i="78"/>
  <c r="M141" i="78"/>
  <c r="D19" i="78"/>
  <c r="N31" i="1"/>
  <c r="M65" i="78"/>
  <c r="L119" i="61"/>
  <c r="H163" i="61"/>
  <c r="H128" i="79"/>
  <c r="D230" i="79"/>
  <c r="L52" i="61"/>
  <c r="M129" i="61"/>
  <c r="H109" i="78"/>
  <c r="M194" i="79"/>
  <c r="L195" i="78"/>
  <c r="D141" i="61"/>
  <c r="F29" i="1"/>
  <c r="H218" i="79"/>
  <c r="L107" i="61"/>
  <c r="L206" i="61"/>
  <c r="H120" i="61"/>
  <c r="L11" i="1"/>
  <c r="L117" i="79"/>
  <c r="L43" i="79"/>
  <c r="L43" i="78"/>
  <c r="H119" i="78"/>
  <c r="F34" i="1"/>
  <c r="M88" i="78"/>
  <c r="D128" i="79"/>
  <c r="M87" i="78"/>
  <c r="D220" i="79"/>
  <c r="L197" i="78"/>
  <c r="L65" i="61"/>
  <c r="D218" i="79"/>
  <c r="M52" i="61"/>
  <c r="M40" i="79"/>
  <c r="L128" i="79"/>
  <c r="L88" i="79"/>
  <c r="H95" i="61"/>
  <c r="L206" i="79"/>
  <c r="H150" i="79"/>
  <c r="M164" i="79"/>
  <c r="M219" i="79"/>
  <c r="H22" i="61"/>
  <c r="J28" i="1"/>
  <c r="H21" i="61"/>
  <c r="M40" i="78"/>
  <c r="H187" i="78"/>
  <c r="D44" i="79"/>
  <c r="H196" i="78"/>
  <c r="L185" i="78"/>
  <c r="K32" i="1"/>
  <c r="L209" i="78"/>
  <c r="M161" i="78"/>
  <c r="C19" i="1"/>
  <c r="L208" i="61"/>
  <c r="D66" i="78"/>
  <c r="G30" i="1"/>
  <c r="M230" i="61"/>
  <c r="H207" i="61"/>
  <c r="H109" i="79"/>
  <c r="I18" i="1"/>
  <c r="L65" i="78"/>
  <c r="L11" i="79"/>
  <c r="D18" i="1"/>
  <c r="D95" i="61"/>
  <c r="D197" i="78"/>
  <c r="H106" i="79"/>
  <c r="C24" i="1"/>
  <c r="D196" i="78"/>
  <c r="L174" i="61"/>
  <c r="M107" i="78"/>
  <c r="D52" i="79"/>
  <c r="L53" i="79"/>
  <c r="H172" i="61"/>
  <c r="H161" i="61"/>
  <c r="K30" i="1"/>
  <c r="H19" i="78"/>
  <c r="M197" i="79"/>
  <c r="L44" i="78"/>
  <c r="M97" i="61"/>
  <c r="D73" i="78"/>
  <c r="H66" i="78"/>
  <c r="H97" i="61"/>
  <c r="D96" i="79"/>
  <c r="I23" i="1"/>
  <c r="H42" i="79"/>
  <c r="L87" i="79"/>
  <c r="D64" i="79"/>
  <c r="L142" i="79"/>
  <c r="M98" i="61"/>
  <c r="H143" i="61"/>
  <c r="M108" i="78"/>
  <c r="M162" i="79"/>
  <c r="D118" i="78"/>
  <c r="L130" i="78"/>
  <c r="D153" i="78"/>
  <c r="M33" i="61"/>
  <c r="M35" i="1"/>
  <c r="E22" i="1"/>
  <c r="D40" i="78"/>
  <c r="L120" i="79"/>
  <c r="M66" i="78"/>
  <c r="M132" i="78"/>
  <c r="M186" i="78"/>
  <c r="L164" i="78"/>
  <c r="M84" i="61"/>
  <c r="L86" i="78"/>
  <c r="M229" i="79"/>
  <c r="J31" i="1"/>
  <c r="L175" i="61"/>
  <c r="E34" i="1"/>
  <c r="G19" i="1"/>
  <c r="D176" i="79"/>
  <c r="L176" i="61"/>
  <c r="L119" i="79"/>
  <c r="M63" i="78"/>
  <c r="D29" i="61"/>
  <c r="M143" i="78"/>
  <c r="M118" i="78"/>
  <c r="D97" i="78"/>
  <c r="L227" i="79"/>
  <c r="L198" i="61"/>
  <c r="M174" i="61"/>
  <c r="H21" i="78"/>
  <c r="C18" i="1"/>
  <c r="L33" i="1"/>
  <c r="I21" i="1"/>
  <c r="M228" i="79"/>
  <c r="L164" i="61"/>
  <c r="D195" i="61"/>
  <c r="H117" i="79"/>
  <c r="D77" i="78"/>
  <c r="D173" i="78"/>
  <c r="M119" i="78"/>
  <c r="M109" i="78"/>
  <c r="M66" i="61"/>
  <c r="H54" i="78"/>
  <c r="N23" i="1"/>
  <c r="L196" i="79"/>
  <c r="M73" i="78"/>
  <c r="K11" i="1"/>
  <c r="H121" i="79"/>
  <c r="D76" i="78"/>
  <c r="H64" i="79"/>
  <c r="L98" i="61"/>
  <c r="M195" i="78"/>
  <c r="L151" i="79"/>
  <c r="L108" i="79"/>
  <c r="I11" i="1"/>
  <c r="D186" i="61"/>
  <c r="D44" i="78"/>
  <c r="D117" i="79"/>
  <c r="F25" i="1"/>
  <c r="D96" i="78"/>
  <c r="H73" i="61"/>
  <c r="H87" i="79"/>
  <c r="H217" i="61"/>
  <c r="H106" i="78"/>
  <c r="L40" i="78"/>
  <c r="H20" i="61"/>
  <c r="H34" i="1"/>
  <c r="D74" i="78"/>
  <c r="D140" i="61"/>
  <c r="L183" i="79"/>
  <c r="H129" i="79"/>
  <c r="L96" i="79"/>
  <c r="H140" i="61"/>
  <c r="D29" i="1"/>
  <c r="H86" i="78"/>
  <c r="K31" i="1"/>
  <c r="D173" i="61"/>
  <c r="D231" i="78"/>
  <c r="L19" i="61"/>
  <c r="F18" i="1"/>
  <c r="D198" i="78"/>
  <c r="L35" i="1"/>
  <c r="D28" i="1"/>
  <c r="D150" i="78"/>
  <c r="D174" i="61"/>
  <c r="H153" i="61"/>
  <c r="H52" i="78"/>
  <c r="L175" i="79"/>
  <c r="L32" i="79"/>
  <c r="H216" i="79"/>
  <c r="H152" i="61"/>
  <c r="L220" i="78"/>
  <c r="L197" i="61"/>
  <c r="D66" i="61"/>
  <c r="M176" i="78"/>
  <c r="D40" i="61"/>
  <c r="H51" i="61"/>
  <c r="L216" i="61"/>
  <c r="L41" i="61"/>
  <c r="H110" i="61"/>
  <c r="L95" i="78"/>
  <c r="M131" i="79"/>
  <c r="L77" i="79"/>
  <c r="H20" i="79"/>
  <c r="M74" i="78"/>
  <c r="D228" i="61"/>
  <c r="L77" i="61"/>
  <c r="L140" i="78"/>
  <c r="D20" i="61"/>
  <c r="L216" i="79"/>
  <c r="L63" i="79"/>
  <c r="D87" i="79"/>
  <c r="D84" i="78"/>
  <c r="N29" i="1"/>
  <c r="M117" i="78"/>
  <c r="M20" i="1"/>
  <c r="M120" i="61"/>
  <c r="D43" i="78"/>
  <c r="M20" i="79"/>
  <c r="H117" i="61"/>
  <c r="H229" i="61"/>
  <c r="H229" i="79"/>
  <c r="L129" i="78"/>
  <c r="D187" i="78"/>
  <c r="L185" i="61"/>
  <c r="D132" i="61"/>
  <c r="L219" i="78"/>
  <c r="L196" i="61"/>
  <c r="L33" i="78"/>
  <c r="L20" i="1"/>
  <c r="D183" i="79"/>
  <c r="H20" i="78"/>
  <c r="M110" i="61"/>
  <c r="D63" i="78"/>
  <c r="M150" i="79"/>
  <c r="C35" i="1"/>
  <c r="L95" i="79"/>
  <c r="H88" i="61"/>
  <c r="M228" i="61"/>
  <c r="D106" i="78"/>
  <c r="D117" i="78"/>
  <c r="K21" i="1"/>
  <c r="L96" i="61"/>
  <c r="M205" i="78"/>
  <c r="L185" i="79"/>
  <c r="L172" i="79"/>
  <c r="H186" i="61"/>
  <c r="H227" i="79"/>
  <c r="D217" i="61"/>
  <c r="M131" i="61"/>
  <c r="H141" i="78"/>
  <c r="D74" i="79"/>
  <c r="F23" i="1"/>
  <c r="G21" i="1"/>
  <c r="H152" i="79"/>
  <c r="D75" i="61"/>
  <c r="M117" i="61"/>
  <c r="M142" i="78"/>
  <c r="D109" i="79"/>
  <c r="M230" i="79"/>
  <c r="H230" i="61"/>
  <c r="D65" i="79"/>
  <c r="M41" i="79"/>
  <c r="L150" i="79"/>
  <c r="D85" i="79"/>
  <c r="L217" i="61"/>
  <c r="C33" i="1"/>
  <c r="H108" i="61"/>
  <c r="D96" i="61"/>
  <c r="D152" i="61"/>
  <c r="D19" i="61"/>
  <c r="M154" i="79"/>
  <c r="H139" i="78"/>
  <c r="M96" i="78"/>
  <c r="M140" i="78"/>
  <c r="D151" i="79"/>
  <c r="C34" i="1"/>
  <c r="D139" i="61"/>
  <c r="M75" i="79"/>
  <c r="D110" i="79"/>
  <c r="M75" i="78"/>
  <c r="D22" i="1"/>
  <c r="H198" i="61"/>
  <c r="H66" i="61"/>
  <c r="L62" i="78"/>
  <c r="D23" i="1"/>
  <c r="L97" i="79"/>
  <c r="L153" i="78"/>
  <c r="L152" i="61"/>
  <c r="L19" i="78"/>
  <c r="L230" i="78"/>
  <c r="L119" i="78"/>
  <c r="H75" i="78"/>
  <c r="H141" i="79"/>
  <c r="F21" i="1"/>
  <c r="L31" i="1"/>
  <c r="D108" i="61"/>
  <c r="H184" i="78"/>
  <c r="L173" i="78"/>
  <c r="D88" i="78"/>
  <c r="M107" i="79"/>
  <c r="L76" i="61"/>
  <c r="M220" i="79"/>
  <c r="D139" i="79"/>
  <c r="L140" i="61"/>
  <c r="M62" i="79"/>
  <c r="J21" i="1"/>
  <c r="F20" i="1"/>
  <c r="F10" i="1"/>
  <c r="D218" i="78"/>
  <c r="H76" i="78"/>
  <c r="M128" i="79"/>
  <c r="L183" i="78"/>
  <c r="J30" i="1"/>
  <c r="H31" i="79"/>
  <c r="M206" i="61"/>
  <c r="M184" i="61"/>
  <c r="H98" i="61"/>
  <c r="L97" i="61"/>
  <c r="D153" i="79"/>
  <c r="C22" i="1"/>
  <c r="H65" i="79"/>
  <c r="M30" i="79"/>
  <c r="M119" i="79"/>
  <c r="L19" i="79"/>
  <c r="N30" i="1"/>
  <c r="D31" i="61"/>
  <c r="D11" i="78"/>
  <c r="L154" i="79"/>
  <c r="H32" i="61"/>
  <c r="H62" i="79"/>
  <c r="D41" i="79"/>
  <c r="H227" i="61"/>
  <c r="D95" i="78"/>
  <c r="M44" i="79"/>
  <c r="L228" i="79"/>
  <c r="M29" i="79"/>
  <c r="M173" i="79"/>
  <c r="M31" i="79"/>
  <c r="D174" i="78"/>
  <c r="L44" i="61"/>
  <c r="D10" i="1"/>
  <c r="D73" i="61"/>
  <c r="H172" i="79"/>
  <c r="J19" i="1"/>
  <c r="L51" i="78"/>
  <c r="M130" i="61"/>
  <c r="C10" i="1"/>
  <c r="D27" i="1"/>
  <c r="M64" i="79"/>
  <c r="D230" i="61"/>
  <c r="G29" i="1"/>
  <c r="M172" i="78"/>
  <c r="D21" i="61"/>
  <c r="L20" i="78"/>
  <c r="D118" i="79"/>
  <c r="M87" i="61"/>
  <c r="I25" i="1"/>
  <c r="H196" i="61"/>
  <c r="K33" i="1"/>
  <c r="H19" i="61"/>
  <c r="D55" i="78"/>
  <c r="L109" i="78"/>
  <c r="H175" i="79"/>
  <c r="D52" i="78"/>
  <c r="M30" i="78"/>
  <c r="F31" i="1"/>
  <c r="D206" i="79"/>
  <c r="M121" i="78"/>
  <c r="M206" i="78"/>
  <c r="D196" i="61"/>
  <c r="D87" i="61"/>
  <c r="M176" i="61"/>
  <c r="M173" i="78"/>
  <c r="C28" i="1"/>
  <c r="H40" i="78"/>
  <c r="M74" i="79"/>
  <c r="L62" i="79"/>
  <c r="D107" i="61"/>
  <c r="L205" i="61"/>
  <c r="K35" i="1"/>
  <c r="L151" i="78"/>
  <c r="D143" i="79"/>
  <c r="D121" i="61"/>
  <c r="H198" i="79"/>
  <c r="M132" i="79"/>
  <c r="L227" i="61"/>
  <c r="H161" i="78"/>
  <c r="M22" i="79"/>
  <c r="H18" i="1"/>
  <c r="L208" i="78"/>
  <c r="M198" i="79"/>
  <c r="D31" i="79"/>
  <c r="D64" i="61"/>
  <c r="M129" i="79"/>
  <c r="D21" i="79"/>
  <c r="M22" i="61"/>
  <c r="E10" i="1"/>
  <c r="D216" i="78"/>
  <c r="L44" i="79"/>
  <c r="M206" i="79"/>
  <c r="L97" i="78"/>
  <c r="L64" i="61"/>
  <c r="D129" i="78"/>
  <c r="D130" i="61"/>
  <c r="L165" i="78"/>
  <c r="M172" i="79"/>
  <c r="J35" i="1"/>
  <c r="M21" i="1"/>
  <c r="L21" i="1"/>
  <c r="J11" i="1"/>
  <c r="L194" i="79"/>
  <c r="D11" i="79"/>
  <c r="H205" i="61"/>
  <c r="M205" i="61"/>
  <c r="M218" i="78"/>
  <c r="H30" i="79"/>
  <c r="D131" i="61"/>
  <c r="D151" i="78"/>
  <c r="M25" i="1"/>
  <c r="M187" i="61"/>
  <c r="H129" i="78"/>
  <c r="D131" i="79"/>
  <c r="D95" i="79"/>
  <c r="D172" i="79"/>
  <c r="H32" i="78"/>
  <c r="N22" i="1"/>
  <c r="D73" i="79"/>
  <c r="H118" i="61"/>
  <c r="H150" i="78"/>
  <c r="L231" i="79"/>
  <c r="H194" i="61"/>
  <c r="E24" i="1"/>
  <c r="D33" i="1"/>
  <c r="M75" i="61"/>
  <c r="D220" i="61"/>
  <c r="E30" i="1"/>
  <c r="D25" i="1"/>
  <c r="L87" i="61"/>
  <c r="H55" i="79"/>
  <c r="D205" i="79"/>
  <c r="D175" i="78"/>
  <c r="H43" i="61"/>
  <c r="H75" i="79"/>
  <c r="L74" i="61"/>
  <c r="N35" i="1"/>
  <c r="M162" i="61"/>
  <c r="D106" i="79"/>
  <c r="L176" i="79"/>
  <c r="L22" i="79"/>
  <c r="H30" i="1"/>
  <c r="L217" i="78"/>
  <c r="D195" i="79"/>
  <c r="M209" i="79"/>
  <c r="L153" i="61"/>
  <c r="L187" i="61"/>
  <c r="L51" i="61"/>
  <c r="D141" i="78"/>
  <c r="D21" i="78"/>
  <c r="D175" i="61"/>
  <c r="D228" i="79"/>
  <c r="H150" i="61"/>
  <c r="C30" i="1"/>
  <c r="H77" i="78"/>
  <c r="H65" i="78"/>
  <c r="D65" i="78"/>
  <c r="L18" i="1"/>
  <c r="N19" i="1"/>
  <c r="L143" i="78"/>
  <c r="M77" i="61"/>
  <c r="H176" i="78"/>
  <c r="H77" i="61"/>
  <c r="H18" i="61"/>
  <c r="M227" i="78"/>
  <c r="D84" i="61"/>
  <c r="L161" i="61"/>
  <c r="D162" i="61"/>
  <c r="L198" i="79"/>
  <c r="M44" i="61"/>
  <c r="M98" i="79"/>
  <c r="M231" i="79"/>
  <c r="L30" i="61"/>
  <c r="J18" i="1"/>
  <c r="D54" i="79"/>
  <c r="L53" i="78"/>
  <c r="L87" i="78"/>
  <c r="M18" i="61"/>
  <c r="D150" i="61"/>
  <c r="H206" i="78"/>
  <c r="L108" i="61"/>
  <c r="H86" i="79"/>
  <c r="L161" i="79"/>
  <c r="H195" i="78"/>
  <c r="H35" i="1"/>
  <c r="D172" i="61"/>
  <c r="D218" i="61"/>
  <c r="H85" i="79"/>
  <c r="L108" i="78"/>
  <c r="M42" i="61"/>
  <c r="L172" i="78"/>
  <c r="L118" i="61"/>
  <c r="M19" i="1"/>
  <c r="D229" i="78"/>
  <c r="M41" i="78"/>
  <c r="M63" i="79"/>
  <c r="H131" i="61"/>
  <c r="L129" i="61"/>
  <c r="L172" i="61"/>
  <c r="M118" i="79"/>
  <c r="L142" i="61"/>
  <c r="D206" i="78"/>
  <c r="H162" i="78"/>
  <c r="D11" i="1"/>
  <c r="M99" i="61"/>
  <c r="M27" i="1"/>
  <c r="D229" i="79"/>
  <c r="D140" i="78"/>
  <c r="H132" i="79"/>
  <c r="L164" i="79"/>
  <c r="N26" i="1"/>
  <c r="H51" i="78"/>
  <c r="L231" i="78"/>
  <c r="G24" i="1"/>
  <c r="I27" i="1"/>
  <c r="H41" i="79"/>
  <c r="I30" i="1"/>
  <c r="H220" i="61"/>
  <c r="D231" i="61"/>
  <c r="M55" i="79"/>
  <c r="D106" i="61"/>
  <c r="L151" i="61"/>
  <c r="L229" i="61"/>
  <c r="E11" i="1"/>
  <c r="H99" i="61"/>
  <c r="D128" i="61"/>
  <c r="L154" i="78"/>
  <c r="I29" i="1"/>
  <c r="D85" i="61"/>
  <c r="M152" i="78"/>
  <c r="H29" i="61"/>
  <c r="M121" i="61"/>
  <c r="H31" i="1"/>
  <c r="M62" i="61"/>
  <c r="H143" i="79"/>
  <c r="K28" i="1"/>
  <c r="H208" i="61"/>
  <c r="L207" i="61"/>
  <c r="L55" i="61"/>
  <c r="D132" i="79"/>
  <c r="M217" i="79"/>
  <c r="L161" i="78"/>
  <c r="H130" i="78"/>
  <c r="F30" i="1"/>
  <c r="D229" i="61"/>
  <c r="H96" i="79"/>
  <c r="D161" i="79"/>
  <c r="H74" i="61"/>
  <c r="D185" i="79"/>
  <c r="H183" i="61"/>
  <c r="D76" i="79"/>
  <c r="M208" i="78"/>
  <c r="H95" i="78"/>
  <c r="I20" i="1"/>
  <c r="D183" i="61"/>
  <c r="M216" i="79"/>
  <c r="H42" i="61"/>
  <c r="J22" i="1"/>
  <c r="H130" i="79"/>
  <c r="D88" i="61"/>
  <c r="M86" i="61"/>
  <c r="L163" i="61"/>
  <c r="M28" i="1"/>
  <c r="L25" i="1"/>
  <c r="H176" i="79"/>
  <c r="H142" i="79"/>
  <c r="E23" i="1"/>
  <c r="L33" i="79"/>
  <c r="M120" i="79"/>
  <c r="M154" i="61"/>
  <c r="M31" i="1"/>
  <c r="H195" i="79"/>
  <c r="M85" i="79"/>
  <c r="L42" i="79"/>
  <c r="H185" i="78"/>
  <c r="H174" i="61"/>
  <c r="D164" i="78"/>
  <c r="H63" i="78"/>
  <c r="M139" i="78"/>
  <c r="D97" i="61"/>
  <c r="M85" i="61"/>
  <c r="H19" i="79"/>
  <c r="M18" i="1"/>
  <c r="L118" i="78"/>
  <c r="D22" i="78"/>
  <c r="L121" i="79"/>
  <c r="H66" i="79"/>
  <c r="D152" i="78"/>
  <c r="H85" i="78"/>
  <c r="H76" i="79"/>
  <c r="L31" i="61"/>
  <c r="D99" i="78"/>
  <c r="D121" i="78"/>
  <c r="L74" i="78"/>
  <c r="H205" i="79"/>
  <c r="G33" i="1"/>
  <c r="M184" i="78"/>
  <c r="M183" i="61"/>
  <c r="H18" i="79"/>
  <c r="M73" i="61"/>
  <c r="H208" i="78"/>
  <c r="L85" i="61"/>
  <c r="M229" i="78"/>
  <c r="M33" i="78"/>
  <c r="H73" i="79"/>
  <c r="D98" i="61"/>
  <c r="D119" i="61"/>
  <c r="M121" i="79"/>
  <c r="D119" i="78"/>
  <c r="D32" i="78"/>
  <c r="D176" i="78"/>
  <c r="M42" i="79"/>
  <c r="L32" i="78"/>
  <c r="M99" i="79"/>
  <c r="M74" i="61"/>
  <c r="H29" i="79"/>
  <c r="D86" i="61"/>
  <c r="M130" i="78"/>
  <c r="H164" i="79"/>
  <c r="G20" i="1"/>
  <c r="F33" i="1"/>
  <c r="D85" i="78"/>
  <c r="H151" i="78"/>
  <c r="H209" i="78"/>
  <c r="D141" i="79"/>
  <c r="M119" i="61"/>
  <c r="D108" i="78"/>
  <c r="D109" i="61"/>
  <c r="L21" i="79"/>
  <c r="D130" i="79"/>
  <c r="L205" i="78"/>
  <c r="C11" i="1"/>
  <c r="M21" i="78"/>
  <c r="H206" i="79"/>
  <c r="L187" i="78"/>
  <c r="N20" i="1"/>
  <c r="L84" i="79"/>
  <c r="E20" i="1"/>
  <c r="M164" i="61"/>
  <c r="N33" i="1"/>
  <c r="D32" i="79"/>
  <c r="D30" i="78"/>
  <c r="C27" i="1"/>
  <c r="M43" i="61"/>
  <c r="M18" i="78"/>
  <c r="L121" i="61"/>
  <c r="M43" i="78"/>
  <c r="M30" i="1"/>
  <c r="H129" i="61"/>
  <c r="L120" i="78"/>
  <c r="L120" i="61"/>
  <c r="D75" i="78"/>
  <c r="M77" i="79"/>
  <c r="H154" i="79"/>
  <c r="M143" i="61"/>
  <c r="L41" i="79"/>
  <c r="M55" i="61"/>
  <c r="D161" i="61"/>
  <c r="L23" i="1"/>
  <c r="M164" i="78"/>
  <c r="N25" i="1"/>
  <c r="M43" i="79"/>
  <c r="D162" i="79"/>
  <c r="H25" i="1"/>
  <c r="L86" i="61"/>
  <c r="L99" i="61"/>
  <c r="M10" i="1"/>
  <c r="N18" i="1"/>
  <c r="G22" i="1"/>
  <c r="M165" i="79"/>
  <c r="L18" i="61"/>
  <c r="L196" i="78"/>
  <c r="H109" i="61"/>
  <c r="D20" i="79"/>
  <c r="D43" i="61"/>
  <c r="H187" i="79"/>
  <c r="N21" i="1"/>
  <c r="D107" i="79"/>
  <c r="M21" i="79"/>
  <c r="H32" i="1"/>
  <c r="H42" i="78"/>
  <c r="K24" i="1"/>
  <c r="D18" i="79"/>
  <c r="C26" i="1"/>
  <c r="M141" i="61"/>
  <c r="L229" i="78"/>
  <c r="M207" i="78"/>
  <c r="M209" i="78"/>
  <c r="H186" i="78"/>
  <c r="L207" i="79"/>
  <c r="L22" i="78"/>
  <c r="D142" i="79"/>
  <c r="K27" i="1"/>
  <c r="H121" i="78"/>
  <c r="H164" i="78"/>
  <c r="D120" i="79"/>
  <c r="H174" i="78"/>
  <c r="L10" i="1"/>
  <c r="D33" i="78"/>
  <c r="M128" i="61"/>
  <c r="H99" i="79"/>
  <c r="L21" i="78"/>
  <c r="L153" i="79"/>
  <c r="E29" i="1"/>
  <c r="C21" i="1"/>
  <c r="D29" i="78"/>
  <c r="M143" i="79"/>
  <c r="D139" i="78"/>
  <c r="N32" i="1"/>
  <c r="D86" i="79"/>
  <c r="L110" i="79"/>
  <c r="M187" i="79"/>
  <c r="G26" i="1"/>
  <c r="L175" i="78"/>
  <c r="L139" i="78"/>
  <c r="L73" i="61"/>
  <c r="D99" i="61"/>
  <c r="M65" i="61"/>
  <c r="I26" i="1"/>
  <c r="H207" i="79"/>
  <c r="L107" i="78"/>
  <c r="M187" i="78"/>
  <c r="D75" i="79"/>
  <c r="E18" i="1"/>
  <c r="L32" i="1"/>
  <c r="M51" i="79"/>
  <c r="L184" i="78"/>
  <c r="D187" i="79"/>
  <c r="H205" i="78"/>
  <c r="E33" i="1"/>
  <c r="L54" i="78"/>
  <c r="M20" i="78"/>
  <c r="N27" i="1"/>
  <c r="M186" i="61"/>
  <c r="L31" i="79"/>
  <c r="L220" i="61"/>
  <c r="L174" i="79"/>
  <c r="H98" i="79"/>
  <c r="H22" i="1"/>
  <c r="H120" i="79"/>
  <c r="H29" i="1"/>
  <c r="D30" i="1"/>
  <c r="N34" i="1"/>
  <c r="M118" i="61"/>
  <c r="H195" i="61"/>
  <c r="M21" i="61"/>
  <c r="L184" i="61"/>
  <c r="L85" i="78"/>
  <c r="M29" i="1"/>
  <c r="M54" i="78"/>
  <c r="H120" i="78"/>
  <c r="M218" i="79"/>
  <c r="H88" i="79"/>
  <c r="H24" i="1"/>
  <c r="H29" i="78"/>
  <c r="M97" i="79"/>
  <c r="M230" i="78"/>
  <c r="H117" i="78"/>
  <c r="L99" i="78"/>
  <c r="J26" i="1"/>
  <c r="D53" i="79"/>
  <c r="M194" i="61"/>
  <c r="L19" i="1"/>
  <c r="D162" i="78"/>
  <c r="L51" i="79"/>
  <c r="N28" i="1"/>
  <c r="D143" i="78"/>
  <c r="M208" i="61"/>
  <c r="L106" i="79"/>
  <c r="H22" i="78"/>
  <c r="M32" i="78"/>
  <c r="L41" i="78"/>
  <c r="D24" i="1"/>
  <c r="L128" i="61"/>
  <c r="H198" i="78"/>
  <c r="L217" i="79"/>
  <c r="D29" i="79"/>
  <c r="L117" i="78"/>
  <c r="D194" i="61"/>
  <c r="L165" i="79"/>
  <c r="H87" i="61"/>
  <c r="H153" i="79"/>
  <c r="D77" i="61"/>
  <c r="E19" i="1"/>
  <c r="D98" i="79"/>
  <c r="H216" i="61"/>
  <c r="H75" i="61"/>
  <c r="M63" i="61"/>
  <c r="D176" i="61"/>
  <c r="M198" i="61"/>
  <c r="M22" i="1"/>
  <c r="D128" i="78"/>
  <c r="M117" i="79"/>
  <c r="H118" i="78"/>
  <c r="D98" i="78"/>
  <c r="L176" i="78"/>
  <c r="M185" i="79"/>
  <c r="L139" i="79"/>
  <c r="D154" i="61"/>
  <c r="E35" i="1"/>
  <c r="E31" i="1"/>
  <c r="L74" i="79"/>
  <c r="H11" i="79"/>
  <c r="M76" i="61"/>
  <c r="I31" i="1"/>
  <c r="H162" i="79"/>
  <c r="D209" i="78"/>
  <c r="D198" i="61"/>
  <c r="N24" i="1"/>
  <c r="D195" i="78"/>
  <c r="L198" i="78"/>
  <c r="H84" i="79"/>
  <c r="D206" i="61"/>
  <c r="D99" i="79"/>
  <c r="H32" i="79"/>
  <c r="H154" i="78"/>
  <c r="D40" i="79"/>
  <c r="H132" i="61"/>
  <c r="M152" i="79"/>
  <c r="M186" i="79"/>
  <c r="L139" i="61"/>
  <c r="M53" i="79"/>
  <c r="D208" i="79"/>
  <c r="D51" i="78"/>
  <c r="M33" i="1"/>
  <c r="K34" i="1"/>
  <c r="M154" i="78"/>
  <c r="M185" i="78"/>
  <c r="M53" i="61"/>
  <c r="M86" i="78"/>
  <c r="D32" i="61"/>
  <c r="H143" i="78"/>
  <c r="D86" i="78"/>
  <c r="L229" i="79"/>
  <c r="M128" i="78"/>
  <c r="L205" i="79"/>
  <c r="N10" i="1"/>
  <c r="L218" i="79"/>
  <c r="H87" i="78"/>
  <c r="D197" i="79"/>
  <c r="H228" i="61"/>
  <c r="D62" i="61"/>
  <c r="J33" i="1"/>
  <c r="G25" i="1"/>
  <c r="K26" i="1"/>
  <c r="M129" i="78"/>
  <c r="M106" i="61"/>
  <c r="D154" i="79"/>
  <c r="L52" i="78"/>
  <c r="L27" i="1"/>
  <c r="H55" i="61"/>
  <c r="H161" i="79"/>
  <c r="M219" i="78"/>
  <c r="D153" i="61"/>
  <c r="I35" i="1"/>
  <c r="H110" i="78"/>
  <c r="L142" i="78"/>
  <c r="H33" i="61"/>
  <c r="H85" i="61"/>
  <c r="M32" i="1"/>
  <c r="M95" i="79"/>
  <c r="L98" i="79"/>
  <c r="I10" i="1"/>
  <c r="M23" i="1"/>
  <c r="M152" i="61"/>
  <c r="L194" i="78"/>
  <c r="D163" i="61"/>
  <c r="H197" i="79"/>
  <c r="L141" i="78"/>
  <c r="L209" i="61"/>
  <c r="H64" i="61"/>
  <c r="M108" i="79"/>
  <c r="D219" i="79"/>
  <c r="M34" i="1"/>
  <c r="D208" i="61"/>
  <c r="M227" i="79"/>
  <c r="M208" i="79"/>
  <c r="L88" i="78"/>
  <c r="H228" i="78"/>
  <c r="H185" i="61"/>
  <c r="M207" i="61"/>
  <c r="L186" i="78"/>
  <c r="F11" i="1"/>
  <c r="L66" i="61"/>
  <c r="M173" i="61"/>
  <c r="H62" i="61"/>
  <c r="L152" i="79"/>
  <c r="L86" i="79"/>
  <c r="H139" i="79"/>
  <c r="H54" i="79"/>
  <c r="M139" i="61"/>
  <c r="J10" i="1"/>
  <c r="H163" i="79"/>
  <c r="H151" i="79"/>
  <c r="L55" i="79"/>
  <c r="M51" i="78"/>
  <c r="L129" i="79"/>
  <c r="H10" i="1"/>
  <c r="J23" i="1"/>
  <c r="L65" i="79"/>
  <c r="M41" i="61"/>
  <c r="H194" i="79"/>
  <c r="H27" i="1"/>
  <c r="L11" i="78"/>
  <c r="D129" i="79"/>
  <c r="L150" i="78"/>
  <c r="D42" i="61"/>
  <c r="J27" i="1"/>
  <c r="L84" i="61"/>
  <c r="M220" i="61"/>
  <c r="D64" i="78"/>
  <c r="F35" i="1"/>
  <c r="H52" i="61"/>
  <c r="M54" i="79"/>
  <c r="M161" i="79"/>
  <c r="L162" i="79"/>
  <c r="D164" i="61"/>
  <c r="M163" i="61"/>
  <c r="L88" i="61"/>
  <c r="D186" i="78"/>
  <c r="H119" i="61"/>
  <c r="H84" i="78"/>
  <c r="D187" i="61"/>
  <c r="M175" i="78"/>
  <c r="M18" i="79"/>
  <c r="H185" i="79"/>
  <c r="M76" i="78"/>
  <c r="H228" i="79"/>
  <c r="D41" i="78"/>
  <c r="L55" i="78"/>
  <c r="H77" i="79"/>
  <c r="K22" i="1"/>
  <c r="H62" i="78"/>
  <c r="D194" i="78"/>
  <c r="N11" i="1"/>
  <c r="M195" i="61"/>
  <c r="H43" i="79"/>
  <c r="D117" i="61"/>
  <c r="D22" i="79"/>
  <c r="H152" i="78"/>
  <c r="M131" i="78"/>
  <c r="H21" i="79"/>
  <c r="H173" i="61"/>
  <c r="M163" i="79"/>
  <c r="M11" i="78"/>
  <c r="L22" i="1"/>
  <c r="L194" i="61"/>
  <c r="H40" i="79"/>
  <c r="M139" i="79"/>
  <c r="D227" i="61"/>
  <c r="J25" i="1"/>
  <c r="D140" i="79"/>
  <c r="K23" i="1"/>
  <c r="L186" i="61"/>
  <c r="G35" i="1"/>
  <c r="D18" i="61"/>
  <c r="H30" i="61"/>
  <c r="H218" i="61"/>
  <c r="M151" i="78"/>
  <c r="H140" i="78"/>
  <c r="M95" i="78"/>
  <c r="L22" i="61"/>
  <c r="D19" i="1"/>
  <c r="C23" i="1"/>
  <c r="D54" i="78"/>
  <c r="D161" i="78"/>
  <c r="H139" i="61"/>
  <c r="H231" i="61"/>
  <c r="L162" i="61"/>
  <c r="L131" i="79"/>
  <c r="D55" i="79"/>
  <c r="H187" i="61"/>
  <c r="D173" i="79"/>
  <c r="D150" i="79"/>
  <c r="L29" i="1"/>
  <c r="L219" i="61"/>
  <c r="M153" i="78"/>
  <c r="L63" i="78"/>
  <c r="M141" i="79"/>
  <c r="M97" i="78"/>
  <c r="L132" i="79"/>
  <c r="D120" i="78"/>
  <c r="L228" i="61"/>
  <c r="D198" i="79"/>
  <c r="L197" i="79"/>
  <c r="L227" i="78"/>
  <c r="L95" i="61"/>
  <c r="M29" i="61"/>
  <c r="L29" i="78"/>
  <c r="M183" i="79"/>
  <c r="L20" i="61"/>
  <c r="H217" i="78"/>
  <c r="H41" i="78"/>
  <c r="L98" i="78"/>
  <c r="H132" i="78"/>
  <c r="M163" i="78"/>
  <c r="L75" i="78"/>
  <c r="H21" i="1"/>
  <c r="D87" i="78"/>
  <c r="D175" i="79"/>
  <c r="L187" i="79"/>
  <c r="M26" i="1"/>
  <c r="D130" i="78"/>
  <c r="L163" i="78"/>
  <c r="H76" i="61"/>
  <c r="D108" i="79"/>
  <c r="H186" i="79"/>
  <c r="D33" i="61"/>
  <c r="L32" i="61"/>
  <c r="M33" i="79"/>
  <c r="C20" i="1"/>
  <c r="M52" i="78"/>
  <c r="L220" i="79"/>
  <c r="M219" i="61"/>
  <c r="M227" i="61"/>
  <c r="K19" i="1"/>
  <c r="L184" i="79"/>
  <c r="G34" i="1"/>
  <c r="H95" i="79"/>
  <c r="M24" i="1"/>
  <c r="L29" i="61"/>
  <c r="H96" i="61"/>
  <c r="M62" i="78"/>
  <c r="L52" i="79"/>
  <c r="M110" i="79"/>
  <c r="E25" i="1"/>
  <c r="L230" i="61"/>
  <c r="D216" i="61"/>
  <c r="H110" i="79"/>
  <c r="H106" i="61"/>
  <c r="M31" i="78"/>
  <c r="L165" i="61"/>
  <c r="C32" i="1"/>
  <c r="H174" i="79"/>
  <c r="L33" i="61"/>
  <c r="D165" i="79"/>
  <c r="D118" i="61"/>
  <c r="D66" i="79"/>
  <c r="H40" i="61"/>
  <c r="M185" i="61"/>
  <c r="M44" i="78"/>
  <c r="M20" i="61"/>
  <c r="L62" i="61"/>
  <c r="L132" i="61"/>
  <c r="D88" i="79"/>
  <c r="L30" i="79"/>
  <c r="D62" i="79"/>
  <c r="D55" i="61"/>
  <c r="L63" i="61"/>
  <c r="H175" i="78"/>
  <c r="H153" i="78"/>
  <c r="G32" i="1"/>
  <c r="L218" i="78"/>
  <c r="H220" i="79"/>
  <c r="M153" i="61"/>
  <c r="H206" i="61"/>
  <c r="D35" i="1"/>
  <c r="D131" i="78"/>
  <c r="H231" i="78"/>
  <c r="H184" i="61"/>
  <c r="L31" i="78"/>
  <c r="M66" i="79"/>
  <c r="H44" i="61"/>
  <c r="D219" i="78"/>
  <c r="D207" i="61"/>
  <c r="L207" i="78"/>
  <c r="L30" i="1"/>
  <c r="K18" i="1"/>
  <c r="D34" i="1"/>
  <c r="D62" i="78"/>
  <c r="K25" i="1"/>
  <c r="I24" i="1"/>
  <c r="H107" i="79"/>
  <c r="M108" i="61"/>
  <c r="H131" i="79"/>
  <c r="H11" i="78"/>
  <c r="D42" i="79"/>
  <c r="M150" i="78"/>
  <c r="D163" i="79"/>
  <c r="D184" i="61"/>
  <c r="L110" i="78"/>
  <c r="L76" i="78"/>
  <c r="D132" i="78"/>
  <c r="H51" i="79"/>
  <c r="M142" i="79"/>
  <c r="G18" i="1"/>
  <c r="L107" i="79"/>
  <c r="D51" i="61"/>
  <c r="H54" i="61"/>
  <c r="L42" i="61"/>
  <c r="H175" i="61"/>
  <c r="D22" i="61"/>
  <c r="H197" i="61"/>
  <c r="L28" i="1"/>
  <c r="M96" i="61"/>
  <c r="D185" i="61"/>
  <c r="L128" i="78"/>
  <c r="H121" i="61"/>
  <c r="M76" i="79"/>
  <c r="D121" i="79"/>
  <c r="L40" i="61"/>
  <c r="F28" i="1"/>
  <c r="K20" i="1"/>
  <c r="J32" i="1"/>
  <c r="L106" i="78"/>
  <c r="D31" i="78"/>
  <c r="H128" i="61"/>
  <c r="L162" i="78"/>
  <c r="M54" i="61"/>
  <c r="L173" i="61"/>
  <c r="M52" i="79"/>
  <c r="H176" i="61"/>
  <c r="H142" i="78"/>
  <c r="L40" i="79"/>
  <c r="L30" i="78"/>
  <c r="H216" i="78"/>
  <c r="M107" i="61"/>
  <c r="L231" i="61"/>
  <c r="H107" i="61"/>
  <c r="D163" i="78"/>
  <c r="C31" i="1"/>
  <c r="M217" i="78"/>
  <c r="L73" i="79"/>
  <c r="D207" i="79"/>
  <c r="D185" i="78"/>
  <c r="M220" i="78"/>
  <c r="L140" i="79"/>
  <c r="H231" i="79"/>
  <c r="H173" i="78"/>
  <c r="L34" i="1"/>
  <c r="D165" i="78"/>
  <c r="M197" i="61"/>
  <c r="D65" i="61"/>
  <c r="L84" i="78"/>
  <c r="L77" i="78"/>
  <c r="D18" i="78"/>
  <c r="L117" i="61"/>
  <c r="D217" i="79"/>
  <c r="H53" i="79"/>
  <c r="M88" i="79"/>
  <c r="D77" i="79"/>
  <c r="H165" i="78"/>
  <c r="M165" i="78"/>
  <c r="H86" i="61"/>
  <c r="D197" i="61"/>
  <c r="M98" i="78"/>
  <c r="G23" i="1"/>
  <c r="I33" i="1"/>
  <c r="I34" i="1"/>
  <c r="M151" i="79"/>
  <c r="H140" i="79"/>
  <c r="D42" i="78"/>
  <c r="M106" i="78"/>
  <c r="E32" i="1"/>
  <c r="D119" i="79"/>
  <c r="L141" i="79"/>
  <c r="M19" i="79"/>
  <c r="D209" i="61"/>
  <c r="D231" i="79"/>
  <c r="D63" i="79"/>
  <c r="D227" i="78"/>
  <c r="L174" i="78"/>
  <c r="H208" i="79"/>
  <c r="H164" i="61"/>
  <c r="H194" i="78"/>
  <c r="D30" i="79"/>
  <c r="L18" i="78"/>
  <c r="M11" i="79"/>
  <c r="M174" i="78"/>
  <c r="M120" i="78"/>
  <c r="D44" i="61"/>
  <c r="I19" i="1"/>
  <c r="M196" i="78"/>
  <c r="H26" i="1"/>
  <c r="D76" i="61"/>
  <c r="M140" i="61"/>
  <c r="H33" i="78"/>
  <c r="L110" i="61"/>
  <c r="D219" i="61"/>
  <c r="D51" i="79"/>
  <c r="D209" i="79"/>
  <c r="M174" i="79"/>
  <c r="D196" i="79"/>
  <c r="H184" i="79"/>
  <c r="L106" i="61"/>
  <c r="H173" i="79"/>
  <c r="D143" i="61"/>
  <c r="C29" i="1"/>
  <c r="L131" i="61"/>
  <c r="D216" i="79"/>
  <c r="H53" i="78"/>
  <c r="L130" i="61"/>
  <c r="H22" i="79"/>
  <c r="M231" i="61"/>
  <c r="D217" i="78"/>
  <c r="D228" i="78"/>
  <c r="D208" i="78"/>
  <c r="M99" i="78"/>
  <c r="H128" i="78"/>
  <c r="H88" i="78"/>
  <c r="M42" i="78"/>
  <c r="L195" i="79"/>
  <c r="M231" i="78"/>
  <c r="H52" i="79"/>
  <c r="H108" i="78"/>
  <c r="M165" i="61"/>
  <c r="M55" i="78"/>
  <c r="H33" i="79"/>
  <c r="M88" i="61"/>
  <c r="H55" i="78"/>
  <c r="M162" i="78"/>
  <c r="M87" i="79"/>
  <c r="D20" i="78"/>
  <c r="M19" i="78"/>
  <c r="L230" i="79"/>
  <c r="L228" i="78"/>
  <c r="D142" i="61"/>
  <c r="L206" i="78"/>
  <c r="L143" i="79"/>
  <c r="D172" i="78"/>
  <c r="H141" i="61"/>
  <c r="M151" i="61"/>
  <c r="M161" i="61"/>
  <c r="D53" i="78"/>
  <c r="H219" i="61"/>
  <c r="M175" i="79"/>
  <c r="H98" i="78"/>
  <c r="H64" i="78"/>
  <c r="H19" i="1"/>
  <c r="H53" i="61"/>
  <c r="L21" i="61"/>
  <c r="H28" i="1"/>
  <c r="H63" i="61"/>
  <c r="H96" i="78"/>
  <c r="L64" i="78"/>
  <c r="F24" i="1"/>
  <c r="D74" i="61"/>
  <c r="H220" i="78"/>
  <c r="D110" i="61"/>
  <c r="D154" i="78"/>
  <c r="L109" i="61"/>
  <c r="D205" i="78"/>
  <c r="D41" i="61"/>
  <c r="H107" i="78"/>
  <c r="H74" i="78"/>
  <c r="M150" i="61"/>
  <c r="L26" i="1"/>
  <c r="H73" i="78"/>
  <c r="D84" i="79"/>
  <c r="H31" i="78"/>
  <c r="M184" i="79"/>
  <c r="J24" i="1"/>
  <c r="H209" i="61"/>
  <c r="H229" i="78"/>
  <c r="M153" i="79"/>
  <c r="D20" i="1"/>
  <c r="L141" i="61"/>
  <c r="D33" i="79"/>
  <c r="D227" i="79"/>
  <c r="M197" i="78"/>
  <c r="M207" i="79"/>
  <c r="F26" i="1"/>
  <c r="D129" i="61"/>
  <c r="H30" i="78"/>
  <c r="H65" i="61"/>
  <c r="L154" i="61"/>
  <c r="L121" i="78"/>
  <c r="L99" i="79"/>
  <c r="M196" i="79"/>
  <c r="D205" i="61"/>
  <c r="M172" i="61"/>
  <c r="F32" i="1"/>
  <c r="D97" i="79"/>
  <c r="M130" i="79"/>
  <c r="J89" i="61" l="1"/>
  <c r="J90" i="61"/>
  <c r="J175" i="79"/>
  <c r="N187" i="78"/>
  <c r="N139" i="61"/>
  <c r="N74" i="61"/>
  <c r="J217" i="78"/>
  <c r="J106" i="78"/>
  <c r="J73" i="61"/>
  <c r="J109" i="79"/>
  <c r="N106" i="79"/>
  <c r="M36" i="1"/>
  <c r="N121" i="61"/>
  <c r="N153" i="79"/>
  <c r="J221" i="78"/>
  <c r="J222" i="78"/>
  <c r="N227" i="78"/>
  <c r="N98" i="78"/>
  <c r="J142" i="78"/>
  <c r="N29" i="61"/>
  <c r="J206" i="61"/>
  <c r="J199" i="78"/>
  <c r="J200" i="78"/>
  <c r="N54" i="78"/>
  <c r="J131" i="78"/>
  <c r="N197" i="79"/>
  <c r="J207" i="61"/>
  <c r="J97" i="79"/>
  <c r="J19" i="79"/>
  <c r="J29" i="61"/>
  <c r="J32" i="79"/>
  <c r="J18" i="61"/>
  <c r="J151" i="78"/>
  <c r="J54" i="79"/>
  <c r="N185" i="79"/>
  <c r="J145" i="78"/>
  <c r="J144" i="78"/>
  <c r="N99" i="79"/>
  <c r="J54" i="61"/>
  <c r="N31" i="78"/>
  <c r="N120" i="78"/>
  <c r="N98" i="61"/>
  <c r="N230" i="61"/>
  <c r="J119" i="79"/>
  <c r="J219" i="79"/>
  <c r="N85" i="61"/>
  <c r="N152" i="78"/>
  <c r="N22" i="61"/>
  <c r="J77" i="61"/>
  <c r="J19" i="61"/>
  <c r="J176" i="61"/>
  <c r="J122" i="61"/>
  <c r="J123" i="61"/>
  <c r="N153" i="61"/>
  <c r="J29" i="78"/>
  <c r="J228" i="79"/>
  <c r="N118" i="61"/>
  <c r="N152" i="79"/>
  <c r="J122" i="79"/>
  <c r="J123" i="79"/>
  <c r="N51" i="61"/>
  <c r="J183" i="78"/>
  <c r="N51" i="78"/>
  <c r="J206" i="78"/>
  <c r="J176" i="78"/>
  <c r="J139" i="79"/>
  <c r="N143" i="79"/>
  <c r="J233" i="61"/>
  <c r="J232" i="61"/>
  <c r="J65" i="61"/>
  <c r="J229" i="78"/>
  <c r="J211" i="78"/>
  <c r="J210" i="78"/>
  <c r="J44" i="78"/>
  <c r="J19" i="78"/>
  <c r="N139" i="78"/>
  <c r="J33" i="79"/>
  <c r="N77" i="61"/>
  <c r="J196" i="61"/>
  <c r="N119" i="79"/>
  <c r="N140" i="78"/>
  <c r="N52" i="79"/>
  <c r="N150" i="78"/>
  <c r="J220" i="79"/>
  <c r="N129" i="78"/>
  <c r="N86" i="78"/>
  <c r="N54" i="79"/>
  <c r="J205" i="78"/>
  <c r="J194" i="79"/>
  <c r="J63" i="78"/>
  <c r="J162" i="79"/>
  <c r="J209" i="78"/>
  <c r="N76" i="61"/>
  <c r="N129" i="79"/>
  <c r="N30" i="79"/>
  <c r="N96" i="78"/>
  <c r="J35" i="78"/>
  <c r="J34" i="78"/>
  <c r="N42" i="79"/>
  <c r="N130" i="79"/>
  <c r="J85" i="61"/>
  <c r="N174" i="78"/>
  <c r="N19" i="79"/>
  <c r="J230" i="78"/>
  <c r="J163" i="78"/>
  <c r="J134" i="61"/>
  <c r="J133" i="61"/>
  <c r="J53" i="61"/>
  <c r="J107" i="61"/>
  <c r="J156" i="61"/>
  <c r="J155" i="61"/>
  <c r="N87" i="61"/>
  <c r="J65" i="79"/>
  <c r="J139" i="78"/>
  <c r="J229" i="79"/>
  <c r="J96" i="61"/>
  <c r="N163" i="61"/>
  <c r="N161" i="78"/>
  <c r="N64" i="61"/>
  <c r="J174" i="61"/>
  <c r="J99" i="61"/>
  <c r="L36" i="1"/>
  <c r="N154" i="79"/>
  <c r="J229" i="61"/>
  <c r="J118" i="78"/>
  <c r="J110" i="78"/>
  <c r="J209" i="61"/>
  <c r="J86" i="78"/>
  <c r="J31" i="61"/>
  <c r="J185" i="78"/>
  <c r="J86" i="61"/>
  <c r="N197" i="61"/>
  <c r="J117" i="61"/>
  <c r="N54" i="61"/>
  <c r="J117" i="78"/>
  <c r="J67" i="61"/>
  <c r="J68" i="61"/>
  <c r="J98" i="79"/>
  <c r="N97" i="78"/>
  <c r="J76" i="79"/>
  <c r="N195" i="78"/>
  <c r="J154" i="61"/>
  <c r="N52" i="78"/>
  <c r="J156" i="79"/>
  <c r="J155" i="79"/>
  <c r="J65" i="78"/>
  <c r="N20" i="79"/>
  <c r="J62" i="61"/>
  <c r="N117" i="79"/>
  <c r="J22" i="78"/>
  <c r="J173" i="61"/>
  <c r="J161" i="79"/>
  <c r="N85" i="78"/>
  <c r="J161" i="61"/>
  <c r="N85" i="79"/>
  <c r="N198" i="79"/>
  <c r="J77" i="78"/>
  <c r="N172" i="78"/>
  <c r="J98" i="61"/>
  <c r="N107" i="61"/>
  <c r="J43" i="79"/>
  <c r="J131" i="79"/>
  <c r="J153" i="78"/>
  <c r="N43" i="78"/>
  <c r="J162" i="61"/>
  <c r="J64" i="79"/>
  <c r="J196" i="78"/>
  <c r="N73" i="79"/>
  <c r="J183" i="79"/>
  <c r="J195" i="79"/>
  <c r="J111" i="61"/>
  <c r="J112" i="61"/>
  <c r="N18" i="61"/>
  <c r="N184" i="61"/>
  <c r="J108" i="61"/>
  <c r="N120" i="61"/>
  <c r="N173" i="61"/>
  <c r="J134" i="78"/>
  <c r="J133" i="78"/>
  <c r="N172" i="61"/>
  <c r="N228" i="78"/>
  <c r="N29" i="78"/>
  <c r="N175" i="61"/>
  <c r="N55" i="79"/>
  <c r="J30" i="78"/>
  <c r="N36" i="1"/>
  <c r="J150" i="61"/>
  <c r="N187" i="61"/>
  <c r="N206" i="61"/>
  <c r="N165" i="78"/>
  <c r="N55" i="78"/>
  <c r="J128" i="61"/>
  <c r="G36" i="1"/>
  <c r="N108" i="61"/>
  <c r="J175" i="78"/>
  <c r="J62" i="78"/>
  <c r="N76" i="78"/>
  <c r="J85" i="78"/>
  <c r="J121" i="79"/>
  <c r="J172" i="61"/>
  <c r="J187" i="78"/>
  <c r="N96" i="79"/>
  <c r="N154" i="61"/>
  <c r="J84" i="78"/>
  <c r="J52" i="61"/>
  <c r="H36" i="1"/>
  <c r="J31" i="79"/>
  <c r="N117" i="78"/>
  <c r="N41" i="61"/>
  <c r="N33" i="79"/>
  <c r="J187" i="61"/>
  <c r="N121" i="79"/>
  <c r="J173" i="79"/>
  <c r="N66" i="78"/>
  <c r="N40" i="78"/>
  <c r="J151" i="61"/>
  <c r="J130" i="61"/>
  <c r="N120" i="79"/>
  <c r="J220" i="61"/>
  <c r="J152" i="78"/>
  <c r="N22" i="79"/>
  <c r="N64" i="79"/>
  <c r="J64" i="78"/>
  <c r="J216" i="78"/>
  <c r="J107" i="79"/>
  <c r="J46" i="78"/>
  <c r="J45" i="78"/>
  <c r="J42" i="79"/>
  <c r="N73" i="78"/>
  <c r="J230" i="79"/>
  <c r="J21" i="61"/>
  <c r="N216" i="78"/>
  <c r="N143" i="61"/>
  <c r="N53" i="61"/>
  <c r="J161" i="78"/>
  <c r="J89" i="78"/>
  <c r="J90" i="78"/>
  <c r="J57" i="78"/>
  <c r="J56" i="78"/>
  <c r="J132" i="61"/>
  <c r="N198" i="61"/>
  <c r="J99" i="79"/>
  <c r="J128" i="79"/>
  <c r="N32" i="79"/>
  <c r="J197" i="78"/>
  <c r="N176" i="79"/>
  <c r="J41" i="79"/>
  <c r="J53" i="78"/>
  <c r="N139" i="79"/>
  <c r="J187" i="79"/>
  <c r="N128" i="79"/>
  <c r="N41" i="79"/>
  <c r="N197" i="78"/>
  <c r="J165" i="78"/>
  <c r="N110" i="79"/>
  <c r="N217" i="61"/>
  <c r="J22" i="61"/>
  <c r="J219" i="78"/>
  <c r="J142" i="79"/>
  <c r="J228" i="61"/>
  <c r="N130" i="61"/>
  <c r="J76" i="78"/>
  <c r="N128" i="78"/>
  <c r="N20" i="78"/>
  <c r="N219" i="61"/>
  <c r="J54" i="78"/>
  <c r="N219" i="79"/>
  <c r="J176" i="79"/>
  <c r="N128" i="61"/>
  <c r="N132" i="79"/>
  <c r="J230" i="61"/>
  <c r="N184" i="79"/>
  <c r="J98" i="78"/>
  <c r="J173" i="78"/>
  <c r="N165" i="61"/>
  <c r="N66" i="61"/>
  <c r="N64" i="78"/>
  <c r="N164" i="79"/>
  <c r="N216" i="61"/>
  <c r="N30" i="61"/>
  <c r="J67" i="79"/>
  <c r="J68" i="79"/>
  <c r="J198" i="79"/>
  <c r="N230" i="79"/>
  <c r="J207" i="79"/>
  <c r="J186" i="79"/>
  <c r="J151" i="79"/>
  <c r="J163" i="61"/>
  <c r="J217" i="79"/>
  <c r="N109" i="78"/>
  <c r="J150" i="79"/>
  <c r="N77" i="78"/>
  <c r="N84" i="79"/>
  <c r="J51" i="78"/>
  <c r="N207" i="61"/>
  <c r="N63" i="61"/>
  <c r="N209" i="79"/>
  <c r="J172" i="79"/>
  <c r="J73" i="79"/>
  <c r="J23" i="79"/>
  <c r="J24" i="79"/>
  <c r="N21" i="79"/>
  <c r="N174" i="79"/>
  <c r="J194" i="78"/>
  <c r="J220" i="78"/>
  <c r="N109" i="61"/>
  <c r="N119" i="78"/>
  <c r="N65" i="79"/>
  <c r="J108" i="78"/>
  <c r="N230" i="78"/>
  <c r="J79" i="61"/>
  <c r="J78" i="61"/>
  <c r="N142" i="78"/>
  <c r="J68" i="78"/>
  <c r="J67" i="78"/>
  <c r="N164" i="78"/>
  <c r="J185" i="79"/>
  <c r="J119" i="61"/>
  <c r="J206" i="79"/>
  <c r="N186" i="78"/>
  <c r="J217" i="61"/>
  <c r="N107" i="78"/>
  <c r="J95" i="61"/>
  <c r="N195" i="79"/>
  <c r="N86" i="61"/>
  <c r="J231" i="61"/>
  <c r="J185" i="61"/>
  <c r="N62" i="79"/>
  <c r="N117" i="61"/>
  <c r="J75" i="61"/>
  <c r="N33" i="78"/>
  <c r="J211" i="61"/>
  <c r="J210" i="61"/>
  <c r="J31" i="78"/>
  <c r="N106" i="78"/>
  <c r="J66" i="79"/>
  <c r="N196" i="61"/>
  <c r="J108" i="79"/>
  <c r="J132" i="79"/>
  <c r="N175" i="79"/>
  <c r="J231" i="79"/>
  <c r="J52" i="79"/>
  <c r="N74" i="78"/>
  <c r="N195" i="61"/>
  <c r="J88" i="79"/>
  <c r="J154" i="79"/>
  <c r="N185" i="78"/>
  <c r="N164" i="61"/>
  <c r="J117" i="79"/>
  <c r="N218" i="61"/>
  <c r="J130" i="79"/>
  <c r="J84" i="79"/>
  <c r="J76" i="61"/>
  <c r="J139" i="61"/>
  <c r="J144" i="79"/>
  <c r="J145" i="79"/>
  <c r="J152" i="79"/>
  <c r="J20" i="79"/>
  <c r="J228" i="78"/>
  <c r="J216" i="61"/>
  <c r="J174" i="78"/>
  <c r="N229" i="78"/>
  <c r="N152" i="61"/>
  <c r="J33" i="78"/>
  <c r="J233" i="79"/>
  <c r="J232" i="79"/>
  <c r="N40" i="61"/>
  <c r="N40" i="79"/>
  <c r="N142" i="61"/>
  <c r="N110" i="78"/>
  <c r="J164" i="61"/>
  <c r="N88" i="79"/>
  <c r="N220" i="79"/>
  <c r="N19" i="78"/>
  <c r="K36" i="1"/>
  <c r="J97" i="61"/>
  <c r="J63" i="79"/>
  <c r="N52" i="61"/>
  <c r="N22" i="78"/>
  <c r="J42" i="61"/>
  <c r="J46" i="79"/>
  <c r="J45" i="79"/>
  <c r="J111" i="79"/>
  <c r="J112" i="79"/>
  <c r="N31" i="79"/>
  <c r="N131" i="79"/>
  <c r="J166" i="78"/>
  <c r="J167" i="78"/>
  <c r="N187" i="79"/>
  <c r="J222" i="79"/>
  <c r="J221" i="79"/>
  <c r="J106" i="61"/>
  <c r="J33" i="61"/>
  <c r="J207" i="78"/>
  <c r="N228" i="79"/>
  <c r="N216" i="79"/>
  <c r="N99" i="61"/>
  <c r="J21" i="79"/>
  <c r="N196" i="78"/>
  <c r="J89" i="79"/>
  <c r="J90" i="79"/>
  <c r="N162" i="61"/>
  <c r="N173" i="79"/>
  <c r="N107" i="79"/>
  <c r="J219" i="61"/>
  <c r="N231" i="78"/>
  <c r="J77" i="79"/>
  <c r="N132" i="61"/>
  <c r="N140" i="79"/>
  <c r="J189" i="61"/>
  <c r="J188" i="61"/>
  <c r="J36" i="1"/>
  <c r="N29" i="79"/>
  <c r="J141" i="78"/>
  <c r="J110" i="61"/>
  <c r="J163" i="79"/>
  <c r="N208" i="79"/>
  <c r="J164" i="78"/>
  <c r="J208" i="78"/>
  <c r="N33" i="61"/>
  <c r="J162" i="78"/>
  <c r="N131" i="61"/>
  <c r="J208" i="79"/>
  <c r="J53" i="79"/>
  <c r="N76" i="79"/>
  <c r="N142" i="79"/>
  <c r="N20" i="61"/>
  <c r="N65" i="78"/>
  <c r="J66" i="78"/>
  <c r="C36" i="1"/>
  <c r="J95" i="78"/>
  <c r="N74" i="79"/>
  <c r="J75" i="79"/>
  <c r="N44" i="79"/>
  <c r="J184" i="78"/>
  <c r="N18" i="78"/>
  <c r="N53" i="79"/>
  <c r="N153" i="78"/>
  <c r="J164" i="79"/>
  <c r="N227" i="79"/>
  <c r="J121" i="78"/>
  <c r="J21" i="78"/>
  <c r="N87" i="78"/>
  <c r="N84" i="78"/>
  <c r="N208" i="78"/>
  <c r="N73" i="61"/>
  <c r="J40" i="79"/>
  <c r="J40" i="78"/>
  <c r="J43" i="61"/>
  <c r="J227" i="79"/>
  <c r="J51" i="61"/>
  <c r="J73" i="78"/>
  <c r="J140" i="79"/>
  <c r="N220" i="78"/>
  <c r="N42" i="78"/>
  <c r="J121" i="61"/>
  <c r="J140" i="61"/>
  <c r="N174" i="61"/>
  <c r="N31" i="61"/>
  <c r="J134" i="79"/>
  <c r="J133" i="79"/>
  <c r="N118" i="79"/>
  <c r="N44" i="78"/>
  <c r="J101" i="78"/>
  <c r="J100" i="78"/>
  <c r="J186" i="61"/>
  <c r="J46" i="61"/>
  <c r="J45" i="61"/>
  <c r="J87" i="78"/>
  <c r="N161" i="79"/>
  <c r="N51" i="79"/>
  <c r="J106" i="79"/>
  <c r="N88" i="78"/>
  <c r="J183" i="61"/>
  <c r="J153" i="79"/>
  <c r="J18" i="79"/>
  <c r="J210" i="79"/>
  <c r="J211" i="79"/>
  <c r="J227" i="61"/>
  <c r="N176" i="78"/>
  <c r="N95" i="79"/>
  <c r="J222" i="61"/>
  <c r="J221" i="61"/>
  <c r="N87" i="79"/>
  <c r="J88" i="78"/>
  <c r="J78" i="78"/>
  <c r="J79" i="78"/>
  <c r="J199" i="79"/>
  <c r="J200" i="79"/>
  <c r="J51" i="79"/>
  <c r="N173" i="78"/>
  <c r="J55" i="79"/>
  <c r="J141" i="79"/>
  <c r="N185" i="61"/>
  <c r="N218" i="79"/>
  <c r="N18" i="79"/>
  <c r="N154" i="78"/>
  <c r="N220" i="61"/>
  <c r="N21" i="78"/>
  <c r="J142" i="61"/>
  <c r="J119" i="78"/>
  <c r="J209" i="79"/>
  <c r="J41" i="61"/>
  <c r="J74" i="61"/>
  <c r="J131" i="61"/>
  <c r="J87" i="61"/>
  <c r="N176" i="61"/>
  <c r="J75" i="78"/>
  <c r="N205" i="78"/>
  <c r="N183" i="61"/>
  <c r="N196" i="79"/>
  <c r="J110" i="79"/>
  <c r="N219" i="78"/>
  <c r="N151" i="79"/>
  <c r="N161" i="61"/>
  <c r="J118" i="79"/>
  <c r="N118" i="78"/>
  <c r="J196" i="79"/>
  <c r="J167" i="79"/>
  <c r="J166" i="79"/>
  <c r="N63" i="79"/>
  <c r="J128" i="78"/>
  <c r="J62" i="79"/>
  <c r="J44" i="61"/>
  <c r="J40" i="61"/>
  <c r="N77" i="79"/>
  <c r="N43" i="61"/>
  <c r="J154" i="78"/>
  <c r="N97" i="61"/>
  <c r="N143" i="78"/>
  <c r="J96" i="79"/>
  <c r="N41" i="78"/>
  <c r="N95" i="78"/>
  <c r="N130" i="78"/>
  <c r="N231" i="79"/>
  <c r="J30" i="79"/>
  <c r="J152" i="61"/>
  <c r="N184" i="78"/>
  <c r="N207" i="79"/>
  <c r="J233" i="78"/>
  <c r="J232" i="78"/>
  <c r="N183" i="78"/>
  <c r="N19" i="61"/>
  <c r="J34" i="61"/>
  <c r="J35" i="61"/>
  <c r="J100" i="61"/>
  <c r="J101" i="61"/>
  <c r="N95" i="61"/>
  <c r="J96" i="78"/>
  <c r="N162" i="78"/>
  <c r="N218" i="78"/>
  <c r="J122" i="78"/>
  <c r="J123" i="78"/>
  <c r="J216" i="79"/>
  <c r="N99" i="78"/>
  <c r="N96" i="61"/>
  <c r="N106" i="61"/>
  <c r="N66" i="79"/>
  <c r="N21" i="61"/>
  <c r="J143" i="78"/>
  <c r="N63" i="78"/>
  <c r="J18" i="78"/>
  <c r="N206" i="78"/>
  <c r="N75" i="61"/>
  <c r="N205" i="61"/>
  <c r="J112" i="78"/>
  <c r="J111" i="78"/>
  <c r="J140" i="78"/>
  <c r="N108" i="79"/>
  <c r="J200" i="61"/>
  <c r="J199" i="61"/>
  <c r="J109" i="61"/>
  <c r="N140" i="61"/>
  <c r="N141" i="78"/>
  <c r="N32" i="61"/>
  <c r="J120" i="61"/>
  <c r="J218" i="78"/>
  <c r="J130" i="78"/>
  <c r="N150" i="61"/>
  <c r="N121" i="78"/>
  <c r="J205" i="61"/>
  <c r="N228" i="61"/>
  <c r="N151" i="61"/>
  <c r="J167" i="61"/>
  <c r="J166" i="61"/>
  <c r="J129" i="61"/>
  <c r="J129" i="79"/>
  <c r="D36" i="1"/>
  <c r="J189" i="78"/>
  <c r="J188" i="78"/>
  <c r="N141" i="79"/>
  <c r="N98" i="79"/>
  <c r="J88" i="61"/>
  <c r="J52" i="78"/>
  <c r="N151" i="78"/>
  <c r="J64" i="61"/>
  <c r="J186" i="78"/>
  <c r="J205" i="79"/>
  <c r="J184" i="79"/>
  <c r="N162" i="79"/>
  <c r="J43" i="78"/>
  <c r="J172" i="78"/>
  <c r="N217" i="79"/>
  <c r="N42" i="61"/>
  <c r="J56" i="79"/>
  <c r="J57" i="79"/>
  <c r="N131" i="78"/>
  <c r="J55" i="61"/>
  <c r="J194" i="61"/>
  <c r="J32" i="61"/>
  <c r="J153" i="61"/>
  <c r="J63" i="61"/>
  <c r="J23" i="78"/>
  <c r="J24" i="78"/>
  <c r="J55" i="78"/>
  <c r="J197" i="61"/>
  <c r="N97" i="79"/>
  <c r="J184" i="61"/>
  <c r="N62" i="78"/>
  <c r="N198" i="78"/>
  <c r="J218" i="79"/>
  <c r="J227" i="78"/>
  <c r="N86" i="79"/>
  <c r="J95" i="79"/>
  <c r="N186" i="79"/>
  <c r="E36" i="1"/>
  <c r="N163" i="78"/>
  <c r="J218" i="61"/>
  <c r="J34" i="79"/>
  <c r="J35" i="79"/>
  <c r="N209" i="78"/>
  <c r="N209" i="61"/>
  <c r="J85" i="79"/>
  <c r="J42" i="78"/>
  <c r="N208" i="61"/>
  <c r="N44" i="61"/>
  <c r="J150" i="78"/>
  <c r="J66" i="61"/>
  <c r="N150" i="79"/>
  <c r="J156" i="78"/>
  <c r="J155" i="78"/>
  <c r="N183" i="79"/>
  <c r="J74" i="78"/>
  <c r="J141" i="61"/>
  <c r="N43" i="79"/>
  <c r="J231" i="78"/>
  <c r="N108" i="78"/>
  <c r="J135" i="78"/>
  <c r="N30" i="78"/>
  <c r="J118" i="61"/>
  <c r="J198" i="61"/>
  <c r="N12" i="1"/>
  <c r="J132" i="78"/>
  <c r="J30" i="61"/>
  <c r="J29" i="79"/>
  <c r="J84" i="61"/>
  <c r="J44" i="79"/>
  <c r="N53" i="78"/>
  <c r="N205" i="79"/>
  <c r="J208" i="61"/>
  <c r="J177" i="61"/>
  <c r="J178" i="61"/>
  <c r="N207" i="78"/>
  <c r="J79" i="79"/>
  <c r="J78" i="79"/>
  <c r="N110" i="61"/>
  <c r="N32" i="78"/>
  <c r="N163" i="79"/>
  <c r="N165" i="79"/>
  <c r="N217" i="78"/>
  <c r="J165" i="79"/>
  <c r="N229" i="79"/>
  <c r="N229" i="61"/>
  <c r="N194" i="79"/>
  <c r="J99" i="78"/>
  <c r="N109" i="79"/>
  <c r="N231" i="61"/>
  <c r="J175" i="61"/>
  <c r="N75" i="78"/>
  <c r="J20" i="78"/>
  <c r="J174" i="79"/>
  <c r="N55" i="61"/>
  <c r="J195" i="61"/>
  <c r="N186" i="61"/>
  <c r="N227" i="61"/>
  <c r="N119" i="61"/>
  <c r="J109" i="78"/>
  <c r="N194" i="78"/>
  <c r="J143" i="79"/>
  <c r="J195" i="78"/>
  <c r="J24" i="61"/>
  <c r="J23" i="61"/>
  <c r="N206" i="79"/>
  <c r="J129" i="78"/>
  <c r="J32" i="78"/>
  <c r="N172" i="79"/>
  <c r="J188" i="79"/>
  <c r="J189" i="79"/>
  <c r="F36" i="1"/>
  <c r="J197" i="79"/>
  <c r="J198" i="78"/>
  <c r="J57" i="61"/>
  <c r="J56" i="61"/>
  <c r="N194" i="61"/>
  <c r="N132" i="78"/>
  <c r="J87" i="79"/>
  <c r="N84" i="61"/>
  <c r="N129" i="61"/>
  <c r="J74" i="79"/>
  <c r="J165" i="61"/>
  <c r="N62" i="61"/>
  <c r="J107" i="78"/>
  <c r="J177" i="79"/>
  <c r="J178" i="79"/>
  <c r="N75" i="79"/>
  <c r="J178" i="78"/>
  <c r="J177" i="78"/>
  <c r="N88" i="61"/>
  <c r="J22" i="79"/>
  <c r="J120" i="78"/>
  <c r="N175" i="78"/>
  <c r="J120" i="79"/>
  <c r="J143" i="61"/>
  <c r="J20" i="61"/>
  <c r="I36" i="1"/>
  <c r="J97" i="78"/>
  <c r="J86" i="79"/>
  <c r="J101" i="79"/>
  <c r="J100" i="79"/>
  <c r="J145" i="61"/>
  <c r="J144" i="61"/>
  <c r="N65" i="61"/>
  <c r="J41" i="78"/>
  <c r="N141" i="61"/>
  <c r="BE21" i="106"/>
  <c r="B8" i="61"/>
  <c r="F7" i="61"/>
  <c r="F8" i="61" s="1"/>
  <c r="F9" i="61" s="1"/>
  <c r="F10" i="61" s="1"/>
  <c r="F11" i="61" s="1"/>
  <c r="BC21" i="106"/>
  <c r="BA21" i="106"/>
  <c r="AZ21" i="106"/>
  <c r="P62" i="61"/>
  <c r="P216" i="78"/>
  <c r="P62" i="79"/>
  <c r="P194" i="78"/>
  <c r="P205" i="61"/>
  <c r="P95" i="78"/>
  <c r="P106" i="78"/>
  <c r="P216" i="61"/>
  <c r="P40" i="61"/>
  <c r="P183" i="61"/>
  <c r="P227" i="61"/>
  <c r="P227" i="79"/>
  <c r="P84" i="61"/>
  <c r="P29" i="79"/>
  <c r="P194" i="79"/>
  <c r="P29" i="61"/>
  <c r="P51" i="79"/>
  <c r="P117" i="61"/>
  <c r="P139" i="79"/>
  <c r="P73" i="61"/>
  <c r="P139" i="78"/>
  <c r="P18" i="79"/>
  <c r="P161" i="61"/>
  <c r="P183" i="78"/>
  <c r="P18" i="78"/>
  <c r="P216" i="79"/>
  <c r="P29" i="78"/>
  <c r="P150" i="61"/>
  <c r="P51" i="61"/>
  <c r="P194" i="61"/>
  <c r="P84" i="79"/>
  <c r="P205" i="79"/>
  <c r="P51" i="78"/>
  <c r="P95" i="79"/>
  <c r="P205" i="78"/>
  <c r="P84" i="78"/>
  <c r="P117" i="78"/>
  <c r="P172" i="78"/>
  <c r="P106" i="61"/>
  <c r="P172" i="61"/>
  <c r="P95" i="61"/>
  <c r="P128" i="79"/>
  <c r="P161" i="79"/>
  <c r="P150" i="78"/>
  <c r="P161" i="78"/>
  <c r="P128" i="78"/>
  <c r="P183" i="79"/>
  <c r="P73" i="78"/>
  <c r="P106" i="79"/>
  <c r="P139" i="61"/>
  <c r="P227" i="78"/>
  <c r="P62" i="78"/>
  <c r="P18" i="61"/>
  <c r="P128" i="61"/>
  <c r="P172" i="79"/>
  <c r="P73" i="79"/>
  <c r="P40" i="79"/>
  <c r="P150" i="79"/>
  <c r="P117" i="79"/>
  <c r="P40" i="78"/>
  <c r="L9" i="1"/>
  <c r="K9" i="1"/>
  <c r="J9" i="1"/>
  <c r="H9" i="1"/>
  <c r="M9" i="1"/>
  <c r="I9" i="1"/>
  <c r="L12" i="1" l="1"/>
  <c r="H12" i="1"/>
  <c r="K12" i="1"/>
  <c r="I12" i="1"/>
  <c r="M12" i="1"/>
  <c r="J12" i="1"/>
  <c r="B9" i="61"/>
  <c r="B10" i="61" l="1"/>
  <c r="B11" i="61" s="1"/>
  <c r="AX19" i="106" l="1"/>
  <c r="AX18" i="106"/>
  <c r="AX17" i="106"/>
  <c r="AX16" i="106"/>
  <c r="F2" i="79"/>
  <c r="B2" i="79"/>
  <c r="F2" i="78"/>
  <c r="M127" i="78" s="1"/>
  <c r="B2" i="78"/>
  <c r="L127" i="78" s="1"/>
  <c r="H11" i="61"/>
  <c r="M11" i="61"/>
  <c r="D11" i="61"/>
  <c r="L11" i="61"/>
  <c r="L149" i="79" l="1"/>
  <c r="L94" i="79"/>
  <c r="L39" i="79"/>
  <c r="L28" i="79"/>
  <c r="L171" i="79"/>
  <c r="L17" i="79"/>
  <c r="L61" i="79"/>
  <c r="L127" i="79"/>
  <c r="L160" i="79"/>
  <c r="L50" i="79"/>
  <c r="L182" i="79"/>
  <c r="L226" i="79"/>
  <c r="L193" i="79"/>
  <c r="L204" i="79"/>
  <c r="L116" i="79"/>
  <c r="L72" i="79"/>
  <c r="L215" i="79"/>
  <c r="L105" i="79"/>
  <c r="L83" i="79"/>
  <c r="L138" i="79"/>
  <c r="M17" i="79"/>
  <c r="M39" i="79"/>
  <c r="M182" i="79"/>
  <c r="M160" i="79"/>
  <c r="M105" i="79"/>
  <c r="M138" i="79"/>
  <c r="M127" i="79"/>
  <c r="M149" i="79"/>
  <c r="M204" i="79"/>
  <c r="M193" i="79"/>
  <c r="M72" i="79"/>
  <c r="M28" i="79"/>
  <c r="M83" i="79"/>
  <c r="M116" i="79"/>
  <c r="M94" i="79"/>
  <c r="M50" i="79"/>
  <c r="M215" i="79"/>
  <c r="M171" i="79"/>
  <c r="M61" i="79"/>
  <c r="M226" i="79"/>
  <c r="L226" i="78"/>
  <c r="L116" i="78"/>
  <c r="L39" i="78"/>
  <c r="L105" i="78"/>
  <c r="L17" i="78"/>
  <c r="L94" i="78"/>
  <c r="L215" i="78"/>
  <c r="L160" i="78"/>
  <c r="L83" i="78"/>
  <c r="L28" i="78"/>
  <c r="L50" i="78"/>
  <c r="L171" i="78"/>
  <c r="L61" i="78"/>
  <c r="L182" i="78"/>
  <c r="L204" i="78"/>
  <c r="L149" i="78"/>
  <c r="L72" i="78"/>
  <c r="L138" i="78"/>
  <c r="L193" i="78"/>
  <c r="M226" i="78"/>
  <c r="M171" i="78"/>
  <c r="M138" i="78"/>
  <c r="M61" i="78"/>
  <c r="M83" i="78"/>
  <c r="M94" i="78"/>
  <c r="M39" i="78"/>
  <c r="M193" i="78"/>
  <c r="M160" i="78"/>
  <c r="M215" i="78"/>
  <c r="M72" i="78"/>
  <c r="M116" i="78"/>
  <c r="M105" i="78"/>
  <c r="M50" i="78"/>
  <c r="M28" i="78"/>
  <c r="M182" i="78"/>
  <c r="M17" i="78"/>
  <c r="M149" i="78"/>
  <c r="M204" i="78"/>
  <c r="L6" i="78"/>
  <c r="M6" i="78"/>
  <c r="L6" i="79"/>
  <c r="M6" i="79"/>
  <c r="AY21" i="106"/>
  <c r="AX21" i="106"/>
  <c r="F2" i="61"/>
  <c r="B2" i="61"/>
  <c r="F9" i="1"/>
  <c r="G9" i="1"/>
  <c r="M138" i="61" l="1"/>
  <c r="M149" i="61"/>
  <c r="M160" i="61"/>
  <c r="M171" i="61"/>
  <c r="M182" i="61"/>
  <c r="M193" i="61"/>
  <c r="M204" i="61"/>
  <c r="M215" i="61"/>
  <c r="M226" i="61"/>
  <c r="L138" i="61"/>
  <c r="L149" i="61"/>
  <c r="L160" i="61"/>
  <c r="L171" i="61"/>
  <c r="L182" i="61"/>
  <c r="L193" i="61"/>
  <c r="L204" i="61"/>
  <c r="L215" i="61"/>
  <c r="L226" i="61"/>
  <c r="M116" i="61"/>
  <c r="M127" i="61"/>
  <c r="M39" i="61"/>
  <c r="M83" i="61"/>
  <c r="M17" i="61"/>
  <c r="M61" i="61"/>
  <c r="M72" i="61"/>
  <c r="M50" i="61"/>
  <c r="M105" i="61"/>
  <c r="M94" i="61"/>
  <c r="M28" i="61"/>
  <c r="L116" i="61"/>
  <c r="L127" i="61"/>
  <c r="L83" i="61"/>
  <c r="L61" i="61"/>
  <c r="L17" i="61"/>
  <c r="L39" i="61"/>
  <c r="L28" i="61"/>
  <c r="L50" i="61"/>
  <c r="L72" i="61"/>
  <c r="L94" i="61"/>
  <c r="L105" i="61"/>
  <c r="F12" i="1"/>
  <c r="G12" i="1"/>
  <c r="L6" i="61"/>
  <c r="M6" i="61"/>
  <c r="BF37" i="106"/>
  <c r="BE37" i="106"/>
  <c r="BC37" i="106"/>
  <c r="BA37" i="106"/>
  <c r="AZ37" i="106"/>
  <c r="AY37" i="106"/>
  <c r="BF36" i="106"/>
  <c r="BE36" i="106"/>
  <c r="BC36" i="106"/>
  <c r="BA36" i="106"/>
  <c r="AZ36" i="106"/>
  <c r="AY36" i="106"/>
  <c r="BF35" i="106"/>
  <c r="BE35" i="106"/>
  <c r="BC35" i="106"/>
  <c r="BA35" i="106"/>
  <c r="AZ35" i="106"/>
  <c r="AY35" i="106"/>
  <c r="BF34" i="106"/>
  <c r="BE34" i="106"/>
  <c r="BC34" i="106"/>
  <c r="BA34" i="106"/>
  <c r="AZ34" i="106"/>
  <c r="AY34" i="106"/>
  <c r="BF33" i="106"/>
  <c r="BE33" i="106"/>
  <c r="BC33" i="106"/>
  <c r="BA33" i="106"/>
  <c r="AZ33" i="106"/>
  <c r="AY33" i="106"/>
  <c r="AC8" i="106"/>
  <c r="E8" i="106"/>
  <c r="AC7" i="106"/>
  <c r="E7" i="106"/>
  <c r="AC6" i="106"/>
  <c r="E6" i="106"/>
  <c r="AC5" i="106"/>
  <c r="E5" i="106"/>
  <c r="AA13" i="106"/>
  <c r="C13" i="106"/>
  <c r="AX2" i="106"/>
  <c r="AA2" i="106"/>
  <c r="Z2" i="106"/>
  <c r="C2" i="106"/>
  <c r="AZ5" i="106"/>
  <c r="BA5" i="106"/>
  <c r="BC5" i="106"/>
  <c r="H9" i="79"/>
  <c r="D9" i="1"/>
  <c r="M8" i="78"/>
  <c r="D7" i="79"/>
  <c r="M9" i="61"/>
  <c r="D9" i="61"/>
  <c r="L7" i="79"/>
  <c r="H10" i="79"/>
  <c r="L9" i="79"/>
  <c r="H7" i="78"/>
  <c r="M9" i="79"/>
  <c r="L10" i="61"/>
  <c r="M8" i="61"/>
  <c r="M7" i="78"/>
  <c r="H7" i="61"/>
  <c r="D10" i="78"/>
  <c r="D8" i="78"/>
  <c r="H9" i="61"/>
  <c r="D9" i="78"/>
  <c r="M10" i="61"/>
  <c r="E9" i="1"/>
  <c r="H8" i="79"/>
  <c r="N9" i="1"/>
  <c r="H8" i="61"/>
  <c r="H10" i="61"/>
  <c r="H8" i="78"/>
  <c r="L7" i="61"/>
  <c r="M7" i="79"/>
  <c r="D9" i="79"/>
  <c r="D7" i="61"/>
  <c r="L10" i="78"/>
  <c r="D7" i="78"/>
  <c r="L8" i="78"/>
  <c r="M9" i="78"/>
  <c r="M10" i="79"/>
  <c r="L7" i="78"/>
  <c r="D8" i="61"/>
  <c r="D10" i="79"/>
  <c r="M10" i="78"/>
  <c r="L9" i="61"/>
  <c r="D8" i="79"/>
  <c r="L9" i="78"/>
  <c r="L8" i="61"/>
  <c r="L10" i="79"/>
  <c r="H10" i="78"/>
  <c r="M8" i="79"/>
  <c r="D10" i="61"/>
  <c r="M7" i="61"/>
  <c r="C9" i="1"/>
  <c r="H9" i="78"/>
  <c r="H7" i="79"/>
  <c r="L8" i="79"/>
  <c r="E12" i="1" l="1"/>
  <c r="D12" i="1"/>
  <c r="C12" i="1"/>
  <c r="N11" i="61"/>
  <c r="N11" i="78"/>
  <c r="N11" i="79"/>
  <c r="J11" i="79"/>
  <c r="J11" i="78"/>
  <c r="J11" i="61"/>
  <c r="N8" i="61"/>
  <c r="J9" i="79"/>
  <c r="J9" i="61"/>
  <c r="J9" i="78"/>
  <c r="N7" i="61"/>
  <c r="N10" i="78"/>
  <c r="N8" i="79"/>
  <c r="N10" i="61"/>
  <c r="J8" i="79"/>
  <c r="J8" i="61"/>
  <c r="J8" i="78"/>
  <c r="N7" i="79"/>
  <c r="N10" i="79"/>
  <c r="N9" i="78"/>
  <c r="N9" i="79"/>
  <c r="N7" i="78"/>
  <c r="J7" i="79"/>
  <c r="J13" i="79"/>
  <c r="J12" i="79"/>
  <c r="J7" i="78"/>
  <c r="J12" i="78"/>
  <c r="J13" i="78"/>
  <c r="J7" i="61"/>
  <c r="J12" i="61"/>
  <c r="J13" i="61"/>
  <c r="J10" i="79"/>
  <c r="J10" i="61"/>
  <c r="J10" i="78"/>
  <c r="N8" i="78"/>
  <c r="N9" i="61"/>
  <c r="P7" i="78"/>
  <c r="P7" i="61"/>
  <c r="P7" i="79"/>
</calcChain>
</file>

<file path=xl/sharedStrings.xml><?xml version="1.0" encoding="utf-8"?>
<sst xmlns="http://schemas.openxmlformats.org/spreadsheetml/2006/main" count="6122" uniqueCount="137">
  <si>
    <t xml:space="preserve">  </t>
  </si>
  <si>
    <t xml:space="preserve">               </t>
    <phoneticPr fontId="22" type="noConversion"/>
  </si>
  <si>
    <t xml:space="preserve">               </t>
  </si>
  <si>
    <t>Anchor</t>
  </si>
  <si>
    <t>G-PCC v1 Anchor</t>
    <phoneticPr fontId="22" type="noConversion"/>
  </si>
  <si>
    <t>Proposal</t>
  </si>
  <si>
    <t>G-PCC v1 Proposal</t>
    <phoneticPr fontId="22" type="noConversion"/>
  </si>
  <si>
    <t>Mandatory</t>
    <phoneticPr fontId="22" type="noConversion"/>
  </si>
  <si>
    <t>Optional</t>
    <phoneticPr fontId="22" type="noConversion"/>
  </si>
  <si>
    <t>Forward facing content - Proposal vs. Anchor</t>
    <phoneticPr fontId="22" type="noConversion"/>
  </si>
  <si>
    <t>Sequence</t>
  </si>
  <si>
    <t>BD-rate
RGB-PSNR</t>
    <phoneticPr fontId="22" type="noConversion"/>
  </si>
  <si>
    <t>BD-rate
YUV-PSNR</t>
    <phoneticPr fontId="22" type="noConversion"/>
  </si>
  <si>
    <t>BD-rate
YUV-SSIM</t>
    <phoneticPr fontId="22" type="noConversion"/>
  </si>
  <si>
    <t>EncT Total</t>
    <phoneticPr fontId="22" type="noConversion"/>
  </si>
  <si>
    <t>DecT Total</t>
    <phoneticPr fontId="22" type="noConversion"/>
  </si>
  <si>
    <t>EncT Geometry</t>
    <phoneticPr fontId="22" type="noConversion"/>
  </si>
  <si>
    <t>DecT Geometry</t>
    <phoneticPr fontId="22" type="noConversion"/>
  </si>
  <si>
    <t>EncT Attributes</t>
    <phoneticPr fontId="22" type="noConversion"/>
  </si>
  <si>
    <t>DecT Attributes</t>
    <phoneticPr fontId="22" type="noConversion"/>
  </si>
  <si>
    <t>MaxRSS Encoder</t>
    <phoneticPr fontId="22" type="noConversion"/>
  </si>
  <si>
    <t>MaxRSS Decoder</t>
    <phoneticPr fontId="22" type="noConversion"/>
  </si>
  <si>
    <t>vs GT (optional)</t>
    <phoneticPr fontId="22" type="noConversion"/>
  </si>
  <si>
    <t>bartender_track</t>
    <phoneticPr fontId="22" type="noConversion"/>
  </si>
  <si>
    <t>breakfast_track</t>
    <phoneticPr fontId="22" type="noConversion"/>
  </si>
  <si>
    <t>cinema_track</t>
    <phoneticPr fontId="22" type="noConversion"/>
  </si>
  <si>
    <t>Average</t>
  </si>
  <si>
    <t>Object-centric content - Proposal vs. Anchor</t>
    <phoneticPr fontId="22" type="noConversion"/>
  </si>
  <si>
    <t>ManWithFruit</t>
    <phoneticPr fontId="22" type="noConversion"/>
  </si>
  <si>
    <t>LEGO_Ferrari</t>
    <phoneticPr fontId="22" type="noConversion"/>
  </si>
  <si>
    <t>LEGO_Bugatti</t>
    <phoneticPr fontId="22" type="noConversion"/>
  </si>
  <si>
    <t>Plant</t>
    <phoneticPr fontId="22" type="noConversion"/>
  </si>
  <si>
    <t>Tennis_Player</t>
    <phoneticPr fontId="22" type="noConversion"/>
  </si>
  <si>
    <t>Cricket_Player</t>
    <phoneticPr fontId="22" type="noConversion"/>
  </si>
  <si>
    <t>Tango_Duo</t>
    <phoneticPr fontId="22" type="noConversion"/>
  </si>
  <si>
    <t>Solo_Tango_Female</t>
    <phoneticPr fontId="22" type="noConversion"/>
  </si>
  <si>
    <t>Solo_Tango_Male</t>
    <phoneticPr fontId="22" type="noConversion"/>
  </si>
  <si>
    <r>
      <t>BlueBackpack_</t>
    </r>
    <r>
      <rPr>
        <sz val="11"/>
        <color theme="1"/>
        <rFont val="宋体"/>
        <family val="3"/>
        <charset val="129"/>
        <scheme val="minor"/>
      </rPr>
      <t>UVGgs_0100</t>
    </r>
    <phoneticPr fontId="22" type="noConversion"/>
  </si>
  <si>
    <r>
      <t>BlueBackpack_</t>
    </r>
    <r>
      <rPr>
        <sz val="11"/>
        <color theme="1"/>
        <rFont val="宋体"/>
        <family val="3"/>
        <charset val="129"/>
        <scheme val="minor"/>
      </rPr>
      <t>UVGgs_0200</t>
    </r>
    <phoneticPr fontId="22" type="noConversion"/>
  </si>
  <si>
    <r>
      <t>FlowerDance_</t>
    </r>
    <r>
      <rPr>
        <sz val="11"/>
        <color theme="1"/>
        <rFont val="宋体"/>
        <family val="3"/>
        <charset val="129"/>
        <scheme val="minor"/>
      </rPr>
      <t>UVGgs_0000</t>
    </r>
    <phoneticPr fontId="22" type="noConversion"/>
  </si>
  <si>
    <r>
      <t>FlowerDance_</t>
    </r>
    <r>
      <rPr>
        <sz val="11"/>
        <color theme="1"/>
        <rFont val="宋体"/>
        <family val="3"/>
        <charset val="129"/>
        <scheme val="minor"/>
      </rPr>
      <t>UVGgs_0200</t>
    </r>
    <phoneticPr fontId="22" type="noConversion"/>
  </si>
  <si>
    <r>
      <t>Gymnast_</t>
    </r>
    <r>
      <rPr>
        <sz val="11"/>
        <color theme="1"/>
        <rFont val="宋体"/>
        <family val="3"/>
        <charset val="129"/>
        <scheme val="minor"/>
      </rPr>
      <t>UVGgs_0100</t>
    </r>
    <phoneticPr fontId="22" type="noConversion"/>
  </si>
  <si>
    <r>
      <t>Gymnast_</t>
    </r>
    <r>
      <rPr>
        <sz val="11"/>
        <color theme="1"/>
        <rFont val="宋体"/>
        <family val="3"/>
        <charset val="129"/>
        <scheme val="minor"/>
      </rPr>
      <t>UVGgs_0200</t>
    </r>
    <phoneticPr fontId="22" type="noConversion"/>
  </si>
  <si>
    <t>artwork</t>
  </si>
  <si>
    <t>panda</t>
  </si>
  <si>
    <t>wukong</t>
  </si>
  <si>
    <t xml:space="preserve"> </t>
  </si>
  <si>
    <t>Rate</t>
  </si>
  <si>
    <t>Distortion</t>
  </si>
  <si>
    <t>BD-rate</t>
  </si>
  <si>
    <t>F</t>
    <phoneticPr fontId="22" type="noConversion"/>
  </si>
  <si>
    <t>AD</t>
    <phoneticPr fontId="22" type="noConversion"/>
  </si>
  <si>
    <t>Test</t>
  </si>
  <si>
    <t>Bitrate [Mbps]</t>
  </si>
  <si>
    <t>%</t>
  </si>
  <si>
    <t>RGB-PSNR</t>
    <phoneticPr fontId="22" type="noConversion"/>
  </si>
  <si>
    <t>Test point</t>
  </si>
  <si>
    <t>Total</t>
  </si>
  <si>
    <t>Delta</t>
  </si>
  <si>
    <t>r01</t>
  </si>
  <si>
    <t>r02</t>
  </si>
  <si>
    <t>r03</t>
  </si>
  <si>
    <t>r04</t>
  </si>
  <si>
    <t>r05</t>
    <phoneticPr fontId="22" type="noConversion"/>
  </si>
  <si>
    <t>BlueBackpack_UVGgs_0100</t>
    <phoneticPr fontId="22" type="noConversion"/>
  </si>
  <si>
    <t>BlueBackpack_UVGgs_0200</t>
    <phoneticPr fontId="22" type="noConversion"/>
  </si>
  <si>
    <t>FlowerDance_UVGgs_0000</t>
    <phoneticPr fontId="22" type="noConversion"/>
  </si>
  <si>
    <t>FlowerDance_UVGgs_0200</t>
    <phoneticPr fontId="22" type="noConversion"/>
  </si>
  <si>
    <t>Gymnast_UVGgs_0100</t>
    <phoneticPr fontId="22" type="noConversion"/>
  </si>
  <si>
    <t>Gymnast_UVGgs_0200</t>
    <phoneticPr fontId="22" type="noConversion"/>
  </si>
  <si>
    <t>artwork</t>
    <phoneticPr fontId="22" type="noConversion"/>
  </si>
  <si>
    <t>panda</t>
    <phoneticPr fontId="22" type="noConversion"/>
  </si>
  <si>
    <t>wukong</t>
    <phoneticPr fontId="22" type="noConversion"/>
  </si>
  <si>
    <t>G</t>
  </si>
  <si>
    <t>AE</t>
    <phoneticPr fontId="26"/>
  </si>
  <si>
    <t>YUV-PSNR</t>
  </si>
  <si>
    <t>H</t>
  </si>
  <si>
    <t>AF</t>
    <phoneticPr fontId="26"/>
  </si>
  <si>
    <t>YUV-SSIM</t>
  </si>
  <si>
    <t xml:space="preserve">    </t>
  </si>
  <si>
    <t>bartender_track</t>
  </si>
  <si>
    <t>End-to-end BD-rate</t>
  </si>
  <si>
    <t>Avg.</t>
  </si>
  <si>
    <t>Avg.</t>
    <phoneticPr fontId="22" type="noConversion"/>
  </si>
  <si>
    <t>Total 
Enc T [s]</t>
    <phoneticPr fontId="26"/>
  </si>
  <si>
    <t>Total 
Dec T [s]</t>
    <phoneticPr fontId="26"/>
  </si>
  <si>
    <t>Geom. 
Enc T [s]</t>
    <phoneticPr fontId="26"/>
  </si>
  <si>
    <t>Geom. 
Dec T [s]</t>
    <phoneticPr fontId="26"/>
  </si>
  <si>
    <t>Attr. 
Enc T [s]</t>
    <phoneticPr fontId="26"/>
  </si>
  <si>
    <t>Attr. 
Dec T [s]</t>
    <phoneticPr fontId="26"/>
  </si>
  <si>
    <t>MaxRSS 
Encoder</t>
    <phoneticPr fontId="26"/>
  </si>
  <si>
    <t>MaxRSS 
Decoder</t>
    <phoneticPr fontId="26"/>
  </si>
  <si>
    <t>Ren T [s]</t>
  </si>
  <si>
    <t xml:space="preserve"> = Calculated / unused</t>
  </si>
  <si>
    <t>kbps</t>
  </si>
  <si>
    <t>RGB-PSNR</t>
  </si>
  <si>
    <t>YUV-PSNR</t>
    <phoneticPr fontId="22" type="noConversion"/>
  </si>
  <si>
    <t>YUV-SSIM</t>
    <phoneticPr fontId="22" type="noConversion"/>
  </si>
  <si>
    <t>YUV-IVSSIM</t>
    <phoneticPr fontId="22" type="noConversion"/>
  </si>
  <si>
    <t>LPIPS</t>
  </si>
  <si>
    <t>vs GT</t>
    <phoneticPr fontId="26"/>
  </si>
  <si>
    <t>vs GT (optional)</t>
    <phoneticPr fontId="26"/>
  </si>
  <si>
    <t xml:space="preserve"> = Required</t>
  </si>
  <si>
    <t xml:space="preserve"> = Unused</t>
  </si>
  <si>
    <t>r05</t>
    <phoneticPr fontId="26"/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</si>
  <si>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</si>
  <si>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</si>
  <si>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</si>
  <si>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</si>
  <si>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</si>
  <si>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</si>
  <si>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</si>
  <si>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</si>
  <si>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</si>
  <si>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</si>
  <si>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Total</t>
    <phoneticPr fontId="26"/>
  </si>
  <si>
    <t>Geom.</t>
    <phoneticPr fontId="26"/>
  </si>
  <si>
    <t>Attr.</t>
    <phoneticPr fontId="26"/>
  </si>
  <si>
    <t>MaxRSS</t>
    <phoneticPr fontId="26"/>
  </si>
  <si>
    <t>Total Execution time</t>
    <phoneticPr fontId="26"/>
  </si>
  <si>
    <t>Geom. Execution time</t>
    <phoneticPr fontId="26"/>
  </si>
  <si>
    <t>Attr. Execution time</t>
    <phoneticPr fontId="26"/>
  </si>
  <si>
    <t>Memory Usage</t>
    <phoneticPr fontId="26"/>
  </si>
  <si>
    <t>Enc T [s]</t>
  </si>
  <si>
    <t>Dec T [s]</t>
    <phoneticPr fontId="26"/>
  </si>
  <si>
    <t>Enc T [s]</t>
    <phoneticPr fontId="26"/>
  </si>
  <si>
    <t>Dec T [s]</t>
  </si>
  <si>
    <t>Encoder</t>
    <phoneticPr fontId="26"/>
  </si>
  <si>
    <t>Decoder</t>
    <phoneticPr fontId="26"/>
  </si>
  <si>
    <t>Enc</t>
  </si>
  <si>
    <t>Dec</t>
  </si>
  <si>
    <t>r05</t>
  </si>
  <si>
    <t>Deltas</t>
  </si>
  <si>
    <t>View</t>
  </si>
  <si>
    <t>LPIPS</t>
    <phoneticPr fontId="26"/>
  </si>
  <si>
    <t>Ren T [s]</t>
    <phoneticPr fontId="22" type="noConversion"/>
  </si>
  <si>
    <t>average of all 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</si>
</sst>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_-* #,##0.00_-;\-* #,##0.00_-;_-* &quot;-&quot;??_-;_-@_-"/>
    <numFmt numFmtId="177" formatCode="0.000"/>
    <numFmt numFmtId="178" formatCode="0.0%;\-0.0%;&quot;---&quot;"/>
    <numFmt numFmtId="179" formatCode="0.0%"/>
    <numFmt numFmtId="180" formatCode="0.0"/>
    <numFmt numFmtId="181" formatCode="0.0000"/>
    <numFmt numFmtId="182" formatCode="0.0E+00"/>
    <numFmt numFmtId="183" formatCode="#,##0.0"/>
  </numFmts>
  <fonts count="29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8"/>
      <name val="宋体"/>
      <family val="3"/>
      <charset val="129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6"/>
      <name val="宋体"/>
      <family val="3"/>
      <charset val="128"/>
      <scheme val="minor"/>
    </font>
    <font>
      <b/>
      <sz val="10"/>
      <color theme="1"/>
      <name val="宋体"/>
      <family val="3"/>
      <charset val="128"/>
      <scheme val="minor"/>
    </font>
    <font>
      <sz val="11"/>
      <color theme="1"/>
      <name val="宋体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" fillId="0" borderId="0"/>
    <xf numFmtId="176" fontId="2" fillId="0" borderId="0"/>
  </cellStyleXfs>
  <cellXfs count="305">
    <xf numFmtId="0" fontId="0" fillId="0" borderId="0" xfId="0"/>
    <xf numFmtId="0" fontId="4" fillId="3" borderId="0" xfId="0" quotePrefix="1" applyFont="1" applyFill="1"/>
    <xf numFmtId="0" fontId="17" fillId="0" borderId="0" xfId="0" applyFont="1"/>
    <xf numFmtId="0" fontId="0" fillId="0" borderId="5" xfId="0" applyBorder="1" applyAlignment="1">
      <alignment horizontal="center"/>
    </xf>
    <xf numFmtId="0" fontId="10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4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4" fillId="3" borderId="0" xfId="0" applyNumberFormat="1" applyFont="1" applyFill="1"/>
    <xf numFmtId="1" fontId="4" fillId="3" borderId="0" xfId="0" applyNumberFormat="1" applyFont="1" applyFill="1"/>
    <xf numFmtId="0" fontId="3" fillId="3" borderId="0" xfId="0" applyFont="1" applyFill="1"/>
    <xf numFmtId="0" fontId="11" fillId="3" borderId="0" xfId="0" applyFont="1" applyFill="1"/>
    <xf numFmtId="0" fontId="4" fillId="3" borderId="0" xfId="0" applyFont="1" applyFill="1"/>
    <xf numFmtId="178" fontId="13" fillId="3" borderId="15" xfId="0" applyNumberFormat="1" applyFont="1" applyFill="1" applyBorder="1" applyAlignment="1">
      <alignment horizontal="center" vertical="center"/>
    </xf>
    <xf numFmtId="178" fontId="13" fillId="3" borderId="0" xfId="0" applyNumberFormat="1" applyFont="1" applyFill="1" applyAlignment="1">
      <alignment horizontal="center" vertical="center"/>
    </xf>
    <xf numFmtId="178" fontId="19" fillId="3" borderId="8" xfId="0" applyNumberFormat="1" applyFont="1" applyFill="1" applyBorder="1" applyAlignment="1">
      <alignment horizontal="center" vertical="center"/>
    </xf>
    <xf numFmtId="178" fontId="19" fillId="3" borderId="0" xfId="0" applyNumberFormat="1" applyFont="1" applyFill="1" applyAlignment="1">
      <alignment horizontal="center" vertical="center"/>
    </xf>
    <xf numFmtId="179" fontId="13" fillId="3" borderId="0" xfId="0" applyNumberFormat="1" applyFont="1" applyFill="1" applyAlignment="1">
      <alignment horizontal="center"/>
    </xf>
    <xf numFmtId="177" fontId="0" fillId="0" borderId="0" xfId="0" applyNumberFormat="1"/>
    <xf numFmtId="179" fontId="18" fillId="0" borderId="5" xfId="0" applyNumberFormat="1" applyFont="1" applyBorder="1" applyAlignment="1">
      <alignment horizontal="center" vertical="center"/>
    </xf>
    <xf numFmtId="180" fontId="4" fillId="3" borderId="0" xfId="0" applyNumberFormat="1" applyFont="1" applyFill="1"/>
    <xf numFmtId="181" fontId="4" fillId="3" borderId="0" xfId="0" applyNumberFormat="1" applyFont="1" applyFill="1"/>
    <xf numFmtId="0" fontId="10" fillId="3" borderId="4" xfId="0" applyFont="1" applyFill="1" applyBorder="1" applyAlignment="1">
      <alignment horizontal="center" vertical="center"/>
    </xf>
    <xf numFmtId="179" fontId="18" fillId="0" borderId="6" xfId="0" applyNumberFormat="1" applyFont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 wrapText="1"/>
    </xf>
    <xf numFmtId="2" fontId="4" fillId="3" borderId="0" xfId="0" applyNumberFormat="1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0" fontId="23" fillId="3" borderId="0" xfId="0" quotePrefix="1" applyFont="1" applyFill="1"/>
    <xf numFmtId="0" fontId="8" fillId="3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81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180" fontId="4" fillId="3" borderId="13" xfId="0" applyNumberFormat="1" applyFont="1" applyFill="1" applyBorder="1" applyAlignment="1">
      <alignment horizontal="center" vertical="center"/>
    </xf>
    <xf numFmtId="2" fontId="4" fillId="3" borderId="13" xfId="0" applyNumberFormat="1" applyFont="1" applyFill="1" applyBorder="1" applyAlignment="1">
      <alignment horizontal="center" vertical="center"/>
    </xf>
    <xf numFmtId="181" fontId="4" fillId="3" borderId="13" xfId="0" applyNumberFormat="1" applyFont="1" applyFill="1" applyBorder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0" fontId="6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181" fontId="4" fillId="3" borderId="0" xfId="0" applyNumberFormat="1" applyFont="1" applyFill="1" applyAlignment="1">
      <alignment vertical="center"/>
    </xf>
    <xf numFmtId="2" fontId="6" fillId="3" borderId="0" xfId="0" applyNumberFormat="1" applyFont="1" applyFill="1" applyAlignment="1">
      <alignment horizontal="right" vertical="center"/>
    </xf>
    <xf numFmtId="0" fontId="4" fillId="5" borderId="13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179" fontId="6" fillId="3" borderId="7" xfId="0" applyNumberFormat="1" applyFont="1" applyFill="1" applyBorder="1" applyAlignment="1">
      <alignment horizontal="center" vertical="center"/>
    </xf>
    <xf numFmtId="179" fontId="6" fillId="3" borderId="0" xfId="0" applyNumberFormat="1" applyFont="1" applyFill="1" applyAlignment="1">
      <alignment horizontal="center" vertical="center"/>
    </xf>
    <xf numFmtId="179" fontId="6" fillId="5" borderId="11" xfId="0" applyNumberFormat="1" applyFont="1" applyFill="1" applyBorder="1" applyAlignment="1">
      <alignment horizontal="center" vertical="center"/>
    </xf>
    <xf numFmtId="10" fontId="6" fillId="5" borderId="10" xfId="0" applyNumberFormat="1" applyFont="1" applyFill="1" applyBorder="1" applyAlignment="1">
      <alignment horizontal="center" vertical="center"/>
    </xf>
    <xf numFmtId="10" fontId="6" fillId="5" borderId="1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23" fillId="3" borderId="17" xfId="0" applyFont="1" applyFill="1" applyBorder="1"/>
    <xf numFmtId="0" fontId="23" fillId="2" borderId="17" xfId="0" applyFont="1" applyFill="1" applyBorder="1"/>
    <xf numFmtId="0" fontId="23" fillId="5" borderId="17" xfId="0" applyFont="1" applyFill="1" applyBorder="1"/>
    <xf numFmtId="0" fontId="0" fillId="3" borderId="0" xfId="0" quotePrefix="1" applyFill="1"/>
    <xf numFmtId="0" fontId="2" fillId="3" borderId="0" xfId="0" quotePrefix="1" applyFont="1" applyFill="1"/>
    <xf numFmtId="2" fontId="4" fillId="5" borderId="1" xfId="0" applyNumberFormat="1" applyFont="1" applyFill="1" applyBorder="1" applyAlignment="1">
      <alignment horizontal="center" vertical="center"/>
    </xf>
    <xf numFmtId="181" fontId="4" fillId="5" borderId="1" xfId="0" applyNumberFormat="1" applyFont="1" applyFill="1" applyBorder="1" applyAlignment="1">
      <alignment horizontal="center" vertical="center"/>
    </xf>
    <xf numFmtId="2" fontId="4" fillId="5" borderId="0" xfId="0" applyNumberFormat="1" applyFont="1" applyFill="1" applyAlignment="1">
      <alignment horizontal="center" vertical="center"/>
    </xf>
    <xf numFmtId="181" fontId="4" fillId="5" borderId="0" xfId="0" applyNumberFormat="1" applyFont="1" applyFill="1" applyAlignment="1">
      <alignment horizontal="center" vertical="center"/>
    </xf>
    <xf numFmtId="1" fontId="4" fillId="5" borderId="10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181" fontId="4" fillId="5" borderId="13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179" fontId="18" fillId="0" borderId="0" xfId="0" applyNumberFormat="1" applyFont="1" applyAlignment="1">
      <alignment vertical="center"/>
    </xf>
    <xf numFmtId="2" fontId="18" fillId="0" borderId="0" xfId="0" applyNumberFormat="1" applyFont="1"/>
    <xf numFmtId="179" fontId="18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vertical="center"/>
    </xf>
    <xf numFmtId="2" fontId="21" fillId="0" borderId="0" xfId="0" applyNumberFormat="1" applyFont="1"/>
    <xf numFmtId="0" fontId="12" fillId="0" borderId="0" xfId="0" applyFont="1"/>
    <xf numFmtId="0" fontId="15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7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4" xfId="0" applyNumberFormat="1" applyFont="1" applyBorder="1" applyAlignment="1">
      <alignment horizontal="center"/>
    </xf>
    <xf numFmtId="2" fontId="21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21" fillId="0" borderId="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/>
    </xf>
    <xf numFmtId="2" fontId="21" fillId="0" borderId="13" xfId="0" applyNumberFormat="1" applyFon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10" fillId="3" borderId="0" xfId="0" applyFont="1" applyFill="1" applyAlignment="1">
      <alignment vertic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81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2" fontId="6" fillId="3" borderId="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2" fontId="4" fillId="3" borderId="1" xfId="0" applyNumberFormat="1" applyFont="1" applyFill="1" applyBorder="1"/>
    <xf numFmtId="181" fontId="4" fillId="3" borderId="1" xfId="0" applyNumberFormat="1" applyFont="1" applyFill="1" applyBorder="1"/>
    <xf numFmtId="1" fontId="4" fillId="3" borderId="2" xfId="0" applyNumberFormat="1" applyFont="1" applyFill="1" applyBorder="1"/>
    <xf numFmtId="0" fontId="25" fillId="3" borderId="0" xfId="0" applyFont="1" applyFill="1" applyAlignment="1">
      <alignment horizontal="center" vertical="center"/>
    </xf>
    <xf numFmtId="182" fontId="24" fillId="5" borderId="13" xfId="0" applyNumberFormat="1" applyFont="1" applyFill="1" applyBorder="1" applyAlignment="1">
      <alignment horizontal="center" vertical="center"/>
    </xf>
    <xf numFmtId="183" fontId="4" fillId="3" borderId="13" xfId="0" applyNumberFormat="1" applyFont="1" applyFill="1" applyBorder="1" applyAlignment="1">
      <alignment horizontal="center" vertical="center"/>
    </xf>
    <xf numFmtId="183" fontId="4" fillId="3" borderId="1" xfId="0" applyNumberFormat="1" applyFont="1" applyFill="1" applyBorder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right" vertical="center" wrapText="1"/>
    </xf>
    <xf numFmtId="3" fontId="4" fillId="3" borderId="0" xfId="0" applyNumberFormat="1" applyFont="1" applyFill="1" applyAlignment="1">
      <alignment horizontal="right" vertical="center"/>
    </xf>
    <xf numFmtId="3" fontId="4" fillId="2" borderId="1" xfId="5" applyNumberFormat="1" applyFont="1" applyFill="1" applyBorder="1" applyAlignment="1">
      <alignment horizontal="right" vertical="center"/>
    </xf>
    <xf numFmtId="3" fontId="4" fillId="3" borderId="0" xfId="0" applyNumberFormat="1" applyFont="1" applyFill="1" applyAlignment="1">
      <alignment horizontal="center" vertical="center"/>
    </xf>
    <xf numFmtId="3" fontId="4" fillId="2" borderId="10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180" fontId="4" fillId="5" borderId="8" xfId="0" applyNumberFormat="1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1" fontId="4" fillId="5" borderId="8" xfId="0" applyNumberFormat="1" applyFont="1" applyFill="1" applyBorder="1" applyAlignment="1">
      <alignment horizontal="center" vertical="center"/>
    </xf>
    <xf numFmtId="181" fontId="4" fillId="5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vertical="center"/>
    </xf>
    <xf numFmtId="0" fontId="8" fillId="4" borderId="7" xfId="0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horizontal="center" vertical="center"/>
    </xf>
    <xf numFmtId="3" fontId="4" fillId="2" borderId="0" xfId="5" applyNumberFormat="1" applyFont="1" applyFill="1" applyAlignment="1">
      <alignment horizontal="right" vertical="center"/>
    </xf>
    <xf numFmtId="2" fontId="4" fillId="5" borderId="10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3" fontId="4" fillId="3" borderId="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/>
    <xf numFmtId="3" fontId="4" fillId="3" borderId="0" xfId="0" applyNumberFormat="1" applyFont="1" applyFill="1" applyAlignment="1">
      <alignment horizontal="right" vertical="center" wrapText="1"/>
    </xf>
    <xf numFmtId="2" fontId="4" fillId="3" borderId="0" xfId="5" applyNumberFormat="1" applyFont="1" applyFill="1" applyAlignment="1">
      <alignment horizontal="center" vertical="center"/>
    </xf>
    <xf numFmtId="0" fontId="4" fillId="3" borderId="11" xfId="0" applyFont="1" applyFill="1" applyBorder="1" applyAlignment="1">
      <alignment vertical="center"/>
    </xf>
    <xf numFmtId="179" fontId="6" fillId="5" borderId="0" xfId="0" applyNumberFormat="1" applyFont="1" applyFill="1" applyAlignment="1">
      <alignment horizontal="center" vertical="center"/>
    </xf>
    <xf numFmtId="10" fontId="6" fillId="5" borderId="0" xfId="0" applyNumberFormat="1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2" fontId="4" fillId="3" borderId="10" xfId="0" applyNumberFormat="1" applyFont="1" applyFill="1" applyBorder="1" applyAlignment="1">
      <alignment horizontal="center" vertical="center"/>
    </xf>
    <xf numFmtId="179" fontId="0" fillId="0" borderId="5" xfId="0" applyNumberFormat="1" applyBorder="1" applyAlignment="1">
      <alignment horizontal="center"/>
    </xf>
    <xf numFmtId="3" fontId="4" fillId="2" borderId="1" xfId="0" applyNumberFormat="1" applyFont="1" applyFill="1" applyBorder="1" applyAlignment="1">
      <alignment horizontal="right" vertical="center"/>
    </xf>
    <xf numFmtId="3" fontId="4" fillId="2" borderId="0" xfId="0" applyNumberFormat="1" applyFont="1" applyFill="1" applyAlignment="1">
      <alignment horizontal="right" vertical="center"/>
    </xf>
    <xf numFmtId="3" fontId="4" fillId="5" borderId="0" xfId="0" applyNumberFormat="1" applyFont="1" applyFill="1" applyAlignment="1">
      <alignment horizontal="center" vertical="center"/>
    </xf>
    <xf numFmtId="3" fontId="4" fillId="5" borderId="13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/>
    </xf>
    <xf numFmtId="0" fontId="2" fillId="3" borderId="0" xfId="0" applyFont="1" applyFill="1"/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4" fillId="5" borderId="0" xfId="0" applyFont="1" applyFill="1" applyAlignment="1">
      <alignment horizontal="center" vertical="center"/>
    </xf>
    <xf numFmtId="2" fontId="4" fillId="2" borderId="0" xfId="5" applyNumberFormat="1" applyFont="1" applyFill="1" applyAlignment="1">
      <alignment horizontal="center" vertical="center"/>
    </xf>
    <xf numFmtId="182" fontId="24" fillId="5" borderId="0" xfId="0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9" fontId="20" fillId="3" borderId="18" xfId="8" applyFill="1" applyBorder="1" applyAlignment="1">
      <alignment horizontal="center"/>
    </xf>
    <xf numFmtId="9" fontId="20" fillId="3" borderId="19" xfId="8" applyFill="1" applyBorder="1" applyAlignment="1">
      <alignment horizontal="center"/>
    </xf>
    <xf numFmtId="9" fontId="20" fillId="3" borderId="20" xfId="8" applyFill="1" applyBorder="1" applyAlignment="1">
      <alignment horizontal="center"/>
    </xf>
    <xf numFmtId="9" fontId="20" fillId="3" borderId="21" xfId="8" applyFill="1" applyBorder="1" applyAlignment="1">
      <alignment horizontal="center"/>
    </xf>
    <xf numFmtId="9" fontId="20" fillId="3" borderId="22" xfId="8" applyFill="1" applyBorder="1" applyAlignment="1">
      <alignment horizontal="center"/>
    </xf>
    <xf numFmtId="9" fontId="12" fillId="3" borderId="23" xfId="8" applyFont="1" applyFill="1" applyBorder="1" applyAlignment="1">
      <alignment horizontal="center"/>
    </xf>
    <xf numFmtId="9" fontId="12" fillId="3" borderId="24" xfId="8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 vertical="center" wrapText="1"/>
    </xf>
    <xf numFmtId="178" fontId="19" fillId="3" borderId="25" xfId="0" applyNumberFormat="1" applyFon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27" fillId="3" borderId="0" xfId="0" applyFont="1" applyFill="1" applyAlignment="1">
      <alignment horizontal="center" vertical="center"/>
    </xf>
    <xf numFmtId="1" fontId="4" fillId="3" borderId="1" xfId="0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" fillId="3" borderId="0" xfId="0" quotePrefix="1" applyFont="1" applyFill="1"/>
    <xf numFmtId="2" fontId="4" fillId="2" borderId="13" xfId="0" applyNumberFormat="1" applyFont="1" applyFill="1" applyBorder="1" applyAlignment="1">
      <alignment horizontal="center" vertical="center"/>
    </xf>
    <xf numFmtId="3" fontId="4" fillId="2" borderId="13" xfId="5" applyNumberFormat="1" applyFont="1" applyFill="1" applyBorder="1" applyAlignment="1">
      <alignment horizontal="right" vertical="center"/>
    </xf>
    <xf numFmtId="3" fontId="4" fillId="3" borderId="13" xfId="0" applyNumberFormat="1" applyFont="1" applyFill="1" applyBorder="1" applyAlignment="1">
      <alignment horizontal="right" vertical="center"/>
    </xf>
    <xf numFmtId="0" fontId="16" fillId="3" borderId="19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" fillId="6" borderId="16" xfId="0" applyFont="1" applyFill="1" applyBorder="1" applyAlignment="1">
      <alignment horizontal="left" vertical="center"/>
    </xf>
    <xf numFmtId="0" fontId="1" fillId="7" borderId="16" xfId="0" applyFont="1" applyFill="1" applyBorder="1" applyAlignment="1">
      <alignment horizontal="left" vertical="center"/>
    </xf>
    <xf numFmtId="0" fontId="10" fillId="6" borderId="0" xfId="0" applyFont="1" applyFill="1"/>
    <xf numFmtId="0" fontId="10" fillId="7" borderId="0" xfId="0" applyFont="1" applyFill="1"/>
    <xf numFmtId="0" fontId="10" fillId="0" borderId="0" xfId="0" applyFont="1"/>
    <xf numFmtId="0" fontId="5" fillId="3" borderId="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2" fontId="4" fillId="5" borderId="15" xfId="0" applyNumberFormat="1" applyFont="1" applyFill="1" applyBorder="1" applyAlignment="1">
      <alignment horizontal="center" vertical="center"/>
    </xf>
    <xf numFmtId="2" fontId="4" fillId="2" borderId="15" xfId="5" applyNumberFormat="1" applyFont="1" applyFill="1" applyBorder="1" applyAlignment="1">
      <alignment horizontal="center" vertical="center"/>
    </xf>
    <xf numFmtId="2" fontId="4" fillId="2" borderId="15" xfId="0" applyNumberFormat="1" applyFont="1" applyFill="1" applyBorder="1" applyAlignment="1">
      <alignment horizontal="center" vertical="center"/>
    </xf>
    <xf numFmtId="182" fontId="24" fillId="5" borderId="15" xfId="0" applyNumberFormat="1" applyFont="1" applyFill="1" applyBorder="1" applyAlignment="1">
      <alignment horizontal="center" vertical="center"/>
    </xf>
    <xf numFmtId="1" fontId="4" fillId="5" borderId="15" xfId="0" applyNumberFormat="1" applyFont="1" applyFill="1" applyBorder="1" applyAlignment="1">
      <alignment horizontal="center" vertical="center"/>
    </xf>
    <xf numFmtId="3" fontId="4" fillId="2" borderId="27" xfId="0" applyNumberFormat="1" applyFont="1" applyFill="1" applyBorder="1" applyAlignment="1">
      <alignment horizontal="center" vertical="center"/>
    </xf>
    <xf numFmtId="2" fontId="4" fillId="2" borderId="13" xfId="5" applyNumberFormat="1" applyFont="1" applyFill="1" applyBorder="1" applyAlignment="1">
      <alignment horizontal="center" vertical="center"/>
    </xf>
    <xf numFmtId="9" fontId="20" fillId="3" borderId="28" xfId="8" applyFill="1" applyBorder="1" applyAlignment="1">
      <alignment horizontal="center"/>
    </xf>
    <xf numFmtId="3" fontId="4" fillId="2" borderId="14" xfId="0" applyNumberFormat="1" applyFont="1" applyFill="1" applyBorder="1" applyAlignment="1">
      <alignment horizontal="center" vertical="center"/>
    </xf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14" fontId="10" fillId="2" borderId="0" xfId="0" quotePrefix="1" applyNumberFormat="1" applyFont="1" applyFill="1" applyAlignment="1">
      <alignment horizontal="left"/>
    </xf>
    <xf numFmtId="0" fontId="12" fillId="3" borderId="13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/>
    <xf numFmtId="14" fontId="12" fillId="2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7" fillId="3" borderId="0" xfId="0" applyFont="1" applyFill="1" applyAlignment="1">
      <alignment horizontal="center"/>
    </xf>
    <xf numFmtId="0" fontId="0" fillId="3" borderId="0" xfId="0" applyFill="1" applyAlignment="1"/>
    <xf numFmtId="0" fontId="4" fillId="3" borderId="3" xfId="0" quotePrefix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1" fontId="4" fillId="3" borderId="1" xfId="0" applyNumberFormat="1" applyFont="1" applyFill="1" applyBorder="1" applyAlignment="1">
      <alignment horizontal="center" vertical="center" wrapText="1"/>
    </xf>
    <xf numFmtId="1" fontId="4" fillId="3" borderId="13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 wrapText="1"/>
    </xf>
    <xf numFmtId="1" fontId="4" fillId="3" borderId="14" xfId="0" applyNumberFormat="1" applyFont="1" applyFill="1" applyBorder="1" applyAlignment="1">
      <alignment horizontal="center" vertical="center" wrapText="1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36000000}"/>
    <cellStyle name="쉼표 2" xfId="10" xr:uid="{00000000-0005-0000-0000-000037000000}"/>
    <cellStyle name="표준 2" xfId="5" xr:uid="{00000000-0005-0000-0000-000005000000}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mruColors>
      <color rgb="FFCCFFFF"/>
      <color rgb="FF66FFFF"/>
      <color rgb="FF66FFCC"/>
      <color rgb="FF00FFCC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C-4574-AF8D-488BB7FDE60B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C-4574-AF8D-488BB7FDE60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C-4574-AF8D-488BB7FDE60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1C-4574-AF8D-488BB7FDE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FC-416F-9488-65CB8A0827A3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FC-416F-9488-65CB8A0827A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FC-416F-9488-65CB8A0827A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FC-416F-9488-65CB8A0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E-40CA-B03B-2E484D0F6C9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AE-40CA-B03B-2E484D0F6C9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1AE-40CA-B03B-2E484D0F6C9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1AE-40CA-B03B-2E484D0F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EC-44F0-B31B-F4B2A235B678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EEC-44F0-B31B-F4B2A235B67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EC-44F0-B31B-F4B2A235B67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EEC-44F0-B31B-F4B2A235B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B-4EC0-80CF-46C5C0CB3FC5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AB-4EC0-80CF-46C5C0CB3F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AB-4EC0-80CF-46C5C0CB3F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7AB-4EC0-80CF-46C5C0CB3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A-44CB-940C-46406D370913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A-44CB-940C-46406D37091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A-44CB-940C-46406D37091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FA-44CB-940C-46406D370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35-4A19-B39A-F50380C087B1}"/>
            </c:ext>
          </c:extLst>
        </c:ser>
        <c:ser>
          <c:idx val="1"/>
          <c:order val="1"/>
          <c:tx>
            <c:strRef>
              <c:f>'RGB-PSNR'!$M$83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335-4A19-B39A-F50380C087B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35-4A19-B39A-F50380C087B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335-4A19-B39A-F50380C08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81-4C5A-9D1C-CFDFDA8676FB}"/>
            </c:ext>
          </c:extLst>
        </c:ser>
        <c:ser>
          <c:idx val="1"/>
          <c:order val="1"/>
          <c:tx>
            <c:strRef>
              <c:f>'RGB-PSNR'!$M$94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81-4C5A-9D1C-CFDFDA8676F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81-4C5A-9D1C-CFDFDA8676F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781-4C5A-9D1C-CFDFDA86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2B-47BF-A87C-9054D45735A5}"/>
            </c:ext>
          </c:extLst>
        </c:ser>
        <c:ser>
          <c:idx val="1"/>
          <c:order val="1"/>
          <c:tx>
            <c:strRef>
              <c:f>'RGB-PSNR'!$M$105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82B-47BF-A87C-9054D45735A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2B-47BF-A87C-9054D45735A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82B-47BF-A87C-9054D4573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C0-428C-B3EE-6AA2E61A69CA}"/>
            </c:ext>
          </c:extLst>
        </c:ser>
        <c:ser>
          <c:idx val="1"/>
          <c:order val="1"/>
          <c:tx>
            <c:strRef>
              <c:f>'RGB-PSNR'!$M$116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8C0-428C-B3EE-6AA2E61A69C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C0-428C-B3EE-6AA2E61A69C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8C0-428C-B3EE-6AA2E61A6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21-4753-9909-E5731182136E}"/>
            </c:ext>
          </c:extLst>
        </c:ser>
        <c:ser>
          <c:idx val="1"/>
          <c:order val="1"/>
          <c:tx>
            <c:strRef>
              <c:f>'RGB-PSNR'!$M$127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F21-4753-9909-E5731182136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21-4753-9909-E5731182136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F21-4753-9909-E57311821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BA-440A-8984-66CC5118E05E}"/>
            </c:ext>
          </c:extLst>
        </c:ser>
        <c:ser>
          <c:idx val="1"/>
          <c:order val="1"/>
          <c:tx>
            <c:strRef>
              <c:f>'RGB-PSNR'!$M$138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8BA-440A-8984-66CC5118E05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BA-440A-8984-66CC5118E05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8BA-440A-8984-66CC5118E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65-4754-BC18-40E5D256355C}"/>
            </c:ext>
          </c:extLst>
        </c:ser>
        <c:ser>
          <c:idx val="1"/>
          <c:order val="1"/>
          <c:tx>
            <c:strRef>
              <c:f>'RGB-PSNR'!$M$149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E65-4754-BC18-40E5D256355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65-4754-BC18-40E5D256355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E65-4754-BC18-40E5D2563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20-4226-8F4C-0CBE842C2453}"/>
            </c:ext>
          </c:extLst>
        </c:ser>
        <c:ser>
          <c:idx val="1"/>
          <c:order val="1"/>
          <c:tx>
            <c:strRef>
              <c:f>'RGB-PSNR'!$M$160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020-4226-8F4C-0CBE842C245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20-4226-8F4C-0CBE842C245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020-4226-8F4C-0CBE842C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A-4042-B86C-B1B4B3941219}"/>
            </c:ext>
          </c:extLst>
        </c:ser>
        <c:ser>
          <c:idx val="1"/>
          <c:order val="1"/>
          <c:tx>
            <c:strRef>
              <c:f>'RGB-PSNR'!$M$171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CA-4042-B86C-B1B4B394121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CA-4042-B86C-B1B4B394121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7CA-4042-B86C-B1B4B3941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81-4716-98DA-B3CF32502540}"/>
            </c:ext>
          </c:extLst>
        </c:ser>
        <c:ser>
          <c:idx val="1"/>
          <c:order val="1"/>
          <c:tx>
            <c:strRef>
              <c:f>'RGB-PSNR'!$M$182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881-4716-98DA-B3CF3250254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81-4716-98DA-B3CF3250254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881-4716-98DA-B3CF32502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D4-46F3-8AF2-A3665E53B9C5}"/>
            </c:ext>
          </c:extLst>
        </c:ser>
        <c:ser>
          <c:idx val="1"/>
          <c:order val="1"/>
          <c:tx>
            <c:strRef>
              <c:f>'RGB-PSNR'!$M$193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6D4-46F3-8AF2-A3665E53B9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D4-46F3-8AF2-A3665E53B9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6D4-46F3-8AF2-A3665E53B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6E-4F28-8970-38BE1C221960}"/>
            </c:ext>
          </c:extLst>
        </c:ser>
        <c:ser>
          <c:idx val="1"/>
          <c:order val="1"/>
          <c:tx>
            <c:strRef>
              <c:f>'RGB-PSNR'!$M$204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26E-4F28-8970-38BE1C22196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6E-4F28-8970-38BE1C22196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26E-4F28-8970-38BE1C221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DA-43D3-A6C7-6EA263C84C13}"/>
            </c:ext>
          </c:extLst>
        </c:ser>
        <c:ser>
          <c:idx val="1"/>
          <c:order val="1"/>
          <c:tx>
            <c:strRef>
              <c:f>'RGB-PSNR'!$M$215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FDA-43D3-A6C7-6EA263C84C1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DA-43D3-A6C7-6EA263C84C1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FDA-43D3-A6C7-6EA263C8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31-4769-8FA1-1963AB25F7BB}"/>
            </c:ext>
          </c:extLst>
        </c:ser>
        <c:ser>
          <c:idx val="1"/>
          <c:order val="1"/>
          <c:tx>
            <c:strRef>
              <c:f>'RGB-PSNR'!$M$226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131-4769-8FA1-1963AB25F7B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31-4769-8FA1-1963AB25F7B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131-4769-8FA1-1963AB25F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C81-A984-15F15ACD5988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82-4C81-A984-15F15ACD598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82-4C81-A984-15F15ACD598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C81-A984-15F15ACD5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8-4639-ABBE-EF7BF57DBEB7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8-4639-ABBE-EF7BF57DBEB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8-4639-ABBE-EF7BF57DBEB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98-4639-ABBE-EF7BF57DB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A-46F3-A0F9-413544346AD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A-46F3-A0F9-413544346AD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A-46F3-A0F9-413544346AD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A-46F3-A0F9-413544346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3A-414E-8E9D-8C1FCA50C6A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B3A-414E-8E9D-8C1FCA50C6A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3A-414E-8E9D-8C1FCA50C6A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B3A-414E-8E9D-8C1FCA5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60-49FF-BE72-12DDED45A509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F60-49FF-BE72-12DDED45A50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60-49FF-BE72-12DDED45A50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F60-49FF-BE72-12DDED45A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C5-4078-9AC7-51CE8A4C5CFA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C5-4078-9AC7-51CE8A4C5CF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C5-4078-9AC7-51CE8A4C5CF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C5-4078-9AC7-51CE8A4C5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C0-44CA-AAF6-C5CB52C4B4C1}"/>
            </c:ext>
          </c:extLst>
        </c:ser>
        <c:ser>
          <c:idx val="1"/>
          <c:order val="1"/>
          <c:tx>
            <c:strRef>
              <c:f>'YUV-PSNR'!$M$105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DC0-44CA-AAF6-C5CB52C4B4C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C0-44CA-AAF6-C5CB52C4B4C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DC0-44CA-AAF6-C5CB52C4B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83-44AE-86E9-FAD850BC1414}"/>
            </c:ext>
          </c:extLst>
        </c:ser>
        <c:ser>
          <c:idx val="1"/>
          <c:order val="1"/>
          <c:tx>
            <c:strRef>
              <c:f>'YUV-PSNR'!$M$116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983-44AE-86E9-FAD850BC141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83-44AE-86E9-FAD850BC141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983-44AE-86E9-FAD850BC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FF-450B-9625-A595F76B7A06}"/>
            </c:ext>
          </c:extLst>
        </c:ser>
        <c:ser>
          <c:idx val="1"/>
          <c:order val="1"/>
          <c:tx>
            <c:strRef>
              <c:f>'YUV-PSNR'!$M$127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DFF-450B-9625-A595F76B7A0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FF-450B-9625-A595F76B7A0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DFF-450B-9625-A595F76B7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EF-4FC5-B89E-398BEACFA819}"/>
            </c:ext>
          </c:extLst>
        </c:ser>
        <c:ser>
          <c:idx val="1"/>
          <c:order val="1"/>
          <c:tx>
            <c:strRef>
              <c:f>'YUV-PSNR'!$M$138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3EF-4FC5-B89E-398BEACFA81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EF-4FC5-B89E-398BEACFA81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3EF-4FC5-B89E-398BEACFA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66-4EEA-AB64-587721719FF8}"/>
            </c:ext>
          </c:extLst>
        </c:ser>
        <c:ser>
          <c:idx val="1"/>
          <c:order val="1"/>
          <c:tx>
            <c:strRef>
              <c:f>'YUV-PSNR'!$M$149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566-4EEA-AB64-587721719FF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66-4EEA-AB64-587721719FF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566-4EEA-AB64-587721719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49-46F3-B3BF-69007F850EC3}"/>
            </c:ext>
          </c:extLst>
        </c:ser>
        <c:ser>
          <c:idx val="1"/>
          <c:order val="1"/>
          <c:tx>
            <c:strRef>
              <c:f>'YUV-PSNR'!$M$160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149-46F3-B3BF-69007F850EC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49-46F3-B3BF-69007F850EC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149-46F3-B3BF-69007F850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5E-4240-A49D-EE03BD2FC3F4}"/>
            </c:ext>
          </c:extLst>
        </c:ser>
        <c:ser>
          <c:idx val="1"/>
          <c:order val="1"/>
          <c:tx>
            <c:strRef>
              <c:f>'YUV-PSNR'!$M$171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A5E-4240-A49D-EE03BD2FC3F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5E-4240-A49D-EE03BD2FC3F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A5E-4240-A49D-EE03BD2FC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CF-4A06-A531-96DE4F0CCE33}"/>
            </c:ext>
          </c:extLst>
        </c:ser>
        <c:ser>
          <c:idx val="1"/>
          <c:order val="1"/>
          <c:tx>
            <c:strRef>
              <c:f>'YUV-PSNR'!$M$182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8CF-4A06-A531-96DE4F0CCE3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CF-4A06-A531-96DE4F0CCE3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8CF-4A06-A531-96DE4F0CC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5-4CE0-9F0C-1B5B99F6DF64}"/>
            </c:ext>
          </c:extLst>
        </c:ser>
        <c:ser>
          <c:idx val="1"/>
          <c:order val="1"/>
          <c:tx>
            <c:strRef>
              <c:f>'YUV-PSNR'!$M$193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D95-4CE0-9F0C-1B5B99F6DF6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5-4CE0-9F0C-1B5B99F6DF6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D95-4CE0-9F0C-1B5B99F6D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39-4636-8804-94814AE384EE}"/>
            </c:ext>
          </c:extLst>
        </c:ser>
        <c:ser>
          <c:idx val="1"/>
          <c:order val="1"/>
          <c:tx>
            <c:strRef>
              <c:f>'YUV-PSNR'!$M$204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239-4636-8804-94814AE384E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39-4636-8804-94814AE384E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239-4636-8804-94814AE38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D4-49EC-872A-2297785F481C}"/>
            </c:ext>
          </c:extLst>
        </c:ser>
        <c:ser>
          <c:idx val="1"/>
          <c:order val="1"/>
          <c:tx>
            <c:strRef>
              <c:f>'YUV-PSNR'!$M$215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BD4-49EC-872A-2297785F481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D4-49EC-872A-2297785F481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BD4-49EC-872A-2297785F4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1D-46A8-9E8E-63384BAF4814}"/>
            </c:ext>
          </c:extLst>
        </c:ser>
        <c:ser>
          <c:idx val="1"/>
          <c:order val="1"/>
          <c:tx>
            <c:strRef>
              <c:f>'YUV-PSNR'!$M$226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F1D-46A8-9E8E-63384BAF481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1D-46A8-9E8E-63384BAF481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F1D-46A8-9E8E-63384BAF4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FF-4449-809F-C5050CC721A7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FF-4449-809F-C5050CC721A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FF-4449-809F-C5050CC721A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FF-4449-809F-C5050CC72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C4-4ED1-A48F-2C12C7CF3BC5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C4-4ED1-A48F-2C12C7CF3B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C4-4ED1-A48F-2C12C7CF3B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C4-4ED1-A48F-2C12C7CF3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94-4583-B636-C15F59D8896A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E94-4583-B636-C15F59D8896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94-4583-B636-C15F59D8896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E94-4583-B636-C15F59D88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9A-481D-A680-E080354420A8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9A-481D-A680-E080354420A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9A-481D-A680-E080354420A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9A-481D-A680-E08035442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68-43E6-928F-DC113E571CCE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68-43E6-928F-DC113E571CC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68-43E6-928F-DC113E571CC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68-43E6-928F-DC113E571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AE-4657-B6FB-0E389DE9326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AE-4657-B6FB-0E389DE9326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AE-4657-B6FB-0E389DE9326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AE-4657-B6FB-0E389DE93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10-4210-9114-811C3A530B8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10-4210-9114-811C3A530B8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10-4210-9114-811C3A530B8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10-4210-9114-811C3A53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1-4BAA-88F9-C2384BE8F0B3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1-4BAA-88F9-C2384BE8F0B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341-4BAA-88F9-C2384BE8F0B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341-4BAA-88F9-C2384BE8F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E5-4BE3-BC11-5F8FA7EB8A1F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E5-4BE3-BC11-5F8FA7EB8A1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E5-4BE3-BC11-5F8FA7EB8A1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E5-4BE3-BC11-5F8FA7EB8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5B-4899-9185-6DB53E489A52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F5B-4899-9185-6DB53E489A5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5B-4899-9185-6DB53E489A5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F5B-4899-9185-6DB53E489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50-4BC4-8008-9FCDCBC340BB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50-4BC4-8008-9FCDCBC340B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50-4BC4-8008-9FCDCBC340B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50-4BC4-8008-9FCDCBC34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22-4D6B-B296-73AFA3FBD33B}"/>
            </c:ext>
          </c:extLst>
        </c:ser>
        <c:ser>
          <c:idx val="1"/>
          <c:order val="1"/>
          <c:tx>
            <c:strRef>
              <c:f>'YUV-SSIM'!$M$83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A22-4D6B-B296-73AFA3FBD33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22-4D6B-B296-73AFA3FBD33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A22-4D6B-B296-73AFA3FBD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48-4E5B-BB0A-B1641B3C8E8A}"/>
            </c:ext>
          </c:extLst>
        </c:ser>
        <c:ser>
          <c:idx val="1"/>
          <c:order val="1"/>
          <c:tx>
            <c:strRef>
              <c:f>'YUV-SSIM'!$M$94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648-4E5B-BB0A-B1641B3C8E8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48-4E5B-BB0A-B1641B3C8E8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648-4E5B-BB0A-B1641B3C8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41-4FAC-AD61-894D5EB59823}"/>
            </c:ext>
          </c:extLst>
        </c:ser>
        <c:ser>
          <c:idx val="1"/>
          <c:order val="1"/>
          <c:tx>
            <c:strRef>
              <c:f>'YUV-SSIM'!$M$105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341-4FAC-AD61-894D5EB5982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41-4FAC-AD61-894D5EB5982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341-4FAC-AD61-894D5EB59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2-465E-B24F-E28463BE1F3D}"/>
            </c:ext>
          </c:extLst>
        </c:ser>
        <c:ser>
          <c:idx val="1"/>
          <c:order val="1"/>
          <c:tx>
            <c:strRef>
              <c:f>'YUV-SSIM'!$M$116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AA2-465E-B24F-E28463BE1F3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A2-465E-B24F-E28463BE1F3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AA2-465E-B24F-E28463BE1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47-4B00-946F-9153C8FC7379}"/>
            </c:ext>
          </c:extLst>
        </c:ser>
        <c:ser>
          <c:idx val="1"/>
          <c:order val="1"/>
          <c:tx>
            <c:strRef>
              <c:f>'YUV-SSIM'!$M$127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247-4B00-946F-9153C8FC737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47-4B00-946F-9153C8FC737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247-4B00-946F-9153C8FC7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BC-41B4-AFED-B572C1449E90}"/>
            </c:ext>
          </c:extLst>
        </c:ser>
        <c:ser>
          <c:idx val="1"/>
          <c:order val="1"/>
          <c:tx>
            <c:strRef>
              <c:f>'YUV-SSIM'!$M$138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2BC-41B4-AFED-B572C1449E9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BC-41B4-AFED-B572C1449E9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2BC-41B4-AFED-B572C1449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2E-4633-B2CC-402BC690F3DD}"/>
            </c:ext>
          </c:extLst>
        </c:ser>
        <c:ser>
          <c:idx val="1"/>
          <c:order val="1"/>
          <c:tx>
            <c:strRef>
              <c:f>'YUV-SSIM'!$M$149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32E-4633-B2CC-402BC690F3D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2E-4633-B2CC-402BC690F3D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32E-4633-B2CC-402BC690F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8DA-8224-422C82A72B7E}"/>
            </c:ext>
          </c:extLst>
        </c:ser>
        <c:ser>
          <c:idx val="1"/>
          <c:order val="1"/>
          <c:tx>
            <c:strRef>
              <c:f>'YUV-SSIM'!$M$160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A5-48DA-8224-422C82A72B7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8DA-8224-422C82A72B7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7A5-48DA-8224-422C82A72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95-422C-B3AF-A5C4192BD5CC}"/>
            </c:ext>
          </c:extLst>
        </c:ser>
        <c:ser>
          <c:idx val="1"/>
          <c:order val="1"/>
          <c:tx>
            <c:strRef>
              <c:f>'YUV-SSIM'!$M$171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C95-422C-B3AF-A5C4192BD5C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95-422C-B3AF-A5C4192BD5C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C95-422C-B3AF-A5C4192BD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4-4213-9BFB-18C4623F66E3}"/>
            </c:ext>
          </c:extLst>
        </c:ser>
        <c:ser>
          <c:idx val="1"/>
          <c:order val="1"/>
          <c:tx>
            <c:strRef>
              <c:f>'YUV-SSIM'!$M$182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9E4-4213-9BFB-18C4623F66E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E4-4213-9BFB-18C4623F66E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9E4-4213-9BFB-18C4623F6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DA-42FB-A6F3-DD1965480E58}"/>
            </c:ext>
          </c:extLst>
        </c:ser>
        <c:ser>
          <c:idx val="1"/>
          <c:order val="1"/>
          <c:tx>
            <c:strRef>
              <c:f>'YUV-SSIM'!$M$193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EDA-42FB-A6F3-DD1965480E5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DA-42FB-A6F3-DD1965480E5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EDA-42FB-A6F3-DD196548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01-4BEF-922F-E62D56D58183}"/>
            </c:ext>
          </c:extLst>
        </c:ser>
        <c:ser>
          <c:idx val="1"/>
          <c:order val="1"/>
          <c:tx>
            <c:strRef>
              <c:f>'YUV-SSIM'!$M$204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301-4BEF-922F-E62D56D5818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01-4BEF-922F-E62D56D5818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301-4BEF-922F-E62D56D58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05-424A-96D3-3E9A3A8A2673}"/>
            </c:ext>
          </c:extLst>
        </c:ser>
        <c:ser>
          <c:idx val="1"/>
          <c:order val="1"/>
          <c:tx>
            <c:strRef>
              <c:f>'YUV-SSIM'!$M$215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9E05-424A-96D3-3E9A3A8A267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05-424A-96D3-3E9A3A8A267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9E05-424A-96D3-3E9A3A8A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9F-46FA-B440-AB3A5E08931E}"/>
            </c:ext>
          </c:extLst>
        </c:ser>
        <c:ser>
          <c:idx val="1"/>
          <c:order val="1"/>
          <c:tx>
            <c:strRef>
              <c:f>'YUV-SSIM'!$M$226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69F-46FA-B440-AB3A5E08931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9F-46FA-B440-AB3A5E08931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69F-46FA-B440-AB3A5E089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18" Type="http://schemas.openxmlformats.org/officeDocument/2006/relationships/chart" Target="../charts/chart39.xml"/><Relationship Id="rId3" Type="http://schemas.openxmlformats.org/officeDocument/2006/relationships/chart" Target="../charts/chart24.xml"/><Relationship Id="rId21" Type="http://schemas.openxmlformats.org/officeDocument/2006/relationships/chart" Target="../charts/chart42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17" Type="http://schemas.openxmlformats.org/officeDocument/2006/relationships/chart" Target="../charts/chart38.xml"/><Relationship Id="rId2" Type="http://schemas.openxmlformats.org/officeDocument/2006/relationships/chart" Target="../charts/chart23.xml"/><Relationship Id="rId16" Type="http://schemas.openxmlformats.org/officeDocument/2006/relationships/chart" Target="../charts/chart37.xml"/><Relationship Id="rId20" Type="http://schemas.openxmlformats.org/officeDocument/2006/relationships/chart" Target="../charts/chart41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19" Type="http://schemas.openxmlformats.org/officeDocument/2006/relationships/chart" Target="../charts/chart40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18691509-0F68-4BB1-84B3-4DB49101E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0163254-D6CF-468D-BBCA-C03F46A2B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D402287C-CD5A-4870-BBDE-A61BF69F3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460606D0-5EC6-4CFF-AD85-49DFA63A2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13CF595-02FB-46C0-960A-05E8EC486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89457660-358C-45B6-81C1-FCF9FA6DC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62FB0EF9-3F11-4134-A562-86DBC1C27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BD40425D-B1B4-4348-A6F6-3E9756BFC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D14F7029-F981-4D12-BA12-9BCBD41AC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196849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B1F1FB66-2EFA-41FC-805C-C3CBF691D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196849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2492878B-FB3B-4773-AD9F-6090830D0D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1644EFE4-A017-4072-B490-D34328808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187324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34B6FAB1-6721-4505-AF42-35466A6FCA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200024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1AB4ABFB-F303-43A5-AEFB-EDB14AA6A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196849</xdr:rowOff>
    </xdr:to>
    <xdr:graphicFrame macro="">
      <xdr:nvGraphicFramePr>
        <xdr:cNvPr id="27" name="Chart 1">
          <a:extLst>
            <a:ext uri="{FF2B5EF4-FFF2-40B4-BE49-F238E27FC236}">
              <a16:creationId xmlns:a16="http://schemas.microsoft.com/office/drawing/2014/main" id="{B4CAC733-A2BA-4A60-9424-611A4987F1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190499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0D80BE94-FF28-450B-A09A-86C1E2948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165099</xdr:rowOff>
    </xdr:to>
    <xdr:graphicFrame macro="">
      <xdr:nvGraphicFramePr>
        <xdr:cNvPr id="29" name="Chart 1">
          <a:extLst>
            <a:ext uri="{FF2B5EF4-FFF2-40B4-BE49-F238E27FC236}">
              <a16:creationId xmlns:a16="http://schemas.microsoft.com/office/drawing/2014/main" id="{2B54D051-166A-435E-9E79-9D62ADC14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165099</xdr:rowOff>
    </xdr:to>
    <xdr:graphicFrame macro="">
      <xdr:nvGraphicFramePr>
        <xdr:cNvPr id="30" name="Chart 1">
          <a:extLst>
            <a:ext uri="{FF2B5EF4-FFF2-40B4-BE49-F238E27FC236}">
              <a16:creationId xmlns:a16="http://schemas.microsoft.com/office/drawing/2014/main" id="{6D801ECE-FB11-44FD-9CE7-B502E90FB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165099</xdr:rowOff>
    </xdr:to>
    <xdr:graphicFrame macro="">
      <xdr:nvGraphicFramePr>
        <xdr:cNvPr id="31" name="Chart 1">
          <a:extLst>
            <a:ext uri="{FF2B5EF4-FFF2-40B4-BE49-F238E27FC236}">
              <a16:creationId xmlns:a16="http://schemas.microsoft.com/office/drawing/2014/main" id="{C9901CDA-ACFE-46D9-8234-9B8774A24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165099</xdr:rowOff>
    </xdr:to>
    <xdr:graphicFrame macro="">
      <xdr:nvGraphicFramePr>
        <xdr:cNvPr id="32" name="Chart 1">
          <a:extLst>
            <a:ext uri="{FF2B5EF4-FFF2-40B4-BE49-F238E27FC236}">
              <a16:creationId xmlns:a16="http://schemas.microsoft.com/office/drawing/2014/main" id="{231FCF7B-C366-4BF9-8C47-63A0961D6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474C9F-6464-44F1-8982-A163BD186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8852E5AC-DDFD-466E-B5A9-43BBDC011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40627EBC-A568-44FB-B53D-1B450A51C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D4981C01-D7BA-4C0F-8307-9A755A261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1D977133-15EC-42EF-8B96-B7D03C161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138152E8-5EB8-4C58-8899-42CC76463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18C545D7-7938-4927-BABE-4FD98893A6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34989AB4-C1EC-4FFE-B0FC-EA6758B52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200024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91086F85-833E-425A-91F6-78FFE2681A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196849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D5D4AA13-C041-4631-8194-BF4718701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200024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B1DAB86C-1CE9-42C7-B72E-7682CBB5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203199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5ECC5176-CADD-4638-A8DC-49D0127E8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486CA25F-8FF5-40D5-81DA-26CE66AF9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FF1191A7-7E1A-4A90-9177-91AEB50D8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EC9B492D-FED5-4FE2-954F-B7D2A2D9D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B93B33C0-F3AD-4927-B775-1EB2439AB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221F34FA-04B7-464C-8F04-88F208553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497AD0AC-4479-4823-96C6-BFD19AF3C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F6556A-6A32-4088-90A6-C7DB77BA57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16782</xdr:colOff>
      <xdr:row>56</xdr:row>
      <xdr:rowOff>190499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41F9F36-E004-4811-B7E2-B515512AD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16782</xdr:colOff>
      <xdr:row>78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63AA6BC2-A72B-4D6A-AD97-B81260CE72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EE60E4F7-BA97-4630-B54B-922655552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58B59B5-08EC-4350-BEAB-8B9DA5426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73435A1A-7A34-49B5-AF6A-BCFF859C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539BAB60-880B-4E8E-BA24-91AB1C14F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670BE41-CCC7-44B1-BA34-D0C790157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A5BF7EA-FC87-4A28-8E8F-94D5E6B05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96F09E5F-D254-401B-B0DB-266C56A66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854BB8E-5475-4968-8DF5-F02B15361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0E9ED1-24DA-4C2F-8FDE-774E4FDF0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441F4B5C-CEE0-4314-98FD-52DDA3BFC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CAC031FA-29C5-4ED1-8379-8C2F4C0D3E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1EF1C345-93AF-4128-A2FE-1BBD0B3D6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206374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F4E910AE-6FC5-4784-A65A-2931C02D8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9B338B46-F2C4-44C4-AC55-9CEF51B84A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203199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A4D544D0-C631-4CD6-B2FB-3A7BF0030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206374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610D3896-2A49-4740-8B6E-8E63048B42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1C1B48D0-44B0-402F-B879-34FD75608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C770DF03-EFC5-4EDE-AA32-DD6AC7B07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9D09FE51-3AF2-404B-98B2-2E3EC94EB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AF7C84F-87C1-4F37-9685-780EB4CCC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C4C93064-A3DC-4102-A7A9-C8168579EB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9DE6A7F2-B47B-4B65-92D2-2D9C61222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"/>
  <sheetViews>
    <sheetView tabSelected="1" workbookViewId="0">
      <selection activeCell="C3" sqref="C3:O3"/>
    </sheetView>
  </sheetViews>
  <sheetFormatPr defaultColWidth="8.59765625" defaultRowHeight="14.4" x14ac:dyDescent="0.25"/>
  <cols>
    <col min="1" max="1" width="1.59765625" style="13" bestFit="1" customWidth="1"/>
    <col min="2" max="2" width="22.09765625" style="13" customWidth="1"/>
    <col min="3" max="3" width="12.5" style="13" customWidth="1"/>
    <col min="4" max="5" width="9.59765625" style="13" bestFit="1" customWidth="1"/>
    <col min="6" max="14" width="9.69921875" style="13" customWidth="1"/>
    <col min="15" max="15" width="7.09765625" style="13" customWidth="1"/>
    <col min="16" max="16" width="7.19921875" style="13" customWidth="1"/>
    <col min="17" max="16384" width="8.59765625" style="13"/>
  </cols>
  <sheetData>
    <row r="1" spans="1:16" x14ac:dyDescent="0.25">
      <c r="A1" s="218" t="s">
        <v>0</v>
      </c>
      <c r="B1" s="247"/>
      <c r="C1" s="247"/>
      <c r="D1" s="218" t="s">
        <v>1</v>
      </c>
      <c r="E1" s="218" t="s">
        <v>2</v>
      </c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 t="s">
        <v>0</v>
      </c>
    </row>
    <row r="2" spans="1:16" x14ac:dyDescent="0.25">
      <c r="A2" s="247"/>
      <c r="B2" s="4"/>
      <c r="C2" s="248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</row>
    <row r="3" spans="1:16" x14ac:dyDescent="0.25">
      <c r="A3" s="247"/>
      <c r="B3" s="4" t="s">
        <v>3</v>
      </c>
      <c r="C3" s="251" t="s">
        <v>4</v>
      </c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47"/>
    </row>
    <row r="4" spans="1:16" x14ac:dyDescent="0.25">
      <c r="A4" s="247"/>
      <c r="B4" s="4" t="s">
        <v>5</v>
      </c>
      <c r="C4" s="251" t="s">
        <v>6</v>
      </c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51"/>
      <c r="P4" s="247"/>
    </row>
    <row r="5" spans="1:16" x14ac:dyDescent="0.25">
      <c r="A5" s="247"/>
      <c r="B5" s="232" t="s">
        <v>7</v>
      </c>
      <c r="C5" s="248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</row>
    <row r="6" spans="1:16" x14ac:dyDescent="0.25">
      <c r="A6" s="247"/>
      <c r="B6" s="233" t="s">
        <v>8</v>
      </c>
      <c r="C6" s="234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</row>
    <row r="7" spans="1:16" s="14" customFormat="1" ht="16.5" customHeight="1" thickBot="1" x14ac:dyDescent="0.3">
      <c r="A7" s="188"/>
      <c r="B7" s="252" t="s">
        <v>9</v>
      </c>
      <c r="C7" s="252"/>
      <c r="D7" s="252"/>
      <c r="E7" s="252"/>
      <c r="F7" s="252"/>
      <c r="G7" s="252"/>
      <c r="H7" s="252"/>
      <c r="I7" s="252"/>
      <c r="J7" s="252"/>
      <c r="K7" s="252"/>
      <c r="L7" s="252"/>
      <c r="M7" s="252"/>
      <c r="N7" s="252"/>
      <c r="O7" s="253"/>
      <c r="P7" s="188"/>
    </row>
    <row r="8" spans="1:16" ht="30" customHeight="1" thickBot="1" x14ac:dyDescent="0.3">
      <c r="A8" s="247"/>
      <c r="B8" s="25" t="s">
        <v>10</v>
      </c>
      <c r="C8" s="27" t="s">
        <v>11</v>
      </c>
      <c r="D8" s="27" t="s">
        <v>12</v>
      </c>
      <c r="E8" s="27" t="s">
        <v>13</v>
      </c>
      <c r="F8" s="27" t="s">
        <v>14</v>
      </c>
      <c r="G8" s="27" t="s">
        <v>15</v>
      </c>
      <c r="H8" s="27" t="s">
        <v>16</v>
      </c>
      <c r="I8" s="27" t="s">
        <v>17</v>
      </c>
      <c r="J8" s="27" t="s">
        <v>18</v>
      </c>
      <c r="K8" s="27" t="s">
        <v>19</v>
      </c>
      <c r="L8" s="27" t="s">
        <v>20</v>
      </c>
      <c r="M8" s="27" t="s">
        <v>21</v>
      </c>
      <c r="N8" s="27" t="s">
        <v>22</v>
      </c>
      <c r="O8" s="222"/>
      <c r="P8" s="247"/>
    </row>
    <row r="9" spans="1:16" ht="15.75" customHeight="1" x14ac:dyDescent="0.25">
      <c r="A9" s="247"/>
      <c r="B9" s="230" t="s">
        <v>23</v>
      </c>
      <c r="C9" s="16" t="e">
        <f ca="1">INDIRECT($B9&amp;"!AY$5")</f>
        <v>#VALUE!</v>
      </c>
      <c r="D9" s="16" t="e">
        <f ca="1">INDIRECT($B9&amp;"!AZ$5")</f>
        <v>#VALUE!</v>
      </c>
      <c r="E9" s="16" t="e">
        <f ca="1">INDIRECT($B9&amp;"!BA$5")</f>
        <v>#VALUE!</v>
      </c>
      <c r="F9" s="16" t="e">
        <f ca="1">INDIRECT($B9&amp;"!AX$21")</f>
        <v>#DIV/0!</v>
      </c>
      <c r="G9" s="16" t="e">
        <f ca="1">INDIRECT($B9&amp;"!AY$21")</f>
        <v>#DIV/0!</v>
      </c>
      <c r="H9" s="16" t="e">
        <f ca="1">INDIRECT($B9&amp;"!AZ$21")</f>
        <v>#DIV/0!</v>
      </c>
      <c r="I9" s="16" t="e">
        <f ca="1">INDIRECT($B9&amp;"!BA$21")</f>
        <v>#DIV/0!</v>
      </c>
      <c r="J9" s="16" t="e">
        <f ca="1">INDIRECT($B9&amp;"!BB$21")</f>
        <v>#DIV/0!</v>
      </c>
      <c r="K9" s="16" t="e">
        <f ca="1">INDIRECT($B9&amp;"!BC$21")</f>
        <v>#DIV/0!</v>
      </c>
      <c r="L9" s="16" t="e">
        <f ca="1">INDIRECT($B9&amp;"!BD$21")</f>
        <v>#DIV/0!</v>
      </c>
      <c r="M9" s="16" t="e">
        <f ca="1">INDIRECT($B9&amp;"!BE$21")</f>
        <v>#DIV/0!</v>
      </c>
      <c r="N9" s="16" t="e">
        <f ca="1">INDIRECT($B9&amp;"!BC$5")</f>
        <v>#VALUE!</v>
      </c>
      <c r="O9" s="17"/>
      <c r="P9" s="247"/>
    </row>
    <row r="10" spans="1:16" ht="15.75" customHeight="1" x14ac:dyDescent="0.25">
      <c r="A10" s="247"/>
      <c r="B10" s="230" t="s">
        <v>24</v>
      </c>
      <c r="C10" s="16" t="e">
        <f ca="1">INDIRECT($B10&amp;"!AY$5")</f>
        <v>#VALUE!</v>
      </c>
      <c r="D10" s="16" t="e">
        <f ca="1">INDIRECT($B10&amp;"!AZ$5")</f>
        <v>#VALUE!</v>
      </c>
      <c r="E10" s="16" t="e">
        <f ca="1">INDIRECT($B10&amp;"!BA$5")</f>
        <v>#VALUE!</v>
      </c>
      <c r="F10" s="16" t="e">
        <f ca="1">INDIRECT($B10&amp;"!AX$21")</f>
        <v>#DIV/0!</v>
      </c>
      <c r="G10" s="16" t="e">
        <f ca="1">INDIRECT($B10&amp;"!AY$21")</f>
        <v>#DIV/0!</v>
      </c>
      <c r="H10" s="16" t="e">
        <f ca="1">INDIRECT($B10&amp;"!AZ$21")</f>
        <v>#DIV/0!</v>
      </c>
      <c r="I10" s="16" t="e">
        <f ca="1">INDIRECT($B10&amp;"!BA$21")</f>
        <v>#DIV/0!</v>
      </c>
      <c r="J10" s="16" t="e">
        <f ca="1">INDIRECT($B10&amp;"!BB$21")</f>
        <v>#DIV/0!</v>
      </c>
      <c r="K10" s="16" t="e">
        <f ca="1">INDIRECT($B10&amp;"!BC$21")</f>
        <v>#DIV/0!</v>
      </c>
      <c r="L10" s="16" t="e">
        <f ca="1">INDIRECT($B10&amp;"!BD$21")</f>
        <v>#DIV/0!</v>
      </c>
      <c r="M10" s="16" t="e">
        <f ca="1">INDIRECT($B10&amp;"!BE$21")</f>
        <v>#DIV/0!</v>
      </c>
      <c r="N10" s="16" t="e">
        <f ca="1">INDIRECT($B10&amp;"!BC$5")</f>
        <v>#VALUE!</v>
      </c>
      <c r="O10" s="17"/>
      <c r="P10" s="247"/>
    </row>
    <row r="11" spans="1:16" ht="15.75" customHeight="1" thickBot="1" x14ac:dyDescent="0.3">
      <c r="A11" s="247"/>
      <c r="B11" s="230" t="s">
        <v>25</v>
      </c>
      <c r="C11" s="16" t="e">
        <f ca="1">INDIRECT($B11&amp;"!AY$5")</f>
        <v>#VALUE!</v>
      </c>
      <c r="D11" s="16" t="e">
        <f ca="1">INDIRECT($B11&amp;"!AZ$5")</f>
        <v>#VALUE!</v>
      </c>
      <c r="E11" s="16" t="e">
        <f ca="1">INDIRECT($B11&amp;"!BA$5")</f>
        <v>#VALUE!</v>
      </c>
      <c r="F11" s="16" t="e">
        <f ca="1">INDIRECT($B11&amp;"!AX$21")</f>
        <v>#DIV/0!</v>
      </c>
      <c r="G11" s="16" t="e">
        <f ca="1">INDIRECT($B11&amp;"!AY$21")</f>
        <v>#DIV/0!</v>
      </c>
      <c r="H11" s="16" t="e">
        <f ca="1">INDIRECT($B11&amp;"!AZ$21")</f>
        <v>#DIV/0!</v>
      </c>
      <c r="I11" s="16" t="e">
        <f ca="1">INDIRECT($B11&amp;"!BA$21")</f>
        <v>#DIV/0!</v>
      </c>
      <c r="J11" s="16" t="e">
        <f ca="1">INDIRECT($B11&amp;"!BB$21")</f>
        <v>#DIV/0!</v>
      </c>
      <c r="K11" s="16" t="e">
        <f ca="1">INDIRECT($B11&amp;"!BC$21")</f>
        <v>#DIV/0!</v>
      </c>
      <c r="L11" s="16" t="e">
        <f ca="1">INDIRECT($B11&amp;"!BD$21")</f>
        <v>#DIV/0!</v>
      </c>
      <c r="M11" s="16" t="e">
        <f ca="1">INDIRECT($B11&amp;"!BE$21")</f>
        <v>#DIV/0!</v>
      </c>
      <c r="N11" s="16" t="e">
        <f ca="1">INDIRECT($B11&amp;"!BC$5")</f>
        <v>#VALUE!</v>
      </c>
      <c r="O11" s="17"/>
      <c r="P11" s="247"/>
    </row>
    <row r="12" spans="1:16" ht="15.75" customHeight="1" thickBot="1" x14ac:dyDescent="0.3">
      <c r="A12" s="247"/>
      <c r="B12" s="25" t="s">
        <v>26</v>
      </c>
      <c r="C12" s="18" t="e">
        <f ca="1">IF(COUNTIF(C9:C11,"=0")&gt;0,0,AVERAGE(C9:C11))</f>
        <v>#VALUE!</v>
      </c>
      <c r="D12" s="18" t="e">
        <f t="shared" ref="D12:M12" ca="1" si="0">IF(COUNTIF(D9:D11,"=0")&gt;0,0,AVERAGE(D9:D11))</f>
        <v>#VALUE!</v>
      </c>
      <c r="E12" s="18" t="e">
        <f t="shared" ca="1" si="0"/>
        <v>#VALUE!</v>
      </c>
      <c r="F12" s="18" t="e">
        <f t="shared" ca="1" si="0"/>
        <v>#DIV/0!</v>
      </c>
      <c r="G12" s="18" t="e">
        <f t="shared" ca="1" si="0"/>
        <v>#DIV/0!</v>
      </c>
      <c r="H12" s="18" t="e">
        <f t="shared" ca="1" si="0"/>
        <v>#DIV/0!</v>
      </c>
      <c r="I12" s="18" t="e">
        <f t="shared" ca="1" si="0"/>
        <v>#DIV/0!</v>
      </c>
      <c r="J12" s="18" t="e">
        <f t="shared" ca="1" si="0"/>
        <v>#DIV/0!</v>
      </c>
      <c r="K12" s="18" t="e">
        <f t="shared" ca="1" si="0"/>
        <v>#DIV/0!</v>
      </c>
      <c r="L12" s="18" t="e">
        <f t="shared" ca="1" si="0"/>
        <v>#DIV/0!</v>
      </c>
      <c r="M12" s="18" t="e">
        <f t="shared" ca="1" si="0"/>
        <v>#DIV/0!</v>
      </c>
      <c r="N12" s="210" t="e">
        <f ca="1">IF(COUNTIF(N10:N11,"=0")&gt;0,0,AVERAGE(N10:N11))</f>
        <v>#VALUE!</v>
      </c>
      <c r="O12" s="17"/>
      <c r="P12" s="17"/>
    </row>
    <row r="13" spans="1:16" ht="15.75" customHeight="1" x14ac:dyDescent="0.25">
      <c r="A13" s="247"/>
      <c r="B13" s="249"/>
      <c r="C13" s="250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1:16" ht="15.75" customHeight="1" x14ac:dyDescent="0.25">
      <c r="A14" s="247"/>
      <c r="B14" s="106"/>
      <c r="C14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88"/>
    </row>
    <row r="15" spans="1:16" x14ac:dyDescent="0.25">
      <c r="A15" s="247"/>
      <c r="B15" s="247"/>
      <c r="C15" s="247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ht="16.2" thickBot="1" x14ac:dyDescent="0.3">
      <c r="A16" s="247"/>
      <c r="B16" s="252" t="s">
        <v>27</v>
      </c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O16" s="253"/>
      <c r="P16" s="247"/>
    </row>
    <row r="17" spans="2:14" ht="22.2" thickBot="1" x14ac:dyDescent="0.3">
      <c r="B17" s="25" t="s">
        <v>10</v>
      </c>
      <c r="C17" s="27" t="s">
        <v>11</v>
      </c>
      <c r="D17" s="27" t="s">
        <v>12</v>
      </c>
      <c r="E17" s="27" t="s">
        <v>13</v>
      </c>
      <c r="F17" s="27" t="s">
        <v>14</v>
      </c>
      <c r="G17" s="27" t="s">
        <v>15</v>
      </c>
      <c r="H17" s="27" t="s">
        <v>16</v>
      </c>
      <c r="I17" s="27" t="s">
        <v>17</v>
      </c>
      <c r="J17" s="27" t="s">
        <v>18</v>
      </c>
      <c r="K17" s="27" t="s">
        <v>19</v>
      </c>
      <c r="L17" s="27" t="s">
        <v>20</v>
      </c>
      <c r="M17" s="27" t="s">
        <v>21</v>
      </c>
      <c r="N17" s="209" t="s">
        <v>22</v>
      </c>
    </row>
    <row r="18" spans="2:14" x14ac:dyDescent="0.25">
      <c r="B18" s="230" t="s">
        <v>28</v>
      </c>
      <c r="C18" s="16" t="e">
        <f t="shared" ref="C18:C35" ca="1" si="1">INDIRECT($B18&amp;"!AY$5")</f>
        <v>#VALUE!</v>
      </c>
      <c r="D18" s="16" t="e">
        <f t="shared" ref="D18:D35" ca="1" si="2">INDIRECT($B18&amp;"!AZ$5")</f>
        <v>#VALUE!</v>
      </c>
      <c r="E18" s="16" t="e">
        <f t="shared" ref="E18:E35" ca="1" si="3">INDIRECT($B18&amp;"!BA$5")</f>
        <v>#VALUE!</v>
      </c>
      <c r="F18" s="16" t="e">
        <f t="shared" ref="F18:F35" ca="1" si="4">INDIRECT($B18&amp;"!AX$21")</f>
        <v>#DIV/0!</v>
      </c>
      <c r="G18" s="16" t="e">
        <f t="shared" ref="G18:G35" ca="1" si="5">INDIRECT($B18&amp;"!AY$21")</f>
        <v>#DIV/0!</v>
      </c>
      <c r="H18" s="16" t="e">
        <f t="shared" ref="H18:H35" ca="1" si="6">INDIRECT($B18&amp;"!AZ$21")</f>
        <v>#DIV/0!</v>
      </c>
      <c r="I18" s="16" t="e">
        <f t="shared" ref="I18:I35" ca="1" si="7">INDIRECT($B18&amp;"!BA$21")</f>
        <v>#DIV/0!</v>
      </c>
      <c r="J18" s="16" t="e">
        <f t="shared" ref="J18:J35" ca="1" si="8">INDIRECT($B18&amp;"!BB$21")</f>
        <v>#DIV/0!</v>
      </c>
      <c r="K18" s="16" t="e">
        <f t="shared" ref="K18:K35" ca="1" si="9">INDIRECT($B18&amp;"!BC$21")</f>
        <v>#DIV/0!</v>
      </c>
      <c r="L18" s="16" t="e">
        <f t="shared" ref="L18:L35" ca="1" si="10">INDIRECT($B18&amp;"!BD$21")</f>
        <v>#DIV/0!</v>
      </c>
      <c r="M18" s="16" t="e">
        <f t="shared" ref="M18:M35" ca="1" si="11">INDIRECT($B18&amp;"!BE$21")</f>
        <v>#DIV/0!</v>
      </c>
      <c r="N18" s="16" t="e">
        <f ca="1">INDIRECT($B18&amp;"!BC$5")</f>
        <v>#VALUE!</v>
      </c>
    </row>
    <row r="19" spans="2:14" x14ac:dyDescent="0.25">
      <c r="B19" s="231" t="s">
        <v>29</v>
      </c>
      <c r="C19" s="16" t="e">
        <f t="shared" ca="1" si="1"/>
        <v>#VALUE!</v>
      </c>
      <c r="D19" s="16" t="e">
        <f t="shared" ca="1" si="2"/>
        <v>#VALUE!</v>
      </c>
      <c r="E19" s="16" t="e">
        <f t="shared" ca="1" si="3"/>
        <v>#VALUE!</v>
      </c>
      <c r="F19" s="16" t="e">
        <f t="shared" ca="1" si="4"/>
        <v>#DIV/0!</v>
      </c>
      <c r="G19" s="16" t="e">
        <f t="shared" ca="1" si="5"/>
        <v>#DIV/0!</v>
      </c>
      <c r="H19" s="16" t="e">
        <f t="shared" ca="1" si="6"/>
        <v>#DIV/0!</v>
      </c>
      <c r="I19" s="16" t="e">
        <f t="shared" ca="1" si="7"/>
        <v>#DIV/0!</v>
      </c>
      <c r="J19" s="16" t="e">
        <f t="shared" ca="1" si="8"/>
        <v>#DIV/0!</v>
      </c>
      <c r="K19" s="16" t="e">
        <f t="shared" ca="1" si="9"/>
        <v>#DIV/0!</v>
      </c>
      <c r="L19" s="16" t="e">
        <f t="shared" ca="1" si="10"/>
        <v>#DIV/0!</v>
      </c>
      <c r="M19" s="16" t="e">
        <f t="shared" ca="1" si="11"/>
        <v>#DIV/0!</v>
      </c>
      <c r="N19" s="16" t="e">
        <f ca="1">INDIRECT($B19&amp;"!BC$5")</f>
        <v>#VALUE!</v>
      </c>
    </row>
    <row r="20" spans="2:14" x14ac:dyDescent="0.25">
      <c r="B20" s="231" t="s">
        <v>30</v>
      </c>
      <c r="C20" s="16" t="e">
        <f t="shared" ca="1" si="1"/>
        <v>#VALUE!</v>
      </c>
      <c r="D20" s="16" t="e">
        <f t="shared" ca="1" si="2"/>
        <v>#VALUE!</v>
      </c>
      <c r="E20" s="16" t="e">
        <f t="shared" ca="1" si="3"/>
        <v>#VALUE!</v>
      </c>
      <c r="F20" s="16" t="e">
        <f t="shared" ca="1" si="4"/>
        <v>#DIV/0!</v>
      </c>
      <c r="G20" s="16" t="e">
        <f t="shared" ca="1" si="5"/>
        <v>#DIV/0!</v>
      </c>
      <c r="H20" s="16" t="e">
        <f t="shared" ca="1" si="6"/>
        <v>#DIV/0!</v>
      </c>
      <c r="I20" s="16" t="e">
        <f t="shared" ca="1" si="7"/>
        <v>#DIV/0!</v>
      </c>
      <c r="J20" s="16" t="e">
        <f t="shared" ca="1" si="8"/>
        <v>#DIV/0!</v>
      </c>
      <c r="K20" s="16" t="e">
        <f t="shared" ca="1" si="9"/>
        <v>#DIV/0!</v>
      </c>
      <c r="L20" s="16" t="e">
        <f t="shared" ca="1" si="10"/>
        <v>#DIV/0!</v>
      </c>
      <c r="M20" s="16" t="e">
        <f t="shared" ca="1" si="11"/>
        <v>#DIV/0!</v>
      </c>
      <c r="N20" s="16" t="e">
        <f ca="1">INDIRECT($B20&amp;"!BC$5")</f>
        <v>#VALUE!</v>
      </c>
    </row>
    <row r="21" spans="2:14" x14ac:dyDescent="0.25">
      <c r="B21" s="231" t="s">
        <v>31</v>
      </c>
      <c r="C21" s="16" t="e">
        <f t="shared" ca="1" si="1"/>
        <v>#VALUE!</v>
      </c>
      <c r="D21" s="16" t="e">
        <f t="shared" ca="1" si="2"/>
        <v>#VALUE!</v>
      </c>
      <c r="E21" s="16" t="e">
        <f t="shared" ca="1" si="3"/>
        <v>#VALUE!</v>
      </c>
      <c r="F21" s="16" t="e">
        <f t="shared" ca="1" si="4"/>
        <v>#DIV/0!</v>
      </c>
      <c r="G21" s="16" t="e">
        <f t="shared" ca="1" si="5"/>
        <v>#DIV/0!</v>
      </c>
      <c r="H21" s="16" t="e">
        <f t="shared" ca="1" si="6"/>
        <v>#DIV/0!</v>
      </c>
      <c r="I21" s="16" t="e">
        <f t="shared" ca="1" si="7"/>
        <v>#DIV/0!</v>
      </c>
      <c r="J21" s="16" t="e">
        <f t="shared" ca="1" si="8"/>
        <v>#DIV/0!</v>
      </c>
      <c r="K21" s="16" t="e">
        <f t="shared" ca="1" si="9"/>
        <v>#DIV/0!</v>
      </c>
      <c r="L21" s="16" t="e">
        <f t="shared" ca="1" si="10"/>
        <v>#DIV/0!</v>
      </c>
      <c r="M21" s="16" t="e">
        <f t="shared" ca="1" si="11"/>
        <v>#DIV/0!</v>
      </c>
      <c r="N21" s="16" t="e">
        <f t="shared" ref="N21:N26" ca="1" si="12">INDIRECT($B21&amp;"!BC$5")</f>
        <v>#VALUE!</v>
      </c>
    </row>
    <row r="22" spans="2:14" x14ac:dyDescent="0.25">
      <c r="B22" s="231" t="s">
        <v>32</v>
      </c>
      <c r="C22" s="16" t="e">
        <f t="shared" ca="1" si="1"/>
        <v>#VALUE!</v>
      </c>
      <c r="D22" s="16" t="e">
        <f t="shared" ca="1" si="2"/>
        <v>#VALUE!</v>
      </c>
      <c r="E22" s="16" t="e">
        <f t="shared" ca="1" si="3"/>
        <v>#VALUE!</v>
      </c>
      <c r="F22" s="16" t="e">
        <f t="shared" ca="1" si="4"/>
        <v>#DIV/0!</v>
      </c>
      <c r="G22" s="16" t="e">
        <f t="shared" ca="1" si="5"/>
        <v>#DIV/0!</v>
      </c>
      <c r="H22" s="16" t="e">
        <f t="shared" ca="1" si="6"/>
        <v>#DIV/0!</v>
      </c>
      <c r="I22" s="16" t="e">
        <f t="shared" ca="1" si="7"/>
        <v>#DIV/0!</v>
      </c>
      <c r="J22" s="16" t="e">
        <f t="shared" ca="1" si="8"/>
        <v>#DIV/0!</v>
      </c>
      <c r="K22" s="16" t="e">
        <f t="shared" ca="1" si="9"/>
        <v>#DIV/0!</v>
      </c>
      <c r="L22" s="16" t="e">
        <f t="shared" ca="1" si="10"/>
        <v>#DIV/0!</v>
      </c>
      <c r="M22" s="16" t="e">
        <f t="shared" ca="1" si="11"/>
        <v>#DIV/0!</v>
      </c>
      <c r="N22" s="16" t="e">
        <f t="shared" ca="1" si="12"/>
        <v>#VALUE!</v>
      </c>
    </row>
    <row r="23" spans="2:14" x14ac:dyDescent="0.25">
      <c r="B23" s="231" t="s">
        <v>33</v>
      </c>
      <c r="C23" s="16" t="e">
        <f t="shared" ca="1" si="1"/>
        <v>#VALUE!</v>
      </c>
      <c r="D23" s="16" t="e">
        <f t="shared" ca="1" si="2"/>
        <v>#VALUE!</v>
      </c>
      <c r="E23" s="16" t="e">
        <f t="shared" ca="1" si="3"/>
        <v>#VALUE!</v>
      </c>
      <c r="F23" s="16" t="e">
        <f t="shared" ca="1" si="4"/>
        <v>#DIV/0!</v>
      </c>
      <c r="G23" s="16" t="e">
        <f t="shared" ca="1" si="5"/>
        <v>#DIV/0!</v>
      </c>
      <c r="H23" s="16" t="e">
        <f t="shared" ca="1" si="6"/>
        <v>#DIV/0!</v>
      </c>
      <c r="I23" s="16" t="e">
        <f t="shared" ca="1" si="7"/>
        <v>#DIV/0!</v>
      </c>
      <c r="J23" s="16" t="e">
        <f t="shared" ca="1" si="8"/>
        <v>#DIV/0!</v>
      </c>
      <c r="K23" s="16" t="e">
        <f t="shared" ca="1" si="9"/>
        <v>#DIV/0!</v>
      </c>
      <c r="L23" s="16" t="e">
        <f t="shared" ca="1" si="10"/>
        <v>#DIV/0!</v>
      </c>
      <c r="M23" s="16" t="e">
        <f t="shared" ca="1" si="11"/>
        <v>#DIV/0!</v>
      </c>
      <c r="N23" s="16" t="e">
        <f t="shared" ca="1" si="12"/>
        <v>#VALUE!</v>
      </c>
    </row>
    <row r="24" spans="2:14" x14ac:dyDescent="0.25">
      <c r="B24" s="231" t="s">
        <v>34</v>
      </c>
      <c r="C24" s="16" t="e">
        <f t="shared" ca="1" si="1"/>
        <v>#VALUE!</v>
      </c>
      <c r="D24" s="16" t="e">
        <f t="shared" ca="1" si="2"/>
        <v>#VALUE!</v>
      </c>
      <c r="E24" s="16" t="e">
        <f t="shared" ca="1" si="3"/>
        <v>#VALUE!</v>
      </c>
      <c r="F24" s="16" t="e">
        <f t="shared" ca="1" si="4"/>
        <v>#DIV/0!</v>
      </c>
      <c r="G24" s="16" t="e">
        <f t="shared" ca="1" si="5"/>
        <v>#DIV/0!</v>
      </c>
      <c r="H24" s="16" t="e">
        <f t="shared" ca="1" si="6"/>
        <v>#DIV/0!</v>
      </c>
      <c r="I24" s="16" t="e">
        <f t="shared" ca="1" si="7"/>
        <v>#DIV/0!</v>
      </c>
      <c r="J24" s="16" t="e">
        <f t="shared" ca="1" si="8"/>
        <v>#DIV/0!</v>
      </c>
      <c r="K24" s="16" t="e">
        <f t="shared" ca="1" si="9"/>
        <v>#DIV/0!</v>
      </c>
      <c r="L24" s="16" t="e">
        <f t="shared" ca="1" si="10"/>
        <v>#DIV/0!</v>
      </c>
      <c r="M24" s="16" t="e">
        <f t="shared" ca="1" si="11"/>
        <v>#DIV/0!</v>
      </c>
      <c r="N24" s="16" t="e">
        <f t="shared" ca="1" si="12"/>
        <v>#VALUE!</v>
      </c>
    </row>
    <row r="25" spans="2:14" x14ac:dyDescent="0.25">
      <c r="B25" s="231" t="s">
        <v>35</v>
      </c>
      <c r="C25" s="16" t="e">
        <f t="shared" ca="1" si="1"/>
        <v>#VALUE!</v>
      </c>
      <c r="D25" s="16" t="e">
        <f t="shared" ca="1" si="2"/>
        <v>#VALUE!</v>
      </c>
      <c r="E25" s="16" t="e">
        <f t="shared" ca="1" si="3"/>
        <v>#VALUE!</v>
      </c>
      <c r="F25" s="16" t="e">
        <f t="shared" ca="1" si="4"/>
        <v>#DIV/0!</v>
      </c>
      <c r="G25" s="16" t="e">
        <f t="shared" ca="1" si="5"/>
        <v>#DIV/0!</v>
      </c>
      <c r="H25" s="16" t="e">
        <f t="shared" ca="1" si="6"/>
        <v>#DIV/0!</v>
      </c>
      <c r="I25" s="16" t="e">
        <f t="shared" ca="1" si="7"/>
        <v>#DIV/0!</v>
      </c>
      <c r="J25" s="16" t="e">
        <f t="shared" ca="1" si="8"/>
        <v>#DIV/0!</v>
      </c>
      <c r="K25" s="16" t="e">
        <f t="shared" ca="1" si="9"/>
        <v>#DIV/0!</v>
      </c>
      <c r="L25" s="16" t="e">
        <f t="shared" ca="1" si="10"/>
        <v>#DIV/0!</v>
      </c>
      <c r="M25" s="16" t="e">
        <f t="shared" ca="1" si="11"/>
        <v>#DIV/0!</v>
      </c>
      <c r="N25" s="16" t="e">
        <f t="shared" ca="1" si="12"/>
        <v>#VALUE!</v>
      </c>
    </row>
    <row r="26" spans="2:14" x14ac:dyDescent="0.25">
      <c r="B26" s="231" t="s">
        <v>36</v>
      </c>
      <c r="C26" s="16" t="e">
        <f t="shared" ca="1" si="1"/>
        <v>#VALUE!</v>
      </c>
      <c r="D26" s="16" t="e">
        <f t="shared" ca="1" si="2"/>
        <v>#VALUE!</v>
      </c>
      <c r="E26" s="16" t="e">
        <f t="shared" ca="1" si="3"/>
        <v>#VALUE!</v>
      </c>
      <c r="F26" s="16" t="e">
        <f t="shared" ca="1" si="4"/>
        <v>#DIV/0!</v>
      </c>
      <c r="G26" s="16" t="e">
        <f t="shared" ca="1" si="5"/>
        <v>#DIV/0!</v>
      </c>
      <c r="H26" s="16" t="e">
        <f t="shared" ca="1" si="6"/>
        <v>#DIV/0!</v>
      </c>
      <c r="I26" s="16" t="e">
        <f t="shared" ca="1" si="7"/>
        <v>#DIV/0!</v>
      </c>
      <c r="J26" s="16" t="e">
        <f t="shared" ca="1" si="8"/>
        <v>#DIV/0!</v>
      </c>
      <c r="K26" s="16" t="e">
        <f t="shared" ca="1" si="9"/>
        <v>#DIV/0!</v>
      </c>
      <c r="L26" s="16" t="e">
        <f t="shared" ca="1" si="10"/>
        <v>#DIV/0!</v>
      </c>
      <c r="M26" s="16" t="e">
        <f t="shared" ca="1" si="11"/>
        <v>#DIV/0!</v>
      </c>
      <c r="N26" s="16" t="e">
        <f t="shared" ca="1" si="12"/>
        <v>#VALUE!</v>
      </c>
    </row>
    <row r="27" spans="2:14" x14ac:dyDescent="0.25">
      <c r="B27" s="231" t="s">
        <v>37</v>
      </c>
      <c r="C27" s="16" t="e">
        <f t="shared" ca="1" si="1"/>
        <v>#VALUE!</v>
      </c>
      <c r="D27" s="16" t="e">
        <f t="shared" ca="1" si="2"/>
        <v>#VALUE!</v>
      </c>
      <c r="E27" s="16" t="e">
        <f t="shared" ca="1" si="3"/>
        <v>#VALUE!</v>
      </c>
      <c r="F27" s="16" t="e">
        <f t="shared" ca="1" si="4"/>
        <v>#DIV/0!</v>
      </c>
      <c r="G27" s="16" t="e">
        <f t="shared" ca="1" si="5"/>
        <v>#DIV/0!</v>
      </c>
      <c r="H27" s="16" t="e">
        <f t="shared" ca="1" si="6"/>
        <v>#DIV/0!</v>
      </c>
      <c r="I27" s="16" t="e">
        <f t="shared" ca="1" si="7"/>
        <v>#DIV/0!</v>
      </c>
      <c r="J27" s="16" t="e">
        <f t="shared" ca="1" si="8"/>
        <v>#DIV/0!</v>
      </c>
      <c r="K27" s="16" t="e">
        <f t="shared" ca="1" si="9"/>
        <v>#DIV/0!</v>
      </c>
      <c r="L27" s="16" t="e">
        <f t="shared" ca="1" si="10"/>
        <v>#DIV/0!</v>
      </c>
      <c r="M27" s="16" t="e">
        <f t="shared" ca="1" si="11"/>
        <v>#DIV/0!</v>
      </c>
      <c r="N27" s="16" t="e">
        <f ca="1">INDIRECT($B27&amp;"!BC$5")</f>
        <v>#VALUE!</v>
      </c>
    </row>
    <row r="28" spans="2:14" x14ac:dyDescent="0.25">
      <c r="B28" s="231" t="s">
        <v>38</v>
      </c>
      <c r="C28" s="16" t="e">
        <f t="shared" ca="1" si="1"/>
        <v>#VALUE!</v>
      </c>
      <c r="D28" s="16" t="e">
        <f t="shared" ca="1" si="2"/>
        <v>#VALUE!</v>
      </c>
      <c r="E28" s="16" t="e">
        <f t="shared" ca="1" si="3"/>
        <v>#VALUE!</v>
      </c>
      <c r="F28" s="16" t="e">
        <f t="shared" ca="1" si="4"/>
        <v>#DIV/0!</v>
      </c>
      <c r="G28" s="16" t="e">
        <f t="shared" ca="1" si="5"/>
        <v>#DIV/0!</v>
      </c>
      <c r="H28" s="16" t="e">
        <f t="shared" ca="1" si="6"/>
        <v>#DIV/0!</v>
      </c>
      <c r="I28" s="16" t="e">
        <f t="shared" ca="1" si="7"/>
        <v>#DIV/0!</v>
      </c>
      <c r="J28" s="16" t="e">
        <f t="shared" ca="1" si="8"/>
        <v>#DIV/0!</v>
      </c>
      <c r="K28" s="16" t="e">
        <f t="shared" ca="1" si="9"/>
        <v>#DIV/0!</v>
      </c>
      <c r="L28" s="16" t="e">
        <f t="shared" ca="1" si="10"/>
        <v>#DIV/0!</v>
      </c>
      <c r="M28" s="16" t="e">
        <f t="shared" ca="1" si="11"/>
        <v>#DIV/0!</v>
      </c>
      <c r="N28" s="16" t="e">
        <f ca="1">INDIRECT($B28&amp;"!BC$5")</f>
        <v>#VALUE!</v>
      </c>
    </row>
    <row r="29" spans="2:14" x14ac:dyDescent="0.25">
      <c r="B29" s="231" t="s">
        <v>39</v>
      </c>
      <c r="C29" s="16" t="e">
        <f t="shared" ca="1" si="1"/>
        <v>#VALUE!</v>
      </c>
      <c r="D29" s="16" t="e">
        <f t="shared" ca="1" si="2"/>
        <v>#VALUE!</v>
      </c>
      <c r="E29" s="16" t="e">
        <f t="shared" ca="1" si="3"/>
        <v>#VALUE!</v>
      </c>
      <c r="F29" s="16" t="e">
        <f t="shared" ca="1" si="4"/>
        <v>#DIV/0!</v>
      </c>
      <c r="G29" s="16" t="e">
        <f t="shared" ca="1" si="5"/>
        <v>#DIV/0!</v>
      </c>
      <c r="H29" s="16" t="e">
        <f t="shared" ca="1" si="6"/>
        <v>#DIV/0!</v>
      </c>
      <c r="I29" s="16" t="e">
        <f t="shared" ca="1" si="7"/>
        <v>#DIV/0!</v>
      </c>
      <c r="J29" s="16" t="e">
        <f t="shared" ca="1" si="8"/>
        <v>#DIV/0!</v>
      </c>
      <c r="K29" s="16" t="e">
        <f t="shared" ca="1" si="9"/>
        <v>#DIV/0!</v>
      </c>
      <c r="L29" s="16" t="e">
        <f t="shared" ca="1" si="10"/>
        <v>#DIV/0!</v>
      </c>
      <c r="M29" s="16" t="e">
        <f t="shared" ca="1" si="11"/>
        <v>#DIV/0!</v>
      </c>
      <c r="N29" s="16" t="e">
        <f t="shared" ref="N29:N35" ca="1" si="13">INDIRECT($B29&amp;"!BC$5")</f>
        <v>#VALUE!</v>
      </c>
    </row>
    <row r="30" spans="2:14" x14ac:dyDescent="0.25">
      <c r="B30" s="231" t="s">
        <v>40</v>
      </c>
      <c r="C30" s="16" t="e">
        <f t="shared" ca="1" si="1"/>
        <v>#VALUE!</v>
      </c>
      <c r="D30" s="16" t="e">
        <f t="shared" ca="1" si="2"/>
        <v>#VALUE!</v>
      </c>
      <c r="E30" s="16" t="e">
        <f t="shared" ca="1" si="3"/>
        <v>#VALUE!</v>
      </c>
      <c r="F30" s="16" t="e">
        <f t="shared" ca="1" si="4"/>
        <v>#DIV/0!</v>
      </c>
      <c r="G30" s="16" t="e">
        <f t="shared" ca="1" si="5"/>
        <v>#DIV/0!</v>
      </c>
      <c r="H30" s="16" t="e">
        <f t="shared" ca="1" si="6"/>
        <v>#DIV/0!</v>
      </c>
      <c r="I30" s="16" t="e">
        <f t="shared" ca="1" si="7"/>
        <v>#DIV/0!</v>
      </c>
      <c r="J30" s="16" t="e">
        <f t="shared" ca="1" si="8"/>
        <v>#DIV/0!</v>
      </c>
      <c r="K30" s="16" t="e">
        <f t="shared" ca="1" si="9"/>
        <v>#DIV/0!</v>
      </c>
      <c r="L30" s="16" t="e">
        <f t="shared" ca="1" si="10"/>
        <v>#DIV/0!</v>
      </c>
      <c r="M30" s="16" t="e">
        <f t="shared" ca="1" si="11"/>
        <v>#DIV/0!</v>
      </c>
      <c r="N30" s="16" t="e">
        <f t="shared" ca="1" si="13"/>
        <v>#VALUE!</v>
      </c>
    </row>
    <row r="31" spans="2:14" x14ac:dyDescent="0.25">
      <c r="B31" s="231" t="s">
        <v>41</v>
      </c>
      <c r="C31" s="16" t="e">
        <f t="shared" ca="1" si="1"/>
        <v>#VALUE!</v>
      </c>
      <c r="D31" s="16" t="e">
        <f t="shared" ca="1" si="2"/>
        <v>#VALUE!</v>
      </c>
      <c r="E31" s="16" t="e">
        <f t="shared" ca="1" si="3"/>
        <v>#VALUE!</v>
      </c>
      <c r="F31" s="16" t="e">
        <f t="shared" ca="1" si="4"/>
        <v>#DIV/0!</v>
      </c>
      <c r="G31" s="16" t="e">
        <f t="shared" ca="1" si="5"/>
        <v>#DIV/0!</v>
      </c>
      <c r="H31" s="16" t="e">
        <f t="shared" ca="1" si="6"/>
        <v>#DIV/0!</v>
      </c>
      <c r="I31" s="16" t="e">
        <f t="shared" ca="1" si="7"/>
        <v>#DIV/0!</v>
      </c>
      <c r="J31" s="16" t="e">
        <f t="shared" ca="1" si="8"/>
        <v>#DIV/0!</v>
      </c>
      <c r="K31" s="16" t="e">
        <f t="shared" ca="1" si="9"/>
        <v>#DIV/0!</v>
      </c>
      <c r="L31" s="16" t="e">
        <f t="shared" ca="1" si="10"/>
        <v>#DIV/0!</v>
      </c>
      <c r="M31" s="16" t="e">
        <f t="shared" ca="1" si="11"/>
        <v>#DIV/0!</v>
      </c>
      <c r="N31" s="16" t="e">
        <f t="shared" ca="1" si="13"/>
        <v>#VALUE!</v>
      </c>
    </row>
    <row r="32" spans="2:14" x14ac:dyDescent="0.25">
      <c r="B32" s="231" t="s">
        <v>42</v>
      </c>
      <c r="C32" s="16" t="e">
        <f t="shared" ca="1" si="1"/>
        <v>#VALUE!</v>
      </c>
      <c r="D32" s="16" t="e">
        <f t="shared" ca="1" si="2"/>
        <v>#VALUE!</v>
      </c>
      <c r="E32" s="16" t="e">
        <f t="shared" ca="1" si="3"/>
        <v>#VALUE!</v>
      </c>
      <c r="F32" s="16" t="e">
        <f t="shared" ca="1" si="4"/>
        <v>#DIV/0!</v>
      </c>
      <c r="G32" s="16" t="e">
        <f t="shared" ca="1" si="5"/>
        <v>#DIV/0!</v>
      </c>
      <c r="H32" s="16" t="e">
        <f t="shared" ca="1" si="6"/>
        <v>#DIV/0!</v>
      </c>
      <c r="I32" s="16" t="e">
        <f t="shared" ca="1" si="7"/>
        <v>#DIV/0!</v>
      </c>
      <c r="J32" s="16" t="e">
        <f t="shared" ca="1" si="8"/>
        <v>#DIV/0!</v>
      </c>
      <c r="K32" s="16" t="e">
        <f t="shared" ca="1" si="9"/>
        <v>#DIV/0!</v>
      </c>
      <c r="L32" s="16" t="e">
        <f t="shared" ca="1" si="10"/>
        <v>#DIV/0!</v>
      </c>
      <c r="M32" s="16" t="e">
        <f t="shared" ca="1" si="11"/>
        <v>#DIV/0!</v>
      </c>
      <c r="N32" s="16" t="e">
        <f t="shared" ca="1" si="13"/>
        <v>#VALUE!</v>
      </c>
    </row>
    <row r="33" spans="2:14" x14ac:dyDescent="0.25">
      <c r="B33" s="231" t="s">
        <v>43</v>
      </c>
      <c r="C33" s="16" t="e">
        <f t="shared" ca="1" si="1"/>
        <v>#VALUE!</v>
      </c>
      <c r="D33" s="16" t="e">
        <f t="shared" ca="1" si="2"/>
        <v>#VALUE!</v>
      </c>
      <c r="E33" s="16" t="e">
        <f t="shared" ca="1" si="3"/>
        <v>#VALUE!</v>
      </c>
      <c r="F33" s="16" t="e">
        <f t="shared" ca="1" si="4"/>
        <v>#DIV/0!</v>
      </c>
      <c r="G33" s="16" t="e">
        <f t="shared" ca="1" si="5"/>
        <v>#DIV/0!</v>
      </c>
      <c r="H33" s="16" t="e">
        <f t="shared" ca="1" si="6"/>
        <v>#DIV/0!</v>
      </c>
      <c r="I33" s="16" t="e">
        <f t="shared" ca="1" si="7"/>
        <v>#DIV/0!</v>
      </c>
      <c r="J33" s="16" t="e">
        <f t="shared" ca="1" si="8"/>
        <v>#DIV/0!</v>
      </c>
      <c r="K33" s="16" t="e">
        <f t="shared" ca="1" si="9"/>
        <v>#DIV/0!</v>
      </c>
      <c r="L33" s="16" t="e">
        <f t="shared" ca="1" si="10"/>
        <v>#DIV/0!</v>
      </c>
      <c r="M33" s="16" t="e">
        <f t="shared" ca="1" si="11"/>
        <v>#DIV/0!</v>
      </c>
      <c r="N33" s="16" t="e">
        <f t="shared" ca="1" si="13"/>
        <v>#VALUE!</v>
      </c>
    </row>
    <row r="34" spans="2:14" x14ac:dyDescent="0.25">
      <c r="B34" s="231" t="s">
        <v>44</v>
      </c>
      <c r="C34" s="16" t="e">
        <f t="shared" ca="1" si="1"/>
        <v>#VALUE!</v>
      </c>
      <c r="D34" s="16" t="e">
        <f t="shared" ca="1" si="2"/>
        <v>#VALUE!</v>
      </c>
      <c r="E34" s="16" t="e">
        <f t="shared" ca="1" si="3"/>
        <v>#VALUE!</v>
      </c>
      <c r="F34" s="16" t="e">
        <f t="shared" ca="1" si="4"/>
        <v>#DIV/0!</v>
      </c>
      <c r="G34" s="16" t="e">
        <f t="shared" ca="1" si="5"/>
        <v>#DIV/0!</v>
      </c>
      <c r="H34" s="16" t="e">
        <f t="shared" ca="1" si="6"/>
        <v>#DIV/0!</v>
      </c>
      <c r="I34" s="16" t="e">
        <f t="shared" ca="1" si="7"/>
        <v>#DIV/0!</v>
      </c>
      <c r="J34" s="16" t="e">
        <f t="shared" ca="1" si="8"/>
        <v>#DIV/0!</v>
      </c>
      <c r="K34" s="16" t="e">
        <f t="shared" ca="1" si="9"/>
        <v>#DIV/0!</v>
      </c>
      <c r="L34" s="16" t="e">
        <f t="shared" ca="1" si="10"/>
        <v>#DIV/0!</v>
      </c>
      <c r="M34" s="16" t="e">
        <f t="shared" ca="1" si="11"/>
        <v>#DIV/0!</v>
      </c>
      <c r="N34" s="16" t="e">
        <f t="shared" ca="1" si="13"/>
        <v>#VALUE!</v>
      </c>
    </row>
    <row r="35" spans="2:14" ht="15" thickBot="1" x14ac:dyDescent="0.3">
      <c r="B35" s="231" t="s">
        <v>45</v>
      </c>
      <c r="C35" s="16" t="e">
        <f t="shared" ca="1" si="1"/>
        <v>#VALUE!</v>
      </c>
      <c r="D35" s="16" t="e">
        <f t="shared" ca="1" si="2"/>
        <v>#VALUE!</v>
      </c>
      <c r="E35" s="16" t="e">
        <f t="shared" ca="1" si="3"/>
        <v>#VALUE!</v>
      </c>
      <c r="F35" s="16" t="e">
        <f t="shared" ca="1" si="4"/>
        <v>#DIV/0!</v>
      </c>
      <c r="G35" s="16" t="e">
        <f t="shared" ca="1" si="5"/>
        <v>#DIV/0!</v>
      </c>
      <c r="H35" s="16" t="e">
        <f t="shared" ca="1" si="6"/>
        <v>#DIV/0!</v>
      </c>
      <c r="I35" s="16" t="e">
        <f t="shared" ca="1" si="7"/>
        <v>#DIV/0!</v>
      </c>
      <c r="J35" s="16" t="e">
        <f t="shared" ca="1" si="8"/>
        <v>#DIV/0!</v>
      </c>
      <c r="K35" s="16" t="e">
        <f t="shared" ca="1" si="9"/>
        <v>#DIV/0!</v>
      </c>
      <c r="L35" s="16" t="e">
        <f t="shared" ca="1" si="10"/>
        <v>#DIV/0!</v>
      </c>
      <c r="M35" s="16" t="e">
        <f t="shared" ca="1" si="11"/>
        <v>#DIV/0!</v>
      </c>
      <c r="N35" s="16" t="e">
        <f t="shared" ca="1" si="13"/>
        <v>#VALUE!</v>
      </c>
    </row>
    <row r="36" spans="2:14" ht="16.2" thickBot="1" x14ac:dyDescent="0.3">
      <c r="B36" s="25" t="s">
        <v>26</v>
      </c>
      <c r="C36" s="18" t="e">
        <f ca="1">IF(COUNTIF(C18:C35,"=0")&gt;0,0,AVERAGE(C18:C35))</f>
        <v>#VALUE!</v>
      </c>
      <c r="D36" s="18" t="e">
        <f ca="1">IF(COUNTIF(D18:D35,"=0")&gt;0,0,AVERAGE(D18:D35))</f>
        <v>#VALUE!</v>
      </c>
      <c r="E36" s="18" t="e">
        <f ca="1">IF(COUNTIF(E18:E35,"=0")&gt;0,0,AVERAGE(E18:E35))</f>
        <v>#VALUE!</v>
      </c>
      <c r="F36" s="18" t="e">
        <f t="shared" ref="F36:N36" ca="1" si="14">IF(COUNTIF(F18:F35,"=0")&gt;0,0,AVERAGE(F18:F35))</f>
        <v>#DIV/0!</v>
      </c>
      <c r="G36" s="18" t="e">
        <f t="shared" ca="1" si="14"/>
        <v>#DIV/0!</v>
      </c>
      <c r="H36" s="18" t="e">
        <f t="shared" ca="1" si="14"/>
        <v>#DIV/0!</v>
      </c>
      <c r="I36" s="18" t="e">
        <f t="shared" ca="1" si="14"/>
        <v>#DIV/0!</v>
      </c>
      <c r="J36" s="18" t="e">
        <f t="shared" ca="1" si="14"/>
        <v>#DIV/0!</v>
      </c>
      <c r="K36" s="18" t="e">
        <f t="shared" ca="1" si="14"/>
        <v>#DIV/0!</v>
      </c>
      <c r="L36" s="18" t="e">
        <f t="shared" ca="1" si="14"/>
        <v>#DIV/0!</v>
      </c>
      <c r="M36" s="18" t="e">
        <f t="shared" ca="1" si="14"/>
        <v>#DIV/0!</v>
      </c>
      <c r="N36" s="18" t="e">
        <f t="shared" ca="1" si="14"/>
        <v>#VALUE!</v>
      </c>
    </row>
  </sheetData>
  <mergeCells count="4">
    <mergeCell ref="C4:O4"/>
    <mergeCell ref="C3:O3"/>
    <mergeCell ref="B7:O7"/>
    <mergeCell ref="B16:O16"/>
  </mergeCells>
  <phoneticPr fontId="22" type="noConversion"/>
  <conditionalFormatting sqref="C9:E12 N9:N12 C18:E36">
    <cfRule type="cellIs" dxfId="1783" priority="37" operator="lessThan">
      <formula>-0.03</formula>
    </cfRule>
    <cfRule type="cellIs" dxfId="1782" priority="38" operator="greaterThan">
      <formula>0.03</formula>
    </cfRule>
  </conditionalFormatting>
  <conditionalFormatting sqref="N18:N35">
    <cfRule type="cellIs" dxfId="1781" priority="1" operator="lessThan">
      <formula>-0.03</formula>
    </cfRule>
    <cfRule type="cellIs" dxfId="1780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E7D5-87B1-4FCB-86C7-A222EA60EDD0}">
  <sheetPr codeName="Sheet11"/>
  <dimension ref="A1:AF277"/>
  <sheetViews>
    <sheetView topLeftCell="G1" workbookViewId="0">
      <selection activeCell="BE10" sqref="BE10"/>
    </sheetView>
  </sheetViews>
  <sheetFormatPr defaultColWidth="9" defaultRowHeight="15.6" x14ac:dyDescent="0.25"/>
  <cols>
    <col min="1" max="1" width="1.59765625" bestFit="1" customWidth="1"/>
    <col min="2" max="2" width="19.59765625" customWidth="1"/>
    <col min="3" max="3" width="9.3984375" customWidth="1"/>
    <col min="4" max="4" width="14.3984375" customWidth="1"/>
    <col min="5" max="5" width="4.59765625" customWidth="1"/>
    <col min="6" max="6" width="18.5" bestFit="1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21.5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9" style="112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0" t="s">
        <v>46</v>
      </c>
      <c r="AF1" s="10" t="s">
        <v>46</v>
      </c>
    </row>
    <row r="2" spans="1:32" x14ac:dyDescent="0.25">
      <c r="B2" s="271" t="str">
        <f>'Summary (auto)'!C3</f>
        <v>G-PCC v1 Anchor</v>
      </c>
      <c r="C2" s="272"/>
      <c r="D2" s="272"/>
      <c r="E2" s="114"/>
      <c r="F2" s="271" t="str">
        <f>'Summary (auto)'!C4</f>
        <v>G-PCC v1 Proposal</v>
      </c>
      <c r="G2" s="272"/>
      <c r="H2" s="272"/>
      <c r="I2" s="112"/>
      <c r="J2" s="113" t="s">
        <v>47</v>
      </c>
      <c r="K2" s="112"/>
      <c r="L2" s="261" t="s">
        <v>48</v>
      </c>
      <c r="M2" s="268"/>
      <c r="N2" s="268"/>
      <c r="O2" s="112"/>
      <c r="P2" s="113" t="s">
        <v>49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50</v>
      </c>
      <c r="M3" s="105" t="s">
        <v>51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57" t="s">
        <v>23</v>
      </c>
      <c r="C4" s="258"/>
      <c r="D4" s="259"/>
      <c r="E4" s="2"/>
      <c r="F4" s="257" t="str">
        <f>B4</f>
        <v>bartender_track</v>
      </c>
      <c r="G4" s="258"/>
      <c r="H4" s="259"/>
      <c r="I4" s="2"/>
      <c r="J4" s="115"/>
      <c r="L4" s="265" t="str">
        <f>F4</f>
        <v>bartender_track</v>
      </c>
      <c r="M4" s="255"/>
      <c r="N4" s="256"/>
      <c r="O4" s="195"/>
      <c r="P4" s="115"/>
      <c r="Q4" s="195"/>
      <c r="R4" s="195"/>
      <c r="S4" s="195"/>
      <c r="T4" s="195"/>
      <c r="U4" s="112"/>
      <c r="V4" s="112"/>
      <c r="X4" s="268"/>
      <c r="Y4" s="270"/>
      <c r="Z4" s="270"/>
    </row>
    <row r="5" spans="1:32" x14ac:dyDescent="0.25">
      <c r="B5" s="263" t="s">
        <v>52</v>
      </c>
      <c r="C5" s="266"/>
      <c r="D5" s="87" t="s">
        <v>53</v>
      </c>
      <c r="E5" s="21"/>
      <c r="F5" s="263" t="s">
        <v>52</v>
      </c>
      <c r="G5" s="266"/>
      <c r="H5" s="87" t="s">
        <v>53</v>
      </c>
      <c r="I5" s="9"/>
      <c r="J5" s="116" t="s">
        <v>54</v>
      </c>
      <c r="L5" s="267" t="s">
        <v>55</v>
      </c>
      <c r="M5" s="268"/>
      <c r="N5" s="269"/>
      <c r="O5" s="85"/>
      <c r="P5" s="3"/>
      <c r="Q5" s="85"/>
      <c r="R5" s="261"/>
      <c r="S5" s="261"/>
      <c r="T5" s="261"/>
      <c r="U5" s="113"/>
      <c r="V5" s="113"/>
      <c r="X5" s="261"/>
      <c r="Y5" s="270"/>
      <c r="Z5" s="270"/>
    </row>
    <row r="6" spans="1:32" x14ac:dyDescent="0.25">
      <c r="B6" s="191" t="s">
        <v>3</v>
      </c>
      <c r="C6" s="130" t="s">
        <v>56</v>
      </c>
      <c r="D6" s="86" t="s">
        <v>57</v>
      </c>
      <c r="E6" s="21"/>
      <c r="F6" s="191" t="s">
        <v>3</v>
      </c>
      <c r="G6" s="130" t="s">
        <v>56</v>
      </c>
      <c r="H6" s="86" t="s">
        <v>57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Proposal bartender_track</v>
      </c>
      <c r="N6" s="194" t="s">
        <v>58</v>
      </c>
      <c r="O6" s="2"/>
      <c r="P6" s="3" t="s">
        <v>49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59</v>
      </c>
      <c r="D7" s="88" t="e">
        <f ca="1">0.001*INDIRECT($B7&amp;"!E5")</f>
        <v>#VALUE!</v>
      </c>
      <c r="E7" s="21"/>
      <c r="F7" s="122" t="str">
        <f>F4</f>
        <v>bartender_track</v>
      </c>
      <c r="G7" s="130" t="s">
        <v>59</v>
      </c>
      <c r="H7" s="88" t="e">
        <f ca="1">0.001*INDIRECT($B7&amp;"!AC5")</f>
        <v>#VALUE!</v>
      </c>
      <c r="I7" s="9"/>
      <c r="J7" s="22" t="e">
        <f ca="1">H7/D7-1</f>
        <v>#VALUE!</v>
      </c>
      <c r="L7" s="94" t="str">
        <f ca="1">INDIRECT($B7&amp;"!"&amp;L$3&amp;"5")</f>
        <v/>
      </c>
      <c r="M7" s="95" t="str">
        <f ca="1">INDIRECT($B7&amp;"!"&amp;M$3&amp;"5")</f>
        <v/>
      </c>
      <c r="N7" s="96" t="e">
        <f ca="1">M7-L7</f>
        <v>#VALUE!</v>
      </c>
      <c r="O7" s="21"/>
      <c r="P7" s="22" t="e">
        <f ca="1">bdRateExtend(D7:D11,L7:L11,H7:H11,M7:M11)</f>
        <v>#VALUE!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60</v>
      </c>
      <c r="D8" s="88" t="e">
        <f ca="1">0.001*INDIRECT($B8&amp;"!E6")</f>
        <v>#VALUE!</v>
      </c>
      <c r="E8" s="21"/>
      <c r="F8" s="122" t="str">
        <f>F7</f>
        <v>bartender_track</v>
      </c>
      <c r="G8" s="130" t="s">
        <v>60</v>
      </c>
      <c r="H8" s="88" t="e">
        <f ca="1">0.001*INDIRECT($B8&amp;"!AC6")</f>
        <v>#VALUE!</v>
      </c>
      <c r="I8" s="9"/>
      <c r="J8" s="22" t="e">
        <f ca="1">H8/D8-1</f>
        <v>#VALUE!</v>
      </c>
      <c r="L8" s="94" t="str">
        <f ca="1">INDIRECT($B8&amp;"!"&amp;L$3&amp;"6")</f>
        <v/>
      </c>
      <c r="M8" s="95" t="str">
        <f ca="1">INDIRECT($B8&amp;"!"&amp;M$3&amp;"6")</f>
        <v/>
      </c>
      <c r="N8" s="96" t="e">
        <f ca="1">M8-L8</f>
        <v>#VALUE!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61</v>
      </c>
      <c r="D9" s="88" t="e">
        <f ca="1">0.001*INDIRECT($B9&amp;"!E7")</f>
        <v>#VALUE!</v>
      </c>
      <c r="E9" s="21"/>
      <c r="F9" s="122" t="str">
        <f>F8</f>
        <v>bartender_track</v>
      </c>
      <c r="G9" s="130" t="s">
        <v>61</v>
      </c>
      <c r="H9" s="88" t="e">
        <f ca="1">0.001*INDIRECT($B9&amp;"!AC7")</f>
        <v>#VALUE!</v>
      </c>
      <c r="I9" s="9"/>
      <c r="J9" s="22" t="e">
        <f ca="1">H9/D9-1</f>
        <v>#VALUE!</v>
      </c>
      <c r="L9" s="94" t="str">
        <f ca="1">INDIRECT($B9&amp;"!"&amp;L$3&amp;"7")</f>
        <v/>
      </c>
      <c r="M9" s="95" t="str">
        <f ca="1">INDIRECT($B9&amp;"!"&amp;M$3&amp;"7")</f>
        <v/>
      </c>
      <c r="N9" s="96" t="e">
        <f ca="1">M9-L9</f>
        <v>#VALUE!</v>
      </c>
      <c r="O9" s="21"/>
      <c r="P9" s="3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62</v>
      </c>
      <c r="D10" s="88" t="e">
        <f ca="1">0.001*INDIRECT($B10&amp;"!E8")</f>
        <v>#VALUE!</v>
      </c>
      <c r="E10" s="21"/>
      <c r="F10" s="122" t="str">
        <f>F9</f>
        <v>bartender_track</v>
      </c>
      <c r="G10" s="130" t="s">
        <v>62</v>
      </c>
      <c r="H10" s="88" t="e">
        <f ca="1">0.001*INDIRECT($B10&amp;"!AC8")</f>
        <v>#VALUE!</v>
      </c>
      <c r="I10" s="9"/>
      <c r="J10" s="22" t="e">
        <f ca="1">H10/D10-1</f>
        <v>#VALUE!</v>
      </c>
      <c r="L10" s="94" t="str">
        <f ca="1">INDIRECT($B10&amp;"!"&amp;L$3&amp;"8")</f>
        <v/>
      </c>
      <c r="M10" s="95" t="str">
        <f ca="1">INDIRECT($B10&amp;"!"&amp;M$3&amp;"8")</f>
        <v/>
      </c>
      <c r="N10" s="96" t="e">
        <f ca="1">M10-L10</f>
        <v>#VALUE!</v>
      </c>
      <c r="O10" s="21"/>
      <c r="P10" s="2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63</v>
      </c>
      <c r="D11" s="88" t="e">
        <f ca="1">0.001*INDIRECT($B11&amp;"!E9")</f>
        <v>#VALUE!</v>
      </c>
      <c r="E11" s="21"/>
      <c r="F11" s="122" t="str">
        <f>F10</f>
        <v>bartender_track</v>
      </c>
      <c r="G11" s="130" t="s">
        <v>63</v>
      </c>
      <c r="H11" s="88" t="e">
        <f ca="1">0.001*INDIRECT($B11&amp;"!AC9")</f>
        <v>#VALUE!</v>
      </c>
      <c r="I11" s="9"/>
      <c r="J11" s="22" t="e">
        <f ca="1">H11/D11-1</f>
        <v>#VALUE!</v>
      </c>
      <c r="L11" s="94" t="str">
        <f ca="1">INDIRECT($B11&amp;"!"&amp;L$3&amp;"9")</f>
        <v/>
      </c>
      <c r="M11" s="95" t="str">
        <f ca="1">INDIRECT($B11&amp;"!"&amp;M$3&amp;"9")</f>
        <v/>
      </c>
      <c r="N11" s="96" t="e">
        <f ca="1">M11-L11</f>
        <v>#VALUE!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 t="e">
        <f ca="1">MIN(D7:D11,H7:H11)</f>
        <v>#VALUE!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 t="e">
        <f ca="1">MAX(D7:D11,H7:H11)</f>
        <v>#VALUE!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  <c r="I14" s="9"/>
      <c r="J14" s="212"/>
      <c r="L14" s="213"/>
      <c r="M14" s="213"/>
      <c r="N14" s="214"/>
      <c r="O14" s="21"/>
      <c r="P14" s="112"/>
      <c r="Q14" s="21"/>
      <c r="R14" s="9"/>
      <c r="S14" s="9"/>
      <c r="T14" s="9"/>
      <c r="U14" s="9"/>
      <c r="V14" s="83"/>
      <c r="X14" s="84"/>
      <c r="Y14" s="84"/>
      <c r="Z14" s="81"/>
    </row>
    <row r="15" spans="1:32" x14ac:dyDescent="0.25">
      <c r="B15" s="257" t="s">
        <v>24</v>
      </c>
      <c r="C15" s="258"/>
      <c r="D15" s="259"/>
      <c r="E15" s="2"/>
      <c r="F15" s="257" t="str">
        <f>B15</f>
        <v>breakfast_track</v>
      </c>
      <c r="G15" s="258"/>
      <c r="H15" s="259"/>
      <c r="I15" s="2"/>
      <c r="J15" s="115"/>
      <c r="L15" s="265" t="str">
        <f>F15</f>
        <v>breakfast_track</v>
      </c>
      <c r="M15" s="255"/>
      <c r="N15" s="256"/>
      <c r="O15" s="195"/>
      <c r="P15" s="115"/>
      <c r="Q15" s="195"/>
      <c r="R15" s="195"/>
      <c r="S15" s="195"/>
      <c r="T15" s="195"/>
      <c r="U15" s="112"/>
      <c r="V15" s="112"/>
      <c r="X15" s="268"/>
      <c r="Y15" s="270"/>
      <c r="Z15" s="270"/>
    </row>
    <row r="16" spans="1:32" x14ac:dyDescent="0.25">
      <c r="B16" s="263" t="s">
        <v>52</v>
      </c>
      <c r="C16" s="266"/>
      <c r="D16" s="87" t="s">
        <v>53</v>
      </c>
      <c r="E16" s="21"/>
      <c r="F16" s="263" t="s">
        <v>52</v>
      </c>
      <c r="G16" s="266"/>
      <c r="H16" s="87" t="s">
        <v>53</v>
      </c>
      <c r="I16" s="9"/>
      <c r="J16" s="116" t="s">
        <v>54</v>
      </c>
      <c r="L16" s="267" t="s">
        <v>55</v>
      </c>
      <c r="M16" s="268"/>
      <c r="N16" s="269"/>
      <c r="O16" s="85"/>
      <c r="P16" s="3"/>
      <c r="Q16" s="85"/>
      <c r="R16" s="261"/>
      <c r="S16" s="261"/>
      <c r="T16" s="261"/>
      <c r="U16" s="113"/>
      <c r="V16" s="113"/>
      <c r="X16" s="261"/>
      <c r="Y16" s="270"/>
      <c r="Z16" s="270"/>
    </row>
    <row r="17" spans="2:28" x14ac:dyDescent="0.25">
      <c r="B17" s="191" t="s">
        <v>3</v>
      </c>
      <c r="C17" s="130" t="s">
        <v>56</v>
      </c>
      <c r="D17" s="86" t="s">
        <v>57</v>
      </c>
      <c r="E17" s="21"/>
      <c r="F17" s="191" t="s">
        <v>3</v>
      </c>
      <c r="G17" s="130" t="s">
        <v>56</v>
      </c>
      <c r="H17" s="86" t="s">
        <v>57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Proposal breakfast_track</v>
      </c>
      <c r="N17" s="194" t="s">
        <v>58</v>
      </c>
      <c r="O17" s="2"/>
      <c r="P17" s="3" t="s">
        <v>49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59</v>
      </c>
      <c r="D18" s="88" t="e">
        <f ca="1">0.001*INDIRECT($B18&amp;"!E5")</f>
        <v>#VALUE!</v>
      </c>
      <c r="E18" s="21"/>
      <c r="F18" s="122" t="str">
        <f>F15</f>
        <v>breakfast_track</v>
      </c>
      <c r="G18" s="130" t="s">
        <v>59</v>
      </c>
      <c r="H18" s="88" t="e">
        <f ca="1">0.001*INDIRECT($B18&amp;"!AC5")</f>
        <v>#VALUE!</v>
      </c>
      <c r="I18" s="9"/>
      <c r="J18" s="22" t="e">
        <f ca="1">H18/D18-1</f>
        <v>#VALUE!</v>
      </c>
      <c r="L18" s="94" t="str">
        <f ca="1">INDIRECT($B18&amp;"!"&amp;L$3&amp;"5")</f>
        <v/>
      </c>
      <c r="M18" s="95" t="str">
        <f ca="1">INDIRECT($B18&amp;"!"&amp;M$3&amp;"5")</f>
        <v/>
      </c>
      <c r="N18" s="96" t="e">
        <f ca="1">M18-L18</f>
        <v>#VALUE!</v>
      </c>
      <c r="O18" s="21"/>
      <c r="P18" s="22" t="e">
        <f ca="1">bdRateExtend(D18:D22,L18:L22,H18:H22,M18:M22)</f>
        <v>#VALUE!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60</v>
      </c>
      <c r="D19" s="88" t="e">
        <f ca="1">0.001*INDIRECT($B19&amp;"!E6")</f>
        <v>#VALUE!</v>
      </c>
      <c r="E19" s="21"/>
      <c r="F19" s="122" t="str">
        <f>F18</f>
        <v>breakfast_track</v>
      </c>
      <c r="G19" s="130" t="s">
        <v>60</v>
      </c>
      <c r="H19" s="88" t="e">
        <f ca="1">0.001*INDIRECT($B19&amp;"!AC6")</f>
        <v>#VALUE!</v>
      </c>
      <c r="I19" s="9"/>
      <c r="J19" s="22" t="e">
        <f ca="1">H19/D19-1</f>
        <v>#VALUE!</v>
      </c>
      <c r="L19" s="94" t="str">
        <f ca="1">INDIRECT($B19&amp;"!"&amp;L$3&amp;"6")</f>
        <v/>
      </c>
      <c r="M19" s="95" t="str">
        <f ca="1">INDIRECT($B19&amp;"!"&amp;M$3&amp;"6")</f>
        <v/>
      </c>
      <c r="N19" s="96" t="e">
        <f ca="1">M19-L19</f>
        <v>#VALUE!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61</v>
      </c>
      <c r="D20" s="88" t="e">
        <f ca="1">0.001*INDIRECT($B20&amp;"!E7")</f>
        <v>#VALUE!</v>
      </c>
      <c r="E20" s="21"/>
      <c r="F20" s="122" t="str">
        <f>F19</f>
        <v>breakfast_track</v>
      </c>
      <c r="G20" s="130" t="s">
        <v>61</v>
      </c>
      <c r="H20" s="88" t="e">
        <f ca="1">0.001*INDIRECT($B20&amp;"!AC7")</f>
        <v>#VALUE!</v>
      </c>
      <c r="I20" s="9"/>
      <c r="J20" s="22" t="e">
        <f ca="1">H20/D20-1</f>
        <v>#VALUE!</v>
      </c>
      <c r="L20" s="94" t="str">
        <f ca="1">INDIRECT($B20&amp;"!"&amp;L$3&amp;"7")</f>
        <v/>
      </c>
      <c r="M20" s="95" t="str">
        <f ca="1">INDIRECT($B20&amp;"!"&amp;M$3&amp;"7")</f>
        <v/>
      </c>
      <c r="N20" s="96" t="e">
        <f ca="1">M20-L20</f>
        <v>#VALUE!</v>
      </c>
      <c r="O20" s="21"/>
      <c r="P20" s="3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62</v>
      </c>
      <c r="D21" s="88" t="e">
        <f ca="1">0.001*INDIRECT($B21&amp;"!E8")</f>
        <v>#VALUE!</v>
      </c>
      <c r="E21" s="21"/>
      <c r="F21" s="122" t="str">
        <f>F20</f>
        <v>breakfast_track</v>
      </c>
      <c r="G21" s="130" t="s">
        <v>62</v>
      </c>
      <c r="H21" s="88" t="e">
        <f ca="1">0.001*INDIRECT($B21&amp;"!AC8")</f>
        <v>#VALUE!</v>
      </c>
      <c r="I21" s="9"/>
      <c r="J21" s="22" t="e">
        <f ca="1">H21/D21-1</f>
        <v>#VALUE!</v>
      </c>
      <c r="L21" s="94" t="str">
        <f ca="1">INDIRECT($B21&amp;"!"&amp;L$3&amp;"8")</f>
        <v/>
      </c>
      <c r="M21" s="95" t="str">
        <f ca="1">INDIRECT($B21&amp;"!"&amp;M$3&amp;"8")</f>
        <v/>
      </c>
      <c r="N21" s="96" t="e">
        <f ca="1">M21-L21</f>
        <v>#VALUE!</v>
      </c>
      <c r="O21" s="21"/>
      <c r="P21" s="2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63</v>
      </c>
      <c r="D22" s="88" t="e">
        <f ca="1">0.001*INDIRECT($B22&amp;"!E9")</f>
        <v>#VALUE!</v>
      </c>
      <c r="E22" s="21"/>
      <c r="F22" s="122" t="str">
        <f>F21</f>
        <v>breakfast_track</v>
      </c>
      <c r="G22" s="130" t="s">
        <v>63</v>
      </c>
      <c r="H22" s="88" t="e">
        <f ca="1">0.001*INDIRECT($B22&amp;"!AC9")</f>
        <v>#VALUE!</v>
      </c>
      <c r="I22" s="9"/>
      <c r="J22" s="22" t="e">
        <f ca="1">H22/D22-1</f>
        <v>#VALUE!</v>
      </c>
      <c r="L22" s="94" t="str">
        <f ca="1">INDIRECT($B22&amp;"!"&amp;L$3&amp;"9")</f>
        <v/>
      </c>
      <c r="M22" s="95" t="str">
        <f ca="1">INDIRECT($B22&amp;"!"&amp;M$3&amp;"9")</f>
        <v/>
      </c>
      <c r="N22" s="96" t="e">
        <f ca="1">M22-L22</f>
        <v>#VALUE!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 t="e">
        <f ca="1">MIN(D18:D22,H18:H22)</f>
        <v>#VALUE!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 t="e">
        <f ca="1">MAX(D18:D22,H18:H22)</f>
        <v>#VALUE!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57" t="s">
        <v>25</v>
      </c>
      <c r="C26" s="258"/>
      <c r="D26" s="259"/>
      <c r="E26" s="2"/>
      <c r="F26" s="257" t="str">
        <f>B26</f>
        <v>cinema_track</v>
      </c>
      <c r="G26" s="258"/>
      <c r="H26" s="259"/>
      <c r="I26" s="2"/>
      <c r="J26" s="115"/>
      <c r="L26" s="265" t="str">
        <f>F26</f>
        <v>cinema_track</v>
      </c>
      <c r="M26" s="255"/>
      <c r="N26" s="256"/>
      <c r="O26" s="195"/>
      <c r="P26" s="115"/>
      <c r="U26" s="112"/>
      <c r="V26" s="112"/>
      <c r="X26" s="268"/>
      <c r="Y26" s="270"/>
      <c r="Z26" s="270"/>
    </row>
    <row r="27" spans="2:28" x14ac:dyDescent="0.25">
      <c r="B27" s="263" t="s">
        <v>52</v>
      </c>
      <c r="C27" s="266"/>
      <c r="D27" s="87" t="s">
        <v>53</v>
      </c>
      <c r="E27" s="21"/>
      <c r="F27" s="263" t="s">
        <v>52</v>
      </c>
      <c r="G27" s="266"/>
      <c r="H27" s="87" t="s">
        <v>53</v>
      </c>
      <c r="I27" s="9"/>
      <c r="J27" s="116" t="s">
        <v>54</v>
      </c>
      <c r="L27" s="267" t="s">
        <v>55</v>
      </c>
      <c r="M27" s="268"/>
      <c r="N27" s="269"/>
      <c r="O27" s="85"/>
      <c r="P27" s="3"/>
      <c r="R27" s="261"/>
      <c r="S27" s="270"/>
      <c r="T27" s="270"/>
      <c r="U27" s="113"/>
      <c r="V27" s="113"/>
      <c r="X27" s="261"/>
      <c r="Y27" s="270"/>
      <c r="Z27" s="270"/>
    </row>
    <row r="28" spans="2:28" x14ac:dyDescent="0.25">
      <c r="B28" s="191" t="s">
        <v>3</v>
      </c>
      <c r="C28" s="130" t="s">
        <v>56</v>
      </c>
      <c r="D28" s="86" t="s">
        <v>57</v>
      </c>
      <c r="E28" s="21"/>
      <c r="F28" s="191" t="s">
        <v>3</v>
      </c>
      <c r="G28" s="130" t="s">
        <v>56</v>
      </c>
      <c r="H28" s="86" t="s">
        <v>57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Proposal cinema_track</v>
      </c>
      <c r="N28" s="194" t="s">
        <v>58</v>
      </c>
      <c r="O28" s="2"/>
      <c r="P28" s="3" t="s">
        <v>49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59</v>
      </c>
      <c r="D29" s="88" t="e">
        <f ca="1">0.001*INDIRECT($B29&amp;"!E5")</f>
        <v>#VALUE!</v>
      </c>
      <c r="E29" s="21"/>
      <c r="F29" s="122" t="str">
        <f>F26</f>
        <v>cinema_track</v>
      </c>
      <c r="G29" s="130" t="s">
        <v>59</v>
      </c>
      <c r="H29" s="88" t="e">
        <f ca="1">0.001*INDIRECT($B29&amp;"!AC5")</f>
        <v>#VALUE!</v>
      </c>
      <c r="I29" s="9"/>
      <c r="J29" s="22" t="e">
        <f ca="1">H29/D29-1</f>
        <v>#VALUE!</v>
      </c>
      <c r="L29" s="94" t="str">
        <f ca="1">INDIRECT($B29&amp;"!"&amp;L$3&amp;"5")</f>
        <v/>
      </c>
      <c r="M29" s="95" t="str">
        <f ca="1">INDIRECT($B29&amp;"!"&amp;M$3&amp;"5")</f>
        <v/>
      </c>
      <c r="N29" s="96" t="e">
        <f ca="1">M29-L29</f>
        <v>#VALUE!</v>
      </c>
      <c r="O29" s="21"/>
      <c r="P29" s="22" t="e">
        <f ca="1">bdRateExtend(D29:D33,L29:L33,H29:H33,M29:M33)</f>
        <v>#VALUE!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60</v>
      </c>
      <c r="D30" s="88" t="e">
        <f ca="1">0.001*INDIRECT($B30&amp;"!E6")</f>
        <v>#VALUE!</v>
      </c>
      <c r="E30" s="21"/>
      <c r="F30" s="122" t="str">
        <f>F29</f>
        <v>cinema_track</v>
      </c>
      <c r="G30" s="130" t="s">
        <v>60</v>
      </c>
      <c r="H30" s="88" t="e">
        <f ca="1">0.001*INDIRECT($B30&amp;"!AC6")</f>
        <v>#VALUE!</v>
      </c>
      <c r="I30" s="9"/>
      <c r="J30" s="22" t="e">
        <f ca="1">H30/D30-1</f>
        <v>#VALUE!</v>
      </c>
      <c r="L30" s="94" t="str">
        <f ca="1">INDIRECT($B30&amp;"!"&amp;L$3&amp;"6")</f>
        <v/>
      </c>
      <c r="M30" s="95" t="str">
        <f ca="1">INDIRECT($B30&amp;"!"&amp;M$3&amp;"6")</f>
        <v/>
      </c>
      <c r="N30" s="96" t="e">
        <f ca="1">M30-L30</f>
        <v>#VALUE!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61</v>
      </c>
      <c r="D31" s="88" t="e">
        <f ca="1">0.001*INDIRECT($B31&amp;"!E7")</f>
        <v>#VALUE!</v>
      </c>
      <c r="E31" s="21"/>
      <c r="F31" s="122" t="str">
        <f>F30</f>
        <v>cinema_track</v>
      </c>
      <c r="G31" s="130" t="s">
        <v>61</v>
      </c>
      <c r="H31" s="88" t="e">
        <f ca="1">0.001*INDIRECT($B31&amp;"!AC7")</f>
        <v>#VALUE!</v>
      </c>
      <c r="I31" s="9"/>
      <c r="J31" s="22" t="e">
        <f ca="1">H31/D31-1</f>
        <v>#VALUE!</v>
      </c>
      <c r="L31" s="94" t="str">
        <f ca="1">INDIRECT($B31&amp;"!"&amp;L$3&amp;"7")</f>
        <v/>
      </c>
      <c r="M31" s="95" t="str">
        <f ca="1">INDIRECT($B31&amp;"!"&amp;M$3&amp;"7")</f>
        <v/>
      </c>
      <c r="N31" s="96" t="e">
        <f ca="1">M31-L31</f>
        <v>#VALUE!</v>
      </c>
      <c r="O31" s="21"/>
      <c r="P31" s="3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62</v>
      </c>
      <c r="D32" s="88" t="e">
        <f ca="1">0.001*INDIRECT($B32&amp;"!E8")</f>
        <v>#VALUE!</v>
      </c>
      <c r="E32" s="21"/>
      <c r="F32" s="122" t="str">
        <f>F31</f>
        <v>cinema_track</v>
      </c>
      <c r="G32" s="130" t="s">
        <v>62</v>
      </c>
      <c r="H32" s="88" t="e">
        <f ca="1">0.001*INDIRECT($B32&amp;"!AC8")</f>
        <v>#VALUE!</v>
      </c>
      <c r="I32" s="9"/>
      <c r="J32" s="22" t="e">
        <f ca="1">H32/D32-1</f>
        <v>#VALUE!</v>
      </c>
      <c r="L32" s="94" t="str">
        <f ca="1">INDIRECT($B32&amp;"!"&amp;L$3&amp;"8")</f>
        <v/>
      </c>
      <c r="M32" s="95" t="str">
        <f ca="1">INDIRECT($B32&amp;"!"&amp;M$3&amp;"8")</f>
        <v/>
      </c>
      <c r="N32" s="96" t="e">
        <f ca="1">M32-L32</f>
        <v>#VALUE!</v>
      </c>
      <c r="O32" s="21"/>
      <c r="P32" s="2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63</v>
      </c>
      <c r="D33" s="88" t="e">
        <f ca="1">0.001*INDIRECT($B33&amp;"!E9")</f>
        <v>#VALUE!</v>
      </c>
      <c r="E33" s="21"/>
      <c r="F33" s="122" t="str">
        <f>F32</f>
        <v>cinema_track</v>
      </c>
      <c r="G33" s="130" t="s">
        <v>63</v>
      </c>
      <c r="H33" s="88" t="e">
        <f ca="1">0.001*INDIRECT($B33&amp;"!AC9")</f>
        <v>#VALUE!</v>
      </c>
      <c r="I33" s="9"/>
      <c r="J33" s="22" t="e">
        <f ca="1">H33/D33-1</f>
        <v>#VALUE!</v>
      </c>
      <c r="L33" s="94" t="str">
        <f ca="1">INDIRECT($B33&amp;"!"&amp;L$3&amp;"9")</f>
        <v/>
      </c>
      <c r="M33" s="95" t="str">
        <f ca="1">INDIRECT($B33&amp;"!"&amp;M$3&amp;"9")</f>
        <v/>
      </c>
      <c r="N33" s="96" t="e">
        <f ca="1">M33-L33</f>
        <v>#VALUE!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 t="e">
        <f ca="1">MIN(D29:D33,H29:H33)</f>
        <v>#VALUE!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 t="e">
        <f ca="1">MAX(D29:D33,H29:H33)</f>
        <v>#VALUE!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57" t="s">
        <v>28</v>
      </c>
      <c r="C37" s="258"/>
      <c r="D37" s="259"/>
      <c r="E37" s="2"/>
      <c r="F37" s="257" t="str">
        <f>B37</f>
        <v>ManWithFruit</v>
      </c>
      <c r="G37" s="258"/>
      <c r="H37" s="259"/>
      <c r="I37" s="2"/>
      <c r="J37" s="115"/>
      <c r="L37" s="265" t="str">
        <f>F37</f>
        <v>ManWithFruit</v>
      </c>
      <c r="M37" s="255"/>
      <c r="N37" s="256"/>
      <c r="O37" s="195"/>
      <c r="P37" s="115"/>
      <c r="U37" s="112"/>
      <c r="V37" s="112"/>
      <c r="X37" s="268"/>
      <c r="Y37" s="270"/>
      <c r="Z37" s="270"/>
    </row>
    <row r="38" spans="2:28" x14ac:dyDescent="0.25">
      <c r="B38" s="263" t="s">
        <v>52</v>
      </c>
      <c r="C38" s="266"/>
      <c r="D38" s="87" t="s">
        <v>53</v>
      </c>
      <c r="E38" s="21"/>
      <c r="F38" s="263" t="s">
        <v>52</v>
      </c>
      <c r="G38" s="266"/>
      <c r="H38" s="87" t="s">
        <v>53</v>
      </c>
      <c r="I38" s="9"/>
      <c r="J38" s="116" t="s">
        <v>54</v>
      </c>
      <c r="L38" s="267" t="s">
        <v>55</v>
      </c>
      <c r="M38" s="268"/>
      <c r="N38" s="269"/>
      <c r="O38" s="85"/>
      <c r="P38" s="3"/>
      <c r="R38" s="261"/>
      <c r="S38" s="270"/>
      <c r="T38" s="270"/>
      <c r="U38" s="113"/>
      <c r="V38" s="113"/>
      <c r="X38" s="261"/>
      <c r="Y38" s="270"/>
      <c r="Z38" s="270"/>
    </row>
    <row r="39" spans="2:28" x14ac:dyDescent="0.25">
      <c r="B39" s="191" t="s">
        <v>3</v>
      </c>
      <c r="C39" s="130" t="s">
        <v>56</v>
      </c>
      <c r="D39" s="86" t="s">
        <v>57</v>
      </c>
      <c r="E39" s="21"/>
      <c r="F39" s="191" t="s">
        <v>3</v>
      </c>
      <c r="G39" s="130" t="s">
        <v>56</v>
      </c>
      <c r="H39" s="86" t="s">
        <v>57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Proposal ManWithFruit</v>
      </c>
      <c r="N39" s="194" t="s">
        <v>58</v>
      </c>
      <c r="O39" s="2"/>
      <c r="P39" s="3" t="s">
        <v>49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59</v>
      </c>
      <c r="D40" s="88" t="e">
        <f ca="1">0.001*INDIRECT($B40&amp;"!E5")</f>
        <v>#VALUE!</v>
      </c>
      <c r="E40" s="21"/>
      <c r="F40" s="122" t="str">
        <f>F37</f>
        <v>ManWithFruit</v>
      </c>
      <c r="G40" s="130" t="s">
        <v>59</v>
      </c>
      <c r="H40" s="88" t="e">
        <f ca="1">0.001*INDIRECT($B40&amp;"!AC5")</f>
        <v>#VALUE!</v>
      </c>
      <c r="I40" s="9"/>
      <c r="J40" s="22" t="e">
        <f ca="1">H40/D40-1</f>
        <v>#VALUE!</v>
      </c>
      <c r="L40" s="94" t="str">
        <f ca="1">INDIRECT($B40&amp;"!"&amp;L$3&amp;"5")</f>
        <v/>
      </c>
      <c r="M40" s="95" t="str">
        <f ca="1">INDIRECT($B40&amp;"!"&amp;M$3&amp;"5")</f>
        <v/>
      </c>
      <c r="N40" s="96" t="e">
        <f ca="1">M40-L40</f>
        <v>#VALUE!</v>
      </c>
      <c r="O40" s="21"/>
      <c r="P40" s="22" t="e">
        <f ca="1">bdRateExtend(D40:D44,L40:L44,H40:H44,M40:M44)</f>
        <v>#VALUE!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60</v>
      </c>
      <c r="D41" s="88" t="e">
        <f ca="1">0.001*INDIRECT($B41&amp;"!E6")</f>
        <v>#VALUE!</v>
      </c>
      <c r="E41" s="21"/>
      <c r="F41" s="122" t="str">
        <f>F40</f>
        <v>ManWithFruit</v>
      </c>
      <c r="G41" s="130" t="s">
        <v>60</v>
      </c>
      <c r="H41" s="88" t="e">
        <f ca="1">0.001*INDIRECT($B41&amp;"!AC6")</f>
        <v>#VALUE!</v>
      </c>
      <c r="I41" s="9"/>
      <c r="J41" s="22" t="e">
        <f ca="1">H41/D41-1</f>
        <v>#VALUE!</v>
      </c>
      <c r="L41" s="94" t="str">
        <f ca="1">INDIRECT($B41&amp;"!"&amp;L$3&amp;"6")</f>
        <v/>
      </c>
      <c r="M41" s="95" t="str">
        <f ca="1">INDIRECT($B41&amp;"!"&amp;M$3&amp;"6")</f>
        <v/>
      </c>
      <c r="N41" s="96" t="e">
        <f ca="1">M41-L41</f>
        <v>#VALUE!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61</v>
      </c>
      <c r="D42" s="88" t="e">
        <f ca="1">0.001*INDIRECT($B42&amp;"!E7")</f>
        <v>#VALUE!</v>
      </c>
      <c r="E42" s="21"/>
      <c r="F42" s="122" t="str">
        <f>F41</f>
        <v>ManWithFruit</v>
      </c>
      <c r="G42" s="130" t="s">
        <v>61</v>
      </c>
      <c r="H42" s="88" t="e">
        <f ca="1">0.001*INDIRECT($B42&amp;"!AC7")</f>
        <v>#VALUE!</v>
      </c>
      <c r="I42" s="9"/>
      <c r="J42" s="22" t="e">
        <f ca="1">H42/D42-1</f>
        <v>#VALUE!</v>
      </c>
      <c r="L42" s="94" t="str">
        <f ca="1">INDIRECT($B42&amp;"!"&amp;L$3&amp;"7")</f>
        <v/>
      </c>
      <c r="M42" s="95" t="str">
        <f ca="1">INDIRECT($B42&amp;"!"&amp;M$3&amp;"7")</f>
        <v/>
      </c>
      <c r="N42" s="96" t="e">
        <f ca="1">M42-L42</f>
        <v>#VALUE!</v>
      </c>
      <c r="O42" s="21"/>
      <c r="P42" s="3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62</v>
      </c>
      <c r="D43" s="88" t="e">
        <f ca="1">0.001*INDIRECT($B43&amp;"!E8")</f>
        <v>#VALUE!</v>
      </c>
      <c r="E43" s="21"/>
      <c r="F43" s="122" t="str">
        <f>F42</f>
        <v>ManWithFruit</v>
      </c>
      <c r="G43" s="130" t="s">
        <v>62</v>
      </c>
      <c r="H43" s="88" t="e">
        <f ca="1">0.001*INDIRECT($B43&amp;"!AC8")</f>
        <v>#VALUE!</v>
      </c>
      <c r="I43" s="9"/>
      <c r="J43" s="22" t="e">
        <f ca="1">H43/D43-1</f>
        <v>#VALUE!</v>
      </c>
      <c r="L43" s="94" t="str">
        <f ca="1">INDIRECT($B43&amp;"!"&amp;L$3&amp;"8")</f>
        <v/>
      </c>
      <c r="M43" s="95" t="str">
        <f ca="1">INDIRECT($B43&amp;"!"&amp;M$3&amp;"8")</f>
        <v/>
      </c>
      <c r="N43" s="96" t="e">
        <f ca="1">M43-L43</f>
        <v>#VALUE!</v>
      </c>
      <c r="O43" s="21"/>
      <c r="P43" s="2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63</v>
      </c>
      <c r="D44" s="88" t="e">
        <f ca="1">0.001*INDIRECT($B44&amp;"!E9")</f>
        <v>#VALUE!</v>
      </c>
      <c r="E44" s="21"/>
      <c r="F44" s="122" t="str">
        <f>F43</f>
        <v>ManWithFruit</v>
      </c>
      <c r="G44" s="130" t="s">
        <v>63</v>
      </c>
      <c r="H44" s="88" t="e">
        <f ca="1">0.001*INDIRECT($B44&amp;"!AC9")</f>
        <v>#VALUE!</v>
      </c>
      <c r="I44" s="9"/>
      <c r="J44" s="22" t="e">
        <f ca="1">H44/D44-1</f>
        <v>#VALUE!</v>
      </c>
      <c r="L44" s="94" t="str">
        <f ca="1">INDIRECT($B44&amp;"!"&amp;L$3&amp;"9")</f>
        <v/>
      </c>
      <c r="M44" s="95" t="str">
        <f ca="1">INDIRECT($B44&amp;"!"&amp;M$3&amp;"9")</f>
        <v/>
      </c>
      <c r="N44" s="96" t="e">
        <f ca="1">M44-L44</f>
        <v>#VALUE!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 t="e">
        <f ca="1">MIN(D40:D44,H40:H44)</f>
        <v>#VALUE!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 t="e">
        <f ca="1">MAX(D40:D44,H40:H44)</f>
        <v>#VALUE!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57" t="s">
        <v>29</v>
      </c>
      <c r="C48" s="258"/>
      <c r="D48" s="259"/>
      <c r="E48" s="2"/>
      <c r="F48" s="257" t="str">
        <f>B48</f>
        <v>LEGO_Ferrari</v>
      </c>
      <c r="G48" s="258"/>
      <c r="H48" s="259"/>
      <c r="I48" s="2"/>
      <c r="J48" s="115"/>
      <c r="L48" s="265" t="str">
        <f>F48</f>
        <v>LEGO_Ferrari</v>
      </c>
      <c r="M48" s="255"/>
      <c r="N48" s="256"/>
      <c r="O48" s="195"/>
      <c r="P48" s="115"/>
      <c r="U48" s="112"/>
      <c r="V48" s="112"/>
      <c r="X48" s="268"/>
      <c r="Y48" s="268"/>
      <c r="Z48" s="268"/>
    </row>
    <row r="49" spans="2:28" x14ac:dyDescent="0.25">
      <c r="B49" s="263" t="s">
        <v>52</v>
      </c>
      <c r="C49" s="266"/>
      <c r="D49" s="87" t="s">
        <v>53</v>
      </c>
      <c r="E49" s="21"/>
      <c r="F49" s="263" t="s">
        <v>52</v>
      </c>
      <c r="G49" s="266"/>
      <c r="H49" s="87" t="s">
        <v>53</v>
      </c>
      <c r="I49" s="9"/>
      <c r="J49" s="116" t="s">
        <v>54</v>
      </c>
      <c r="L49" s="267" t="s">
        <v>55</v>
      </c>
      <c r="M49" s="268"/>
      <c r="N49" s="269"/>
      <c r="O49" s="85"/>
      <c r="P49" s="3"/>
      <c r="R49" s="261"/>
      <c r="S49" s="261"/>
      <c r="T49" s="261"/>
      <c r="U49" s="113"/>
      <c r="V49" s="113"/>
      <c r="X49" s="261"/>
      <c r="Y49" s="261"/>
      <c r="Z49" s="261"/>
    </row>
    <row r="50" spans="2:28" x14ac:dyDescent="0.25">
      <c r="B50" s="191" t="s">
        <v>3</v>
      </c>
      <c r="C50" s="130" t="s">
        <v>56</v>
      </c>
      <c r="D50" s="86" t="s">
        <v>57</v>
      </c>
      <c r="E50" s="21"/>
      <c r="F50" s="191" t="s">
        <v>3</v>
      </c>
      <c r="G50" s="130" t="s">
        <v>56</v>
      </c>
      <c r="H50" s="86" t="s">
        <v>57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Proposal LEGO_Ferrari</v>
      </c>
      <c r="N50" s="194" t="s">
        <v>58</v>
      </c>
      <c r="O50" s="2"/>
      <c r="P50" s="3" t="s">
        <v>49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59</v>
      </c>
      <c r="D51" s="88" t="e">
        <f ca="1">0.001*INDIRECT($B51&amp;"!E5")</f>
        <v>#VALUE!</v>
      </c>
      <c r="E51" s="21"/>
      <c r="F51" s="122" t="str">
        <f>F48</f>
        <v>LEGO_Ferrari</v>
      </c>
      <c r="G51" s="130" t="s">
        <v>59</v>
      </c>
      <c r="H51" s="88" t="e">
        <f ca="1">0.001*INDIRECT($B51&amp;"!AC5")</f>
        <v>#VALUE!</v>
      </c>
      <c r="I51" s="9"/>
      <c r="J51" s="22" t="e">
        <f ca="1">H51/D51-1</f>
        <v>#VALUE!</v>
      </c>
      <c r="L51" s="94" t="str">
        <f ca="1">INDIRECT($B51&amp;"!"&amp;L$3&amp;"5")</f>
        <v/>
      </c>
      <c r="M51" s="95" t="str">
        <f ca="1">INDIRECT($B51&amp;"!"&amp;M$3&amp;"5")</f>
        <v/>
      </c>
      <c r="N51" s="96" t="e">
        <f ca="1">M51-L51</f>
        <v>#VALUE!</v>
      </c>
      <c r="O51" s="21"/>
      <c r="P51" s="22" t="e">
        <f ca="1">bdRateExtend(D51:D55,L51:L55,H51:H55,M51:M55)</f>
        <v>#VALUE!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60</v>
      </c>
      <c r="D52" s="88" t="e">
        <f ca="1">0.001*INDIRECT($B52&amp;"!E6")</f>
        <v>#VALUE!</v>
      </c>
      <c r="E52" s="21"/>
      <c r="F52" s="122" t="str">
        <f>F51</f>
        <v>LEGO_Ferrari</v>
      </c>
      <c r="G52" s="130" t="s">
        <v>60</v>
      </c>
      <c r="H52" s="88" t="e">
        <f ca="1">0.001*INDIRECT($B52&amp;"!AC6")</f>
        <v>#VALUE!</v>
      </c>
      <c r="I52" s="9"/>
      <c r="J52" s="22" t="e">
        <f ca="1">H52/D52-1</f>
        <v>#VALUE!</v>
      </c>
      <c r="L52" s="94" t="str">
        <f ca="1">INDIRECT($B52&amp;"!"&amp;L$3&amp;"6")</f>
        <v/>
      </c>
      <c r="M52" s="95" t="str">
        <f ca="1">INDIRECT($B52&amp;"!"&amp;M$3&amp;"6")</f>
        <v/>
      </c>
      <c r="N52" s="96" t="e">
        <f ca="1">M52-L52</f>
        <v>#VALUE!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61</v>
      </c>
      <c r="D53" s="88" t="e">
        <f ca="1">0.001*INDIRECT($B53&amp;"!E7")</f>
        <v>#VALUE!</v>
      </c>
      <c r="E53" s="21"/>
      <c r="F53" s="122" t="str">
        <f>F52</f>
        <v>LEGO_Ferrari</v>
      </c>
      <c r="G53" s="130" t="s">
        <v>61</v>
      </c>
      <c r="H53" s="88" t="e">
        <f ca="1">0.001*INDIRECT($B53&amp;"!AC7")</f>
        <v>#VALUE!</v>
      </c>
      <c r="I53" s="9"/>
      <c r="J53" s="22" t="e">
        <f ca="1">H53/D53-1</f>
        <v>#VALUE!</v>
      </c>
      <c r="L53" s="94" t="str">
        <f ca="1">INDIRECT($B53&amp;"!"&amp;L$3&amp;"7")</f>
        <v/>
      </c>
      <c r="M53" s="95" t="str">
        <f ca="1">INDIRECT($B53&amp;"!"&amp;M$3&amp;"7")</f>
        <v/>
      </c>
      <c r="N53" s="96" t="e">
        <f ca="1">M53-L53</f>
        <v>#VALUE!</v>
      </c>
      <c r="O53" s="21"/>
      <c r="P53" s="3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62</v>
      </c>
      <c r="D54" s="88" t="e">
        <f ca="1">0.001*INDIRECT($B54&amp;"!E8")</f>
        <v>#VALUE!</v>
      </c>
      <c r="E54" s="21"/>
      <c r="F54" s="122" t="str">
        <f>F53</f>
        <v>LEGO_Ferrari</v>
      </c>
      <c r="G54" s="130" t="s">
        <v>62</v>
      </c>
      <c r="H54" s="88" t="e">
        <f ca="1">0.001*INDIRECT($B54&amp;"!AC8")</f>
        <v>#VALUE!</v>
      </c>
      <c r="I54" s="9"/>
      <c r="J54" s="22" t="e">
        <f ca="1">H54/D54-1</f>
        <v>#VALUE!</v>
      </c>
      <c r="L54" s="94" t="str">
        <f ca="1">INDIRECT($B54&amp;"!"&amp;L$3&amp;"8")</f>
        <v/>
      </c>
      <c r="M54" s="95" t="str">
        <f ca="1">INDIRECT($B54&amp;"!"&amp;M$3&amp;"8")</f>
        <v/>
      </c>
      <c r="N54" s="96" t="e">
        <f ca="1">M54-L54</f>
        <v>#VALUE!</v>
      </c>
      <c r="O54" s="21"/>
      <c r="P54" s="2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63</v>
      </c>
      <c r="D55" s="88" t="e">
        <f ca="1">0.001*INDIRECT($B55&amp;"!E9")</f>
        <v>#VALUE!</v>
      </c>
      <c r="E55" s="21"/>
      <c r="F55" s="122" t="str">
        <f>F54</f>
        <v>LEGO_Ferrari</v>
      </c>
      <c r="G55" s="130" t="s">
        <v>63</v>
      </c>
      <c r="H55" s="88" t="e">
        <f ca="1">0.001*INDIRECT($B55&amp;"!AC9")</f>
        <v>#VALUE!</v>
      </c>
      <c r="I55" s="9"/>
      <c r="J55" s="22" t="e">
        <f ca="1">H55/D55-1</f>
        <v>#VALUE!</v>
      </c>
      <c r="L55" s="94" t="str">
        <f ca="1">INDIRECT($B55&amp;"!"&amp;L$3&amp;"9")</f>
        <v/>
      </c>
      <c r="M55" s="95" t="str">
        <f ca="1">INDIRECT($B55&amp;"!"&amp;M$3&amp;"9")</f>
        <v/>
      </c>
      <c r="N55" s="96" t="e">
        <f ca="1">M55-L55</f>
        <v>#VALUE!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 t="e">
        <f ca="1">MIN(D51:D55,H51:H55)</f>
        <v>#VALUE!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 t="e">
        <f ca="1">MAX(D51:D55,H51:H55)</f>
        <v>#VALUE!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57" t="s">
        <v>30</v>
      </c>
      <c r="C59" s="258"/>
      <c r="D59" s="259"/>
      <c r="E59" s="2"/>
      <c r="F59" s="257" t="str">
        <f>B59</f>
        <v>LEGO_Bugatti</v>
      </c>
      <c r="G59" s="258"/>
      <c r="H59" s="259"/>
      <c r="I59" s="2"/>
      <c r="J59" s="115"/>
      <c r="L59" s="265" t="str">
        <f>F59</f>
        <v>LEGO_Bugatti</v>
      </c>
      <c r="M59" s="255"/>
      <c r="N59" s="256"/>
      <c r="O59" s="195"/>
      <c r="P59" s="115"/>
      <c r="U59" s="112"/>
      <c r="V59" s="112"/>
      <c r="X59" s="268"/>
      <c r="Y59" s="270"/>
      <c r="Z59" s="270"/>
    </row>
    <row r="60" spans="2:28" x14ac:dyDescent="0.25">
      <c r="B60" s="263" t="s">
        <v>52</v>
      </c>
      <c r="C60" s="266"/>
      <c r="D60" s="87" t="s">
        <v>53</v>
      </c>
      <c r="E60" s="21"/>
      <c r="F60" s="263" t="s">
        <v>52</v>
      </c>
      <c r="G60" s="266"/>
      <c r="H60" s="87" t="s">
        <v>53</v>
      </c>
      <c r="I60" s="9"/>
      <c r="J60" s="116" t="s">
        <v>54</v>
      </c>
      <c r="L60" s="267" t="s">
        <v>55</v>
      </c>
      <c r="M60" s="268"/>
      <c r="N60" s="269"/>
      <c r="O60" s="85"/>
      <c r="P60" s="3"/>
      <c r="R60" s="261"/>
      <c r="S60" s="270"/>
      <c r="T60" s="270"/>
      <c r="U60" s="113"/>
      <c r="V60" s="113"/>
      <c r="X60" s="261"/>
      <c r="Y60" s="270"/>
      <c r="Z60" s="270"/>
    </row>
    <row r="61" spans="2:28" x14ac:dyDescent="0.25">
      <c r="B61" s="191" t="s">
        <v>3</v>
      </c>
      <c r="C61" s="130" t="s">
        <v>56</v>
      </c>
      <c r="D61" s="86" t="s">
        <v>57</v>
      </c>
      <c r="E61" s="21"/>
      <c r="F61" s="191" t="s">
        <v>3</v>
      </c>
      <c r="G61" s="130" t="s">
        <v>56</v>
      </c>
      <c r="H61" s="86" t="s">
        <v>57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Proposal LEGO_Bugatti</v>
      </c>
      <c r="N61" s="194" t="s">
        <v>58</v>
      </c>
      <c r="O61" s="2"/>
      <c r="P61" s="3" t="s">
        <v>49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59</v>
      </c>
      <c r="D62" s="88" t="e">
        <f ca="1">0.001*INDIRECT($B62&amp;"!E5")</f>
        <v>#VALUE!</v>
      </c>
      <c r="E62" s="21"/>
      <c r="F62" s="122" t="str">
        <f>F59</f>
        <v>LEGO_Bugatti</v>
      </c>
      <c r="G62" s="130" t="s">
        <v>59</v>
      </c>
      <c r="H62" s="88" t="e">
        <f ca="1">0.001*INDIRECT($B62&amp;"!AC5")</f>
        <v>#VALUE!</v>
      </c>
      <c r="I62" s="9"/>
      <c r="J62" s="22" t="e">
        <f ca="1">H62/D62-1</f>
        <v>#VALUE!</v>
      </c>
      <c r="L62" s="94" t="str">
        <f ca="1">INDIRECT($B62&amp;"!"&amp;L$3&amp;"5")</f>
        <v/>
      </c>
      <c r="M62" s="95" t="str">
        <f ca="1">INDIRECT($B62&amp;"!"&amp;M$3&amp;"5")</f>
        <v/>
      </c>
      <c r="N62" s="96" t="e">
        <f ca="1">M62-L62</f>
        <v>#VALUE!</v>
      </c>
      <c r="O62" s="21"/>
      <c r="P62" s="22" t="e">
        <f ca="1">bdRateExtend(D62:D66,L62:L66,H62:H66,M62:M66)</f>
        <v>#VALUE!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60</v>
      </c>
      <c r="D63" s="88" t="e">
        <f ca="1">0.001*INDIRECT($B63&amp;"!E6")</f>
        <v>#VALUE!</v>
      </c>
      <c r="E63" s="21"/>
      <c r="F63" s="122" t="str">
        <f>F62</f>
        <v>LEGO_Bugatti</v>
      </c>
      <c r="G63" s="130" t="s">
        <v>60</v>
      </c>
      <c r="H63" s="88" t="e">
        <f ca="1">0.001*INDIRECT($B63&amp;"!AC6")</f>
        <v>#VALUE!</v>
      </c>
      <c r="I63" s="9"/>
      <c r="J63" s="22" t="e">
        <f ca="1">H63/D63-1</f>
        <v>#VALUE!</v>
      </c>
      <c r="L63" s="94" t="str">
        <f ca="1">INDIRECT($B63&amp;"!"&amp;L$3&amp;"6")</f>
        <v/>
      </c>
      <c r="M63" s="95" t="str">
        <f ca="1">INDIRECT($B63&amp;"!"&amp;M$3&amp;"6")</f>
        <v/>
      </c>
      <c r="N63" s="96" t="e">
        <f ca="1">M63-L63</f>
        <v>#VALUE!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61</v>
      </c>
      <c r="D64" s="88" t="e">
        <f ca="1">0.001*INDIRECT($B64&amp;"!E7")</f>
        <v>#VALUE!</v>
      </c>
      <c r="E64" s="21"/>
      <c r="F64" s="122" t="str">
        <f>F63</f>
        <v>LEGO_Bugatti</v>
      </c>
      <c r="G64" s="130" t="s">
        <v>61</v>
      </c>
      <c r="H64" s="88" t="e">
        <f ca="1">0.001*INDIRECT($B64&amp;"!AC7")</f>
        <v>#VALUE!</v>
      </c>
      <c r="I64" s="9"/>
      <c r="J64" s="22" t="e">
        <f ca="1">H64/D64-1</f>
        <v>#VALUE!</v>
      </c>
      <c r="L64" s="94" t="str">
        <f ca="1">INDIRECT($B64&amp;"!"&amp;L$3&amp;"7")</f>
        <v/>
      </c>
      <c r="M64" s="95" t="str">
        <f ca="1">INDIRECT($B64&amp;"!"&amp;M$3&amp;"7")</f>
        <v/>
      </c>
      <c r="N64" s="96" t="e">
        <f ca="1">M64-L64</f>
        <v>#VALUE!</v>
      </c>
      <c r="O64" s="21"/>
      <c r="P64" s="3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62</v>
      </c>
      <c r="D65" s="88" t="e">
        <f ca="1">0.001*INDIRECT($B65&amp;"!E8")</f>
        <v>#VALUE!</v>
      </c>
      <c r="E65" s="21"/>
      <c r="F65" s="122" t="str">
        <f>F64</f>
        <v>LEGO_Bugatti</v>
      </c>
      <c r="G65" s="130" t="s">
        <v>62</v>
      </c>
      <c r="H65" s="88" t="e">
        <f ca="1">0.001*INDIRECT($B65&amp;"!AC8")</f>
        <v>#VALUE!</v>
      </c>
      <c r="I65" s="9"/>
      <c r="J65" s="22" t="e">
        <f ca="1">H65/D65-1</f>
        <v>#VALUE!</v>
      </c>
      <c r="L65" s="94" t="str">
        <f ca="1">INDIRECT($B65&amp;"!"&amp;L$3&amp;"8")</f>
        <v/>
      </c>
      <c r="M65" s="95" t="str">
        <f ca="1">INDIRECT($B65&amp;"!"&amp;M$3&amp;"8")</f>
        <v/>
      </c>
      <c r="N65" s="96" t="e">
        <f ca="1">M65-L65</f>
        <v>#VALUE!</v>
      </c>
      <c r="O65" s="21"/>
      <c r="P65" s="2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63</v>
      </c>
      <c r="D66" s="88" t="e">
        <f ca="1">0.001*INDIRECT($B66&amp;"!E9")</f>
        <v>#VALUE!</v>
      </c>
      <c r="E66" s="21"/>
      <c r="F66" s="122" t="str">
        <f>F65</f>
        <v>LEGO_Bugatti</v>
      </c>
      <c r="G66" s="130" t="s">
        <v>63</v>
      </c>
      <c r="H66" s="88" t="e">
        <f ca="1">0.001*INDIRECT($B66&amp;"!AC9")</f>
        <v>#VALUE!</v>
      </c>
      <c r="I66" s="9"/>
      <c r="J66" s="22" t="e">
        <f ca="1">H66/D66-1</f>
        <v>#VALUE!</v>
      </c>
      <c r="L66" s="94" t="str">
        <f ca="1">INDIRECT($B66&amp;"!"&amp;L$3&amp;"9")</f>
        <v/>
      </c>
      <c r="M66" s="95" t="str">
        <f ca="1">INDIRECT($B66&amp;"!"&amp;M$3&amp;"9")</f>
        <v/>
      </c>
      <c r="N66" s="96" t="e">
        <f ca="1">M66-L66</f>
        <v>#VALUE!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 t="e">
        <f ca="1">MIN(D62:D66,H62:H66)</f>
        <v>#VALUE!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 t="e">
        <f ca="1">MAX(D62:D66,H62:H66)</f>
        <v>#VALUE!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57" t="s">
        <v>31</v>
      </c>
      <c r="C70" s="258"/>
      <c r="D70" s="259"/>
      <c r="E70" s="2"/>
      <c r="F70" s="257" t="str">
        <f>B70</f>
        <v>Plant</v>
      </c>
      <c r="G70" s="258"/>
      <c r="H70" s="259"/>
      <c r="I70" s="2"/>
      <c r="J70" s="115"/>
      <c r="L70" s="265" t="str">
        <f>F70</f>
        <v>Plant</v>
      </c>
      <c r="M70" s="255"/>
      <c r="N70" s="256"/>
      <c r="O70" s="195"/>
      <c r="P70" s="115"/>
      <c r="U70" s="112"/>
      <c r="V70" s="112"/>
      <c r="X70" s="268"/>
      <c r="Y70" s="270"/>
      <c r="Z70" s="270"/>
    </row>
    <row r="71" spans="2:28" x14ac:dyDescent="0.25">
      <c r="B71" s="263" t="s">
        <v>52</v>
      </c>
      <c r="C71" s="266"/>
      <c r="D71" s="87" t="s">
        <v>53</v>
      </c>
      <c r="E71" s="21"/>
      <c r="F71" s="263" t="s">
        <v>52</v>
      </c>
      <c r="G71" s="266"/>
      <c r="H71" s="87" t="s">
        <v>53</v>
      </c>
      <c r="I71" s="9"/>
      <c r="J71" s="116" t="s">
        <v>54</v>
      </c>
      <c r="L71" s="267" t="s">
        <v>55</v>
      </c>
      <c r="M71" s="268"/>
      <c r="N71" s="269"/>
      <c r="O71" s="85"/>
      <c r="P71" s="3"/>
      <c r="R71" s="261"/>
      <c r="S71" s="270"/>
      <c r="T71" s="270"/>
      <c r="U71" s="113"/>
      <c r="V71" s="113"/>
      <c r="X71" s="261"/>
      <c r="Y71" s="270"/>
      <c r="Z71" s="270"/>
    </row>
    <row r="72" spans="2:28" x14ac:dyDescent="0.25">
      <c r="B72" s="191" t="s">
        <v>3</v>
      </c>
      <c r="C72" s="130" t="s">
        <v>56</v>
      </c>
      <c r="D72" s="86" t="s">
        <v>57</v>
      </c>
      <c r="E72" s="21"/>
      <c r="F72" s="191" t="s">
        <v>3</v>
      </c>
      <c r="G72" s="130" t="s">
        <v>56</v>
      </c>
      <c r="H72" s="86" t="s">
        <v>57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Proposal Plant</v>
      </c>
      <c r="N72" s="194" t="s">
        <v>58</v>
      </c>
      <c r="O72" s="2"/>
      <c r="P72" s="3" t="s">
        <v>49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59</v>
      </c>
      <c r="D73" s="88" t="e">
        <f ca="1">0.001*INDIRECT($B73&amp;"!E5")</f>
        <v>#VALUE!</v>
      </c>
      <c r="E73" s="21"/>
      <c r="F73" s="122" t="str">
        <f>F70</f>
        <v>Plant</v>
      </c>
      <c r="G73" s="130" t="s">
        <v>59</v>
      </c>
      <c r="H73" s="88" t="e">
        <f ca="1">0.001*INDIRECT($B73&amp;"!AC5")</f>
        <v>#VALUE!</v>
      </c>
      <c r="I73" s="9"/>
      <c r="J73" s="22" t="e">
        <f ca="1">H73/D73-1</f>
        <v>#VALUE!</v>
      </c>
      <c r="L73" s="94" t="str">
        <f ca="1">INDIRECT($B73&amp;"!"&amp;L$3&amp;"5")</f>
        <v/>
      </c>
      <c r="M73" s="95" t="str">
        <f ca="1">INDIRECT($B73&amp;"!"&amp;M$3&amp;"5")</f>
        <v/>
      </c>
      <c r="N73" s="96" t="e">
        <f ca="1">M73-L73</f>
        <v>#VALUE!</v>
      </c>
      <c r="O73" s="21"/>
      <c r="P73" s="22" t="e">
        <f ca="1">bdRateExtend(D73:D77,L73:L77,H73:H77,M73:M77)</f>
        <v>#VALUE!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60</v>
      </c>
      <c r="D74" s="88" t="e">
        <f ca="1">0.001*INDIRECT($B74&amp;"!E6")</f>
        <v>#VALUE!</v>
      </c>
      <c r="E74" s="21"/>
      <c r="F74" s="122" t="str">
        <f>F73</f>
        <v>Plant</v>
      </c>
      <c r="G74" s="130" t="s">
        <v>60</v>
      </c>
      <c r="H74" s="88" t="e">
        <f ca="1">0.001*INDIRECT($B74&amp;"!AC6")</f>
        <v>#VALUE!</v>
      </c>
      <c r="I74" s="9"/>
      <c r="J74" s="22" t="e">
        <f ca="1">H74/D74-1</f>
        <v>#VALUE!</v>
      </c>
      <c r="L74" s="94" t="str">
        <f ca="1">INDIRECT($B74&amp;"!"&amp;L$3&amp;"6")</f>
        <v/>
      </c>
      <c r="M74" s="95" t="str">
        <f ca="1">INDIRECT($B74&amp;"!"&amp;M$3&amp;"6")</f>
        <v/>
      </c>
      <c r="N74" s="96" t="e">
        <f ca="1">M74-L74</f>
        <v>#VALUE!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61</v>
      </c>
      <c r="D75" s="88" t="e">
        <f ca="1">0.001*INDIRECT($B75&amp;"!E7")</f>
        <v>#VALUE!</v>
      </c>
      <c r="E75" s="21"/>
      <c r="F75" s="122" t="str">
        <f>F74</f>
        <v>Plant</v>
      </c>
      <c r="G75" s="130" t="s">
        <v>61</v>
      </c>
      <c r="H75" s="88" t="e">
        <f ca="1">0.001*INDIRECT($B75&amp;"!AC7")</f>
        <v>#VALUE!</v>
      </c>
      <c r="I75" s="9"/>
      <c r="J75" s="22" t="e">
        <f ca="1">H75/D75-1</f>
        <v>#VALUE!</v>
      </c>
      <c r="L75" s="94" t="str">
        <f ca="1">INDIRECT($B75&amp;"!"&amp;L$3&amp;"7")</f>
        <v/>
      </c>
      <c r="M75" s="95" t="str">
        <f ca="1">INDIRECT($B75&amp;"!"&amp;M$3&amp;"7")</f>
        <v/>
      </c>
      <c r="N75" s="96" t="e">
        <f ca="1">M75-L75</f>
        <v>#VALUE!</v>
      </c>
      <c r="O75" s="21"/>
      <c r="P75" s="3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62</v>
      </c>
      <c r="D76" s="88" t="e">
        <f ca="1">0.001*INDIRECT($B76&amp;"!E8")</f>
        <v>#VALUE!</v>
      </c>
      <c r="E76" s="21"/>
      <c r="F76" s="122" t="str">
        <f>F75</f>
        <v>Plant</v>
      </c>
      <c r="G76" s="130" t="s">
        <v>62</v>
      </c>
      <c r="H76" s="88" t="e">
        <f ca="1">0.001*INDIRECT($B76&amp;"!AC8")</f>
        <v>#VALUE!</v>
      </c>
      <c r="I76" s="9"/>
      <c r="J76" s="22" t="e">
        <f ca="1">H76/D76-1</f>
        <v>#VALUE!</v>
      </c>
      <c r="L76" s="94" t="str">
        <f ca="1">INDIRECT($B76&amp;"!"&amp;L$3&amp;"8")</f>
        <v/>
      </c>
      <c r="M76" s="95" t="str">
        <f ca="1">INDIRECT($B76&amp;"!"&amp;M$3&amp;"8")</f>
        <v/>
      </c>
      <c r="N76" s="96" t="e">
        <f ca="1">M76-L76</f>
        <v>#VALUE!</v>
      </c>
      <c r="O76" s="21"/>
      <c r="P76" s="2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63</v>
      </c>
      <c r="D77" s="88" t="e">
        <f ca="1">0.001*INDIRECT($B77&amp;"!E9")</f>
        <v>#VALUE!</v>
      </c>
      <c r="E77" s="21"/>
      <c r="F77" s="122" t="str">
        <f>F76</f>
        <v>Plant</v>
      </c>
      <c r="G77" s="130" t="s">
        <v>63</v>
      </c>
      <c r="H77" s="88" t="e">
        <f ca="1">0.001*INDIRECT($B77&amp;"!AC9")</f>
        <v>#VALUE!</v>
      </c>
      <c r="I77" s="9"/>
      <c r="J77" s="22" t="e">
        <f ca="1">H77/D77-1</f>
        <v>#VALUE!</v>
      </c>
      <c r="L77" s="94" t="str">
        <f ca="1">INDIRECT($B77&amp;"!"&amp;L$3&amp;"9")</f>
        <v/>
      </c>
      <c r="M77" s="95" t="str">
        <f ca="1">INDIRECT($B77&amp;"!"&amp;M$3&amp;"9")</f>
        <v/>
      </c>
      <c r="N77" s="96" t="e">
        <f ca="1">M77-L77</f>
        <v>#VALUE!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 t="e">
        <f ca="1">MIN(D73:D77,H73:H77)</f>
        <v>#VALUE!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 t="e">
        <f ca="1">MAX(D73:D77,H73:H77)</f>
        <v>#VALUE!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2" thickBot="1" x14ac:dyDescent="0.3"/>
    <row r="81" spans="2:28" x14ac:dyDescent="0.25">
      <c r="B81" s="257" t="s">
        <v>32</v>
      </c>
      <c r="C81" s="258"/>
      <c r="D81" s="259"/>
      <c r="E81" s="2"/>
      <c r="F81" s="257" t="str">
        <f>B81</f>
        <v>Tennis_Player</v>
      </c>
      <c r="G81" s="258"/>
      <c r="H81" s="259"/>
      <c r="I81" s="2"/>
      <c r="J81" s="115"/>
      <c r="L81" s="265" t="str">
        <f>F81</f>
        <v>Tennis_Player</v>
      </c>
      <c r="M81" s="255"/>
      <c r="N81" s="256"/>
      <c r="O81" s="195"/>
      <c r="P81" s="115"/>
      <c r="U81" s="112"/>
      <c r="V81" s="112"/>
      <c r="X81" s="268"/>
      <c r="Y81" s="270"/>
      <c r="Z81" s="270"/>
    </row>
    <row r="82" spans="2:28" x14ac:dyDescent="0.25">
      <c r="B82" s="263" t="s">
        <v>52</v>
      </c>
      <c r="C82" s="266"/>
      <c r="D82" s="87" t="s">
        <v>53</v>
      </c>
      <c r="E82" s="21"/>
      <c r="F82" s="263" t="s">
        <v>52</v>
      </c>
      <c r="G82" s="266"/>
      <c r="H82" s="87" t="s">
        <v>53</v>
      </c>
      <c r="I82" s="9"/>
      <c r="J82" s="116" t="s">
        <v>54</v>
      </c>
      <c r="L82" s="267" t="s">
        <v>55</v>
      </c>
      <c r="M82" s="268"/>
      <c r="N82" s="269"/>
      <c r="O82" s="85"/>
      <c r="P82" s="3"/>
      <c r="R82" s="261"/>
      <c r="S82" s="270"/>
      <c r="T82" s="270"/>
      <c r="U82" s="113"/>
      <c r="V82" s="113"/>
      <c r="X82" s="261"/>
      <c r="Y82" s="270"/>
      <c r="Z82" s="270"/>
    </row>
    <row r="83" spans="2:28" x14ac:dyDescent="0.25">
      <c r="B83" s="191" t="s">
        <v>3</v>
      </c>
      <c r="C83" s="130" t="s">
        <v>56</v>
      </c>
      <c r="D83" s="86" t="s">
        <v>57</v>
      </c>
      <c r="E83" s="21"/>
      <c r="F83" s="191" t="s">
        <v>3</v>
      </c>
      <c r="G83" s="130" t="s">
        <v>56</v>
      </c>
      <c r="H83" s="86" t="s">
        <v>57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Proposal Tennis_Player</v>
      </c>
      <c r="N83" s="194" t="s">
        <v>58</v>
      </c>
      <c r="O83" s="2"/>
      <c r="P83" s="3" t="s">
        <v>49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59</v>
      </c>
      <c r="D84" s="88" t="e">
        <f ca="1">0.001*INDIRECT($B84&amp;"!E5")</f>
        <v>#VALUE!</v>
      </c>
      <c r="E84" s="21"/>
      <c r="F84" s="122" t="str">
        <f>F81</f>
        <v>Tennis_Player</v>
      </c>
      <c r="G84" s="130" t="s">
        <v>59</v>
      </c>
      <c r="H84" s="88" t="e">
        <f ca="1">0.001*INDIRECT($B84&amp;"!AC5")</f>
        <v>#VALUE!</v>
      </c>
      <c r="I84" s="9"/>
      <c r="J84" s="22" t="e">
        <f ca="1">H84/D84-1</f>
        <v>#VALUE!</v>
      </c>
      <c r="L84" s="94" t="str">
        <f ca="1">INDIRECT($B84&amp;"!"&amp;L$3&amp;"5")</f>
        <v/>
      </c>
      <c r="M84" s="95" t="str">
        <f ca="1">INDIRECT($B84&amp;"!"&amp;M$3&amp;"5")</f>
        <v/>
      </c>
      <c r="N84" s="96" t="e">
        <f ca="1">M84-L84</f>
        <v>#VALUE!</v>
      </c>
      <c r="O84" s="21"/>
      <c r="P84" s="22" t="e">
        <f ca="1">bdRateExtend(D84:D88,L84:L88,H84:H88,M84:M88)</f>
        <v>#VALUE!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60</v>
      </c>
      <c r="D85" s="88" t="e">
        <f ca="1">0.001*INDIRECT($B85&amp;"!E6")</f>
        <v>#VALUE!</v>
      </c>
      <c r="E85" s="21"/>
      <c r="F85" s="122" t="str">
        <f>F84</f>
        <v>Tennis_Player</v>
      </c>
      <c r="G85" s="130" t="s">
        <v>60</v>
      </c>
      <c r="H85" s="88" t="e">
        <f ca="1">0.001*INDIRECT($B85&amp;"!AC6")</f>
        <v>#VALUE!</v>
      </c>
      <c r="I85" s="9"/>
      <c r="J85" s="22" t="e">
        <f ca="1">H85/D85-1</f>
        <v>#VALUE!</v>
      </c>
      <c r="L85" s="94" t="str">
        <f ca="1">INDIRECT($B85&amp;"!"&amp;L$3&amp;"6")</f>
        <v/>
      </c>
      <c r="M85" s="95" t="str">
        <f ca="1">INDIRECT($B85&amp;"!"&amp;M$3&amp;"6")</f>
        <v/>
      </c>
      <c r="N85" s="96" t="e">
        <f ca="1">M85-L85</f>
        <v>#VALUE!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61</v>
      </c>
      <c r="D86" s="88" t="e">
        <f ca="1">0.001*INDIRECT($B86&amp;"!E7")</f>
        <v>#VALUE!</v>
      </c>
      <c r="E86" s="21"/>
      <c r="F86" s="122" t="str">
        <f>F85</f>
        <v>Tennis_Player</v>
      </c>
      <c r="G86" s="130" t="s">
        <v>61</v>
      </c>
      <c r="H86" s="88" t="e">
        <f ca="1">0.001*INDIRECT($B86&amp;"!AC7")</f>
        <v>#VALUE!</v>
      </c>
      <c r="I86" s="9"/>
      <c r="J86" s="22" t="e">
        <f ca="1">H86/D86-1</f>
        <v>#VALUE!</v>
      </c>
      <c r="L86" s="94" t="str">
        <f ca="1">INDIRECT($B86&amp;"!"&amp;L$3&amp;"7")</f>
        <v/>
      </c>
      <c r="M86" s="95" t="str">
        <f ca="1">INDIRECT($B86&amp;"!"&amp;M$3&amp;"7")</f>
        <v/>
      </c>
      <c r="N86" s="96" t="e">
        <f ca="1">M86-L86</f>
        <v>#VALUE!</v>
      </c>
      <c r="O86" s="21"/>
      <c r="P86" s="3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62</v>
      </c>
      <c r="D87" s="88" t="e">
        <f ca="1">0.001*INDIRECT($B87&amp;"!E8")</f>
        <v>#VALUE!</v>
      </c>
      <c r="E87" s="21"/>
      <c r="F87" s="122" t="str">
        <f>F86</f>
        <v>Tennis_Player</v>
      </c>
      <c r="G87" s="130" t="s">
        <v>62</v>
      </c>
      <c r="H87" s="88" t="e">
        <f ca="1">0.001*INDIRECT($B87&amp;"!AC8")</f>
        <v>#VALUE!</v>
      </c>
      <c r="I87" s="9"/>
      <c r="J87" s="22" t="e">
        <f ca="1">H87/D87-1</f>
        <v>#VALUE!</v>
      </c>
      <c r="L87" s="94" t="str">
        <f ca="1">INDIRECT($B87&amp;"!"&amp;L$3&amp;"8")</f>
        <v/>
      </c>
      <c r="M87" s="95" t="str">
        <f ca="1">INDIRECT($B87&amp;"!"&amp;M$3&amp;"8")</f>
        <v/>
      </c>
      <c r="N87" s="96" t="e">
        <f ca="1">M87-L87</f>
        <v>#VALUE!</v>
      </c>
      <c r="O87" s="21"/>
      <c r="P87" s="2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63</v>
      </c>
      <c r="D88" s="88" t="e">
        <f ca="1">0.001*INDIRECT($B88&amp;"!E9")</f>
        <v>#VALUE!</v>
      </c>
      <c r="E88" s="21"/>
      <c r="F88" s="122" t="str">
        <f>F87</f>
        <v>Tennis_Player</v>
      </c>
      <c r="G88" s="130" t="s">
        <v>63</v>
      </c>
      <c r="H88" s="88" t="e">
        <f ca="1">0.001*INDIRECT($B88&amp;"!AC9")</f>
        <v>#VALUE!</v>
      </c>
      <c r="I88" s="9"/>
      <c r="J88" s="22" t="e">
        <f ca="1">H88/D88-1</f>
        <v>#VALUE!</v>
      </c>
      <c r="L88" s="94" t="str">
        <f ca="1">INDIRECT($B88&amp;"!"&amp;L$3&amp;"9")</f>
        <v/>
      </c>
      <c r="M88" s="95" t="str">
        <f ca="1">INDIRECT($B88&amp;"!"&amp;M$3&amp;"9")</f>
        <v/>
      </c>
      <c r="N88" s="96" t="e">
        <f ca="1">M88-L88</f>
        <v>#VALUE!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 t="e">
        <f ca="1">MIN(D84:D88,H84:H88)</f>
        <v>#VALUE!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 t="e">
        <f ca="1">MAX(D84:D88,H84:H88)</f>
        <v>#VALUE!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2" thickBot="1" x14ac:dyDescent="0.3"/>
    <row r="92" spans="2:28" x14ac:dyDescent="0.25">
      <c r="B92" s="257" t="s">
        <v>33</v>
      </c>
      <c r="C92" s="258"/>
      <c r="D92" s="259"/>
      <c r="E92" s="2"/>
      <c r="F92" s="257" t="str">
        <f>B92</f>
        <v>Cricket_Player</v>
      </c>
      <c r="G92" s="258"/>
      <c r="H92" s="259"/>
      <c r="I92" s="2"/>
      <c r="J92" s="115"/>
      <c r="L92" s="265" t="str">
        <f>F92</f>
        <v>Cricket_Player</v>
      </c>
      <c r="M92" s="255"/>
      <c r="N92" s="256"/>
      <c r="O92" s="195"/>
      <c r="P92" s="115"/>
      <c r="U92" s="112"/>
      <c r="V92" s="112"/>
      <c r="X92" s="268"/>
      <c r="Y92" s="270"/>
      <c r="Z92" s="270"/>
    </row>
    <row r="93" spans="2:28" x14ac:dyDescent="0.25">
      <c r="B93" s="263" t="s">
        <v>52</v>
      </c>
      <c r="C93" s="266"/>
      <c r="D93" s="87" t="s">
        <v>53</v>
      </c>
      <c r="E93" s="21"/>
      <c r="F93" s="263" t="s">
        <v>52</v>
      </c>
      <c r="G93" s="266"/>
      <c r="H93" s="87" t="s">
        <v>53</v>
      </c>
      <c r="I93" s="9"/>
      <c r="J93" s="116" t="s">
        <v>54</v>
      </c>
      <c r="L93" s="267" t="s">
        <v>55</v>
      </c>
      <c r="M93" s="268"/>
      <c r="N93" s="269"/>
      <c r="O93" s="85"/>
      <c r="P93" s="3"/>
      <c r="R93" s="261"/>
      <c r="S93" s="270"/>
      <c r="T93" s="270"/>
      <c r="U93" s="113"/>
      <c r="V93" s="113"/>
      <c r="X93" s="261"/>
      <c r="Y93" s="270"/>
      <c r="Z93" s="270"/>
    </row>
    <row r="94" spans="2:28" x14ac:dyDescent="0.25">
      <c r="B94" s="191" t="s">
        <v>3</v>
      </c>
      <c r="C94" s="130" t="s">
        <v>56</v>
      </c>
      <c r="D94" s="86" t="s">
        <v>57</v>
      </c>
      <c r="E94" s="21"/>
      <c r="F94" s="191" t="s">
        <v>3</v>
      </c>
      <c r="G94" s="130" t="s">
        <v>56</v>
      </c>
      <c r="H94" s="86" t="s">
        <v>57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Proposal Cricket_Player</v>
      </c>
      <c r="N94" s="194" t="s">
        <v>58</v>
      </c>
      <c r="O94" s="2"/>
      <c r="P94" s="3" t="s">
        <v>49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59</v>
      </c>
      <c r="D95" s="88" t="e">
        <f ca="1">0.001*INDIRECT($B95&amp;"!E5")</f>
        <v>#VALUE!</v>
      </c>
      <c r="E95" s="21"/>
      <c r="F95" s="122" t="str">
        <f>F92</f>
        <v>Cricket_Player</v>
      </c>
      <c r="G95" s="130" t="s">
        <v>59</v>
      </c>
      <c r="H95" s="88" t="e">
        <f ca="1">0.001*INDIRECT($B95&amp;"!AC5")</f>
        <v>#VALUE!</v>
      </c>
      <c r="I95" s="9"/>
      <c r="J95" s="22" t="e">
        <f ca="1">H95/D95-1</f>
        <v>#VALUE!</v>
      </c>
      <c r="L95" s="94" t="str">
        <f ca="1">INDIRECT($B95&amp;"!"&amp;L$3&amp;"5")</f>
        <v/>
      </c>
      <c r="M95" s="95" t="str">
        <f ca="1">INDIRECT($B95&amp;"!"&amp;M$3&amp;"5")</f>
        <v/>
      </c>
      <c r="N95" s="96" t="e">
        <f ca="1">M95-L95</f>
        <v>#VALUE!</v>
      </c>
      <c r="O95" s="21"/>
      <c r="P95" s="22" t="e">
        <f ca="1">bdRateExtend(D95:D99,L95:L99,H95:H99,M95:M99)</f>
        <v>#VALUE!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60</v>
      </c>
      <c r="D96" s="88" t="e">
        <f ca="1">0.001*INDIRECT($B96&amp;"!E6")</f>
        <v>#VALUE!</v>
      </c>
      <c r="E96" s="21"/>
      <c r="F96" s="122" t="str">
        <f>F95</f>
        <v>Cricket_Player</v>
      </c>
      <c r="G96" s="130" t="s">
        <v>60</v>
      </c>
      <c r="H96" s="88" t="e">
        <f ca="1">0.001*INDIRECT($B96&amp;"!AC6")</f>
        <v>#VALUE!</v>
      </c>
      <c r="I96" s="9"/>
      <c r="J96" s="22" t="e">
        <f ca="1">H96/D96-1</f>
        <v>#VALUE!</v>
      </c>
      <c r="L96" s="94" t="str">
        <f ca="1">INDIRECT($B96&amp;"!"&amp;L$3&amp;"6")</f>
        <v/>
      </c>
      <c r="M96" s="95" t="str">
        <f ca="1">INDIRECT($B96&amp;"!"&amp;M$3&amp;"6")</f>
        <v/>
      </c>
      <c r="N96" s="96" t="e">
        <f ca="1">M96-L96</f>
        <v>#VALUE!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61</v>
      </c>
      <c r="D97" s="88" t="e">
        <f ca="1">0.001*INDIRECT($B97&amp;"!E7")</f>
        <v>#VALUE!</v>
      </c>
      <c r="E97" s="21"/>
      <c r="F97" s="122" t="str">
        <f>F96</f>
        <v>Cricket_Player</v>
      </c>
      <c r="G97" s="130" t="s">
        <v>61</v>
      </c>
      <c r="H97" s="88" t="e">
        <f ca="1">0.001*INDIRECT($B97&amp;"!AC7")</f>
        <v>#VALUE!</v>
      </c>
      <c r="I97" s="9"/>
      <c r="J97" s="22" t="e">
        <f ca="1">H97/D97-1</f>
        <v>#VALUE!</v>
      </c>
      <c r="L97" s="94" t="str">
        <f ca="1">INDIRECT($B97&amp;"!"&amp;L$3&amp;"7")</f>
        <v/>
      </c>
      <c r="M97" s="95" t="str">
        <f ca="1">INDIRECT($B97&amp;"!"&amp;M$3&amp;"7")</f>
        <v/>
      </c>
      <c r="N97" s="96" t="e">
        <f ca="1">M97-L97</f>
        <v>#VALUE!</v>
      </c>
      <c r="O97" s="21"/>
      <c r="P97" s="3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62</v>
      </c>
      <c r="D98" s="88" t="e">
        <f ca="1">0.001*INDIRECT($B98&amp;"!E8")</f>
        <v>#VALUE!</v>
      </c>
      <c r="E98" s="21"/>
      <c r="F98" s="122" t="str">
        <f>F97</f>
        <v>Cricket_Player</v>
      </c>
      <c r="G98" s="130" t="s">
        <v>62</v>
      </c>
      <c r="H98" s="88" t="e">
        <f ca="1">0.001*INDIRECT($B98&amp;"!AC8")</f>
        <v>#VALUE!</v>
      </c>
      <c r="I98" s="9"/>
      <c r="J98" s="22" t="e">
        <f ca="1">H98/D98-1</f>
        <v>#VALUE!</v>
      </c>
      <c r="L98" s="94" t="str">
        <f ca="1">INDIRECT($B98&amp;"!"&amp;L$3&amp;"8")</f>
        <v/>
      </c>
      <c r="M98" s="95" t="str">
        <f ca="1">INDIRECT($B98&amp;"!"&amp;M$3&amp;"8")</f>
        <v/>
      </c>
      <c r="N98" s="96" t="e">
        <f ca="1">M98-L98</f>
        <v>#VALUE!</v>
      </c>
      <c r="O98" s="21"/>
      <c r="P98" s="2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63</v>
      </c>
      <c r="D99" s="88" t="e">
        <f ca="1">0.001*INDIRECT($B99&amp;"!E9")</f>
        <v>#VALUE!</v>
      </c>
      <c r="E99" s="21"/>
      <c r="F99" s="122" t="str">
        <f>F98</f>
        <v>Cricket_Player</v>
      </c>
      <c r="G99" s="130" t="s">
        <v>63</v>
      </c>
      <c r="H99" s="88" t="e">
        <f ca="1">0.001*INDIRECT($B99&amp;"!AC9")</f>
        <v>#VALUE!</v>
      </c>
      <c r="I99" s="9"/>
      <c r="J99" s="22" t="e">
        <f ca="1">H99/D99-1</f>
        <v>#VALUE!</v>
      </c>
      <c r="L99" s="94" t="str">
        <f ca="1">INDIRECT($B99&amp;"!"&amp;L$3&amp;"9")</f>
        <v/>
      </c>
      <c r="M99" s="95" t="str">
        <f ca="1">INDIRECT($B99&amp;"!"&amp;M$3&amp;"9")</f>
        <v/>
      </c>
      <c r="N99" s="96" t="e">
        <f ca="1">M99-L99</f>
        <v>#VALUE!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 t="e">
        <f ca="1">MIN(D95:D99,H95:H99)</f>
        <v>#VALUE!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 t="e">
        <f ca="1">MAX(D95:D99,H95:H99)</f>
        <v>#VALUE!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2" thickBot="1" x14ac:dyDescent="0.3"/>
    <row r="103" spans="2:28" x14ac:dyDescent="0.25">
      <c r="B103" s="257" t="s">
        <v>34</v>
      </c>
      <c r="C103" s="258"/>
      <c r="D103" s="259"/>
      <c r="E103" s="2"/>
      <c r="F103" s="257" t="str">
        <f>B103</f>
        <v>Tango_Duo</v>
      </c>
      <c r="G103" s="258"/>
      <c r="H103" s="259"/>
      <c r="I103" s="2"/>
      <c r="J103" s="115"/>
      <c r="L103" s="265" t="str">
        <f>F103</f>
        <v>Tango_Duo</v>
      </c>
      <c r="M103" s="255"/>
      <c r="N103" s="256"/>
      <c r="O103" s="195"/>
      <c r="P103" s="115"/>
      <c r="U103" s="112"/>
      <c r="V103" s="112"/>
      <c r="X103" s="268"/>
      <c r="Y103" s="270"/>
      <c r="Z103" s="270"/>
    </row>
    <row r="104" spans="2:28" x14ac:dyDescent="0.25">
      <c r="B104" s="263" t="s">
        <v>52</v>
      </c>
      <c r="C104" s="266"/>
      <c r="D104" s="87" t="s">
        <v>53</v>
      </c>
      <c r="E104" s="21"/>
      <c r="F104" s="263" t="s">
        <v>52</v>
      </c>
      <c r="G104" s="266"/>
      <c r="H104" s="87" t="s">
        <v>53</v>
      </c>
      <c r="I104" s="9"/>
      <c r="J104" s="116" t="s">
        <v>54</v>
      </c>
      <c r="L104" s="267" t="s">
        <v>55</v>
      </c>
      <c r="M104" s="268"/>
      <c r="N104" s="269"/>
      <c r="O104" s="85"/>
      <c r="P104" s="3"/>
      <c r="R104" s="261"/>
      <c r="S104" s="270"/>
      <c r="T104" s="270"/>
      <c r="U104" s="113"/>
      <c r="V104" s="113"/>
      <c r="X104" s="261"/>
      <c r="Y104" s="270"/>
      <c r="Z104" s="270"/>
    </row>
    <row r="105" spans="2:28" x14ac:dyDescent="0.25">
      <c r="B105" s="191" t="s">
        <v>3</v>
      </c>
      <c r="C105" s="130" t="s">
        <v>56</v>
      </c>
      <c r="D105" s="86" t="s">
        <v>57</v>
      </c>
      <c r="E105" s="21"/>
      <c r="F105" s="191" t="s">
        <v>3</v>
      </c>
      <c r="G105" s="130" t="s">
        <v>56</v>
      </c>
      <c r="H105" s="86" t="s">
        <v>57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Proposal Tango_Duo</v>
      </c>
      <c r="N105" s="194" t="s">
        <v>58</v>
      </c>
      <c r="O105" s="2"/>
      <c r="P105" s="3" t="s">
        <v>49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59</v>
      </c>
      <c r="D106" s="88" t="e">
        <f ca="1">0.001*INDIRECT($B106&amp;"!E5")</f>
        <v>#VALUE!</v>
      </c>
      <c r="E106" s="21"/>
      <c r="F106" s="122" t="str">
        <f>F103</f>
        <v>Tango_Duo</v>
      </c>
      <c r="G106" s="130" t="s">
        <v>59</v>
      </c>
      <c r="H106" s="88" t="e">
        <f ca="1">0.001*INDIRECT($B106&amp;"!AC5")</f>
        <v>#VALUE!</v>
      </c>
      <c r="I106" s="9"/>
      <c r="J106" s="22" t="e">
        <f ca="1">H106/D106-1</f>
        <v>#VALUE!</v>
      </c>
      <c r="L106" s="94" t="str">
        <f ca="1">INDIRECT($B106&amp;"!"&amp;L$3&amp;"5")</f>
        <v/>
      </c>
      <c r="M106" s="95" t="str">
        <f ca="1">INDIRECT($B106&amp;"!"&amp;M$3&amp;"5")</f>
        <v/>
      </c>
      <c r="N106" s="96" t="e">
        <f ca="1">M106-L106</f>
        <v>#VALUE!</v>
      </c>
      <c r="O106" s="21"/>
      <c r="P106" s="22" t="e">
        <f ca="1">bdRateExtend(D106:D110,L106:L110,H106:H110,M106:M110)</f>
        <v>#VALUE!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60</v>
      </c>
      <c r="D107" s="88" t="e">
        <f ca="1">0.001*INDIRECT($B107&amp;"!E6")</f>
        <v>#VALUE!</v>
      </c>
      <c r="E107" s="21"/>
      <c r="F107" s="122" t="str">
        <f>F106</f>
        <v>Tango_Duo</v>
      </c>
      <c r="G107" s="130" t="s">
        <v>60</v>
      </c>
      <c r="H107" s="88" t="e">
        <f ca="1">0.001*INDIRECT($B107&amp;"!AC6")</f>
        <v>#VALUE!</v>
      </c>
      <c r="I107" s="9"/>
      <c r="J107" s="22" t="e">
        <f ca="1">H107/D107-1</f>
        <v>#VALUE!</v>
      </c>
      <c r="L107" s="94" t="str">
        <f ca="1">INDIRECT($B107&amp;"!"&amp;L$3&amp;"6")</f>
        <v/>
      </c>
      <c r="M107" s="95" t="str">
        <f ca="1">INDIRECT($B107&amp;"!"&amp;M$3&amp;"6")</f>
        <v/>
      </c>
      <c r="N107" s="96" t="e">
        <f ca="1">M107-L107</f>
        <v>#VALUE!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61</v>
      </c>
      <c r="D108" s="88" t="e">
        <f ca="1">0.001*INDIRECT($B108&amp;"!E7")</f>
        <v>#VALUE!</v>
      </c>
      <c r="E108" s="21"/>
      <c r="F108" s="122" t="str">
        <f>F107</f>
        <v>Tango_Duo</v>
      </c>
      <c r="G108" s="130" t="s">
        <v>61</v>
      </c>
      <c r="H108" s="88" t="e">
        <f ca="1">0.001*INDIRECT($B108&amp;"!AC7")</f>
        <v>#VALUE!</v>
      </c>
      <c r="I108" s="9"/>
      <c r="J108" s="22" t="e">
        <f ca="1">H108/D108-1</f>
        <v>#VALUE!</v>
      </c>
      <c r="L108" s="94" t="str">
        <f ca="1">INDIRECT($B108&amp;"!"&amp;L$3&amp;"7")</f>
        <v/>
      </c>
      <c r="M108" s="95" t="str">
        <f ca="1">INDIRECT($B108&amp;"!"&amp;M$3&amp;"7")</f>
        <v/>
      </c>
      <c r="N108" s="96" t="e">
        <f ca="1">M108-L108</f>
        <v>#VALUE!</v>
      </c>
      <c r="O108" s="21"/>
      <c r="P108" s="3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62</v>
      </c>
      <c r="D109" s="88" t="e">
        <f ca="1">0.001*INDIRECT($B109&amp;"!E8")</f>
        <v>#VALUE!</v>
      </c>
      <c r="E109" s="21"/>
      <c r="F109" s="122" t="str">
        <f>F108</f>
        <v>Tango_Duo</v>
      </c>
      <c r="G109" s="130" t="s">
        <v>62</v>
      </c>
      <c r="H109" s="88" t="e">
        <f ca="1">0.001*INDIRECT($B109&amp;"!AC8")</f>
        <v>#VALUE!</v>
      </c>
      <c r="I109" s="9"/>
      <c r="J109" s="22" t="e">
        <f ca="1">H109/D109-1</f>
        <v>#VALUE!</v>
      </c>
      <c r="L109" s="94" t="str">
        <f ca="1">INDIRECT($B109&amp;"!"&amp;L$3&amp;"8")</f>
        <v/>
      </c>
      <c r="M109" s="95" t="str">
        <f ca="1">INDIRECT($B109&amp;"!"&amp;M$3&amp;"8")</f>
        <v/>
      </c>
      <c r="N109" s="96" t="e">
        <f ca="1">M109-L109</f>
        <v>#VALUE!</v>
      </c>
      <c r="O109" s="21"/>
      <c r="P109" s="2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63</v>
      </c>
      <c r="D110" s="88" t="e">
        <f ca="1">0.001*INDIRECT($B110&amp;"!E9")</f>
        <v>#VALUE!</v>
      </c>
      <c r="E110" s="21"/>
      <c r="F110" s="122" t="str">
        <f>F109</f>
        <v>Tango_Duo</v>
      </c>
      <c r="G110" s="130" t="s">
        <v>63</v>
      </c>
      <c r="H110" s="88" t="e">
        <f ca="1">0.001*INDIRECT($B110&amp;"!AC9")</f>
        <v>#VALUE!</v>
      </c>
      <c r="I110" s="9"/>
      <c r="J110" s="22" t="e">
        <f ca="1">H110/D110-1</f>
        <v>#VALUE!</v>
      </c>
      <c r="L110" s="94" t="str">
        <f ca="1">INDIRECT($B110&amp;"!"&amp;L$3&amp;"9")</f>
        <v/>
      </c>
      <c r="M110" s="95" t="str">
        <f ca="1">INDIRECT($B110&amp;"!"&amp;M$3&amp;"9")</f>
        <v/>
      </c>
      <c r="N110" s="96" t="e">
        <f ca="1">M110-L110</f>
        <v>#VALUE!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 t="e">
        <f ca="1">MIN(D106:D110,H106:H110)</f>
        <v>#VALUE!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 t="e">
        <f ca="1">MAX(D106:D110,H106:H110)</f>
        <v>#VALUE!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6.2" thickBot="1" x14ac:dyDescent="0.3">
      <c r="AB113" s="82"/>
    </row>
    <row r="114" spans="2:28" x14ac:dyDescent="0.25">
      <c r="B114" s="257" t="s">
        <v>35</v>
      </c>
      <c r="C114" s="258"/>
      <c r="D114" s="259"/>
      <c r="E114" s="2"/>
      <c r="F114" s="257" t="str">
        <f>B114</f>
        <v>Solo_Tango_Female</v>
      </c>
      <c r="G114" s="258"/>
      <c r="H114" s="259"/>
      <c r="I114" s="2"/>
      <c r="J114" s="115"/>
      <c r="L114" s="265" t="str">
        <f>F114</f>
        <v>Solo_Tango_Female</v>
      </c>
      <c r="M114" s="255"/>
      <c r="N114" s="256"/>
      <c r="O114" s="195"/>
      <c r="P114" s="115"/>
    </row>
    <row r="115" spans="2:28" x14ac:dyDescent="0.25">
      <c r="B115" s="263" t="s">
        <v>52</v>
      </c>
      <c r="C115" s="266"/>
      <c r="D115" s="87" t="s">
        <v>53</v>
      </c>
      <c r="E115" s="21"/>
      <c r="F115" s="263" t="s">
        <v>52</v>
      </c>
      <c r="G115" s="266"/>
      <c r="H115" s="87" t="s">
        <v>53</v>
      </c>
      <c r="I115" s="9"/>
      <c r="J115" s="116" t="s">
        <v>54</v>
      </c>
      <c r="L115" s="267" t="s">
        <v>55</v>
      </c>
      <c r="M115" s="268"/>
      <c r="N115" s="269"/>
      <c r="O115" s="85"/>
      <c r="P115" s="3"/>
    </row>
    <row r="116" spans="2:28" ht="16.5" customHeight="1" x14ac:dyDescent="0.25">
      <c r="B116" s="191" t="s">
        <v>3</v>
      </c>
      <c r="C116" s="130" t="s">
        <v>56</v>
      </c>
      <c r="D116" s="86" t="s">
        <v>57</v>
      </c>
      <c r="E116" s="21"/>
      <c r="F116" s="191" t="s">
        <v>3</v>
      </c>
      <c r="G116" s="130" t="s">
        <v>56</v>
      </c>
      <c r="H116" s="86" t="s">
        <v>57</v>
      </c>
      <c r="I116" s="9"/>
      <c r="J116" s="93"/>
      <c r="L116" s="192" t="str">
        <f>CONCATENATE(B$2," ",L114)</f>
        <v>G-PCC v1 Anchor Solo_Tango_Female</v>
      </c>
      <c r="M116" s="193" t="str">
        <f>CONCATENATE(F$2," ",L114)</f>
        <v>G-PCC v1 Proposal Solo_Tango_Female</v>
      </c>
      <c r="N116" s="194" t="s">
        <v>58</v>
      </c>
      <c r="O116" s="2"/>
      <c r="P116" s="3" t="s">
        <v>49</v>
      </c>
      <c r="AB116" s="82"/>
    </row>
    <row r="117" spans="2:28" x14ac:dyDescent="0.25">
      <c r="B117" s="122" t="str">
        <f>B114</f>
        <v>Solo_Tango_Female</v>
      </c>
      <c r="C117" s="130" t="s">
        <v>59</v>
      </c>
      <c r="D117" s="88" t="e">
        <f ca="1">0.001*INDIRECT($B117&amp;"!E5")</f>
        <v>#VALUE!</v>
      </c>
      <c r="E117" s="21"/>
      <c r="F117" s="122" t="str">
        <f>F114</f>
        <v>Solo_Tango_Female</v>
      </c>
      <c r="G117" s="130" t="s">
        <v>59</v>
      </c>
      <c r="H117" s="88" t="e">
        <f ca="1">0.001*INDIRECT($B117&amp;"!AC5")</f>
        <v>#VALUE!</v>
      </c>
      <c r="I117" s="9"/>
      <c r="J117" s="22" t="e">
        <f ca="1">H117/D117-1</f>
        <v>#VALUE!</v>
      </c>
      <c r="L117" s="94" t="str">
        <f ca="1">INDIRECT($B117&amp;"!"&amp;L$3&amp;"5")</f>
        <v/>
      </c>
      <c r="M117" s="95" t="str">
        <f ca="1">INDIRECT($B117&amp;"!"&amp;M$3&amp;"5")</f>
        <v/>
      </c>
      <c r="N117" s="96" t="e">
        <f ca="1">M117-L117</f>
        <v>#VALUE!</v>
      </c>
      <c r="O117" s="21"/>
      <c r="P117" s="22" t="e">
        <f ca="1">bdRateExtend(D117:D121,L117:L121,H117:H121,M117:M121)</f>
        <v>#VALUE!</v>
      </c>
    </row>
    <row r="118" spans="2:28" ht="16.5" customHeight="1" x14ac:dyDescent="0.25">
      <c r="B118" s="122" t="str">
        <f>B117</f>
        <v>Solo_Tango_Female</v>
      </c>
      <c r="C118" s="130" t="s">
        <v>60</v>
      </c>
      <c r="D118" s="88" t="e">
        <f ca="1">0.001*INDIRECT($B118&amp;"!E6")</f>
        <v>#VALUE!</v>
      </c>
      <c r="E118" s="21"/>
      <c r="F118" s="122" t="str">
        <f>F117</f>
        <v>Solo_Tango_Female</v>
      </c>
      <c r="G118" s="130" t="s">
        <v>60</v>
      </c>
      <c r="H118" s="88" t="e">
        <f ca="1">0.001*INDIRECT($B118&amp;"!AC6")</f>
        <v>#VALUE!</v>
      </c>
      <c r="I118" s="9"/>
      <c r="J118" s="22" t="e">
        <f ca="1">H118/D118-1</f>
        <v>#VALUE!</v>
      </c>
      <c r="L118" s="94" t="str">
        <f ca="1">INDIRECT($B118&amp;"!"&amp;L$3&amp;"6")</f>
        <v/>
      </c>
      <c r="M118" s="95" t="str">
        <f ca="1">INDIRECT($B118&amp;"!"&amp;M$3&amp;"6")</f>
        <v/>
      </c>
      <c r="N118" s="96" t="e">
        <f ca="1">M118-L118</f>
        <v>#VALUE!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61</v>
      </c>
      <c r="D119" s="88" t="e">
        <f ca="1">0.001*INDIRECT($B119&amp;"!E7")</f>
        <v>#VALUE!</v>
      </c>
      <c r="E119" s="21"/>
      <c r="F119" s="122" t="str">
        <f>F118</f>
        <v>Solo_Tango_Female</v>
      </c>
      <c r="G119" s="130" t="s">
        <v>61</v>
      </c>
      <c r="H119" s="88" t="e">
        <f ca="1">0.001*INDIRECT($B119&amp;"!AC7")</f>
        <v>#VALUE!</v>
      </c>
      <c r="I119" s="9"/>
      <c r="J119" s="22" t="e">
        <f ca="1">H119/D119-1</f>
        <v>#VALUE!</v>
      </c>
      <c r="L119" s="94" t="str">
        <f ca="1">INDIRECT($B119&amp;"!"&amp;L$3&amp;"7")</f>
        <v/>
      </c>
      <c r="M119" s="95" t="str">
        <f ca="1">INDIRECT($B119&amp;"!"&amp;M$3&amp;"7")</f>
        <v/>
      </c>
      <c r="N119" s="96" t="e">
        <f ca="1">M119-L119</f>
        <v>#VALUE!</v>
      </c>
      <c r="O119" s="21"/>
      <c r="P119" s="3"/>
    </row>
    <row r="120" spans="2:28" x14ac:dyDescent="0.25">
      <c r="B120" s="122" t="str">
        <f>B119</f>
        <v>Solo_Tango_Female</v>
      </c>
      <c r="C120" s="130" t="s">
        <v>62</v>
      </c>
      <c r="D120" s="88" t="e">
        <f ca="1">0.001*INDIRECT($B120&amp;"!E8")</f>
        <v>#VALUE!</v>
      </c>
      <c r="E120" s="21"/>
      <c r="F120" s="122" t="str">
        <f>F119</f>
        <v>Solo_Tango_Female</v>
      </c>
      <c r="G120" s="130" t="s">
        <v>62</v>
      </c>
      <c r="H120" s="88" t="e">
        <f ca="1">0.001*INDIRECT($B120&amp;"!AC8")</f>
        <v>#VALUE!</v>
      </c>
      <c r="I120" s="9"/>
      <c r="J120" s="22" t="e">
        <f ca="1">H120/D120-1</f>
        <v>#VALUE!</v>
      </c>
      <c r="L120" s="94" t="str">
        <f ca="1">INDIRECT($B120&amp;"!"&amp;L$3&amp;"8")</f>
        <v/>
      </c>
      <c r="M120" s="95" t="str">
        <f ca="1">INDIRECT($B120&amp;"!"&amp;M$3&amp;"8")</f>
        <v/>
      </c>
      <c r="N120" s="96" t="e">
        <f ca="1">M120-L120</f>
        <v>#VALUE!</v>
      </c>
      <c r="O120" s="21"/>
      <c r="P120" s="22"/>
    </row>
    <row r="121" spans="2:28" ht="16.2" thickBot="1" x14ac:dyDescent="0.3">
      <c r="B121" s="122" t="str">
        <f>B120</f>
        <v>Solo_Tango_Female</v>
      </c>
      <c r="C121" s="130" t="s">
        <v>63</v>
      </c>
      <c r="D121" s="88" t="e">
        <f ca="1">0.001*INDIRECT($B121&amp;"!E9")</f>
        <v>#VALUE!</v>
      </c>
      <c r="E121" s="21"/>
      <c r="F121" s="122" t="str">
        <f>F120</f>
        <v>Solo_Tango_Female</v>
      </c>
      <c r="G121" s="130" t="s">
        <v>63</v>
      </c>
      <c r="H121" s="88" t="e">
        <f ca="1">0.001*INDIRECT($B121&amp;"!AC9")</f>
        <v>#VALUE!</v>
      </c>
      <c r="I121" s="9"/>
      <c r="J121" s="22" t="e">
        <f ca="1">H121/D121-1</f>
        <v>#VALUE!</v>
      </c>
      <c r="L121" s="94" t="str">
        <f ca="1">INDIRECT($B121&amp;"!"&amp;L$3&amp;"9")</f>
        <v/>
      </c>
      <c r="M121" s="95" t="str">
        <f ca="1">INDIRECT($B121&amp;"!"&amp;M$3&amp;"9")</f>
        <v/>
      </c>
      <c r="N121" s="96" t="e">
        <f ca="1">M121-L121</f>
        <v>#VALUE!</v>
      </c>
      <c r="O121" s="21"/>
      <c r="P121" s="26"/>
    </row>
    <row r="122" spans="2:28" x14ac:dyDescent="0.25">
      <c r="B122" s="109"/>
      <c r="C122" s="110"/>
      <c r="D122" s="91"/>
      <c r="F122" s="109"/>
      <c r="G122" s="110"/>
      <c r="H122" s="91"/>
      <c r="J122" s="98" t="e">
        <f ca="1">MIN(D117:D121,H117:H121)</f>
        <v>#VALUE!</v>
      </c>
      <c r="L122" s="99"/>
      <c r="M122" s="100"/>
      <c r="N122" s="101"/>
      <c r="O122" s="21"/>
      <c r="P122" s="115"/>
    </row>
    <row r="123" spans="2:28" ht="16.2" thickBot="1" x14ac:dyDescent="0.3">
      <c r="B123" s="89"/>
      <c r="C123" s="92"/>
      <c r="D123" s="90"/>
      <c r="E123" s="21"/>
      <c r="F123" s="89"/>
      <c r="G123" s="92"/>
      <c r="H123" s="90"/>
      <c r="I123" s="9"/>
      <c r="J123" s="102" t="e">
        <f ca="1">MAX(D117:D121,H117:H121)</f>
        <v>#VALUE!</v>
      </c>
      <c r="L123" s="103">
        <f>L122</f>
        <v>0</v>
      </c>
      <c r="M123" s="104">
        <f>M122</f>
        <v>0</v>
      </c>
      <c r="N123" s="97"/>
      <c r="O123" s="21"/>
      <c r="P123" s="5"/>
      <c r="AB123" s="82"/>
    </row>
    <row r="124" spans="2:28" ht="16.2" thickBot="1" x14ac:dyDescent="0.3"/>
    <row r="125" spans="2:28" x14ac:dyDescent="0.25">
      <c r="B125" s="257" t="s">
        <v>36</v>
      </c>
      <c r="C125" s="258"/>
      <c r="D125" s="259"/>
      <c r="E125" s="2"/>
      <c r="F125" s="257" t="str">
        <f>B125</f>
        <v>Solo_Tango_Male</v>
      </c>
      <c r="G125" s="258"/>
      <c r="H125" s="259"/>
      <c r="I125" s="2"/>
      <c r="J125" s="115"/>
      <c r="L125" s="265" t="str">
        <f>F125</f>
        <v>Solo_Tango_Male</v>
      </c>
      <c r="M125" s="255"/>
      <c r="N125" s="256"/>
      <c r="O125" s="195"/>
      <c r="P125" s="115"/>
    </row>
    <row r="126" spans="2:28" ht="16.5" customHeight="1" x14ac:dyDescent="0.25">
      <c r="B126" s="263" t="s">
        <v>52</v>
      </c>
      <c r="C126" s="266"/>
      <c r="D126" s="87" t="s">
        <v>53</v>
      </c>
      <c r="E126" s="21"/>
      <c r="F126" s="263" t="s">
        <v>52</v>
      </c>
      <c r="G126" s="266"/>
      <c r="H126" s="87" t="s">
        <v>53</v>
      </c>
      <c r="I126" s="9"/>
      <c r="J126" s="116" t="s">
        <v>54</v>
      </c>
      <c r="L126" s="267" t="s">
        <v>55</v>
      </c>
      <c r="M126" s="268"/>
      <c r="N126" s="269"/>
      <c r="O126" s="85"/>
      <c r="P126" s="3"/>
      <c r="AB126" s="82"/>
    </row>
    <row r="127" spans="2:28" x14ac:dyDescent="0.25">
      <c r="B127" s="191" t="s">
        <v>3</v>
      </c>
      <c r="C127" s="130" t="s">
        <v>56</v>
      </c>
      <c r="D127" s="86" t="s">
        <v>57</v>
      </c>
      <c r="E127" s="21"/>
      <c r="F127" s="191" t="s">
        <v>3</v>
      </c>
      <c r="G127" s="130" t="s">
        <v>56</v>
      </c>
      <c r="H127" s="86" t="s">
        <v>57</v>
      </c>
      <c r="I127" s="9"/>
      <c r="J127" s="93"/>
      <c r="L127" s="192" t="str">
        <f>CONCATENATE(B$2," ",L125)</f>
        <v>G-PCC v1 Anchor Solo_Tango_Male</v>
      </c>
      <c r="M127" s="193" t="str">
        <f>CONCATENATE(F$2," ",L125)</f>
        <v>G-PCC v1 Proposal Solo_Tango_Male</v>
      </c>
      <c r="N127" s="194" t="s">
        <v>58</v>
      </c>
      <c r="O127" s="2"/>
      <c r="P127" s="3" t="s">
        <v>49</v>
      </c>
    </row>
    <row r="128" spans="2:28" ht="16.5" customHeight="1" x14ac:dyDescent="0.25">
      <c r="B128" s="122" t="str">
        <f>B125</f>
        <v>Solo_Tango_Male</v>
      </c>
      <c r="C128" s="130" t="s">
        <v>59</v>
      </c>
      <c r="D128" s="88" t="e">
        <f ca="1">0.001*INDIRECT($B128&amp;"!E5")</f>
        <v>#VALUE!</v>
      </c>
      <c r="E128" s="21"/>
      <c r="F128" s="122" t="str">
        <f>F125</f>
        <v>Solo_Tango_Male</v>
      </c>
      <c r="G128" s="130" t="s">
        <v>59</v>
      </c>
      <c r="H128" s="88" t="e">
        <f ca="1">0.001*INDIRECT($B128&amp;"!AC5")</f>
        <v>#VALUE!</v>
      </c>
      <c r="I128" s="9"/>
      <c r="J128" s="22" t="e">
        <f ca="1">H128/D128-1</f>
        <v>#VALUE!</v>
      </c>
      <c r="L128" s="94" t="str">
        <f ca="1">INDIRECT($B128&amp;"!"&amp;L$3&amp;"5")</f>
        <v/>
      </c>
      <c r="M128" s="95" t="str">
        <f ca="1">INDIRECT($B128&amp;"!"&amp;M$3&amp;"5")</f>
        <v/>
      </c>
      <c r="N128" s="96" t="e">
        <f ca="1">M128-L128</f>
        <v>#VALUE!</v>
      </c>
      <c r="O128" s="21"/>
      <c r="P128" s="22" t="e">
        <f ca="1">bdRateExtend(D128:D132,L128:L132,H128:H132,M128:M132)</f>
        <v>#VALUE!</v>
      </c>
    </row>
    <row r="129" spans="2:28" ht="16.5" customHeight="1" x14ac:dyDescent="0.25">
      <c r="B129" s="122" t="str">
        <f>B128</f>
        <v>Solo_Tango_Male</v>
      </c>
      <c r="C129" s="130" t="s">
        <v>60</v>
      </c>
      <c r="D129" s="88" t="e">
        <f ca="1">0.001*INDIRECT($B129&amp;"!E6")</f>
        <v>#VALUE!</v>
      </c>
      <c r="E129" s="21"/>
      <c r="F129" s="122" t="str">
        <f>F128</f>
        <v>Solo_Tango_Male</v>
      </c>
      <c r="G129" s="130" t="s">
        <v>60</v>
      </c>
      <c r="H129" s="88" t="e">
        <f ca="1">0.001*INDIRECT($B129&amp;"!AC6")</f>
        <v>#VALUE!</v>
      </c>
      <c r="I129" s="9"/>
      <c r="J129" s="22" t="e">
        <f ca="1">H129/D129-1</f>
        <v>#VALUE!</v>
      </c>
      <c r="L129" s="94" t="str">
        <f ca="1">INDIRECT($B129&amp;"!"&amp;L$3&amp;"6")</f>
        <v/>
      </c>
      <c r="M129" s="95" t="str">
        <f ca="1">INDIRECT($B129&amp;"!"&amp;M$3&amp;"6")</f>
        <v/>
      </c>
      <c r="N129" s="96" t="e">
        <f ca="1">M129-L129</f>
        <v>#VALUE!</v>
      </c>
      <c r="O129" s="21"/>
      <c r="P129" s="3"/>
    </row>
    <row r="130" spans="2:28" x14ac:dyDescent="0.25">
      <c r="B130" s="122" t="str">
        <f>B129</f>
        <v>Solo_Tango_Male</v>
      </c>
      <c r="C130" s="130" t="s">
        <v>61</v>
      </c>
      <c r="D130" s="88" t="e">
        <f ca="1">0.001*INDIRECT($B130&amp;"!E7")</f>
        <v>#VALUE!</v>
      </c>
      <c r="E130" s="21"/>
      <c r="F130" s="122" t="str">
        <f>F129</f>
        <v>Solo_Tango_Male</v>
      </c>
      <c r="G130" s="130" t="s">
        <v>61</v>
      </c>
      <c r="H130" s="88" t="e">
        <f ca="1">0.001*INDIRECT($B130&amp;"!AC7")</f>
        <v>#VALUE!</v>
      </c>
      <c r="I130" s="9"/>
      <c r="J130" s="22" t="e">
        <f ca="1">H130/D130-1</f>
        <v>#VALUE!</v>
      </c>
      <c r="L130" s="94" t="str">
        <f ca="1">INDIRECT($B130&amp;"!"&amp;L$3&amp;"7")</f>
        <v/>
      </c>
      <c r="M130" s="95" t="str">
        <f ca="1">INDIRECT($B130&amp;"!"&amp;M$3&amp;"7")</f>
        <v/>
      </c>
      <c r="N130" s="96" t="e">
        <f ca="1">M130-L130</f>
        <v>#VALUE!</v>
      </c>
      <c r="O130" s="21"/>
      <c r="P130" s="3"/>
    </row>
    <row r="131" spans="2:28" x14ac:dyDescent="0.25">
      <c r="B131" s="122" t="str">
        <f>B130</f>
        <v>Solo_Tango_Male</v>
      </c>
      <c r="C131" s="130" t="s">
        <v>62</v>
      </c>
      <c r="D131" s="88" t="e">
        <f ca="1">0.001*INDIRECT($B131&amp;"!E8")</f>
        <v>#VALUE!</v>
      </c>
      <c r="E131" s="21"/>
      <c r="F131" s="122" t="str">
        <f>F130</f>
        <v>Solo_Tango_Male</v>
      </c>
      <c r="G131" s="130" t="s">
        <v>62</v>
      </c>
      <c r="H131" s="88" t="e">
        <f ca="1">0.001*INDIRECT($B131&amp;"!AC8")</f>
        <v>#VALUE!</v>
      </c>
      <c r="I131" s="9"/>
      <c r="J131" s="22" t="e">
        <f ca="1">H131/D131-1</f>
        <v>#VALUE!</v>
      </c>
      <c r="L131" s="94" t="str">
        <f ca="1">INDIRECT($B131&amp;"!"&amp;L$3&amp;"8")</f>
        <v/>
      </c>
      <c r="M131" s="95" t="str">
        <f ca="1">INDIRECT($B131&amp;"!"&amp;M$3&amp;"8")</f>
        <v/>
      </c>
      <c r="N131" s="96" t="e">
        <f ca="1">M131-L131</f>
        <v>#VALUE!</v>
      </c>
      <c r="O131" s="21"/>
      <c r="P131" s="22"/>
    </row>
    <row r="132" spans="2:28" ht="16.2" thickBot="1" x14ac:dyDescent="0.3">
      <c r="B132" s="122" t="str">
        <f>B131</f>
        <v>Solo_Tango_Male</v>
      </c>
      <c r="C132" s="130" t="s">
        <v>63</v>
      </c>
      <c r="D132" s="88" t="e">
        <f ca="1">0.001*INDIRECT($B132&amp;"!E9")</f>
        <v>#VALUE!</v>
      </c>
      <c r="E132" s="21"/>
      <c r="F132" s="122" t="str">
        <f>F131</f>
        <v>Solo_Tango_Male</v>
      </c>
      <c r="G132" s="130" t="s">
        <v>63</v>
      </c>
      <c r="H132" s="88" t="e">
        <f ca="1">0.001*INDIRECT($B132&amp;"!AC9")</f>
        <v>#VALUE!</v>
      </c>
      <c r="I132" s="9"/>
      <c r="J132" s="22" t="e">
        <f ca="1">H132/D132-1</f>
        <v>#VALUE!</v>
      </c>
      <c r="L132" s="94" t="str">
        <f ca="1">INDIRECT($B132&amp;"!"&amp;L$3&amp;"9")</f>
        <v/>
      </c>
      <c r="M132" s="95" t="str">
        <f ca="1">INDIRECT($B132&amp;"!"&amp;M$3&amp;"9")</f>
        <v/>
      </c>
      <c r="N132" s="96" t="e">
        <f ca="1">M132-L132</f>
        <v>#VALUE!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 t="e">
        <f ca="1">MIN(D128:D132,H128:H132)</f>
        <v>#VALUE!</v>
      </c>
      <c r="L133" s="99"/>
      <c r="M133" s="100"/>
      <c r="N133" s="101"/>
      <c r="O133" s="21"/>
      <c r="P133" s="115"/>
      <c r="AB133" s="82"/>
    </row>
    <row r="134" spans="2:28" ht="16.2" thickBot="1" x14ac:dyDescent="0.3">
      <c r="B134" s="89"/>
      <c r="C134" s="92"/>
      <c r="D134" s="90"/>
      <c r="E134" s="21"/>
      <c r="F134" s="89"/>
      <c r="G134" s="92"/>
      <c r="H134" s="90"/>
      <c r="I134" s="9"/>
      <c r="J134" s="102" t="e">
        <f ca="1">MAX(D128:D132,H128:H132)</f>
        <v>#VALUE!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6.2" thickBot="1" x14ac:dyDescent="0.3"/>
    <row r="136" spans="2:28" ht="16.5" customHeight="1" x14ac:dyDescent="0.25">
      <c r="B136" s="257" t="s">
        <v>64</v>
      </c>
      <c r="C136" s="258"/>
      <c r="D136" s="259"/>
      <c r="E136" s="2"/>
      <c r="F136" s="257" t="str">
        <f>B136</f>
        <v>BlueBackpack_UVGgs_0100</v>
      </c>
      <c r="G136" s="258"/>
      <c r="H136" s="259"/>
      <c r="I136" s="2"/>
      <c r="J136" s="115"/>
      <c r="L136" s="254" t="str">
        <f>F136</f>
        <v>BlueBackpack_UVGgs_0100</v>
      </c>
      <c r="M136" s="255"/>
      <c r="N136" s="256"/>
      <c r="O136" s="195"/>
      <c r="P136" s="115"/>
      <c r="AB136" s="82"/>
    </row>
    <row r="137" spans="2:28" x14ac:dyDescent="0.25">
      <c r="B137" s="263" t="s">
        <v>52</v>
      </c>
      <c r="C137" s="264"/>
      <c r="D137" s="87" t="s">
        <v>53</v>
      </c>
      <c r="E137" s="21"/>
      <c r="F137" s="263" t="s">
        <v>52</v>
      </c>
      <c r="G137" s="264"/>
      <c r="H137" s="87" t="s">
        <v>53</v>
      </c>
      <c r="I137" s="9"/>
      <c r="J137" s="116" t="s">
        <v>54</v>
      </c>
      <c r="L137" s="260" t="s">
        <v>55</v>
      </c>
      <c r="M137" s="261"/>
      <c r="N137" s="262"/>
      <c r="O137" s="85"/>
      <c r="P137" s="3"/>
    </row>
    <row r="138" spans="2:28" ht="16.5" customHeight="1" x14ac:dyDescent="0.25">
      <c r="B138" s="191" t="s">
        <v>3</v>
      </c>
      <c r="C138" s="130" t="s">
        <v>56</v>
      </c>
      <c r="D138" s="86" t="s">
        <v>57</v>
      </c>
      <c r="E138" s="21"/>
      <c r="F138" s="191" t="s">
        <v>3</v>
      </c>
      <c r="G138" s="130" t="s">
        <v>56</v>
      </c>
      <c r="H138" s="86" t="s">
        <v>57</v>
      </c>
      <c r="I138" s="9"/>
      <c r="J138" s="93"/>
      <c r="L138" s="192" t="str">
        <f>CONCATENATE(B$2," ",L136)</f>
        <v>G-PCC v1 Anchor BlueBackpack_UVGgs_0100</v>
      </c>
      <c r="M138" s="193" t="str">
        <f>CONCATENATE(F$2," ",L136)</f>
        <v>G-PCC v1 Proposal BlueBackpack_UVGgs_0100</v>
      </c>
      <c r="N138" s="194" t="s">
        <v>58</v>
      </c>
      <c r="O138" s="2"/>
      <c r="P138" s="3" t="s">
        <v>49</v>
      </c>
    </row>
    <row r="139" spans="2:28" ht="16.5" customHeight="1" x14ac:dyDescent="0.25">
      <c r="B139" s="122" t="str">
        <f>B136</f>
        <v>BlueBackpack_UVGgs_0100</v>
      </c>
      <c r="C139" s="130" t="s">
        <v>59</v>
      </c>
      <c r="D139" s="88" t="e">
        <f ca="1">0.001*INDIRECT($B139&amp;"!E5")</f>
        <v>#VALUE!</v>
      </c>
      <c r="E139" s="21"/>
      <c r="F139" s="122" t="str">
        <f>F136</f>
        <v>BlueBackpack_UVGgs_0100</v>
      </c>
      <c r="G139" s="130" t="s">
        <v>59</v>
      </c>
      <c r="H139" s="88" t="e">
        <f ca="1">0.001*INDIRECT($B139&amp;"!AC5")</f>
        <v>#VALUE!</v>
      </c>
      <c r="I139" s="9"/>
      <c r="J139" s="22" t="e">
        <f ca="1">H139/D139-1</f>
        <v>#VALUE!</v>
      </c>
      <c r="L139" s="94" t="str">
        <f ca="1">INDIRECT($B139&amp;"!"&amp;L$3&amp;"5")</f>
        <v/>
      </c>
      <c r="M139" s="95" t="str">
        <f ca="1">INDIRECT($B139&amp;"!"&amp;M$3&amp;"5")</f>
        <v/>
      </c>
      <c r="N139" s="96" t="e">
        <f ca="1">M139-L139</f>
        <v>#VALUE!</v>
      </c>
      <c r="O139" s="21"/>
      <c r="P139" s="22" t="e">
        <f ca="1">bdRateExtend(D139:D143,L139:L143,H139:H143,M139:M143)</f>
        <v>#VALUE!</v>
      </c>
    </row>
    <row r="140" spans="2:28" x14ac:dyDescent="0.25">
      <c r="B140" s="122" t="str">
        <f>B139</f>
        <v>BlueBackpack_UVGgs_0100</v>
      </c>
      <c r="C140" s="130" t="s">
        <v>60</v>
      </c>
      <c r="D140" s="88" t="e">
        <f ca="1">0.001*INDIRECT($B140&amp;"!E6")</f>
        <v>#VALUE!</v>
      </c>
      <c r="E140" s="21"/>
      <c r="F140" s="122" t="str">
        <f>F139</f>
        <v>BlueBackpack_UVGgs_0100</v>
      </c>
      <c r="G140" s="130" t="s">
        <v>60</v>
      </c>
      <c r="H140" s="88" t="e">
        <f ca="1">0.001*INDIRECT($B140&amp;"!AC6")</f>
        <v>#VALUE!</v>
      </c>
      <c r="I140" s="9"/>
      <c r="J140" s="22" t="e">
        <f ca="1">H140/D140-1</f>
        <v>#VALUE!</v>
      </c>
      <c r="L140" s="94" t="str">
        <f ca="1">INDIRECT($B140&amp;"!"&amp;L$3&amp;"6")</f>
        <v/>
      </c>
      <c r="M140" s="95" t="str">
        <f ca="1">INDIRECT($B140&amp;"!"&amp;M$3&amp;"6")</f>
        <v/>
      </c>
      <c r="N140" s="96" t="e">
        <f ca="1">M140-L140</f>
        <v>#VALUE!</v>
      </c>
      <c r="O140" s="21"/>
      <c r="P140" s="3"/>
    </row>
    <row r="141" spans="2:28" x14ac:dyDescent="0.25">
      <c r="B141" s="122" t="str">
        <f>B140</f>
        <v>BlueBackpack_UVGgs_0100</v>
      </c>
      <c r="C141" s="130" t="s">
        <v>61</v>
      </c>
      <c r="D141" s="88" t="e">
        <f ca="1">0.001*INDIRECT($B141&amp;"!E7")</f>
        <v>#VALUE!</v>
      </c>
      <c r="E141" s="21"/>
      <c r="F141" s="122" t="str">
        <f>F140</f>
        <v>BlueBackpack_UVGgs_0100</v>
      </c>
      <c r="G141" s="130" t="s">
        <v>61</v>
      </c>
      <c r="H141" s="88" t="e">
        <f ca="1">0.001*INDIRECT($B141&amp;"!AC7")</f>
        <v>#VALUE!</v>
      </c>
      <c r="I141" s="9"/>
      <c r="J141" s="22" t="e">
        <f ca="1">H141/D141-1</f>
        <v>#VALUE!</v>
      </c>
      <c r="L141" s="94" t="str">
        <f ca="1">INDIRECT($B141&amp;"!"&amp;L$3&amp;"7")</f>
        <v/>
      </c>
      <c r="M141" s="95" t="str">
        <f ca="1">INDIRECT($B141&amp;"!"&amp;M$3&amp;"7")</f>
        <v/>
      </c>
      <c r="N141" s="96" t="e">
        <f ca="1">M141-L141</f>
        <v>#VALUE!</v>
      </c>
      <c r="O141" s="21"/>
      <c r="P141" s="3"/>
    </row>
    <row r="142" spans="2:28" x14ac:dyDescent="0.25">
      <c r="B142" s="122" t="str">
        <f>B141</f>
        <v>BlueBackpack_UVGgs_0100</v>
      </c>
      <c r="C142" s="130" t="s">
        <v>62</v>
      </c>
      <c r="D142" s="88" t="e">
        <f ca="1">0.001*INDIRECT($B142&amp;"!E8")</f>
        <v>#VALUE!</v>
      </c>
      <c r="E142" s="21"/>
      <c r="F142" s="122" t="str">
        <f>F141</f>
        <v>BlueBackpack_UVGgs_0100</v>
      </c>
      <c r="G142" s="130" t="s">
        <v>62</v>
      </c>
      <c r="H142" s="88" t="e">
        <f ca="1">0.001*INDIRECT($B142&amp;"!AC8")</f>
        <v>#VALUE!</v>
      </c>
      <c r="I142" s="9"/>
      <c r="J142" s="22" t="e">
        <f ca="1">H142/D142-1</f>
        <v>#VALUE!</v>
      </c>
      <c r="L142" s="94" t="str">
        <f ca="1">INDIRECT($B142&amp;"!"&amp;L$3&amp;"8")</f>
        <v/>
      </c>
      <c r="M142" s="95" t="str">
        <f ca="1">INDIRECT($B142&amp;"!"&amp;M$3&amp;"8")</f>
        <v/>
      </c>
      <c r="N142" s="96" t="e">
        <f ca="1">M142-L142</f>
        <v>#VALUE!</v>
      </c>
      <c r="O142" s="21"/>
      <c r="P142" s="22"/>
    </row>
    <row r="143" spans="2:28" ht="16.2" thickBot="1" x14ac:dyDescent="0.3">
      <c r="B143" s="122" t="str">
        <f>B142</f>
        <v>BlueBackpack_UVGgs_0100</v>
      </c>
      <c r="C143" s="130" t="s">
        <v>63</v>
      </c>
      <c r="D143" s="88" t="e">
        <f ca="1">0.001*INDIRECT($B143&amp;"!E9")</f>
        <v>#VALUE!</v>
      </c>
      <c r="E143" s="21"/>
      <c r="F143" s="122" t="str">
        <f>F142</f>
        <v>BlueBackpack_UVGgs_0100</v>
      </c>
      <c r="G143" s="130" t="s">
        <v>63</v>
      </c>
      <c r="H143" s="88" t="e">
        <f ca="1">0.001*INDIRECT($B143&amp;"!AC9")</f>
        <v>#VALUE!</v>
      </c>
      <c r="I143" s="9"/>
      <c r="J143" s="22" t="e">
        <f ca="1">H143/D143-1</f>
        <v>#VALUE!</v>
      </c>
      <c r="L143" s="94" t="str">
        <f ca="1">INDIRECT($B143&amp;"!"&amp;L$3&amp;"9")</f>
        <v/>
      </c>
      <c r="M143" s="95" t="str">
        <f ca="1">INDIRECT($B143&amp;"!"&amp;M$3&amp;"9")</f>
        <v/>
      </c>
      <c r="N143" s="96" t="e">
        <f ca="1">M143-L143</f>
        <v>#VALUE!</v>
      </c>
      <c r="O143" s="21"/>
      <c r="P143" s="26"/>
      <c r="AB143" s="82"/>
    </row>
    <row r="144" spans="2:28" x14ac:dyDescent="0.25">
      <c r="B144" s="109"/>
      <c r="C144" s="110"/>
      <c r="D144" s="91"/>
      <c r="F144" s="109"/>
      <c r="G144" s="110"/>
      <c r="H144" s="91"/>
      <c r="J144" s="98" t="e">
        <f ca="1">MIN(D139:D143,H139:H143)</f>
        <v>#VALUE!</v>
      </c>
      <c r="L144" s="99"/>
      <c r="M144" s="100"/>
      <c r="N144" s="101"/>
      <c r="O144" s="21"/>
      <c r="P144" s="115"/>
    </row>
    <row r="145" spans="2:28" ht="16.2" thickBot="1" x14ac:dyDescent="0.3">
      <c r="B145" s="89"/>
      <c r="C145" s="92"/>
      <c r="D145" s="90"/>
      <c r="E145" s="21"/>
      <c r="F145" s="89"/>
      <c r="G145" s="92"/>
      <c r="H145" s="90"/>
      <c r="I145" s="9"/>
      <c r="J145" s="102" t="e">
        <f ca="1">MAX(D139:D143,H139:H143)</f>
        <v>#VALUE!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5" customHeight="1" thickBot="1" x14ac:dyDescent="0.3">
      <c r="B146" s="114"/>
      <c r="C146" s="114"/>
      <c r="D146" s="211"/>
      <c r="E146" s="21"/>
      <c r="F146" s="114"/>
      <c r="G146" s="114"/>
      <c r="H146" s="211"/>
      <c r="I146" s="9"/>
      <c r="J146" s="212"/>
      <c r="L146" s="213"/>
      <c r="M146" s="213"/>
      <c r="N146" s="214"/>
      <c r="O146" s="21"/>
      <c r="P146" s="112"/>
      <c r="AB146" s="82"/>
    </row>
    <row r="147" spans="2:28" x14ac:dyDescent="0.25">
      <c r="B147" s="257" t="s">
        <v>65</v>
      </c>
      <c r="C147" s="258"/>
      <c r="D147" s="259"/>
      <c r="E147" s="2"/>
      <c r="F147" s="257" t="str">
        <f>B147</f>
        <v>BlueBackpack_UVGgs_0200</v>
      </c>
      <c r="G147" s="258"/>
      <c r="H147" s="259"/>
      <c r="I147" s="2"/>
      <c r="J147" s="115"/>
      <c r="L147" s="254" t="str">
        <f>F147</f>
        <v>BlueBackpack_UVGgs_0200</v>
      </c>
      <c r="M147" s="255"/>
      <c r="N147" s="256"/>
      <c r="O147" s="195"/>
      <c r="P147" s="115"/>
    </row>
    <row r="148" spans="2:28" ht="16.5" customHeight="1" x14ac:dyDescent="0.25">
      <c r="B148" s="263" t="s">
        <v>52</v>
      </c>
      <c r="C148" s="264"/>
      <c r="D148" s="87" t="s">
        <v>53</v>
      </c>
      <c r="E148" s="21"/>
      <c r="F148" s="263" t="s">
        <v>52</v>
      </c>
      <c r="G148" s="264"/>
      <c r="H148" s="87" t="s">
        <v>53</v>
      </c>
      <c r="I148" s="9"/>
      <c r="J148" s="116" t="s">
        <v>54</v>
      </c>
      <c r="L148" s="260" t="s">
        <v>55</v>
      </c>
      <c r="M148" s="261"/>
      <c r="N148" s="262"/>
      <c r="O148" s="85"/>
      <c r="P148" s="3"/>
    </row>
    <row r="149" spans="2:28" ht="16.5" customHeight="1" x14ac:dyDescent="0.25">
      <c r="B149" s="191" t="s">
        <v>3</v>
      </c>
      <c r="C149" s="130" t="s">
        <v>56</v>
      </c>
      <c r="D149" s="86" t="s">
        <v>57</v>
      </c>
      <c r="E149" s="21"/>
      <c r="F149" s="191" t="s">
        <v>3</v>
      </c>
      <c r="G149" s="130" t="s">
        <v>56</v>
      </c>
      <c r="H149" s="86" t="s">
        <v>57</v>
      </c>
      <c r="I149" s="9"/>
      <c r="J149" s="93"/>
      <c r="L149" s="192" t="str">
        <f>CONCATENATE(B$2," ",L147)</f>
        <v>G-PCC v1 Anchor BlueBackpack_UVGgs_0200</v>
      </c>
      <c r="M149" s="193" t="str">
        <f>CONCATENATE(F$2," ",L147)</f>
        <v>G-PCC v1 Proposal BlueBackpack_UVGgs_0200</v>
      </c>
      <c r="N149" s="194" t="s">
        <v>58</v>
      </c>
      <c r="O149" s="2"/>
      <c r="P149" s="3" t="s">
        <v>49</v>
      </c>
    </row>
    <row r="150" spans="2:28" x14ac:dyDescent="0.25">
      <c r="B150" s="122" t="str">
        <f>B147</f>
        <v>BlueBackpack_UVGgs_0200</v>
      </c>
      <c r="C150" s="130" t="s">
        <v>59</v>
      </c>
      <c r="D150" s="88" t="e">
        <f ca="1">0.001*INDIRECT($B150&amp;"!E5")</f>
        <v>#VALUE!</v>
      </c>
      <c r="E150" s="21"/>
      <c r="F150" s="122" t="str">
        <f>F147</f>
        <v>BlueBackpack_UVGgs_0200</v>
      </c>
      <c r="G150" s="130" t="s">
        <v>59</v>
      </c>
      <c r="H150" s="88" t="e">
        <f ca="1">0.001*INDIRECT($B150&amp;"!AC5")</f>
        <v>#VALUE!</v>
      </c>
      <c r="I150" s="9"/>
      <c r="J150" s="22" t="e">
        <f ca="1">H150/D150-1</f>
        <v>#VALUE!</v>
      </c>
      <c r="L150" s="94" t="str">
        <f ca="1">INDIRECT($B150&amp;"!"&amp;L$3&amp;"5")</f>
        <v/>
      </c>
      <c r="M150" s="95" t="str">
        <f ca="1">INDIRECT($B150&amp;"!"&amp;M$3&amp;"5")</f>
        <v/>
      </c>
      <c r="N150" s="96" t="e">
        <f ca="1">M150-L150</f>
        <v>#VALUE!</v>
      </c>
      <c r="O150" s="21"/>
      <c r="P150" s="22" t="e">
        <f ca="1">bdRateExtend(D150:D154,L150:L154,H150:H154,M150:M154)</f>
        <v>#VALUE!</v>
      </c>
    </row>
    <row r="151" spans="2:28" x14ac:dyDescent="0.25">
      <c r="B151" s="122" t="str">
        <f>B150</f>
        <v>BlueBackpack_UVGgs_0200</v>
      </c>
      <c r="C151" s="130" t="s">
        <v>60</v>
      </c>
      <c r="D151" s="88" t="e">
        <f ca="1">0.001*INDIRECT($B151&amp;"!E6")</f>
        <v>#VALUE!</v>
      </c>
      <c r="E151" s="21"/>
      <c r="F151" s="122" t="str">
        <f>F150</f>
        <v>BlueBackpack_UVGgs_0200</v>
      </c>
      <c r="G151" s="130" t="s">
        <v>60</v>
      </c>
      <c r="H151" s="88" t="e">
        <f ca="1">0.001*INDIRECT($B151&amp;"!AC6")</f>
        <v>#VALUE!</v>
      </c>
      <c r="I151" s="9"/>
      <c r="J151" s="22" t="e">
        <f ca="1">H151/D151-1</f>
        <v>#VALUE!</v>
      </c>
      <c r="L151" s="94" t="str">
        <f ca="1">INDIRECT($B151&amp;"!"&amp;L$3&amp;"6")</f>
        <v/>
      </c>
      <c r="M151" s="95" t="str">
        <f ca="1">INDIRECT($B151&amp;"!"&amp;M$3&amp;"6")</f>
        <v/>
      </c>
      <c r="N151" s="96" t="e">
        <f ca="1">M151-L151</f>
        <v>#VALUE!</v>
      </c>
      <c r="O151" s="21"/>
      <c r="P151" s="3"/>
    </row>
    <row r="152" spans="2:28" x14ac:dyDescent="0.25">
      <c r="B152" s="122" t="str">
        <f>B151</f>
        <v>BlueBackpack_UVGgs_0200</v>
      </c>
      <c r="C152" s="130" t="s">
        <v>61</v>
      </c>
      <c r="D152" s="88" t="e">
        <f ca="1">0.001*INDIRECT($B152&amp;"!E7")</f>
        <v>#VALUE!</v>
      </c>
      <c r="E152" s="21"/>
      <c r="F152" s="122" t="str">
        <f>F151</f>
        <v>BlueBackpack_UVGgs_0200</v>
      </c>
      <c r="G152" s="130" t="s">
        <v>61</v>
      </c>
      <c r="H152" s="88" t="e">
        <f ca="1">0.001*INDIRECT($B152&amp;"!AC7")</f>
        <v>#VALUE!</v>
      </c>
      <c r="I152" s="9"/>
      <c r="J152" s="22" t="e">
        <f ca="1">H152/D152-1</f>
        <v>#VALUE!</v>
      </c>
      <c r="L152" s="94" t="str">
        <f ca="1">INDIRECT($B152&amp;"!"&amp;L$3&amp;"7")</f>
        <v/>
      </c>
      <c r="M152" s="95" t="str">
        <f ca="1">INDIRECT($B152&amp;"!"&amp;M$3&amp;"7")</f>
        <v/>
      </c>
      <c r="N152" s="96" t="e">
        <f ca="1">M152-L152</f>
        <v>#VALUE!</v>
      </c>
      <c r="O152" s="21"/>
      <c r="P152" s="3"/>
    </row>
    <row r="153" spans="2:28" x14ac:dyDescent="0.25">
      <c r="B153" s="122" t="str">
        <f>B152</f>
        <v>BlueBackpack_UVGgs_0200</v>
      </c>
      <c r="C153" s="130" t="s">
        <v>62</v>
      </c>
      <c r="D153" s="88" t="e">
        <f ca="1">0.001*INDIRECT($B153&amp;"!E8")</f>
        <v>#VALUE!</v>
      </c>
      <c r="E153" s="21"/>
      <c r="F153" s="122" t="str">
        <f>F152</f>
        <v>BlueBackpack_UVGgs_0200</v>
      </c>
      <c r="G153" s="130" t="s">
        <v>62</v>
      </c>
      <c r="H153" s="88" t="e">
        <f ca="1">0.001*INDIRECT($B153&amp;"!AC8")</f>
        <v>#VALUE!</v>
      </c>
      <c r="I153" s="9"/>
      <c r="J153" s="22" t="e">
        <f ca="1">H153/D153-1</f>
        <v>#VALUE!</v>
      </c>
      <c r="L153" s="94" t="str">
        <f ca="1">INDIRECT($B153&amp;"!"&amp;L$3&amp;"8")</f>
        <v/>
      </c>
      <c r="M153" s="95" t="str">
        <f ca="1">INDIRECT($B153&amp;"!"&amp;M$3&amp;"8")</f>
        <v/>
      </c>
      <c r="N153" s="96" t="e">
        <f ca="1">M153-L153</f>
        <v>#VALUE!</v>
      </c>
      <c r="O153" s="21"/>
      <c r="P153" s="22"/>
      <c r="AB153" s="82"/>
    </row>
    <row r="154" spans="2:28" ht="16.2" thickBot="1" x14ac:dyDescent="0.3">
      <c r="B154" s="122" t="str">
        <f>B153</f>
        <v>BlueBackpack_UVGgs_0200</v>
      </c>
      <c r="C154" s="130" t="s">
        <v>63</v>
      </c>
      <c r="D154" s="88" t="e">
        <f ca="1">0.001*INDIRECT($B154&amp;"!E9")</f>
        <v>#VALUE!</v>
      </c>
      <c r="E154" s="21"/>
      <c r="F154" s="122" t="str">
        <f>F153</f>
        <v>BlueBackpack_UVGgs_0200</v>
      </c>
      <c r="G154" s="130" t="s">
        <v>63</v>
      </c>
      <c r="H154" s="88" t="e">
        <f ca="1">0.001*INDIRECT($B154&amp;"!AC9")</f>
        <v>#VALUE!</v>
      </c>
      <c r="I154" s="9"/>
      <c r="J154" s="22" t="e">
        <f ca="1">H154/D154-1</f>
        <v>#VALUE!</v>
      </c>
      <c r="L154" s="94" t="str">
        <f ca="1">INDIRECT($B154&amp;"!"&amp;L$3&amp;"9")</f>
        <v/>
      </c>
      <c r="M154" s="95" t="str">
        <f ca="1">INDIRECT($B154&amp;"!"&amp;M$3&amp;"9")</f>
        <v/>
      </c>
      <c r="N154" s="96" t="e">
        <f ca="1">M154-L154</f>
        <v>#VALUE!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 t="e">
        <f ca="1">MIN(D150:D154,H150:H154)</f>
        <v>#VALUE!</v>
      </c>
      <c r="L155" s="99"/>
      <c r="M155" s="100"/>
      <c r="N155" s="101"/>
      <c r="O155" s="21"/>
      <c r="P155" s="115"/>
    </row>
    <row r="156" spans="2:28" ht="16.5" customHeight="1" thickBot="1" x14ac:dyDescent="0.3">
      <c r="B156" s="89"/>
      <c r="C156" s="92"/>
      <c r="D156" s="90"/>
      <c r="E156" s="21"/>
      <c r="F156" s="89"/>
      <c r="G156" s="92"/>
      <c r="H156" s="90"/>
      <c r="I156" s="9"/>
      <c r="J156" s="102" t="e">
        <f ca="1">MAX(D150:D154,H150:H154)</f>
        <v>#VALUE!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6.2" thickBot="1" x14ac:dyDescent="0.3"/>
    <row r="158" spans="2:28" ht="16.5" customHeight="1" x14ac:dyDescent="0.25">
      <c r="B158" s="257" t="s">
        <v>66</v>
      </c>
      <c r="C158" s="258"/>
      <c r="D158" s="259"/>
      <c r="E158" s="2"/>
      <c r="F158" s="257" t="str">
        <f>B158</f>
        <v>FlowerDance_UVGgs_0000</v>
      </c>
      <c r="G158" s="258"/>
      <c r="H158" s="259"/>
      <c r="I158" s="2"/>
      <c r="J158" s="115"/>
      <c r="L158" s="254" t="str">
        <f>F158</f>
        <v>FlowerDance_UVGgs_0000</v>
      </c>
      <c r="M158" s="255"/>
      <c r="N158" s="256"/>
      <c r="O158" s="195"/>
      <c r="P158" s="115"/>
    </row>
    <row r="159" spans="2:28" ht="16.5" customHeight="1" x14ac:dyDescent="0.25">
      <c r="B159" s="263" t="s">
        <v>52</v>
      </c>
      <c r="C159" s="264"/>
      <c r="D159" s="87" t="s">
        <v>53</v>
      </c>
      <c r="E159" s="21"/>
      <c r="F159" s="263" t="s">
        <v>52</v>
      </c>
      <c r="G159" s="264"/>
      <c r="H159" s="87" t="s">
        <v>53</v>
      </c>
      <c r="I159" s="9"/>
      <c r="J159" s="116" t="s">
        <v>54</v>
      </c>
      <c r="L159" s="260" t="s">
        <v>55</v>
      </c>
      <c r="M159" s="261"/>
      <c r="N159" s="262"/>
      <c r="O159" s="85"/>
      <c r="P159" s="3"/>
    </row>
    <row r="160" spans="2:28" x14ac:dyDescent="0.25">
      <c r="B160" s="191" t="s">
        <v>3</v>
      </c>
      <c r="C160" s="130" t="s">
        <v>56</v>
      </c>
      <c r="D160" s="86" t="s">
        <v>57</v>
      </c>
      <c r="E160" s="21"/>
      <c r="F160" s="191" t="s">
        <v>3</v>
      </c>
      <c r="G160" s="130" t="s">
        <v>56</v>
      </c>
      <c r="H160" s="86" t="s">
        <v>57</v>
      </c>
      <c r="I160" s="9"/>
      <c r="J160" s="93"/>
      <c r="L160" s="192" t="str">
        <f>CONCATENATE(B$2," ",L158)</f>
        <v>G-PCC v1 Anchor FlowerDance_UVGgs_0000</v>
      </c>
      <c r="M160" s="193" t="str">
        <f>CONCATENATE(F$2," ",L158)</f>
        <v>G-PCC v1 Proposal FlowerDance_UVGgs_0000</v>
      </c>
      <c r="N160" s="194" t="s">
        <v>58</v>
      </c>
      <c r="O160" s="2"/>
      <c r="P160" s="3" t="s">
        <v>49</v>
      </c>
    </row>
    <row r="161" spans="2:28" x14ac:dyDescent="0.25">
      <c r="B161" s="122" t="str">
        <f>B158</f>
        <v>FlowerDance_UVGgs_0000</v>
      </c>
      <c r="C161" s="130" t="s">
        <v>59</v>
      </c>
      <c r="D161" s="88" t="e">
        <f ca="1">0.001*INDIRECT($B161&amp;"!E5")</f>
        <v>#VALUE!</v>
      </c>
      <c r="E161" s="21"/>
      <c r="F161" s="122" t="str">
        <f>F158</f>
        <v>FlowerDance_UVGgs_0000</v>
      </c>
      <c r="G161" s="130" t="s">
        <v>59</v>
      </c>
      <c r="H161" s="88" t="e">
        <f ca="1">0.001*INDIRECT($B161&amp;"!AC5")</f>
        <v>#VALUE!</v>
      </c>
      <c r="I161" s="9"/>
      <c r="J161" s="22" t="e">
        <f ca="1">H161/D161-1</f>
        <v>#VALUE!</v>
      </c>
      <c r="L161" s="94" t="str">
        <f ca="1">INDIRECT($B161&amp;"!"&amp;L$3&amp;"5")</f>
        <v/>
      </c>
      <c r="M161" s="95" t="str">
        <f ca="1">INDIRECT($B161&amp;"!"&amp;M$3&amp;"5")</f>
        <v/>
      </c>
      <c r="N161" s="96" t="e">
        <f ca="1">M161-L161</f>
        <v>#VALUE!</v>
      </c>
      <c r="O161" s="21"/>
      <c r="P161" s="22" t="e">
        <f ca="1">bdRateExtend(D161:D165,L161:L165,H161:H165,M161:M165)</f>
        <v>#VALUE!</v>
      </c>
    </row>
    <row r="162" spans="2:28" x14ac:dyDescent="0.25">
      <c r="B162" s="122" t="str">
        <f>B161</f>
        <v>FlowerDance_UVGgs_0000</v>
      </c>
      <c r="C162" s="130" t="s">
        <v>60</v>
      </c>
      <c r="D162" s="88" t="e">
        <f ca="1">0.001*INDIRECT($B162&amp;"!E6")</f>
        <v>#VALUE!</v>
      </c>
      <c r="E162" s="21"/>
      <c r="F162" s="122" t="str">
        <f>F161</f>
        <v>FlowerDance_UVGgs_0000</v>
      </c>
      <c r="G162" s="130" t="s">
        <v>60</v>
      </c>
      <c r="H162" s="88" t="e">
        <f ca="1">0.001*INDIRECT($B162&amp;"!AC6")</f>
        <v>#VALUE!</v>
      </c>
      <c r="I162" s="9"/>
      <c r="J162" s="22" t="e">
        <f ca="1">H162/D162-1</f>
        <v>#VALUE!</v>
      </c>
      <c r="L162" s="94" t="str">
        <f ca="1">INDIRECT($B162&amp;"!"&amp;L$3&amp;"6")</f>
        <v/>
      </c>
      <c r="M162" s="95" t="str">
        <f ca="1">INDIRECT($B162&amp;"!"&amp;M$3&amp;"6")</f>
        <v/>
      </c>
      <c r="N162" s="96" t="e">
        <f ca="1">M162-L162</f>
        <v>#VALUE!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61</v>
      </c>
      <c r="D163" s="88" t="e">
        <f ca="1">0.001*INDIRECT($B163&amp;"!E7")</f>
        <v>#VALUE!</v>
      </c>
      <c r="E163" s="21"/>
      <c r="F163" s="122" t="str">
        <f>F162</f>
        <v>FlowerDance_UVGgs_0000</v>
      </c>
      <c r="G163" s="130" t="s">
        <v>61</v>
      </c>
      <c r="H163" s="88" t="e">
        <f ca="1">0.001*INDIRECT($B163&amp;"!AC7")</f>
        <v>#VALUE!</v>
      </c>
      <c r="I163" s="9"/>
      <c r="J163" s="22" t="e">
        <f ca="1">H163/D163-1</f>
        <v>#VALUE!</v>
      </c>
      <c r="L163" s="94" t="str">
        <f ca="1">INDIRECT($B163&amp;"!"&amp;L$3&amp;"7")</f>
        <v/>
      </c>
      <c r="M163" s="95" t="str">
        <f ca="1">INDIRECT($B163&amp;"!"&amp;M$3&amp;"7")</f>
        <v/>
      </c>
      <c r="N163" s="96" t="e">
        <f ca="1">M163-L163</f>
        <v>#VALUE!</v>
      </c>
      <c r="O163" s="21"/>
      <c r="P163" s="3"/>
      <c r="AB163" s="82"/>
    </row>
    <row r="164" spans="2:28" x14ac:dyDescent="0.25">
      <c r="B164" s="122" t="str">
        <f>B163</f>
        <v>FlowerDance_UVGgs_0000</v>
      </c>
      <c r="C164" s="130" t="s">
        <v>62</v>
      </c>
      <c r="D164" s="88" t="e">
        <f ca="1">0.001*INDIRECT($B164&amp;"!E8")</f>
        <v>#VALUE!</v>
      </c>
      <c r="E164" s="21"/>
      <c r="F164" s="122" t="str">
        <f>F163</f>
        <v>FlowerDance_UVGgs_0000</v>
      </c>
      <c r="G164" s="130" t="s">
        <v>62</v>
      </c>
      <c r="H164" s="88" t="e">
        <f ca="1">0.001*INDIRECT($B164&amp;"!AC8")</f>
        <v>#VALUE!</v>
      </c>
      <c r="I164" s="9"/>
      <c r="J164" s="22" t="e">
        <f ca="1">H164/D164-1</f>
        <v>#VALUE!</v>
      </c>
      <c r="L164" s="94" t="str">
        <f ca="1">INDIRECT($B164&amp;"!"&amp;L$3&amp;"8")</f>
        <v/>
      </c>
      <c r="M164" s="95" t="str">
        <f ca="1">INDIRECT($B164&amp;"!"&amp;M$3&amp;"8")</f>
        <v/>
      </c>
      <c r="N164" s="96" t="e">
        <f ca="1">M164-L164</f>
        <v>#VALUE!</v>
      </c>
      <c r="O164" s="21"/>
      <c r="P164" s="22"/>
    </row>
    <row r="165" spans="2:28" ht="16.2" thickBot="1" x14ac:dyDescent="0.3">
      <c r="B165" s="122" t="str">
        <f>B164</f>
        <v>FlowerDance_UVGgs_0000</v>
      </c>
      <c r="C165" s="130" t="s">
        <v>63</v>
      </c>
      <c r="D165" s="88" t="e">
        <f ca="1">0.001*INDIRECT($B165&amp;"!E9")</f>
        <v>#VALUE!</v>
      </c>
      <c r="E165" s="21"/>
      <c r="F165" s="122" t="str">
        <f>F164</f>
        <v>FlowerDance_UVGgs_0000</v>
      </c>
      <c r="G165" s="130" t="s">
        <v>63</v>
      </c>
      <c r="H165" s="88" t="e">
        <f ca="1">0.001*INDIRECT($B165&amp;"!AC9")</f>
        <v>#VALUE!</v>
      </c>
      <c r="I165" s="9"/>
      <c r="J165" s="22" t="e">
        <f ca="1">H165/D165-1</f>
        <v>#VALUE!</v>
      </c>
      <c r="L165" s="94" t="str">
        <f ca="1">INDIRECT($B165&amp;"!"&amp;L$3&amp;"9")</f>
        <v/>
      </c>
      <c r="M165" s="95" t="str">
        <f ca="1">INDIRECT($B165&amp;"!"&amp;M$3&amp;"9")</f>
        <v/>
      </c>
      <c r="N165" s="96" t="e">
        <f ca="1">M165-L165</f>
        <v>#VALUE!</v>
      </c>
      <c r="O165" s="21"/>
      <c r="P165" s="26"/>
    </row>
    <row r="166" spans="2:28" ht="16.5" customHeight="1" x14ac:dyDescent="0.25">
      <c r="B166" s="109"/>
      <c r="C166" s="110"/>
      <c r="D166" s="91"/>
      <c r="F166" s="109"/>
      <c r="G166" s="110"/>
      <c r="H166" s="91"/>
      <c r="J166" s="98" t="e">
        <f ca="1">MIN(D161:D165,H161:H165)</f>
        <v>#VALUE!</v>
      </c>
      <c r="L166" s="99"/>
      <c r="M166" s="100"/>
      <c r="N166" s="101"/>
      <c r="O166" s="21"/>
      <c r="P166" s="115"/>
      <c r="AB166" s="82"/>
    </row>
    <row r="167" spans="2:28" ht="16.2" thickBot="1" x14ac:dyDescent="0.3">
      <c r="B167" s="89"/>
      <c r="C167" s="92"/>
      <c r="D167" s="90"/>
      <c r="E167" s="21"/>
      <c r="F167" s="89"/>
      <c r="G167" s="92"/>
      <c r="H167" s="90"/>
      <c r="I167" s="9"/>
      <c r="J167" s="102" t="e">
        <f ca="1">MAX(D161:D165,H161:H165)</f>
        <v>#VALUE!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5" customHeight="1" thickBot="1" x14ac:dyDescent="0.3"/>
    <row r="169" spans="2:28" ht="16.5" customHeight="1" x14ac:dyDescent="0.25">
      <c r="B169" s="257" t="s">
        <v>67</v>
      </c>
      <c r="C169" s="258"/>
      <c r="D169" s="259"/>
      <c r="E169" s="2"/>
      <c r="F169" s="257" t="str">
        <f>B169</f>
        <v>FlowerDance_UVGgs_0200</v>
      </c>
      <c r="G169" s="258"/>
      <c r="H169" s="259"/>
      <c r="I169" s="2"/>
      <c r="J169" s="115"/>
      <c r="L169" s="254" t="str">
        <f>F169</f>
        <v>FlowerDance_UVGgs_0200</v>
      </c>
      <c r="M169" s="255"/>
      <c r="N169" s="256"/>
      <c r="O169" s="195"/>
      <c r="P169" s="115"/>
    </row>
    <row r="170" spans="2:28" x14ac:dyDescent="0.25">
      <c r="B170" s="263" t="s">
        <v>52</v>
      </c>
      <c r="C170" s="264"/>
      <c r="D170" s="87" t="s">
        <v>53</v>
      </c>
      <c r="E170" s="21"/>
      <c r="F170" s="263" t="s">
        <v>52</v>
      </c>
      <c r="G170" s="264"/>
      <c r="H170" s="87" t="s">
        <v>53</v>
      </c>
      <c r="I170" s="9"/>
      <c r="J170" s="116" t="s">
        <v>54</v>
      </c>
      <c r="L170" s="260" t="s">
        <v>55</v>
      </c>
      <c r="M170" s="261"/>
      <c r="N170" s="262"/>
      <c r="O170" s="85"/>
      <c r="P170" s="3"/>
    </row>
    <row r="171" spans="2:28" x14ac:dyDescent="0.25">
      <c r="B171" s="191" t="s">
        <v>3</v>
      </c>
      <c r="C171" s="130" t="s">
        <v>56</v>
      </c>
      <c r="D171" s="86" t="s">
        <v>57</v>
      </c>
      <c r="E171" s="21"/>
      <c r="F171" s="191" t="s">
        <v>3</v>
      </c>
      <c r="G171" s="130" t="s">
        <v>56</v>
      </c>
      <c r="H171" s="86" t="s">
        <v>57</v>
      </c>
      <c r="I171" s="9"/>
      <c r="J171" s="93"/>
      <c r="L171" s="192" t="str">
        <f>CONCATENATE(B$2," ",L169)</f>
        <v>G-PCC v1 Anchor FlowerDance_UVGgs_0200</v>
      </c>
      <c r="M171" s="193" t="str">
        <f>CONCATENATE(F$2," ",L169)</f>
        <v>G-PCC v1 Proposal FlowerDance_UVGgs_0200</v>
      </c>
      <c r="N171" s="194" t="s">
        <v>58</v>
      </c>
      <c r="O171" s="2"/>
      <c r="P171" s="3" t="s">
        <v>49</v>
      </c>
    </row>
    <row r="172" spans="2:28" x14ac:dyDescent="0.25">
      <c r="B172" s="122" t="str">
        <f>B169</f>
        <v>FlowerDance_UVGgs_0200</v>
      </c>
      <c r="C172" s="130" t="s">
        <v>59</v>
      </c>
      <c r="D172" s="88" t="e">
        <f ca="1">0.001*INDIRECT($B172&amp;"!E5")</f>
        <v>#VALUE!</v>
      </c>
      <c r="E172" s="21"/>
      <c r="F172" s="122" t="str">
        <f>F169</f>
        <v>FlowerDance_UVGgs_0200</v>
      </c>
      <c r="G172" s="130" t="s">
        <v>59</v>
      </c>
      <c r="H172" s="88" t="e">
        <f ca="1">0.001*INDIRECT($B172&amp;"!AC5")</f>
        <v>#VALUE!</v>
      </c>
      <c r="I172" s="9"/>
      <c r="J172" s="22" t="e">
        <f ca="1">H172/D172-1</f>
        <v>#VALUE!</v>
      </c>
      <c r="L172" s="94" t="str">
        <f ca="1">INDIRECT($B172&amp;"!"&amp;L$3&amp;"5")</f>
        <v/>
      </c>
      <c r="M172" s="95" t="str">
        <f ca="1">INDIRECT($B172&amp;"!"&amp;M$3&amp;"5")</f>
        <v/>
      </c>
      <c r="N172" s="96" t="e">
        <f ca="1">M172-L172</f>
        <v>#VALUE!</v>
      </c>
      <c r="O172" s="21"/>
      <c r="P172" s="22" t="e">
        <f ca="1">bdRateExtend(D172:D176,L172:L176,H172:H176,M172:M176)</f>
        <v>#VALUE!</v>
      </c>
    </row>
    <row r="173" spans="2:28" x14ac:dyDescent="0.25">
      <c r="B173" s="122" t="str">
        <f>B172</f>
        <v>FlowerDance_UVGgs_0200</v>
      </c>
      <c r="C173" s="130" t="s">
        <v>60</v>
      </c>
      <c r="D173" s="88" t="e">
        <f ca="1">0.001*INDIRECT($B173&amp;"!E6")</f>
        <v>#VALUE!</v>
      </c>
      <c r="E173" s="21"/>
      <c r="F173" s="122" t="str">
        <f>F172</f>
        <v>FlowerDance_UVGgs_0200</v>
      </c>
      <c r="G173" s="130" t="s">
        <v>60</v>
      </c>
      <c r="H173" s="88" t="e">
        <f ca="1">0.001*INDIRECT($B173&amp;"!AC6")</f>
        <v>#VALUE!</v>
      </c>
      <c r="I173" s="9"/>
      <c r="J173" s="22" t="e">
        <f ca="1">H173/D173-1</f>
        <v>#VALUE!</v>
      </c>
      <c r="L173" s="94" t="str">
        <f ca="1">INDIRECT($B173&amp;"!"&amp;L$3&amp;"6")</f>
        <v/>
      </c>
      <c r="M173" s="95" t="str">
        <f ca="1">INDIRECT($B173&amp;"!"&amp;M$3&amp;"6")</f>
        <v/>
      </c>
      <c r="N173" s="96" t="e">
        <f ca="1">M173-L173</f>
        <v>#VALUE!</v>
      </c>
      <c r="O173" s="21"/>
      <c r="P173" s="3"/>
      <c r="AB173" s="82"/>
    </row>
    <row r="174" spans="2:28" x14ac:dyDescent="0.25">
      <c r="B174" s="122" t="str">
        <f>B173</f>
        <v>FlowerDance_UVGgs_0200</v>
      </c>
      <c r="C174" s="130" t="s">
        <v>61</v>
      </c>
      <c r="D174" s="88" t="e">
        <f ca="1">0.001*INDIRECT($B174&amp;"!E7")</f>
        <v>#VALUE!</v>
      </c>
      <c r="E174" s="21"/>
      <c r="F174" s="122" t="str">
        <f>F173</f>
        <v>FlowerDance_UVGgs_0200</v>
      </c>
      <c r="G174" s="130" t="s">
        <v>61</v>
      </c>
      <c r="H174" s="88" t="e">
        <f ca="1">0.001*INDIRECT($B174&amp;"!AC7")</f>
        <v>#VALUE!</v>
      </c>
      <c r="I174" s="9"/>
      <c r="J174" s="22" t="e">
        <f ca="1">H174/D174-1</f>
        <v>#VALUE!</v>
      </c>
      <c r="L174" s="94" t="str">
        <f ca="1">INDIRECT($B174&amp;"!"&amp;L$3&amp;"7")</f>
        <v/>
      </c>
      <c r="M174" s="95" t="str">
        <f ca="1">INDIRECT($B174&amp;"!"&amp;M$3&amp;"7")</f>
        <v/>
      </c>
      <c r="N174" s="96" t="e">
        <f ca="1">M174-L174</f>
        <v>#VALUE!</v>
      </c>
      <c r="O174" s="21"/>
      <c r="P174" s="3"/>
    </row>
    <row r="175" spans="2:28" x14ac:dyDescent="0.25">
      <c r="B175" s="122" t="str">
        <f>B174</f>
        <v>FlowerDance_UVGgs_0200</v>
      </c>
      <c r="C175" s="130" t="s">
        <v>62</v>
      </c>
      <c r="D175" s="88" t="e">
        <f ca="1">0.001*INDIRECT($B175&amp;"!E8")</f>
        <v>#VALUE!</v>
      </c>
      <c r="E175" s="21"/>
      <c r="F175" s="122" t="str">
        <f>F174</f>
        <v>FlowerDance_UVGgs_0200</v>
      </c>
      <c r="G175" s="130" t="s">
        <v>62</v>
      </c>
      <c r="H175" s="88" t="e">
        <f ca="1">0.001*INDIRECT($B175&amp;"!AC8")</f>
        <v>#VALUE!</v>
      </c>
      <c r="I175" s="9"/>
      <c r="J175" s="22" t="e">
        <f ca="1">H175/D175-1</f>
        <v>#VALUE!</v>
      </c>
      <c r="L175" s="94" t="str">
        <f ca="1">INDIRECT($B175&amp;"!"&amp;L$3&amp;"8")</f>
        <v/>
      </c>
      <c r="M175" s="95" t="str">
        <f ca="1">INDIRECT($B175&amp;"!"&amp;M$3&amp;"8")</f>
        <v/>
      </c>
      <c r="N175" s="96" t="e">
        <f ca="1">M175-L175</f>
        <v>#VALUE!</v>
      </c>
      <c r="O175" s="21"/>
      <c r="P175" s="22"/>
    </row>
    <row r="176" spans="2:28" ht="16.5" customHeight="1" thickBot="1" x14ac:dyDescent="0.3">
      <c r="B176" s="122" t="str">
        <f>B175</f>
        <v>FlowerDance_UVGgs_0200</v>
      </c>
      <c r="C176" s="130" t="s">
        <v>63</v>
      </c>
      <c r="D176" s="88" t="e">
        <f ca="1">0.001*INDIRECT($B176&amp;"!E9")</f>
        <v>#VALUE!</v>
      </c>
      <c r="E176" s="21"/>
      <c r="F176" s="122" t="str">
        <f>F175</f>
        <v>FlowerDance_UVGgs_0200</v>
      </c>
      <c r="G176" s="130" t="s">
        <v>63</v>
      </c>
      <c r="H176" s="88" t="e">
        <f ca="1">0.001*INDIRECT($B176&amp;"!AC9")</f>
        <v>#VALUE!</v>
      </c>
      <c r="I176" s="9"/>
      <c r="J176" s="22" t="e">
        <f ca="1">H176/D176-1</f>
        <v>#VALUE!</v>
      </c>
      <c r="L176" s="94" t="str">
        <f ca="1">INDIRECT($B176&amp;"!"&amp;L$3&amp;"9")</f>
        <v/>
      </c>
      <c r="M176" s="95" t="str">
        <f ca="1">INDIRECT($B176&amp;"!"&amp;M$3&amp;"9")</f>
        <v/>
      </c>
      <c r="N176" s="96" t="e">
        <f ca="1">M176-L176</f>
        <v>#VALUE!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 t="e">
        <f ca="1">MIN(D172:D176,H172:H176)</f>
        <v>#VALUE!</v>
      </c>
      <c r="L177" s="99"/>
      <c r="M177" s="100"/>
      <c r="N177" s="101"/>
      <c r="O177" s="21"/>
      <c r="P177" s="115"/>
    </row>
    <row r="178" spans="2:28" ht="16.5" customHeight="1" thickBot="1" x14ac:dyDescent="0.3">
      <c r="B178" s="89"/>
      <c r="C178" s="92"/>
      <c r="D178" s="90"/>
      <c r="E178" s="21"/>
      <c r="F178" s="89"/>
      <c r="G178" s="92"/>
      <c r="H178" s="90"/>
      <c r="I178" s="9"/>
      <c r="J178" s="102" t="e">
        <f ca="1">MAX(D172:D176,H172:H176)</f>
        <v>#VALUE!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/>
    <row r="180" spans="2:28" x14ac:dyDescent="0.25">
      <c r="B180" s="257" t="s">
        <v>68</v>
      </c>
      <c r="C180" s="258"/>
      <c r="D180" s="259"/>
      <c r="E180" s="2"/>
      <c r="F180" s="257" t="str">
        <f>B180</f>
        <v>Gymnast_UVGgs_0100</v>
      </c>
      <c r="G180" s="258"/>
      <c r="H180" s="259"/>
      <c r="I180" s="2"/>
      <c r="J180" s="115"/>
      <c r="L180" s="254" t="str">
        <f>F180</f>
        <v>Gymnast_UVGgs_0100</v>
      </c>
      <c r="M180" s="255"/>
      <c r="N180" s="256"/>
      <c r="O180" s="195"/>
      <c r="P180" s="115"/>
    </row>
    <row r="181" spans="2:28" x14ac:dyDescent="0.25">
      <c r="B181" s="263" t="s">
        <v>52</v>
      </c>
      <c r="C181" s="264"/>
      <c r="D181" s="87" t="s">
        <v>53</v>
      </c>
      <c r="E181" s="21"/>
      <c r="F181" s="263" t="s">
        <v>52</v>
      </c>
      <c r="G181" s="264"/>
      <c r="H181" s="87" t="s">
        <v>53</v>
      </c>
      <c r="I181" s="9"/>
      <c r="J181" s="116" t="s">
        <v>54</v>
      </c>
      <c r="L181" s="260" t="s">
        <v>55</v>
      </c>
      <c r="M181" s="261"/>
      <c r="N181" s="262"/>
      <c r="O181" s="85"/>
      <c r="P181" s="3"/>
    </row>
    <row r="182" spans="2:28" x14ac:dyDescent="0.25">
      <c r="B182" s="191" t="s">
        <v>3</v>
      </c>
      <c r="C182" s="130" t="s">
        <v>56</v>
      </c>
      <c r="D182" s="86" t="s">
        <v>57</v>
      </c>
      <c r="E182" s="21"/>
      <c r="F182" s="191" t="s">
        <v>3</v>
      </c>
      <c r="G182" s="130" t="s">
        <v>56</v>
      </c>
      <c r="H182" s="86" t="s">
        <v>57</v>
      </c>
      <c r="I182" s="9"/>
      <c r="J182" s="93"/>
      <c r="L182" s="192" t="str">
        <f>CONCATENATE(B$2," ",L180)</f>
        <v>G-PCC v1 Anchor Gymnast_UVGgs_0100</v>
      </c>
      <c r="M182" s="193" t="str">
        <f>CONCATENATE(F$2," ",L180)</f>
        <v>G-PCC v1 Proposal Gymnast_UVGgs_0100</v>
      </c>
      <c r="N182" s="194" t="s">
        <v>58</v>
      </c>
      <c r="O182" s="2"/>
      <c r="P182" s="3" t="s">
        <v>49</v>
      </c>
      <c r="Q182" s="2"/>
      <c r="R182" s="2"/>
      <c r="S182" s="2"/>
      <c r="T182" s="2"/>
      <c r="U182" s="2"/>
      <c r="V182" s="2"/>
      <c r="X182" s="195"/>
      <c r="Y182" s="195"/>
      <c r="Z182" s="195"/>
    </row>
    <row r="183" spans="2:28" x14ac:dyDescent="0.25">
      <c r="B183" s="122" t="str">
        <f>B180</f>
        <v>Gymnast_UVGgs_0100</v>
      </c>
      <c r="C183" s="130" t="s">
        <v>59</v>
      </c>
      <c r="D183" s="88" t="e">
        <f ca="1">0.001*INDIRECT($B183&amp;"!E5")</f>
        <v>#VALUE!</v>
      </c>
      <c r="E183" s="21"/>
      <c r="F183" s="122" t="str">
        <f>F180</f>
        <v>Gymnast_UVGgs_0100</v>
      </c>
      <c r="G183" s="130" t="s">
        <v>59</v>
      </c>
      <c r="H183" s="88" t="e">
        <f ca="1">0.001*INDIRECT($B183&amp;"!AC5")</f>
        <v>#VALUE!</v>
      </c>
      <c r="I183" s="9"/>
      <c r="J183" s="22" t="e">
        <f ca="1">H183/D183-1</f>
        <v>#VALUE!</v>
      </c>
      <c r="L183" s="94" t="str">
        <f ca="1">INDIRECT($B183&amp;"!"&amp;L$3&amp;"5")</f>
        <v/>
      </c>
      <c r="M183" s="95" t="str">
        <f ca="1">INDIRECT($B183&amp;"!"&amp;M$3&amp;"5")</f>
        <v/>
      </c>
      <c r="N183" s="96" t="e">
        <f ca="1">M183-L183</f>
        <v>#VALUE!</v>
      </c>
      <c r="O183" s="21"/>
      <c r="P183" s="22" t="e">
        <f ca="1">bdRateExtend(D183:D187,L183:L187,H183:H187,M183:M187)</f>
        <v>#VALUE!</v>
      </c>
      <c r="Q183" s="21"/>
      <c r="R183" s="9"/>
      <c r="S183" s="9"/>
      <c r="T183" s="9"/>
      <c r="U183" s="9"/>
      <c r="V183" s="80"/>
      <c r="X183" s="6"/>
      <c r="Y183" s="6"/>
      <c r="Z183" s="81"/>
      <c r="AB183" s="82"/>
    </row>
    <row r="184" spans="2:28" x14ac:dyDescent="0.25">
      <c r="B184" s="122" t="str">
        <f>B183</f>
        <v>Gymnast_UVGgs_0100</v>
      </c>
      <c r="C184" s="130" t="s">
        <v>60</v>
      </c>
      <c r="D184" s="88" t="e">
        <f ca="1">0.001*INDIRECT($B184&amp;"!E6")</f>
        <v>#VALUE!</v>
      </c>
      <c r="E184" s="21"/>
      <c r="F184" s="122" t="str">
        <f>F183</f>
        <v>Gymnast_UVGgs_0100</v>
      </c>
      <c r="G184" s="130" t="s">
        <v>60</v>
      </c>
      <c r="H184" s="88" t="e">
        <f ca="1">0.001*INDIRECT($B184&amp;"!AC6")</f>
        <v>#VALUE!</v>
      </c>
      <c r="I184" s="9"/>
      <c r="J184" s="22" t="e">
        <f ca="1">H184/D184-1</f>
        <v>#VALUE!</v>
      </c>
      <c r="L184" s="94" t="str">
        <f ca="1">INDIRECT($B184&amp;"!"&amp;L$3&amp;"6")</f>
        <v/>
      </c>
      <c r="M184" s="95" t="str">
        <f ca="1">INDIRECT($B184&amp;"!"&amp;M$3&amp;"6")</f>
        <v/>
      </c>
      <c r="N184" s="96" t="e">
        <f ca="1">M184-L184</f>
        <v>#VALUE!</v>
      </c>
      <c r="O184" s="21"/>
      <c r="P184" s="3"/>
      <c r="Q184" s="21"/>
      <c r="R184" s="9"/>
      <c r="S184" s="9"/>
      <c r="T184" s="9"/>
      <c r="U184" s="9"/>
      <c r="V184" s="80"/>
      <c r="X184" s="6"/>
      <c r="Y184" s="6"/>
      <c r="Z184" s="81"/>
    </row>
    <row r="185" spans="2:28" x14ac:dyDescent="0.25">
      <c r="B185" s="122" t="str">
        <f>B184</f>
        <v>Gymnast_UVGgs_0100</v>
      </c>
      <c r="C185" s="130" t="s">
        <v>61</v>
      </c>
      <c r="D185" s="88" t="e">
        <f ca="1">0.001*INDIRECT($B185&amp;"!E7")</f>
        <v>#VALUE!</v>
      </c>
      <c r="E185" s="21"/>
      <c r="F185" s="122" t="str">
        <f>F184</f>
        <v>Gymnast_UVGgs_0100</v>
      </c>
      <c r="G185" s="130" t="s">
        <v>61</v>
      </c>
      <c r="H185" s="88" t="e">
        <f ca="1">0.001*INDIRECT($B185&amp;"!AC7")</f>
        <v>#VALUE!</v>
      </c>
      <c r="I185" s="9"/>
      <c r="J185" s="22" t="e">
        <f ca="1">H185/D185-1</f>
        <v>#VALUE!</v>
      </c>
      <c r="L185" s="94" t="str">
        <f ca="1">INDIRECT($B185&amp;"!"&amp;L$3&amp;"7")</f>
        <v/>
      </c>
      <c r="M185" s="95" t="str">
        <f ca="1">INDIRECT($B185&amp;"!"&amp;M$3&amp;"7")</f>
        <v/>
      </c>
      <c r="N185" s="96" t="e">
        <f ca="1">M185-L185</f>
        <v>#VALUE!</v>
      </c>
      <c r="O185" s="21"/>
      <c r="P185" s="3"/>
      <c r="Q185" s="21"/>
      <c r="R185" s="9"/>
      <c r="S185" s="9"/>
      <c r="T185" s="9"/>
      <c r="U185" s="9"/>
      <c r="V185" s="80"/>
      <c r="X185" s="6"/>
      <c r="Y185" s="6"/>
      <c r="Z185" s="81"/>
    </row>
    <row r="186" spans="2:28" ht="16.5" customHeight="1" x14ac:dyDescent="0.25">
      <c r="B186" s="122" t="str">
        <f>B185</f>
        <v>Gymnast_UVGgs_0100</v>
      </c>
      <c r="C186" s="130" t="s">
        <v>62</v>
      </c>
      <c r="D186" s="88" t="e">
        <f ca="1">0.001*INDIRECT($B186&amp;"!E8")</f>
        <v>#VALUE!</v>
      </c>
      <c r="E186" s="21"/>
      <c r="F186" s="122" t="str">
        <f>F185</f>
        <v>Gymnast_UVGgs_0100</v>
      </c>
      <c r="G186" s="130" t="s">
        <v>62</v>
      </c>
      <c r="H186" s="88" t="e">
        <f ca="1">0.001*INDIRECT($B186&amp;"!AC8")</f>
        <v>#VALUE!</v>
      </c>
      <c r="I186" s="9"/>
      <c r="J186" s="22" t="e">
        <f ca="1">H186/D186-1</f>
        <v>#VALUE!</v>
      </c>
      <c r="L186" s="94" t="str">
        <f ca="1">INDIRECT($B186&amp;"!"&amp;L$3&amp;"8")</f>
        <v/>
      </c>
      <c r="M186" s="95" t="str">
        <f ca="1">INDIRECT($B186&amp;"!"&amp;M$3&amp;"8")</f>
        <v/>
      </c>
      <c r="N186" s="96" t="e">
        <f ca="1">M186-L186</f>
        <v>#VALUE!</v>
      </c>
      <c r="O186" s="21"/>
      <c r="P186" s="22"/>
      <c r="Q186" s="21"/>
      <c r="R186" s="9"/>
      <c r="S186" s="9"/>
      <c r="T186" s="9"/>
      <c r="U186" s="9"/>
      <c r="V186" s="80"/>
      <c r="X186" s="6"/>
      <c r="Y186" s="6"/>
      <c r="Z186" s="81"/>
      <c r="AB186" s="82"/>
    </row>
    <row r="187" spans="2:28" ht="16.2" thickBot="1" x14ac:dyDescent="0.3">
      <c r="B187" s="122" t="str">
        <f>B186</f>
        <v>Gymnast_UVGgs_0100</v>
      </c>
      <c r="C187" s="130" t="s">
        <v>63</v>
      </c>
      <c r="D187" s="88" t="e">
        <f ca="1">0.001*INDIRECT($B187&amp;"!E9")</f>
        <v>#VALUE!</v>
      </c>
      <c r="E187" s="21"/>
      <c r="F187" s="122" t="str">
        <f>F186</f>
        <v>Gymnast_UVGgs_0100</v>
      </c>
      <c r="G187" s="130" t="s">
        <v>63</v>
      </c>
      <c r="H187" s="88" t="e">
        <f ca="1">0.001*INDIRECT($B187&amp;"!AC9")</f>
        <v>#VALUE!</v>
      </c>
      <c r="I187" s="9"/>
      <c r="J187" s="22" t="e">
        <f ca="1">H187/D187-1</f>
        <v>#VALUE!</v>
      </c>
      <c r="L187" s="94" t="str">
        <f ca="1">INDIRECT($B187&amp;"!"&amp;L$3&amp;"9")</f>
        <v/>
      </c>
      <c r="M187" s="95" t="str">
        <f ca="1">INDIRECT($B187&amp;"!"&amp;M$3&amp;"9")</f>
        <v/>
      </c>
      <c r="N187" s="96" t="e">
        <f ca="1">M187-L187</f>
        <v>#VALUE!</v>
      </c>
      <c r="O187" s="21"/>
      <c r="P187" s="26"/>
      <c r="Q187" s="21"/>
      <c r="R187" s="9"/>
      <c r="S187" s="9"/>
      <c r="T187" s="9"/>
      <c r="U187" s="9"/>
      <c r="V187" s="83"/>
      <c r="X187" s="6"/>
      <c r="Y187" s="6"/>
      <c r="Z187" s="81"/>
    </row>
    <row r="188" spans="2:28" ht="16.5" customHeight="1" x14ac:dyDescent="0.25">
      <c r="B188" s="109"/>
      <c r="C188" s="110"/>
      <c r="D188" s="91"/>
      <c r="F188" s="109"/>
      <c r="G188" s="110"/>
      <c r="H188" s="91"/>
      <c r="J188" s="98" t="e">
        <f ca="1">MIN(D183:D187,H183:H187)</f>
        <v>#VALUE!</v>
      </c>
      <c r="L188" s="99"/>
      <c r="M188" s="100"/>
      <c r="N188" s="101"/>
      <c r="O188" s="21"/>
      <c r="P188" s="115"/>
      <c r="Q188" s="21"/>
      <c r="R188" s="9"/>
      <c r="S188" s="9"/>
      <c r="T188" s="9"/>
      <c r="U188" s="9"/>
      <c r="V188" s="83"/>
      <c r="X188" s="84"/>
      <c r="Y188" s="84"/>
      <c r="Z188" s="81"/>
    </row>
    <row r="189" spans="2:28" ht="16.2" thickBot="1" x14ac:dyDescent="0.3">
      <c r="B189" s="89"/>
      <c r="C189" s="92"/>
      <c r="D189" s="90"/>
      <c r="E189" s="21"/>
      <c r="F189" s="89"/>
      <c r="G189" s="92"/>
      <c r="H189" s="90"/>
      <c r="I189" s="9"/>
      <c r="J189" s="102" t="e">
        <f ca="1">MAX(D183:D187,H183:H187)</f>
        <v>#VALUE!</v>
      </c>
      <c r="L189" s="103">
        <f>L188</f>
        <v>0</v>
      </c>
      <c r="M189" s="104">
        <f>M188</f>
        <v>0</v>
      </c>
      <c r="N189" s="97"/>
      <c r="O189" s="21"/>
      <c r="P189" s="5"/>
    </row>
    <row r="190" spans="2:28" ht="16.2" thickBot="1" x14ac:dyDescent="0.3"/>
    <row r="191" spans="2:28" x14ac:dyDescent="0.25">
      <c r="B191" s="257" t="s">
        <v>69</v>
      </c>
      <c r="C191" s="258"/>
      <c r="D191" s="259"/>
      <c r="E191" s="2"/>
      <c r="F191" s="257" t="str">
        <f>B191</f>
        <v>Gymnast_UVGgs_0200</v>
      </c>
      <c r="G191" s="258"/>
      <c r="H191" s="259"/>
      <c r="I191" s="2"/>
      <c r="J191" s="115"/>
      <c r="L191" s="254" t="str">
        <f>F191</f>
        <v>Gymnast_UVGgs_0200</v>
      </c>
      <c r="M191" s="255"/>
      <c r="N191" s="256"/>
      <c r="O191" s="195"/>
      <c r="P191" s="115"/>
    </row>
    <row r="192" spans="2:28" x14ac:dyDescent="0.25">
      <c r="B192" s="263" t="s">
        <v>52</v>
      </c>
      <c r="C192" s="264"/>
      <c r="D192" s="87" t="s">
        <v>53</v>
      </c>
      <c r="E192" s="21"/>
      <c r="F192" s="263" t="s">
        <v>52</v>
      </c>
      <c r="G192" s="264"/>
      <c r="H192" s="87" t="s">
        <v>53</v>
      </c>
      <c r="I192" s="9"/>
      <c r="J192" s="116" t="s">
        <v>54</v>
      </c>
      <c r="L192" s="260" t="s">
        <v>55</v>
      </c>
      <c r="M192" s="261"/>
      <c r="N192" s="262"/>
      <c r="O192" s="85"/>
      <c r="P192" s="3"/>
    </row>
    <row r="193" spans="2:16" x14ac:dyDescent="0.25">
      <c r="B193" s="191" t="s">
        <v>3</v>
      </c>
      <c r="C193" s="130" t="s">
        <v>56</v>
      </c>
      <c r="D193" s="86" t="s">
        <v>57</v>
      </c>
      <c r="E193" s="21"/>
      <c r="F193" s="191" t="s">
        <v>3</v>
      </c>
      <c r="G193" s="130" t="s">
        <v>56</v>
      </c>
      <c r="H193" s="86" t="s">
        <v>57</v>
      </c>
      <c r="I193" s="9"/>
      <c r="J193" s="93"/>
      <c r="L193" s="192" t="str">
        <f>CONCATENATE(B$2," ",L191)</f>
        <v>G-PCC v1 Anchor Gymnast_UVGgs_0200</v>
      </c>
      <c r="M193" s="193" t="str">
        <f>CONCATENATE(F$2," ",L191)</f>
        <v>G-PCC v1 Proposal Gymnast_UVGgs_0200</v>
      </c>
      <c r="N193" s="194" t="s">
        <v>58</v>
      </c>
      <c r="O193" s="2"/>
      <c r="P193" s="3" t="s">
        <v>49</v>
      </c>
    </row>
    <row r="194" spans="2:16" x14ac:dyDescent="0.25">
      <c r="B194" s="122" t="str">
        <f>B191</f>
        <v>Gymnast_UVGgs_0200</v>
      </c>
      <c r="C194" s="130" t="s">
        <v>59</v>
      </c>
      <c r="D194" s="88" t="e">
        <f ca="1">0.001*INDIRECT($B194&amp;"!E5")</f>
        <v>#VALUE!</v>
      </c>
      <c r="E194" s="21"/>
      <c r="F194" s="122" t="str">
        <f>F191</f>
        <v>Gymnast_UVGgs_0200</v>
      </c>
      <c r="G194" s="130" t="s">
        <v>59</v>
      </c>
      <c r="H194" s="88" t="e">
        <f ca="1">0.001*INDIRECT($B194&amp;"!AC5")</f>
        <v>#VALUE!</v>
      </c>
      <c r="I194" s="9"/>
      <c r="J194" s="22" t="e">
        <f ca="1">H194/D194-1</f>
        <v>#VALUE!</v>
      </c>
      <c r="L194" s="94" t="str">
        <f ca="1">INDIRECT($B194&amp;"!"&amp;L$3&amp;"5")</f>
        <v/>
      </c>
      <c r="M194" s="95" t="str">
        <f ca="1">INDIRECT($B194&amp;"!"&amp;M$3&amp;"5")</f>
        <v/>
      </c>
      <c r="N194" s="96" t="e">
        <f ca="1">M194-L194</f>
        <v>#VALUE!</v>
      </c>
      <c r="O194" s="21"/>
      <c r="P194" s="22" t="e">
        <f ca="1">bdRateExtend(D194:D198,L194:L198,H194:H198,M194:M198)</f>
        <v>#VALUE!</v>
      </c>
    </row>
    <row r="195" spans="2:16" x14ac:dyDescent="0.25">
      <c r="B195" s="122" t="str">
        <f>B194</f>
        <v>Gymnast_UVGgs_0200</v>
      </c>
      <c r="C195" s="130" t="s">
        <v>60</v>
      </c>
      <c r="D195" s="88" t="e">
        <f ca="1">0.001*INDIRECT($B195&amp;"!E6")</f>
        <v>#VALUE!</v>
      </c>
      <c r="E195" s="21"/>
      <c r="F195" s="122" t="str">
        <f>F194</f>
        <v>Gymnast_UVGgs_0200</v>
      </c>
      <c r="G195" s="130" t="s">
        <v>60</v>
      </c>
      <c r="H195" s="88" t="e">
        <f ca="1">0.001*INDIRECT($B195&amp;"!AC6")</f>
        <v>#VALUE!</v>
      </c>
      <c r="I195" s="9"/>
      <c r="J195" s="22" t="e">
        <f ca="1">H195/D195-1</f>
        <v>#VALUE!</v>
      </c>
      <c r="L195" s="94" t="str">
        <f ca="1">INDIRECT($B195&amp;"!"&amp;L$3&amp;"6")</f>
        <v/>
      </c>
      <c r="M195" s="95" t="str">
        <f ca="1">INDIRECT($B195&amp;"!"&amp;M$3&amp;"6")</f>
        <v/>
      </c>
      <c r="N195" s="96" t="e">
        <f ca="1">M195-L195</f>
        <v>#VALUE!</v>
      </c>
      <c r="O195" s="21"/>
      <c r="P195" s="3"/>
    </row>
    <row r="196" spans="2:16" x14ac:dyDescent="0.25">
      <c r="B196" s="122" t="str">
        <f>B195</f>
        <v>Gymnast_UVGgs_0200</v>
      </c>
      <c r="C196" s="130" t="s">
        <v>61</v>
      </c>
      <c r="D196" s="88" t="e">
        <f ca="1">0.001*INDIRECT($B196&amp;"!E7")</f>
        <v>#VALUE!</v>
      </c>
      <c r="E196" s="21"/>
      <c r="F196" s="122" t="str">
        <f>F195</f>
        <v>Gymnast_UVGgs_0200</v>
      </c>
      <c r="G196" s="130" t="s">
        <v>61</v>
      </c>
      <c r="H196" s="88" t="e">
        <f ca="1">0.001*INDIRECT($B196&amp;"!AC7")</f>
        <v>#VALUE!</v>
      </c>
      <c r="I196" s="9"/>
      <c r="J196" s="22" t="e">
        <f ca="1">H196/D196-1</f>
        <v>#VALUE!</v>
      </c>
      <c r="L196" s="94" t="str">
        <f ca="1">INDIRECT($B196&amp;"!"&amp;L$3&amp;"7")</f>
        <v/>
      </c>
      <c r="M196" s="95" t="str">
        <f ca="1">INDIRECT($B196&amp;"!"&amp;M$3&amp;"7")</f>
        <v/>
      </c>
      <c r="N196" s="96" t="e">
        <f ca="1">M196-L196</f>
        <v>#VALUE!</v>
      </c>
      <c r="O196" s="21"/>
      <c r="P196" s="3"/>
    </row>
    <row r="197" spans="2:16" x14ac:dyDescent="0.25">
      <c r="B197" s="122" t="str">
        <f>B196</f>
        <v>Gymnast_UVGgs_0200</v>
      </c>
      <c r="C197" s="130" t="s">
        <v>62</v>
      </c>
      <c r="D197" s="88" t="e">
        <f ca="1">0.001*INDIRECT($B197&amp;"!E8")</f>
        <v>#VALUE!</v>
      </c>
      <c r="E197" s="21"/>
      <c r="F197" s="122" t="str">
        <f>F196</f>
        <v>Gymnast_UVGgs_0200</v>
      </c>
      <c r="G197" s="130" t="s">
        <v>62</v>
      </c>
      <c r="H197" s="88" t="e">
        <f ca="1">0.001*INDIRECT($B197&amp;"!AC8")</f>
        <v>#VALUE!</v>
      </c>
      <c r="I197" s="9"/>
      <c r="J197" s="22" t="e">
        <f ca="1">H197/D197-1</f>
        <v>#VALUE!</v>
      </c>
      <c r="L197" s="94" t="str">
        <f ca="1">INDIRECT($B197&amp;"!"&amp;L$3&amp;"8")</f>
        <v/>
      </c>
      <c r="M197" s="95" t="str">
        <f ca="1">INDIRECT($B197&amp;"!"&amp;M$3&amp;"8")</f>
        <v/>
      </c>
      <c r="N197" s="96" t="e">
        <f ca="1">M197-L197</f>
        <v>#VALUE!</v>
      </c>
      <c r="O197" s="21"/>
      <c r="P197" s="22"/>
    </row>
    <row r="198" spans="2:16" ht="16.2" thickBot="1" x14ac:dyDescent="0.3">
      <c r="B198" s="122" t="str">
        <f>B197</f>
        <v>Gymnast_UVGgs_0200</v>
      </c>
      <c r="C198" s="130" t="s">
        <v>63</v>
      </c>
      <c r="D198" s="88" t="e">
        <f ca="1">0.001*INDIRECT($B198&amp;"!E9")</f>
        <v>#VALUE!</v>
      </c>
      <c r="E198" s="21"/>
      <c r="F198" s="122" t="str">
        <f>F197</f>
        <v>Gymnast_UVGgs_0200</v>
      </c>
      <c r="G198" s="130" t="s">
        <v>63</v>
      </c>
      <c r="H198" s="88" t="e">
        <f ca="1">0.001*INDIRECT($B198&amp;"!AC9")</f>
        <v>#VALUE!</v>
      </c>
      <c r="I198" s="9"/>
      <c r="J198" s="22" t="e">
        <f ca="1">H198/D198-1</f>
        <v>#VALUE!</v>
      </c>
      <c r="L198" s="94" t="str">
        <f ca="1">INDIRECT($B198&amp;"!"&amp;L$3&amp;"9")</f>
        <v/>
      </c>
      <c r="M198" s="95" t="str">
        <f ca="1">INDIRECT($B198&amp;"!"&amp;M$3&amp;"9")</f>
        <v/>
      </c>
      <c r="N198" s="96" t="e">
        <f ca="1">M198-L198</f>
        <v>#VALUE!</v>
      </c>
      <c r="O198" s="21"/>
      <c r="P198" s="26"/>
    </row>
    <row r="199" spans="2:16" x14ac:dyDescent="0.25">
      <c r="B199" s="109"/>
      <c r="C199" s="110"/>
      <c r="D199" s="91"/>
      <c r="F199" s="109"/>
      <c r="G199" s="110"/>
      <c r="H199" s="91"/>
      <c r="J199" s="98" t="e">
        <f ca="1">MIN(D194:D198,H194:H198)</f>
        <v>#VALUE!</v>
      </c>
      <c r="L199" s="99"/>
      <c r="M199" s="100"/>
      <c r="N199" s="101"/>
      <c r="O199" s="21"/>
      <c r="P199" s="115"/>
    </row>
    <row r="200" spans="2:16" ht="16.2" thickBot="1" x14ac:dyDescent="0.3">
      <c r="B200" s="89"/>
      <c r="C200" s="92"/>
      <c r="D200" s="90"/>
      <c r="E200" s="21"/>
      <c r="F200" s="89"/>
      <c r="G200" s="92"/>
      <c r="H200" s="90"/>
      <c r="I200" s="9"/>
      <c r="J200" s="102" t="e">
        <f ca="1">MAX(D194:D198,H194:H198)</f>
        <v>#VALUE!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16" ht="16.2" thickBot="1" x14ac:dyDescent="0.3"/>
    <row r="202" spans="2:16" x14ac:dyDescent="0.25">
      <c r="B202" s="257" t="s">
        <v>70</v>
      </c>
      <c r="C202" s="258"/>
      <c r="D202" s="259"/>
      <c r="E202" s="2"/>
      <c r="F202" s="257" t="str">
        <f>B202</f>
        <v>artwork</v>
      </c>
      <c r="G202" s="258"/>
      <c r="H202" s="259"/>
      <c r="I202" s="2"/>
      <c r="J202" s="115"/>
      <c r="L202" s="254" t="str">
        <f>F202</f>
        <v>artwork</v>
      </c>
      <c r="M202" s="255"/>
      <c r="N202" s="256"/>
      <c r="O202" s="195"/>
      <c r="P202" s="115"/>
    </row>
    <row r="203" spans="2:16" x14ac:dyDescent="0.25">
      <c r="B203" s="263" t="s">
        <v>52</v>
      </c>
      <c r="C203" s="264"/>
      <c r="D203" s="87" t="s">
        <v>53</v>
      </c>
      <c r="E203" s="21"/>
      <c r="F203" s="263" t="s">
        <v>52</v>
      </c>
      <c r="G203" s="264"/>
      <c r="H203" s="87" t="s">
        <v>53</v>
      </c>
      <c r="I203" s="9"/>
      <c r="J203" s="116" t="s">
        <v>54</v>
      </c>
      <c r="L203" s="260" t="s">
        <v>55</v>
      </c>
      <c r="M203" s="261"/>
      <c r="N203" s="262"/>
      <c r="O203" s="85"/>
      <c r="P203" s="3"/>
    </row>
    <row r="204" spans="2:16" x14ac:dyDescent="0.25">
      <c r="B204" s="191" t="s">
        <v>3</v>
      </c>
      <c r="C204" s="130" t="s">
        <v>56</v>
      </c>
      <c r="D204" s="86" t="s">
        <v>57</v>
      </c>
      <c r="E204" s="21"/>
      <c r="F204" s="191" t="s">
        <v>3</v>
      </c>
      <c r="G204" s="130" t="s">
        <v>56</v>
      </c>
      <c r="H204" s="86" t="s">
        <v>57</v>
      </c>
      <c r="I204" s="9"/>
      <c r="J204" s="93"/>
      <c r="L204" s="192" t="str">
        <f>CONCATENATE(B$2," ",L202)</f>
        <v>G-PCC v1 Anchor artwork</v>
      </c>
      <c r="M204" s="193" t="str">
        <f>CONCATENATE(F$2," ",L202)</f>
        <v>G-PCC v1 Proposal artwork</v>
      </c>
      <c r="N204" s="194" t="s">
        <v>58</v>
      </c>
      <c r="O204" s="2"/>
      <c r="P204" s="3" t="s">
        <v>49</v>
      </c>
    </row>
    <row r="205" spans="2:16" x14ac:dyDescent="0.25">
      <c r="B205" s="122" t="str">
        <f>B202</f>
        <v>artwork</v>
      </c>
      <c r="C205" s="130" t="s">
        <v>59</v>
      </c>
      <c r="D205" s="88" t="e">
        <f ca="1">0.001*INDIRECT($B205&amp;"!E5")</f>
        <v>#VALUE!</v>
      </c>
      <c r="E205" s="21"/>
      <c r="F205" s="122" t="str">
        <f>F202</f>
        <v>artwork</v>
      </c>
      <c r="G205" s="130" t="s">
        <v>59</v>
      </c>
      <c r="H205" s="88" t="e">
        <f ca="1">0.001*INDIRECT($B205&amp;"!AC5")</f>
        <v>#VALUE!</v>
      </c>
      <c r="I205" s="9"/>
      <c r="J205" s="22" t="e">
        <f ca="1">H205/D205-1</f>
        <v>#VALUE!</v>
      </c>
      <c r="L205" s="94" t="str">
        <f ca="1">INDIRECT($B205&amp;"!"&amp;L$3&amp;"5")</f>
        <v/>
      </c>
      <c r="M205" s="95" t="str">
        <f ca="1">INDIRECT($B205&amp;"!"&amp;M$3&amp;"5")</f>
        <v/>
      </c>
      <c r="N205" s="96" t="e">
        <f ca="1">M205-L205</f>
        <v>#VALUE!</v>
      </c>
      <c r="O205" s="21"/>
      <c r="P205" s="22" t="e">
        <f ca="1">bdRateExtend(D205:D209,L205:L209,H205:H209,M205:M209)</f>
        <v>#VALUE!</v>
      </c>
    </row>
    <row r="206" spans="2:16" x14ac:dyDescent="0.25">
      <c r="B206" s="122" t="str">
        <f>B205</f>
        <v>artwork</v>
      </c>
      <c r="C206" s="130" t="s">
        <v>60</v>
      </c>
      <c r="D206" s="88" t="e">
        <f ca="1">0.001*INDIRECT($B206&amp;"!E6")</f>
        <v>#VALUE!</v>
      </c>
      <c r="E206" s="21"/>
      <c r="F206" s="122" t="str">
        <f>F205</f>
        <v>artwork</v>
      </c>
      <c r="G206" s="130" t="s">
        <v>60</v>
      </c>
      <c r="H206" s="88" t="e">
        <f ca="1">0.001*INDIRECT($B206&amp;"!AC6")</f>
        <v>#VALUE!</v>
      </c>
      <c r="I206" s="9"/>
      <c r="J206" s="22" t="e">
        <f ca="1">H206/D206-1</f>
        <v>#VALUE!</v>
      </c>
      <c r="L206" s="94" t="str">
        <f ca="1">INDIRECT($B206&amp;"!"&amp;L$3&amp;"6")</f>
        <v/>
      </c>
      <c r="M206" s="95" t="str">
        <f ca="1">INDIRECT($B206&amp;"!"&amp;M$3&amp;"6")</f>
        <v/>
      </c>
      <c r="N206" s="96" t="e">
        <f ca="1">M206-L206</f>
        <v>#VALUE!</v>
      </c>
      <c r="O206" s="21"/>
      <c r="P206" s="3"/>
    </row>
    <row r="207" spans="2:16" x14ac:dyDescent="0.25">
      <c r="B207" s="122" t="str">
        <f>B206</f>
        <v>artwork</v>
      </c>
      <c r="C207" s="130" t="s">
        <v>61</v>
      </c>
      <c r="D207" s="88" t="e">
        <f ca="1">0.001*INDIRECT($B207&amp;"!E7")</f>
        <v>#VALUE!</v>
      </c>
      <c r="E207" s="21"/>
      <c r="F207" s="122" t="str">
        <f>F206</f>
        <v>artwork</v>
      </c>
      <c r="G207" s="130" t="s">
        <v>61</v>
      </c>
      <c r="H207" s="88" t="e">
        <f ca="1">0.001*INDIRECT($B207&amp;"!AC7")</f>
        <v>#VALUE!</v>
      </c>
      <c r="I207" s="9"/>
      <c r="J207" s="22" t="e">
        <f ca="1">H207/D207-1</f>
        <v>#VALUE!</v>
      </c>
      <c r="L207" s="94" t="str">
        <f ca="1">INDIRECT($B207&amp;"!"&amp;L$3&amp;"7")</f>
        <v/>
      </c>
      <c r="M207" s="95" t="str">
        <f ca="1">INDIRECT($B207&amp;"!"&amp;M$3&amp;"7")</f>
        <v/>
      </c>
      <c r="N207" s="96" t="e">
        <f ca="1">M207-L207</f>
        <v>#VALUE!</v>
      </c>
      <c r="O207" s="21"/>
      <c r="P207" s="3"/>
    </row>
    <row r="208" spans="2:16" x14ac:dyDescent="0.25">
      <c r="B208" s="122" t="str">
        <f>B207</f>
        <v>artwork</v>
      </c>
      <c r="C208" s="130" t="s">
        <v>62</v>
      </c>
      <c r="D208" s="88" t="e">
        <f ca="1">0.001*INDIRECT($B208&amp;"!E8")</f>
        <v>#VALUE!</v>
      </c>
      <c r="E208" s="21"/>
      <c r="F208" s="122" t="str">
        <f>F207</f>
        <v>artwork</v>
      </c>
      <c r="G208" s="130" t="s">
        <v>62</v>
      </c>
      <c r="H208" s="88" t="e">
        <f ca="1">0.001*INDIRECT($B208&amp;"!AC8")</f>
        <v>#VALUE!</v>
      </c>
      <c r="I208" s="9"/>
      <c r="J208" s="22" t="e">
        <f ca="1">H208/D208-1</f>
        <v>#VALUE!</v>
      </c>
      <c r="L208" s="94" t="str">
        <f ca="1">INDIRECT($B208&amp;"!"&amp;L$3&amp;"8")</f>
        <v/>
      </c>
      <c r="M208" s="95" t="str">
        <f ca="1">INDIRECT($B208&amp;"!"&amp;M$3&amp;"8")</f>
        <v/>
      </c>
      <c r="N208" s="96" t="e">
        <f ca="1">M208-L208</f>
        <v>#VALUE!</v>
      </c>
      <c r="O208" s="21"/>
      <c r="P208" s="22"/>
    </row>
    <row r="209" spans="2:16" ht="16.2" thickBot="1" x14ac:dyDescent="0.3">
      <c r="B209" s="122" t="str">
        <f>B208</f>
        <v>artwork</v>
      </c>
      <c r="C209" s="130" t="s">
        <v>63</v>
      </c>
      <c r="D209" s="88" t="e">
        <f ca="1">0.001*INDIRECT($B209&amp;"!E9")</f>
        <v>#VALUE!</v>
      </c>
      <c r="E209" s="21"/>
      <c r="F209" s="122" t="str">
        <f>F208</f>
        <v>artwork</v>
      </c>
      <c r="G209" s="130" t="s">
        <v>63</v>
      </c>
      <c r="H209" s="88" t="e">
        <f ca="1">0.001*INDIRECT($B209&amp;"!AC9")</f>
        <v>#VALUE!</v>
      </c>
      <c r="I209" s="9"/>
      <c r="J209" s="22" t="e">
        <f ca="1">H209/D209-1</f>
        <v>#VALUE!</v>
      </c>
      <c r="L209" s="94" t="str">
        <f ca="1">INDIRECT($B209&amp;"!"&amp;L$3&amp;"9")</f>
        <v/>
      </c>
      <c r="M209" s="95" t="str">
        <f ca="1">INDIRECT($B209&amp;"!"&amp;M$3&amp;"9")</f>
        <v/>
      </c>
      <c r="N209" s="96" t="e">
        <f ca="1">M209-L209</f>
        <v>#VALUE!</v>
      </c>
      <c r="O209" s="21"/>
      <c r="P209" s="26"/>
    </row>
    <row r="210" spans="2:16" x14ac:dyDescent="0.25">
      <c r="B210" s="109"/>
      <c r="C210" s="110"/>
      <c r="D210" s="91"/>
      <c r="F210" s="109"/>
      <c r="G210" s="110"/>
      <c r="H210" s="91"/>
      <c r="J210" s="98" t="e">
        <f ca="1">MIN(D205:D209,H205:H209)</f>
        <v>#VALUE!</v>
      </c>
      <c r="L210" s="99"/>
      <c r="M210" s="100"/>
      <c r="N210" s="101"/>
      <c r="O210" s="21"/>
      <c r="P210" s="115"/>
    </row>
    <row r="211" spans="2:16" ht="16.2" thickBot="1" x14ac:dyDescent="0.3">
      <c r="B211" s="89"/>
      <c r="C211" s="92"/>
      <c r="D211" s="90"/>
      <c r="E211" s="21"/>
      <c r="F211" s="89"/>
      <c r="G211" s="92"/>
      <c r="H211" s="90"/>
      <c r="I211" s="9"/>
      <c r="J211" s="102" t="e">
        <f ca="1">MAX(D205:D209,H205:H209)</f>
        <v>#VALUE!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16" ht="16.2" thickBot="1" x14ac:dyDescent="0.3"/>
    <row r="213" spans="2:16" x14ac:dyDescent="0.25">
      <c r="B213" s="257" t="s">
        <v>71</v>
      </c>
      <c r="C213" s="258"/>
      <c r="D213" s="259"/>
      <c r="E213" s="2"/>
      <c r="F213" s="257" t="str">
        <f>B213</f>
        <v>panda</v>
      </c>
      <c r="G213" s="258"/>
      <c r="H213" s="259"/>
      <c r="I213" s="2"/>
      <c r="J213" s="115"/>
      <c r="L213" s="254" t="str">
        <f>F213</f>
        <v>panda</v>
      </c>
      <c r="M213" s="255"/>
      <c r="N213" s="256"/>
      <c r="O213" s="195"/>
      <c r="P213" s="115"/>
    </row>
    <row r="214" spans="2:16" x14ac:dyDescent="0.25">
      <c r="B214" s="263" t="s">
        <v>52</v>
      </c>
      <c r="C214" s="264"/>
      <c r="D214" s="87" t="s">
        <v>53</v>
      </c>
      <c r="E214" s="21"/>
      <c r="F214" s="263" t="s">
        <v>52</v>
      </c>
      <c r="G214" s="264"/>
      <c r="H214" s="87" t="s">
        <v>53</v>
      </c>
      <c r="I214" s="9"/>
      <c r="J214" s="116" t="s">
        <v>54</v>
      </c>
      <c r="L214" s="260" t="s">
        <v>55</v>
      </c>
      <c r="M214" s="261"/>
      <c r="N214" s="262"/>
      <c r="O214" s="85"/>
      <c r="P214" s="3"/>
    </row>
    <row r="215" spans="2:16" x14ac:dyDescent="0.25">
      <c r="B215" s="191" t="s">
        <v>3</v>
      </c>
      <c r="C215" s="130" t="s">
        <v>56</v>
      </c>
      <c r="D215" s="86" t="s">
        <v>57</v>
      </c>
      <c r="E215" s="21"/>
      <c r="F215" s="191" t="s">
        <v>3</v>
      </c>
      <c r="G215" s="130" t="s">
        <v>56</v>
      </c>
      <c r="H215" s="86" t="s">
        <v>57</v>
      </c>
      <c r="I215" s="9"/>
      <c r="J215" s="93"/>
      <c r="L215" s="192" t="str">
        <f>CONCATENATE(B$2," ",L213)</f>
        <v>G-PCC v1 Anchor panda</v>
      </c>
      <c r="M215" s="193" t="str">
        <f>CONCATENATE(F$2," ",L213)</f>
        <v>G-PCC v1 Proposal panda</v>
      </c>
      <c r="N215" s="194" t="s">
        <v>58</v>
      </c>
      <c r="O215" s="2"/>
      <c r="P215" s="3" t="s">
        <v>49</v>
      </c>
    </row>
    <row r="216" spans="2:16" x14ac:dyDescent="0.25">
      <c r="B216" s="122" t="str">
        <f>B213</f>
        <v>panda</v>
      </c>
      <c r="C216" s="130" t="s">
        <v>59</v>
      </c>
      <c r="D216" s="88" t="e">
        <f ca="1">0.001*INDIRECT($B216&amp;"!E5")</f>
        <v>#VALUE!</v>
      </c>
      <c r="E216" s="21"/>
      <c r="F216" s="122" t="str">
        <f>F213</f>
        <v>panda</v>
      </c>
      <c r="G216" s="130" t="s">
        <v>59</v>
      </c>
      <c r="H216" s="88" t="e">
        <f ca="1">0.001*INDIRECT($B216&amp;"!AC5")</f>
        <v>#VALUE!</v>
      </c>
      <c r="I216" s="9"/>
      <c r="J216" s="22" t="e">
        <f ca="1">H216/D216-1</f>
        <v>#VALUE!</v>
      </c>
      <c r="L216" s="94" t="str">
        <f ca="1">INDIRECT($B216&amp;"!"&amp;L$3&amp;"5")</f>
        <v/>
      </c>
      <c r="M216" s="95" t="str">
        <f ca="1">INDIRECT($B216&amp;"!"&amp;M$3&amp;"5")</f>
        <v/>
      </c>
      <c r="N216" s="96" t="e">
        <f ca="1">M216-L216</f>
        <v>#VALUE!</v>
      </c>
      <c r="O216" s="21"/>
      <c r="P216" s="22" t="e">
        <f ca="1">bdRateExtend(D216:D220,L216:L220,H216:H220,M216:M220)</f>
        <v>#VALUE!</v>
      </c>
    </row>
    <row r="217" spans="2:16" x14ac:dyDescent="0.25">
      <c r="B217" s="122" t="str">
        <f>B216</f>
        <v>panda</v>
      </c>
      <c r="C217" s="130" t="s">
        <v>60</v>
      </c>
      <c r="D217" s="88" t="e">
        <f ca="1">0.001*INDIRECT($B217&amp;"!E6")</f>
        <v>#VALUE!</v>
      </c>
      <c r="E217" s="21"/>
      <c r="F217" s="122" t="str">
        <f>F216</f>
        <v>panda</v>
      </c>
      <c r="G217" s="130" t="s">
        <v>60</v>
      </c>
      <c r="H217" s="88" t="e">
        <f ca="1">0.001*INDIRECT($B217&amp;"!AC6")</f>
        <v>#VALUE!</v>
      </c>
      <c r="I217" s="9"/>
      <c r="J217" s="22" t="e">
        <f ca="1">H217/D217-1</f>
        <v>#VALUE!</v>
      </c>
      <c r="L217" s="94" t="str">
        <f ca="1">INDIRECT($B217&amp;"!"&amp;L$3&amp;"6")</f>
        <v/>
      </c>
      <c r="M217" s="95" t="str">
        <f ca="1">INDIRECT($B217&amp;"!"&amp;M$3&amp;"6")</f>
        <v/>
      </c>
      <c r="N217" s="96" t="e">
        <f ca="1">M217-L217</f>
        <v>#VALUE!</v>
      </c>
      <c r="O217" s="21"/>
      <c r="P217" s="3"/>
    </row>
    <row r="218" spans="2:16" x14ac:dyDescent="0.25">
      <c r="B218" s="122" t="str">
        <f>B217</f>
        <v>panda</v>
      </c>
      <c r="C218" s="130" t="s">
        <v>61</v>
      </c>
      <c r="D218" s="88" t="e">
        <f ca="1">0.001*INDIRECT($B218&amp;"!E7")</f>
        <v>#VALUE!</v>
      </c>
      <c r="E218" s="21"/>
      <c r="F218" s="122" t="str">
        <f>F217</f>
        <v>panda</v>
      </c>
      <c r="G218" s="130" t="s">
        <v>61</v>
      </c>
      <c r="H218" s="88" t="e">
        <f ca="1">0.001*INDIRECT($B218&amp;"!AC7")</f>
        <v>#VALUE!</v>
      </c>
      <c r="I218" s="9"/>
      <c r="J218" s="22" t="e">
        <f ca="1">H218/D218-1</f>
        <v>#VALUE!</v>
      </c>
      <c r="L218" s="94" t="str">
        <f ca="1">INDIRECT($B218&amp;"!"&amp;L$3&amp;"7")</f>
        <v/>
      </c>
      <c r="M218" s="95" t="str">
        <f ca="1">INDIRECT($B218&amp;"!"&amp;M$3&amp;"7")</f>
        <v/>
      </c>
      <c r="N218" s="96" t="e">
        <f ca="1">M218-L218</f>
        <v>#VALUE!</v>
      </c>
      <c r="O218" s="21"/>
      <c r="P218" s="3"/>
    </row>
    <row r="219" spans="2:16" x14ac:dyDescent="0.25">
      <c r="B219" s="122" t="str">
        <f>B218</f>
        <v>panda</v>
      </c>
      <c r="C219" s="130" t="s">
        <v>62</v>
      </c>
      <c r="D219" s="88" t="e">
        <f ca="1">0.001*INDIRECT($B219&amp;"!E8")</f>
        <v>#VALUE!</v>
      </c>
      <c r="E219" s="21"/>
      <c r="F219" s="122" t="str">
        <f>F218</f>
        <v>panda</v>
      </c>
      <c r="G219" s="130" t="s">
        <v>62</v>
      </c>
      <c r="H219" s="88" t="e">
        <f ca="1">0.001*INDIRECT($B219&amp;"!AC8")</f>
        <v>#VALUE!</v>
      </c>
      <c r="I219" s="9"/>
      <c r="J219" s="22" t="e">
        <f ca="1">H219/D219-1</f>
        <v>#VALUE!</v>
      </c>
      <c r="L219" s="94" t="str">
        <f ca="1">INDIRECT($B219&amp;"!"&amp;L$3&amp;"8")</f>
        <v/>
      </c>
      <c r="M219" s="95" t="str">
        <f ca="1">INDIRECT($B219&amp;"!"&amp;M$3&amp;"8")</f>
        <v/>
      </c>
      <c r="N219" s="96" t="e">
        <f ca="1">M219-L219</f>
        <v>#VALUE!</v>
      </c>
      <c r="O219" s="21"/>
      <c r="P219" s="22"/>
    </row>
    <row r="220" spans="2:16" ht="16.2" thickBot="1" x14ac:dyDescent="0.3">
      <c r="B220" s="122" t="str">
        <f>B219</f>
        <v>panda</v>
      </c>
      <c r="C220" s="130" t="s">
        <v>63</v>
      </c>
      <c r="D220" s="88" t="e">
        <f ca="1">0.001*INDIRECT($B220&amp;"!E9")</f>
        <v>#VALUE!</v>
      </c>
      <c r="E220" s="21"/>
      <c r="F220" s="122" t="str">
        <f>F219</f>
        <v>panda</v>
      </c>
      <c r="G220" s="130" t="s">
        <v>63</v>
      </c>
      <c r="H220" s="88" t="e">
        <f ca="1">0.001*INDIRECT($B220&amp;"!AC9")</f>
        <v>#VALUE!</v>
      </c>
      <c r="I220" s="9"/>
      <c r="J220" s="22" t="e">
        <f ca="1">H220/D220-1</f>
        <v>#VALUE!</v>
      </c>
      <c r="L220" s="94" t="str">
        <f ca="1">INDIRECT($B220&amp;"!"&amp;L$3&amp;"9")</f>
        <v/>
      </c>
      <c r="M220" s="95" t="str">
        <f ca="1">INDIRECT($B220&amp;"!"&amp;M$3&amp;"9")</f>
        <v/>
      </c>
      <c r="N220" s="96" t="e">
        <f ca="1">M220-L220</f>
        <v>#VALUE!</v>
      </c>
      <c r="O220" s="21"/>
      <c r="P220" s="26"/>
    </row>
    <row r="221" spans="2:16" x14ac:dyDescent="0.25">
      <c r="B221" s="109"/>
      <c r="C221" s="110"/>
      <c r="D221" s="91"/>
      <c r="F221" s="109"/>
      <c r="G221" s="110"/>
      <c r="H221" s="91"/>
      <c r="J221" s="98" t="e">
        <f ca="1">MIN(D216:D220,H216:H220)</f>
        <v>#VALUE!</v>
      </c>
      <c r="L221" s="99"/>
      <c r="M221" s="100"/>
      <c r="N221" s="101"/>
      <c r="O221" s="21"/>
      <c r="P221" s="115"/>
    </row>
    <row r="222" spans="2:16" ht="16.2" thickBot="1" x14ac:dyDescent="0.3">
      <c r="B222" s="89"/>
      <c r="C222" s="92"/>
      <c r="D222" s="90"/>
      <c r="E222" s="21"/>
      <c r="F222" s="89"/>
      <c r="G222" s="92"/>
      <c r="H222" s="90"/>
      <c r="I222" s="9"/>
      <c r="J222" s="102" t="e">
        <f ca="1">MAX(D216:D220,H216:H220)</f>
        <v>#VALUE!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16" ht="16.2" thickBot="1" x14ac:dyDescent="0.3"/>
    <row r="224" spans="2:16" x14ac:dyDescent="0.25">
      <c r="B224" s="257" t="s">
        <v>72</v>
      </c>
      <c r="C224" s="258"/>
      <c r="D224" s="259"/>
      <c r="E224" s="2"/>
      <c r="F224" s="257" t="str">
        <f>B224</f>
        <v>wukong</v>
      </c>
      <c r="G224" s="258"/>
      <c r="H224" s="259"/>
      <c r="I224" s="2"/>
      <c r="J224" s="115"/>
      <c r="L224" s="254" t="str">
        <f>F224</f>
        <v>wukong</v>
      </c>
      <c r="M224" s="255"/>
      <c r="N224" s="256"/>
      <c r="O224" s="195"/>
      <c r="P224" s="115"/>
    </row>
    <row r="225" spans="2:16" x14ac:dyDescent="0.25">
      <c r="B225" s="263" t="s">
        <v>52</v>
      </c>
      <c r="C225" s="264"/>
      <c r="D225" s="87" t="s">
        <v>53</v>
      </c>
      <c r="E225" s="21"/>
      <c r="F225" s="263" t="s">
        <v>52</v>
      </c>
      <c r="G225" s="264"/>
      <c r="H225" s="87" t="s">
        <v>53</v>
      </c>
      <c r="I225" s="9"/>
      <c r="J225" s="116" t="s">
        <v>54</v>
      </c>
      <c r="L225" s="260" t="s">
        <v>55</v>
      </c>
      <c r="M225" s="261"/>
      <c r="N225" s="262"/>
      <c r="O225" s="85"/>
      <c r="P225" s="3"/>
    </row>
    <row r="226" spans="2:16" x14ac:dyDescent="0.25">
      <c r="B226" s="191" t="s">
        <v>3</v>
      </c>
      <c r="C226" s="130" t="s">
        <v>56</v>
      </c>
      <c r="D226" s="86" t="s">
        <v>57</v>
      </c>
      <c r="E226" s="21"/>
      <c r="F226" s="191" t="s">
        <v>3</v>
      </c>
      <c r="G226" s="130" t="s">
        <v>56</v>
      </c>
      <c r="H226" s="86" t="s">
        <v>57</v>
      </c>
      <c r="I226" s="9"/>
      <c r="J226" s="93"/>
      <c r="L226" s="192" t="str">
        <f>CONCATENATE(B$2," ",L224)</f>
        <v>G-PCC v1 Anchor wukong</v>
      </c>
      <c r="M226" s="193" t="str">
        <f>CONCATENATE(F$2," ",L224)</f>
        <v>G-PCC v1 Proposal wukong</v>
      </c>
      <c r="N226" s="194" t="s">
        <v>58</v>
      </c>
      <c r="O226" s="2"/>
      <c r="P226" s="3" t="s">
        <v>49</v>
      </c>
    </row>
    <row r="227" spans="2:16" x14ac:dyDescent="0.25">
      <c r="B227" s="122" t="str">
        <f>B224</f>
        <v>wukong</v>
      </c>
      <c r="C227" s="130" t="s">
        <v>59</v>
      </c>
      <c r="D227" s="88" t="e">
        <f ca="1">0.001*INDIRECT($B227&amp;"!E5")</f>
        <v>#VALUE!</v>
      </c>
      <c r="E227" s="21"/>
      <c r="F227" s="122" t="str">
        <f>F224</f>
        <v>wukong</v>
      </c>
      <c r="G227" s="130" t="s">
        <v>59</v>
      </c>
      <c r="H227" s="88" t="e">
        <f ca="1">0.001*INDIRECT($B227&amp;"!AC5")</f>
        <v>#VALUE!</v>
      </c>
      <c r="I227" s="9"/>
      <c r="J227" s="22" t="e">
        <f ca="1">H227/D227-1</f>
        <v>#VALUE!</v>
      </c>
      <c r="L227" s="94" t="str">
        <f ca="1">INDIRECT($B227&amp;"!"&amp;L$3&amp;"5")</f>
        <v/>
      </c>
      <c r="M227" s="95" t="str">
        <f ca="1">INDIRECT($B227&amp;"!"&amp;M$3&amp;"5")</f>
        <v/>
      </c>
      <c r="N227" s="96" t="e">
        <f ca="1">M227-L227</f>
        <v>#VALUE!</v>
      </c>
      <c r="O227" s="21"/>
      <c r="P227" s="22" t="e">
        <f ca="1">bdRateExtend(D227:D231,L227:L231,H227:H231,M227:M231)</f>
        <v>#VALUE!</v>
      </c>
    </row>
    <row r="228" spans="2:16" x14ac:dyDescent="0.25">
      <c r="B228" s="122" t="str">
        <f>B227</f>
        <v>wukong</v>
      </c>
      <c r="C228" s="130" t="s">
        <v>60</v>
      </c>
      <c r="D228" s="88" t="e">
        <f ca="1">0.001*INDIRECT($B228&amp;"!E6")</f>
        <v>#VALUE!</v>
      </c>
      <c r="E228" s="21"/>
      <c r="F228" s="122" t="str">
        <f>F227</f>
        <v>wukong</v>
      </c>
      <c r="G228" s="130" t="s">
        <v>60</v>
      </c>
      <c r="H228" s="88" t="e">
        <f ca="1">0.001*INDIRECT($B228&amp;"!AC6")</f>
        <v>#VALUE!</v>
      </c>
      <c r="I228" s="9"/>
      <c r="J228" s="22" t="e">
        <f ca="1">H228/D228-1</f>
        <v>#VALUE!</v>
      </c>
      <c r="L228" s="94" t="str">
        <f ca="1">INDIRECT($B228&amp;"!"&amp;L$3&amp;"6")</f>
        <v/>
      </c>
      <c r="M228" s="95" t="str">
        <f ca="1">INDIRECT($B228&amp;"!"&amp;M$3&amp;"6")</f>
        <v/>
      </c>
      <c r="N228" s="96" t="e">
        <f ca="1">M228-L228</f>
        <v>#VALUE!</v>
      </c>
      <c r="O228" s="21"/>
      <c r="P228" s="3"/>
    </row>
    <row r="229" spans="2:16" x14ac:dyDescent="0.25">
      <c r="B229" s="122" t="str">
        <f>B228</f>
        <v>wukong</v>
      </c>
      <c r="C229" s="130" t="s">
        <v>61</v>
      </c>
      <c r="D229" s="88" t="e">
        <f ca="1">0.001*INDIRECT($B229&amp;"!E7")</f>
        <v>#VALUE!</v>
      </c>
      <c r="E229" s="21"/>
      <c r="F229" s="122" t="str">
        <f>F228</f>
        <v>wukong</v>
      </c>
      <c r="G229" s="130" t="s">
        <v>61</v>
      </c>
      <c r="H229" s="88" t="e">
        <f ca="1">0.001*INDIRECT($B229&amp;"!AC7")</f>
        <v>#VALUE!</v>
      </c>
      <c r="I229" s="9"/>
      <c r="J229" s="22" t="e">
        <f ca="1">H229/D229-1</f>
        <v>#VALUE!</v>
      </c>
      <c r="L229" s="94" t="str">
        <f ca="1">INDIRECT($B229&amp;"!"&amp;L$3&amp;"7")</f>
        <v/>
      </c>
      <c r="M229" s="95" t="str">
        <f ca="1">INDIRECT($B229&amp;"!"&amp;M$3&amp;"7")</f>
        <v/>
      </c>
      <c r="N229" s="96" t="e">
        <f ca="1">M229-L229</f>
        <v>#VALUE!</v>
      </c>
      <c r="O229" s="21"/>
      <c r="P229" s="3"/>
    </row>
    <row r="230" spans="2:16" x14ac:dyDescent="0.25">
      <c r="B230" s="122" t="str">
        <f>B229</f>
        <v>wukong</v>
      </c>
      <c r="C230" s="130" t="s">
        <v>62</v>
      </c>
      <c r="D230" s="88" t="e">
        <f ca="1">0.001*INDIRECT($B230&amp;"!E8")</f>
        <v>#VALUE!</v>
      </c>
      <c r="E230" s="21"/>
      <c r="F230" s="122" t="str">
        <f>F229</f>
        <v>wukong</v>
      </c>
      <c r="G230" s="130" t="s">
        <v>62</v>
      </c>
      <c r="H230" s="88" t="e">
        <f ca="1">0.001*INDIRECT($B230&amp;"!AC8")</f>
        <v>#VALUE!</v>
      </c>
      <c r="I230" s="9"/>
      <c r="J230" s="22" t="e">
        <f ca="1">H230/D230-1</f>
        <v>#VALUE!</v>
      </c>
      <c r="L230" s="94" t="str">
        <f ca="1">INDIRECT($B230&amp;"!"&amp;L$3&amp;"8")</f>
        <v/>
      </c>
      <c r="M230" s="95" t="str">
        <f ca="1">INDIRECT($B230&amp;"!"&amp;M$3&amp;"8")</f>
        <v/>
      </c>
      <c r="N230" s="96" t="e">
        <f ca="1">M230-L230</f>
        <v>#VALUE!</v>
      </c>
      <c r="O230" s="21"/>
      <c r="P230" s="22"/>
    </row>
    <row r="231" spans="2:16" ht="16.2" thickBot="1" x14ac:dyDescent="0.3">
      <c r="B231" s="122" t="str">
        <f>B230</f>
        <v>wukong</v>
      </c>
      <c r="C231" s="130" t="s">
        <v>63</v>
      </c>
      <c r="D231" s="88" t="e">
        <f ca="1">0.001*INDIRECT($B231&amp;"!E9")</f>
        <v>#VALUE!</v>
      </c>
      <c r="E231" s="21"/>
      <c r="F231" s="122" t="str">
        <f>F230</f>
        <v>wukong</v>
      </c>
      <c r="G231" s="130" t="s">
        <v>63</v>
      </c>
      <c r="H231" s="88" t="e">
        <f ca="1">0.001*INDIRECT($B231&amp;"!AC9")</f>
        <v>#VALUE!</v>
      </c>
      <c r="I231" s="9"/>
      <c r="J231" s="22" t="e">
        <f ca="1">H231/D231-1</f>
        <v>#VALUE!</v>
      </c>
      <c r="L231" s="94" t="str">
        <f ca="1">INDIRECT($B231&amp;"!"&amp;L$3&amp;"9")</f>
        <v/>
      </c>
      <c r="M231" s="95" t="str">
        <f ca="1">INDIRECT($B231&amp;"!"&amp;M$3&amp;"9")</f>
        <v/>
      </c>
      <c r="N231" s="96" t="e">
        <f ca="1">M231-L231</f>
        <v>#VALUE!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 t="e">
        <f ca="1">MIN(D227:D231,H227:H231)</f>
        <v>#VALUE!</v>
      </c>
      <c r="L232" s="99"/>
      <c r="M232" s="100"/>
      <c r="N232" s="101"/>
      <c r="O232" s="21"/>
      <c r="P232" s="115"/>
    </row>
    <row r="233" spans="2:16" ht="16.2" thickBot="1" x14ac:dyDescent="0.3">
      <c r="B233" s="89"/>
      <c r="C233" s="92"/>
      <c r="D233" s="90"/>
      <c r="E233" s="21"/>
      <c r="F233" s="89"/>
      <c r="G233" s="92"/>
      <c r="H233" s="90"/>
      <c r="I233" s="9"/>
      <c r="J233" s="102" t="e">
        <f ca="1">MAX(D227:D231,H227:H231)</f>
        <v>#VALUE!</v>
      </c>
      <c r="L233" s="103">
        <f>L232</f>
        <v>0</v>
      </c>
      <c r="M233" s="104">
        <f>M232</f>
        <v>0</v>
      </c>
      <c r="N233" s="97"/>
      <c r="O233" s="21"/>
      <c r="P233" s="5"/>
    </row>
    <row r="234" spans="2:16" ht="16.2" thickBot="1" x14ac:dyDescent="0.3"/>
    <row r="235" spans="2:16" x14ac:dyDescent="0.25">
      <c r="B235" s="257"/>
      <c r="C235" s="258"/>
      <c r="D235" s="259"/>
      <c r="E235" s="2"/>
      <c r="F235" s="257"/>
      <c r="G235" s="258"/>
      <c r="H235" s="259"/>
      <c r="I235" s="2"/>
      <c r="J235" s="115"/>
      <c r="L235" s="254"/>
      <c r="M235" s="255"/>
      <c r="N235" s="256"/>
      <c r="O235" s="195"/>
      <c r="P235" s="115"/>
    </row>
    <row r="236" spans="2:16" x14ac:dyDescent="0.25">
      <c r="B236" s="263"/>
      <c r="C236" s="264"/>
      <c r="D236" s="87"/>
      <c r="E236" s="21"/>
      <c r="F236" s="263"/>
      <c r="G236" s="264"/>
      <c r="H236" s="87"/>
      <c r="I236" s="9"/>
      <c r="J236" s="116"/>
      <c r="L236" s="260"/>
      <c r="M236" s="261"/>
      <c r="N236" s="262"/>
      <c r="O236" s="85"/>
      <c r="P236" s="3"/>
    </row>
    <row r="237" spans="2:16" x14ac:dyDescent="0.25">
      <c r="B237" s="191"/>
      <c r="C237" s="130"/>
      <c r="D237" s="86"/>
      <c r="E237" s="21"/>
      <c r="F237" s="191"/>
      <c r="G237" s="130"/>
      <c r="H237" s="86"/>
      <c r="I237" s="9"/>
      <c r="J237" s="93"/>
      <c r="L237" s="192"/>
      <c r="M237" s="193"/>
      <c r="N237" s="194"/>
      <c r="O237" s="2"/>
      <c r="P237" s="3"/>
    </row>
    <row r="238" spans="2:16" x14ac:dyDescent="0.25">
      <c r="B238" s="122"/>
      <c r="C238" s="130"/>
      <c r="D238" s="88"/>
      <c r="E238" s="21"/>
      <c r="F238" s="122"/>
      <c r="G238" s="130"/>
      <c r="H238" s="88"/>
      <c r="I238" s="9"/>
      <c r="J238" s="22"/>
      <c r="L238" s="94"/>
      <c r="M238" s="95"/>
      <c r="N238" s="96"/>
      <c r="O238" s="21"/>
      <c r="P238" s="22"/>
    </row>
    <row r="239" spans="2:16" x14ac:dyDescent="0.25">
      <c r="B239" s="122"/>
      <c r="C239" s="130"/>
      <c r="D239" s="88"/>
      <c r="E239" s="21"/>
      <c r="F239" s="122"/>
      <c r="G239" s="130"/>
      <c r="H239" s="88"/>
      <c r="I239" s="9"/>
      <c r="J239" s="22"/>
      <c r="L239" s="94"/>
      <c r="M239" s="95"/>
      <c r="N239" s="96"/>
      <c r="O239" s="21"/>
      <c r="P239" s="3"/>
    </row>
    <row r="240" spans="2:16" x14ac:dyDescent="0.25">
      <c r="B240" s="122"/>
      <c r="C240" s="130"/>
      <c r="D240" s="88"/>
      <c r="E240" s="21"/>
      <c r="F240" s="122"/>
      <c r="G240" s="130"/>
      <c r="H240" s="88"/>
      <c r="I240" s="9"/>
      <c r="J240" s="22"/>
      <c r="L240" s="94"/>
      <c r="M240" s="95"/>
      <c r="N240" s="96"/>
      <c r="O240" s="21"/>
      <c r="P240" s="3"/>
    </row>
    <row r="241" spans="2:16" x14ac:dyDescent="0.25">
      <c r="B241" s="122"/>
      <c r="C241" s="130"/>
      <c r="D241" s="88"/>
      <c r="E241" s="21"/>
      <c r="F241" s="122"/>
      <c r="G241" s="130"/>
      <c r="H241" s="88"/>
      <c r="I241" s="9"/>
      <c r="J241" s="22"/>
      <c r="L241" s="94"/>
      <c r="M241" s="95"/>
      <c r="N241" s="96"/>
      <c r="O241" s="21"/>
      <c r="P241" s="22"/>
    </row>
    <row r="242" spans="2:16" ht="16.2" thickBot="1" x14ac:dyDescent="0.3">
      <c r="B242" s="122"/>
      <c r="C242" s="130"/>
      <c r="D242" s="88"/>
      <c r="E242" s="21"/>
      <c r="F242" s="122"/>
      <c r="G242" s="130"/>
      <c r="H242" s="88"/>
      <c r="I242" s="9"/>
      <c r="J242" s="22"/>
      <c r="L242" s="94"/>
      <c r="M242" s="95"/>
      <c r="N242" s="96"/>
      <c r="O242" s="21"/>
      <c r="P242" s="26"/>
    </row>
    <row r="243" spans="2:16" x14ac:dyDescent="0.25">
      <c r="B243" s="109"/>
      <c r="C243" s="110"/>
      <c r="D243" s="91"/>
      <c r="F243" s="109"/>
      <c r="G243" s="110"/>
      <c r="H243" s="91"/>
      <c r="J243" s="98"/>
      <c r="L243" s="99"/>
      <c r="M243" s="100"/>
      <c r="N243" s="101"/>
      <c r="O243" s="21"/>
      <c r="P243" s="115"/>
    </row>
    <row r="244" spans="2:16" ht="16.2" thickBot="1" x14ac:dyDescent="0.3">
      <c r="B244" s="89"/>
      <c r="C244" s="92"/>
      <c r="D244" s="90"/>
      <c r="E244" s="21"/>
      <c r="F244" s="89"/>
      <c r="G244" s="92"/>
      <c r="H244" s="90"/>
      <c r="I244" s="9"/>
      <c r="J244" s="102"/>
      <c r="L244" s="103"/>
      <c r="M244" s="104"/>
      <c r="N244" s="97"/>
      <c r="O244" s="21"/>
      <c r="P244" s="5"/>
    </row>
    <row r="245" spans="2:16" ht="16.2" thickBot="1" x14ac:dyDescent="0.3"/>
    <row r="246" spans="2:16" x14ac:dyDescent="0.25">
      <c r="B246" s="257"/>
      <c r="C246" s="258"/>
      <c r="D246" s="259"/>
      <c r="E246" s="2"/>
      <c r="F246" s="257"/>
      <c r="G246" s="258"/>
      <c r="H246" s="259"/>
      <c r="I246" s="2"/>
      <c r="J246" s="115"/>
      <c r="L246" s="254"/>
      <c r="M246" s="255"/>
      <c r="N246" s="256"/>
      <c r="O246" s="195"/>
      <c r="P246" s="115"/>
    </row>
    <row r="247" spans="2:16" x14ac:dyDescent="0.25">
      <c r="B247" s="263"/>
      <c r="C247" s="264"/>
      <c r="D247" s="87"/>
      <c r="E247" s="21"/>
      <c r="F247" s="263"/>
      <c r="G247" s="264"/>
      <c r="H247" s="87"/>
      <c r="I247" s="9"/>
      <c r="J247" s="116"/>
      <c r="L247" s="260"/>
      <c r="M247" s="261"/>
      <c r="N247" s="262"/>
      <c r="O247" s="85"/>
      <c r="P247" s="3"/>
    </row>
    <row r="248" spans="2:16" x14ac:dyDescent="0.25">
      <c r="B248" s="191"/>
      <c r="C248" s="130"/>
      <c r="D248" s="86"/>
      <c r="E248" s="21"/>
      <c r="F248" s="191"/>
      <c r="G248" s="130"/>
      <c r="H248" s="86"/>
      <c r="I248" s="9"/>
      <c r="J248" s="93"/>
      <c r="L248" s="192"/>
      <c r="M248" s="193"/>
      <c r="N248" s="194"/>
      <c r="O248" s="2"/>
      <c r="P248" s="3"/>
    </row>
    <row r="249" spans="2:16" x14ac:dyDescent="0.25">
      <c r="B249" s="122"/>
      <c r="C249" s="130"/>
      <c r="D249" s="88"/>
      <c r="E249" s="21"/>
      <c r="F249" s="122"/>
      <c r="G249" s="130"/>
      <c r="H249" s="88"/>
      <c r="I249" s="9"/>
      <c r="J249" s="22"/>
      <c r="L249" s="94"/>
      <c r="M249" s="95"/>
      <c r="N249" s="96"/>
      <c r="O249" s="21"/>
      <c r="P249" s="22"/>
    </row>
    <row r="250" spans="2:16" x14ac:dyDescent="0.25">
      <c r="B250" s="122"/>
      <c r="C250" s="130"/>
      <c r="D250" s="88"/>
      <c r="E250" s="21"/>
      <c r="F250" s="122"/>
      <c r="G250" s="130"/>
      <c r="H250" s="88"/>
      <c r="I250" s="9"/>
      <c r="J250" s="22"/>
      <c r="L250" s="94"/>
      <c r="M250" s="95"/>
      <c r="N250" s="96"/>
      <c r="O250" s="21"/>
      <c r="P250" s="3"/>
    </row>
    <row r="251" spans="2:16" x14ac:dyDescent="0.25">
      <c r="B251" s="122"/>
      <c r="C251" s="130"/>
      <c r="D251" s="88"/>
      <c r="E251" s="21"/>
      <c r="F251" s="122"/>
      <c r="G251" s="130"/>
      <c r="H251" s="88"/>
      <c r="I251" s="9"/>
      <c r="J251" s="22"/>
      <c r="L251" s="94"/>
      <c r="M251" s="95"/>
      <c r="N251" s="96"/>
      <c r="O251" s="21"/>
      <c r="P251" s="3"/>
    </row>
    <row r="252" spans="2:16" x14ac:dyDescent="0.25">
      <c r="B252" s="122"/>
      <c r="C252" s="130"/>
      <c r="D252" s="88"/>
      <c r="E252" s="21"/>
      <c r="F252" s="122"/>
      <c r="G252" s="130"/>
      <c r="H252" s="88"/>
      <c r="I252" s="9"/>
      <c r="J252" s="22"/>
      <c r="L252" s="94"/>
      <c r="M252" s="95"/>
      <c r="N252" s="96"/>
      <c r="O252" s="21"/>
      <c r="P252" s="22"/>
    </row>
    <row r="253" spans="2:16" ht="16.2" thickBot="1" x14ac:dyDescent="0.3">
      <c r="B253" s="122"/>
      <c r="C253" s="130"/>
      <c r="D253" s="88"/>
      <c r="E253" s="21"/>
      <c r="F253" s="122"/>
      <c r="G253" s="130"/>
      <c r="H253" s="88"/>
      <c r="I253" s="9"/>
      <c r="J253" s="22"/>
      <c r="L253" s="94"/>
      <c r="M253" s="95"/>
      <c r="N253" s="96"/>
      <c r="O253" s="21"/>
      <c r="P253" s="26"/>
    </row>
    <row r="254" spans="2:16" x14ac:dyDescent="0.25">
      <c r="B254" s="109"/>
      <c r="C254" s="110"/>
      <c r="D254" s="91"/>
      <c r="F254" s="109"/>
      <c r="G254" s="110"/>
      <c r="H254" s="91"/>
      <c r="J254" s="98"/>
      <c r="L254" s="99"/>
      <c r="M254" s="100"/>
      <c r="N254" s="101"/>
      <c r="O254" s="21"/>
      <c r="P254" s="115"/>
    </row>
    <row r="255" spans="2:16" ht="16.2" thickBot="1" x14ac:dyDescent="0.3">
      <c r="B255" s="89"/>
      <c r="C255" s="92"/>
      <c r="D255" s="90"/>
      <c r="E255" s="21"/>
      <c r="F255" s="89"/>
      <c r="G255" s="92"/>
      <c r="H255" s="90"/>
      <c r="I255" s="9"/>
      <c r="J255" s="102"/>
      <c r="L255" s="103"/>
      <c r="M255" s="104"/>
      <c r="N255" s="97"/>
      <c r="O255" s="21"/>
      <c r="P255" s="5"/>
    </row>
    <row r="256" spans="2:16" ht="16.2" thickBot="1" x14ac:dyDescent="0.3"/>
    <row r="257" spans="2:16" x14ac:dyDescent="0.25">
      <c r="B257" s="257"/>
      <c r="C257" s="258"/>
      <c r="D257" s="259"/>
      <c r="E257" s="2"/>
      <c r="F257" s="257"/>
      <c r="G257" s="258"/>
      <c r="H257" s="259"/>
      <c r="I257" s="2"/>
      <c r="J257" s="115"/>
      <c r="L257" s="254"/>
      <c r="M257" s="255"/>
      <c r="N257" s="256"/>
      <c r="O257" s="195"/>
      <c r="P257" s="115"/>
    </row>
    <row r="258" spans="2:16" x14ac:dyDescent="0.25">
      <c r="B258" s="263"/>
      <c r="C258" s="264"/>
      <c r="D258" s="87"/>
      <c r="E258" s="21"/>
      <c r="F258" s="263"/>
      <c r="G258" s="264"/>
      <c r="H258" s="87"/>
      <c r="I258" s="9"/>
      <c r="J258" s="116"/>
      <c r="L258" s="260"/>
      <c r="M258" s="261"/>
      <c r="N258" s="262"/>
      <c r="O258" s="85"/>
      <c r="P258" s="3"/>
    </row>
    <row r="259" spans="2:16" x14ac:dyDescent="0.25">
      <c r="B259" s="191"/>
      <c r="C259" s="130"/>
      <c r="D259" s="86"/>
      <c r="E259" s="21"/>
      <c r="F259" s="191"/>
      <c r="G259" s="130"/>
      <c r="H259" s="86"/>
      <c r="I259" s="9"/>
      <c r="J259" s="93"/>
      <c r="L259" s="192"/>
      <c r="M259" s="193"/>
      <c r="N259" s="194"/>
      <c r="O259" s="2"/>
      <c r="P259" s="3"/>
    </row>
    <row r="260" spans="2:16" x14ac:dyDescent="0.25">
      <c r="B260" s="122"/>
      <c r="C260" s="130"/>
      <c r="D260" s="88"/>
      <c r="E260" s="21"/>
      <c r="F260" s="122"/>
      <c r="G260" s="130"/>
      <c r="H260" s="88"/>
      <c r="I260" s="9"/>
      <c r="J260" s="22"/>
      <c r="L260" s="94"/>
      <c r="M260" s="95"/>
      <c r="N260" s="96"/>
      <c r="O260" s="21"/>
      <c r="P260" s="22"/>
    </row>
    <row r="261" spans="2:16" x14ac:dyDescent="0.25">
      <c r="B261" s="122"/>
      <c r="C261" s="130"/>
      <c r="D261" s="88"/>
      <c r="E261" s="21"/>
      <c r="F261" s="122"/>
      <c r="G261" s="130"/>
      <c r="H261" s="88"/>
      <c r="I261" s="9"/>
      <c r="J261" s="22"/>
      <c r="L261" s="94"/>
      <c r="M261" s="95"/>
      <c r="N261" s="96"/>
      <c r="O261" s="21"/>
      <c r="P261" s="3"/>
    </row>
    <row r="262" spans="2:16" x14ac:dyDescent="0.25">
      <c r="B262" s="122"/>
      <c r="C262" s="130"/>
      <c r="D262" s="88"/>
      <c r="E262" s="21"/>
      <c r="F262" s="122"/>
      <c r="G262" s="130"/>
      <c r="H262" s="88"/>
      <c r="I262" s="9"/>
      <c r="J262" s="22"/>
      <c r="L262" s="94"/>
      <c r="M262" s="95"/>
      <c r="N262" s="96"/>
      <c r="O262" s="21"/>
      <c r="P262" s="3"/>
    </row>
    <row r="263" spans="2:16" x14ac:dyDescent="0.25">
      <c r="B263" s="122"/>
      <c r="C263" s="130"/>
      <c r="D263" s="88"/>
      <c r="E263" s="21"/>
      <c r="F263" s="122"/>
      <c r="G263" s="130"/>
      <c r="H263" s="88"/>
      <c r="I263" s="9"/>
      <c r="J263" s="22"/>
      <c r="L263" s="94"/>
      <c r="M263" s="95"/>
      <c r="N263" s="96"/>
      <c r="O263" s="21"/>
      <c r="P263" s="22"/>
    </row>
    <row r="264" spans="2:16" ht="16.2" thickBot="1" x14ac:dyDescent="0.3">
      <c r="B264" s="122"/>
      <c r="C264" s="130"/>
      <c r="D264" s="88"/>
      <c r="E264" s="21"/>
      <c r="F264" s="122"/>
      <c r="G264" s="130"/>
      <c r="H264" s="88"/>
      <c r="I264" s="9"/>
      <c r="J264" s="22"/>
      <c r="L264" s="94"/>
      <c r="M264" s="95"/>
      <c r="N264" s="96"/>
      <c r="O264" s="21"/>
      <c r="P264" s="26"/>
    </row>
    <row r="265" spans="2:16" x14ac:dyDescent="0.25">
      <c r="B265" s="109"/>
      <c r="C265" s="110"/>
      <c r="D265" s="91"/>
      <c r="F265" s="109"/>
      <c r="G265" s="110"/>
      <c r="H265" s="91"/>
      <c r="J265" s="98"/>
      <c r="L265" s="99"/>
      <c r="M265" s="100"/>
      <c r="N265" s="101"/>
      <c r="O265" s="21"/>
      <c r="P265" s="115"/>
    </row>
    <row r="266" spans="2:16" ht="16.2" thickBot="1" x14ac:dyDescent="0.3">
      <c r="B266" s="89"/>
      <c r="C266" s="92"/>
      <c r="D266" s="90"/>
      <c r="E266" s="21"/>
      <c r="F266" s="89"/>
      <c r="G266" s="92"/>
      <c r="H266" s="90"/>
      <c r="I266" s="9"/>
      <c r="J266" s="102"/>
      <c r="L266" s="103"/>
      <c r="M266" s="104"/>
      <c r="N266" s="97"/>
      <c r="O266" s="21"/>
      <c r="P266" s="5"/>
    </row>
    <row r="267" spans="2:16" ht="16.2" thickBot="1" x14ac:dyDescent="0.3"/>
    <row r="268" spans="2:16" x14ac:dyDescent="0.25">
      <c r="B268" s="223"/>
      <c r="C268" s="224"/>
      <c r="D268" s="225"/>
      <c r="E268" s="2"/>
      <c r="F268" s="223"/>
      <c r="G268" s="224"/>
      <c r="H268" s="225"/>
      <c r="I268" s="2"/>
      <c r="J268" s="115"/>
      <c r="L268" s="115"/>
      <c r="M268" s="226"/>
      <c r="N268" s="227"/>
      <c r="O268" s="195"/>
      <c r="P268" s="115"/>
    </row>
    <row r="269" spans="2:16" x14ac:dyDescent="0.25">
      <c r="B269" s="228"/>
      <c r="C269" s="114"/>
      <c r="D269" s="87"/>
      <c r="E269" s="21"/>
      <c r="F269" s="228"/>
      <c r="G269" s="114"/>
      <c r="H269" s="87"/>
      <c r="I269" s="9"/>
      <c r="J269" s="116"/>
      <c r="L269" s="116"/>
      <c r="M269" s="112"/>
      <c r="N269" s="229"/>
      <c r="O269" s="85"/>
      <c r="P269" s="3"/>
    </row>
    <row r="270" spans="2:16" x14ac:dyDescent="0.25">
      <c r="B270" s="191"/>
      <c r="C270" s="130"/>
      <c r="D270" s="86"/>
      <c r="E270" s="21"/>
      <c r="F270" s="191"/>
      <c r="G270" s="130"/>
      <c r="H270" s="86"/>
      <c r="I270" s="9"/>
      <c r="J270" s="93"/>
      <c r="L270" s="192"/>
      <c r="M270" s="193"/>
      <c r="N270" s="194"/>
      <c r="O270" s="2"/>
      <c r="P270" s="3"/>
    </row>
    <row r="271" spans="2:16" x14ac:dyDescent="0.25">
      <c r="B271" s="122"/>
      <c r="C271" s="130"/>
      <c r="D271" s="88"/>
      <c r="E271" s="21"/>
      <c r="F271" s="122"/>
      <c r="G271" s="130"/>
      <c r="H271" s="88"/>
      <c r="I271" s="9"/>
      <c r="J271" s="22"/>
      <c r="L271" s="94"/>
      <c r="M271" s="95"/>
      <c r="N271" s="96"/>
      <c r="O271" s="21"/>
      <c r="P271" s="22"/>
    </row>
    <row r="272" spans="2:16" x14ac:dyDescent="0.25">
      <c r="B272" s="122"/>
      <c r="C272" s="130"/>
      <c r="D272" s="88"/>
      <c r="E272" s="21"/>
      <c r="F272" s="122"/>
      <c r="G272" s="130"/>
      <c r="H272" s="88"/>
      <c r="I272" s="9"/>
      <c r="J272" s="22"/>
      <c r="L272" s="94"/>
      <c r="M272" s="95"/>
      <c r="N272" s="96"/>
      <c r="O272" s="21"/>
      <c r="P272" s="3"/>
    </row>
    <row r="273" spans="2:16" x14ac:dyDescent="0.25">
      <c r="B273" s="122"/>
      <c r="C273" s="130"/>
      <c r="D273" s="88"/>
      <c r="E273" s="21"/>
      <c r="F273" s="122"/>
      <c r="G273" s="130"/>
      <c r="H273" s="88"/>
      <c r="I273" s="9"/>
      <c r="J273" s="22"/>
      <c r="L273" s="94"/>
      <c r="M273" s="95"/>
      <c r="N273" s="96"/>
      <c r="O273" s="21"/>
      <c r="P273" s="3"/>
    </row>
    <row r="274" spans="2:16" x14ac:dyDescent="0.25">
      <c r="B274" s="122"/>
      <c r="C274" s="130"/>
      <c r="D274" s="88"/>
      <c r="E274" s="21"/>
      <c r="F274" s="122"/>
      <c r="G274" s="130"/>
      <c r="H274" s="88"/>
      <c r="I274" s="9"/>
      <c r="J274" s="22"/>
      <c r="L274" s="94"/>
      <c r="M274" s="95"/>
      <c r="N274" s="96"/>
      <c r="O274" s="21"/>
      <c r="P274" s="22"/>
    </row>
    <row r="275" spans="2:16" ht="16.2" thickBot="1" x14ac:dyDescent="0.3">
      <c r="B275" s="122"/>
      <c r="C275" s="130"/>
      <c r="D275" s="88"/>
      <c r="E275" s="21"/>
      <c r="F275" s="122"/>
      <c r="G275" s="130"/>
      <c r="H275" s="88"/>
      <c r="I275" s="9"/>
      <c r="J275" s="22"/>
      <c r="L275" s="94"/>
      <c r="M275" s="95"/>
      <c r="N275" s="96"/>
      <c r="O275" s="21"/>
      <c r="P275" s="26"/>
    </row>
    <row r="276" spans="2:16" x14ac:dyDescent="0.25">
      <c r="B276" s="109"/>
      <c r="C276" s="110"/>
      <c r="D276" s="91"/>
      <c r="F276" s="109"/>
      <c r="G276" s="110"/>
      <c r="H276" s="91"/>
      <c r="J276" s="98"/>
      <c r="L276" s="99"/>
      <c r="M276" s="100"/>
      <c r="N276" s="101"/>
      <c r="O276" s="21"/>
      <c r="P276" s="115"/>
    </row>
    <row r="277" spans="2:16" ht="16.2" thickBot="1" x14ac:dyDescent="0.3">
      <c r="B277" s="89"/>
      <c r="C277" s="92"/>
      <c r="D277" s="90"/>
      <c r="E277" s="21"/>
      <c r="F277" s="89"/>
      <c r="G277" s="92"/>
      <c r="H277" s="90"/>
      <c r="I277" s="9"/>
      <c r="J277" s="102"/>
      <c r="L277" s="103"/>
      <c r="M277" s="104"/>
      <c r="N277" s="97"/>
      <c r="O277" s="21"/>
      <c r="P277" s="5"/>
    </row>
  </sheetData>
  <mergeCells count="177">
    <mergeCell ref="B71:C71"/>
    <mergeCell ref="F71:G71"/>
    <mergeCell ref="L71:N71"/>
    <mergeCell ref="R71:T71"/>
    <mergeCell ref="X71:Z71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X15:Z1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X92:Z92"/>
    <mergeCell ref="B93:C93"/>
    <mergeCell ref="F93:G93"/>
    <mergeCell ref="L93:N93"/>
    <mergeCell ref="R93:T93"/>
    <mergeCell ref="X93:Z93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114:D114"/>
    <mergeCell ref="F114:H114"/>
    <mergeCell ref="L114:N114"/>
    <mergeCell ref="B115:C115"/>
    <mergeCell ref="F115:G115"/>
    <mergeCell ref="L115:N115"/>
    <mergeCell ref="X4:Z4"/>
    <mergeCell ref="B5:C5"/>
    <mergeCell ref="F5:G5"/>
    <mergeCell ref="L5:N5"/>
    <mergeCell ref="R5:T5"/>
    <mergeCell ref="X5:Z5"/>
    <mergeCell ref="B103:D103"/>
    <mergeCell ref="F103:H103"/>
    <mergeCell ref="L103:N103"/>
    <mergeCell ref="X103:Z103"/>
    <mergeCell ref="B104:C104"/>
    <mergeCell ref="F104:G104"/>
    <mergeCell ref="L104:N104"/>
    <mergeCell ref="R104:T104"/>
    <mergeCell ref="X104:Z104"/>
    <mergeCell ref="B92:D92"/>
    <mergeCell ref="F92:H92"/>
    <mergeCell ref="L92:N92"/>
    <mergeCell ref="B136:D136"/>
    <mergeCell ref="F136:H136"/>
    <mergeCell ref="L136:N136"/>
    <mergeCell ref="B137:C137"/>
    <mergeCell ref="F137:G137"/>
    <mergeCell ref="L137:N137"/>
    <mergeCell ref="B125:D125"/>
    <mergeCell ref="F125:H125"/>
    <mergeCell ref="L125:N125"/>
    <mergeCell ref="B126:C126"/>
    <mergeCell ref="F126:G126"/>
    <mergeCell ref="L126:N126"/>
    <mergeCell ref="L258:N258"/>
    <mergeCell ref="F258:G258"/>
    <mergeCell ref="B258:C258"/>
    <mergeCell ref="L257:N257"/>
    <mergeCell ref="F257:H257"/>
    <mergeCell ref="B257:D257"/>
    <mergeCell ref="L247:N247"/>
    <mergeCell ref="F247:G247"/>
    <mergeCell ref="B247:C247"/>
    <mergeCell ref="L246:N246"/>
    <mergeCell ref="F246:H246"/>
    <mergeCell ref="B246:D246"/>
    <mergeCell ref="L236:N236"/>
    <mergeCell ref="F236:G236"/>
    <mergeCell ref="B236:C236"/>
    <mergeCell ref="L235:N235"/>
    <mergeCell ref="F235:H235"/>
    <mergeCell ref="B235:D235"/>
    <mergeCell ref="L225:N225"/>
    <mergeCell ref="F225:G225"/>
    <mergeCell ref="B225:C225"/>
    <mergeCell ref="L224:N224"/>
    <mergeCell ref="F224:H224"/>
    <mergeCell ref="B224:D224"/>
    <mergeCell ref="L214:N214"/>
    <mergeCell ref="F214:G214"/>
    <mergeCell ref="B214:C214"/>
    <mergeCell ref="L213:N213"/>
    <mergeCell ref="F213:H213"/>
    <mergeCell ref="B213:D213"/>
    <mergeCell ref="L203:N203"/>
    <mergeCell ref="F203:G203"/>
    <mergeCell ref="B203:C203"/>
    <mergeCell ref="L202:N202"/>
    <mergeCell ref="F202:H202"/>
    <mergeCell ref="B202:D202"/>
    <mergeCell ref="L192:N192"/>
    <mergeCell ref="F192:G192"/>
    <mergeCell ref="B192:C192"/>
    <mergeCell ref="L191:N191"/>
    <mergeCell ref="F191:H191"/>
    <mergeCell ref="B191:D191"/>
    <mergeCell ref="L181:N181"/>
    <mergeCell ref="F181:G181"/>
    <mergeCell ref="B181:C181"/>
    <mergeCell ref="L180:N180"/>
    <mergeCell ref="F180:H180"/>
    <mergeCell ref="B180:D180"/>
    <mergeCell ref="L170:N170"/>
    <mergeCell ref="F170:G170"/>
    <mergeCell ref="B170:C170"/>
    <mergeCell ref="L169:N169"/>
    <mergeCell ref="F169:H169"/>
    <mergeCell ref="B169:D169"/>
    <mergeCell ref="L147:N147"/>
    <mergeCell ref="F147:H147"/>
    <mergeCell ref="B147:D147"/>
    <mergeCell ref="L159:N159"/>
    <mergeCell ref="F159:G159"/>
    <mergeCell ref="B159:C159"/>
    <mergeCell ref="L158:N158"/>
    <mergeCell ref="F158:H158"/>
    <mergeCell ref="B158:D158"/>
    <mergeCell ref="L148:N148"/>
    <mergeCell ref="F148:G148"/>
    <mergeCell ref="B148:C148"/>
  </mergeCells>
  <phoneticPr fontId="22" type="noConversion"/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dxfId="1779" priority="1871" stopIfTrue="1" operator="lessThan">
      <formula>-0.01</formula>
    </cfRule>
    <cfRule type="cellIs" dxfId="1778" priority="1872" stopIfTrue="1" operator="greaterThan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dxfId="1777" priority="1866" operator="greaterThan">
      <formula>0.03</formula>
    </cfRule>
    <cfRule type="cellIs" dxfId="1776" priority="1867" stopIfTrue="1" operator="lessThan">
      <formula>-0.03</formula>
    </cfRule>
  </conditionalFormatting>
  <conditionalFormatting sqref="AB22">
    <cfRule type="cellIs" dxfId="1775" priority="1864" operator="lessThan">
      <formula>-0.03</formula>
    </cfRule>
    <cfRule type="cellIs" dxfId="1774" priority="1865" stopIfTrue="1" operator="greaterThan">
      <formula>0.03</formula>
    </cfRule>
  </conditionalFormatting>
  <conditionalFormatting sqref="Z18">
    <cfRule type="cellIs" dxfId="1773" priority="1861" stopIfTrue="1" operator="lessThan">
      <formula>-0.01</formula>
    </cfRule>
    <cfRule type="cellIs" dxfId="1772" priority="1862" stopIfTrue="1" operator="greaterThan">
      <formula>0.01</formula>
    </cfRule>
  </conditionalFormatting>
  <conditionalFormatting sqref="Z19">
    <cfRule type="cellIs" dxfId="1771" priority="1859" stopIfTrue="1" operator="lessThan">
      <formula>-0.01</formula>
    </cfRule>
    <cfRule type="cellIs" dxfId="1770" priority="1860" stopIfTrue="1" operator="greaterThan">
      <formula>0.01</formula>
    </cfRule>
  </conditionalFormatting>
  <conditionalFormatting sqref="Z20:Z21">
    <cfRule type="cellIs" dxfId="1769" priority="1857" stopIfTrue="1" operator="lessThan">
      <formula>-0.01</formula>
    </cfRule>
    <cfRule type="cellIs" dxfId="1768" priority="1858" stopIfTrue="1" operator="greaterThan">
      <formula>0.01</formula>
    </cfRule>
  </conditionalFormatting>
  <conditionalFormatting sqref="Z22">
    <cfRule type="cellIs" dxfId="1767" priority="1855" stopIfTrue="1" operator="lessThan">
      <formula>-0.01</formula>
    </cfRule>
    <cfRule type="cellIs" dxfId="1766" priority="1856" stopIfTrue="1" operator="greaterThan">
      <formula>0.01</formula>
    </cfRule>
  </conditionalFormatting>
  <conditionalFormatting sqref="V18:V22">
    <cfRule type="cellIs" dxfId="1765" priority="1853" operator="greaterThan">
      <formula>0.03</formula>
    </cfRule>
    <cfRule type="cellIs" dxfId="1764" priority="1854" stopIfTrue="1" operator="lessThan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dxfId="1763" priority="1844" stopIfTrue="1" operator="lessThan">
      <formula>-0.01</formula>
    </cfRule>
    <cfRule type="cellIs" dxfId="1762" priority="1845" stopIfTrue="1" operator="greaterThan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dxfId="1761" priority="1840" operator="greaterThan">
      <formula>0.03</formula>
    </cfRule>
    <cfRule type="cellIs" dxfId="1760" priority="1841" stopIfTrue="1" operator="lessThan">
      <formula>-0.03</formula>
    </cfRule>
  </conditionalFormatting>
  <conditionalFormatting sqref="AB33">
    <cfRule type="cellIs" dxfId="1759" priority="1838" operator="lessThan">
      <formula>-0.03</formula>
    </cfRule>
    <cfRule type="cellIs" dxfId="1758" priority="1839" stopIfTrue="1" operator="greaterThan">
      <formula>0.03</formula>
    </cfRule>
  </conditionalFormatting>
  <conditionalFormatting sqref="Z29">
    <cfRule type="cellIs" dxfId="1757" priority="1836" stopIfTrue="1" operator="lessThan">
      <formula>-0.01</formula>
    </cfRule>
    <cfRule type="cellIs" dxfId="1756" priority="1837" stopIfTrue="1" operator="greaterThan">
      <formula>0.01</formula>
    </cfRule>
  </conditionalFormatting>
  <conditionalFormatting sqref="Z30">
    <cfRule type="cellIs" dxfId="1755" priority="1834" stopIfTrue="1" operator="lessThan">
      <formula>-0.01</formula>
    </cfRule>
    <cfRule type="cellIs" dxfId="1754" priority="1835" stopIfTrue="1" operator="greaterThan">
      <formula>0.01</formula>
    </cfRule>
  </conditionalFormatting>
  <conditionalFormatting sqref="Z31:Z32">
    <cfRule type="cellIs" dxfId="1753" priority="1832" stopIfTrue="1" operator="lessThan">
      <formula>-0.01</formula>
    </cfRule>
    <cfRule type="cellIs" dxfId="1752" priority="1833" stopIfTrue="1" operator="greaterThan">
      <formula>0.01</formula>
    </cfRule>
  </conditionalFormatting>
  <conditionalFormatting sqref="Z33">
    <cfRule type="cellIs" dxfId="1751" priority="1830" stopIfTrue="1" operator="lessThan">
      <formula>-0.01</formula>
    </cfRule>
    <cfRule type="cellIs" dxfId="1750" priority="1831" stopIfTrue="1" operator="greaterThan">
      <formula>0.01</formula>
    </cfRule>
  </conditionalFormatting>
  <conditionalFormatting sqref="V29:V33">
    <cfRule type="cellIs" dxfId="1749" priority="1828" operator="greaterThan">
      <formula>0.03</formula>
    </cfRule>
    <cfRule type="cellIs" dxfId="1748" priority="1829" stopIfTrue="1" operator="lessThan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dxfId="1747" priority="1822" stopIfTrue="1" operator="lessThan">
      <formula>-0.01</formula>
    </cfRule>
    <cfRule type="cellIs" dxfId="1746" priority="1823" stopIfTrue="1" operator="greaterThan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dxfId="1745" priority="1818" operator="greaterThan">
      <formula>0.03</formula>
    </cfRule>
    <cfRule type="cellIs" dxfId="1744" priority="1819" stopIfTrue="1" operator="lessThan">
      <formula>-0.03</formula>
    </cfRule>
  </conditionalFormatting>
  <conditionalFormatting sqref="AB44">
    <cfRule type="cellIs" dxfId="1743" priority="1816" operator="lessThan">
      <formula>-0.03</formula>
    </cfRule>
    <cfRule type="cellIs" dxfId="1742" priority="1817" stopIfTrue="1" operator="greaterThan">
      <formula>0.03</formula>
    </cfRule>
  </conditionalFormatting>
  <conditionalFormatting sqref="Z40">
    <cfRule type="cellIs" dxfId="1741" priority="1814" stopIfTrue="1" operator="lessThan">
      <formula>-0.01</formula>
    </cfRule>
    <cfRule type="cellIs" dxfId="1740" priority="1815" stopIfTrue="1" operator="greaterThan">
      <formula>0.01</formula>
    </cfRule>
  </conditionalFormatting>
  <conditionalFormatting sqref="Z41">
    <cfRule type="cellIs" dxfId="1739" priority="1812" stopIfTrue="1" operator="lessThan">
      <formula>-0.01</formula>
    </cfRule>
    <cfRule type="cellIs" dxfId="1738" priority="1813" stopIfTrue="1" operator="greaterThan">
      <formula>0.01</formula>
    </cfRule>
  </conditionalFormatting>
  <conditionalFormatting sqref="Z42:Z43">
    <cfRule type="cellIs" dxfId="1737" priority="1810" stopIfTrue="1" operator="lessThan">
      <formula>-0.01</formula>
    </cfRule>
    <cfRule type="cellIs" dxfId="1736" priority="1811" stopIfTrue="1" operator="greaterThan">
      <formula>0.01</formula>
    </cfRule>
  </conditionalFormatting>
  <conditionalFormatting sqref="Z44">
    <cfRule type="cellIs" dxfId="1735" priority="1808" stopIfTrue="1" operator="lessThan">
      <formula>-0.01</formula>
    </cfRule>
    <cfRule type="cellIs" dxfId="1734" priority="1809" stopIfTrue="1" operator="greaterThan">
      <formula>0.01</formula>
    </cfRule>
  </conditionalFormatting>
  <conditionalFormatting sqref="V40:V44">
    <cfRule type="cellIs" dxfId="1733" priority="1806" operator="greaterThan">
      <formula>0.03</formula>
    </cfRule>
    <cfRule type="cellIs" dxfId="1732" priority="1807" stopIfTrue="1" operator="lessThan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dxfId="1731" priority="1800" stopIfTrue="1" operator="lessThan">
      <formula>-0.01</formula>
    </cfRule>
    <cfRule type="cellIs" dxfId="1730" priority="1801" stopIfTrue="1" operator="greaterThan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dxfId="1729" priority="1796" operator="greaterThan">
      <formula>0.03</formula>
    </cfRule>
    <cfRule type="cellIs" dxfId="1728" priority="1797" stopIfTrue="1" operator="lessThan">
      <formula>-0.03</formula>
    </cfRule>
  </conditionalFormatting>
  <conditionalFormatting sqref="AB55">
    <cfRule type="cellIs" dxfId="1727" priority="1794" operator="lessThan">
      <formula>-0.03</formula>
    </cfRule>
    <cfRule type="cellIs" dxfId="1726" priority="1795" stopIfTrue="1" operator="greaterThan">
      <formula>0.03</formula>
    </cfRule>
  </conditionalFormatting>
  <conditionalFormatting sqref="Z51">
    <cfRule type="cellIs" dxfId="1725" priority="1792" stopIfTrue="1" operator="lessThan">
      <formula>-0.01</formula>
    </cfRule>
    <cfRule type="cellIs" dxfId="1724" priority="1793" stopIfTrue="1" operator="greaterThan">
      <formula>0.01</formula>
    </cfRule>
  </conditionalFormatting>
  <conditionalFormatting sqref="Z52">
    <cfRule type="cellIs" dxfId="1723" priority="1790" stopIfTrue="1" operator="lessThan">
      <formula>-0.01</formula>
    </cfRule>
    <cfRule type="cellIs" dxfId="1722" priority="1791" stopIfTrue="1" operator="greaterThan">
      <formula>0.01</formula>
    </cfRule>
  </conditionalFormatting>
  <conditionalFormatting sqref="Z53:Z54">
    <cfRule type="cellIs" dxfId="1721" priority="1788" stopIfTrue="1" operator="lessThan">
      <formula>-0.01</formula>
    </cfRule>
    <cfRule type="cellIs" dxfId="1720" priority="1789" stopIfTrue="1" operator="greaterThan">
      <formula>0.01</formula>
    </cfRule>
  </conditionalFormatting>
  <conditionalFormatting sqref="Z55">
    <cfRule type="cellIs" dxfId="1719" priority="1786" stopIfTrue="1" operator="lessThan">
      <formula>-0.01</formula>
    </cfRule>
    <cfRule type="cellIs" dxfId="1718" priority="1787" stopIfTrue="1" operator="greaterThan">
      <formula>0.01</formula>
    </cfRule>
  </conditionalFormatting>
  <conditionalFormatting sqref="V51:V55">
    <cfRule type="cellIs" dxfId="1717" priority="1784" operator="greaterThan">
      <formula>0.03</formula>
    </cfRule>
    <cfRule type="cellIs" dxfId="1716" priority="1785" stopIfTrue="1" operator="lessThan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dxfId="1715" priority="1778" stopIfTrue="1" operator="lessThan">
      <formula>-0.01</formula>
    </cfRule>
    <cfRule type="cellIs" dxfId="1714" priority="1779" stopIfTrue="1" operator="greaterThan">
      <formula>0.01</formula>
    </cfRule>
  </conditionalFormatting>
  <conditionalFormatting sqref="AB62">
    <cfRule type="cellIs" dxfId="1713" priority="1774" operator="greaterThan">
      <formula>0.03</formula>
    </cfRule>
    <cfRule type="cellIs" dxfId="1712" priority="1775" stopIfTrue="1" operator="lessThan">
      <formula>-0.03</formula>
    </cfRule>
  </conditionalFormatting>
  <conditionalFormatting sqref="AB66">
    <cfRule type="cellIs" dxfId="1711" priority="1772" operator="lessThan">
      <formula>-0.03</formula>
    </cfRule>
    <cfRule type="cellIs" dxfId="1710" priority="1773" stopIfTrue="1" operator="greaterThan">
      <formula>0.03</formula>
    </cfRule>
  </conditionalFormatting>
  <conditionalFormatting sqref="Z62">
    <cfRule type="cellIs" dxfId="1709" priority="1770" stopIfTrue="1" operator="lessThan">
      <formula>-0.01</formula>
    </cfRule>
    <cfRule type="cellIs" dxfId="1708" priority="1771" stopIfTrue="1" operator="greaterThan">
      <formula>0.01</formula>
    </cfRule>
  </conditionalFormatting>
  <conditionalFormatting sqref="Z63">
    <cfRule type="cellIs" dxfId="1707" priority="1768" stopIfTrue="1" operator="lessThan">
      <formula>-0.01</formula>
    </cfRule>
    <cfRule type="cellIs" dxfId="1706" priority="1769" stopIfTrue="1" operator="greaterThan">
      <formula>0.01</formula>
    </cfRule>
  </conditionalFormatting>
  <conditionalFormatting sqref="Z64:Z65">
    <cfRule type="cellIs" dxfId="1705" priority="1766" stopIfTrue="1" operator="lessThan">
      <formula>-0.01</formula>
    </cfRule>
    <cfRule type="cellIs" dxfId="1704" priority="1767" stopIfTrue="1" operator="greaterThan">
      <formula>0.01</formula>
    </cfRule>
  </conditionalFormatting>
  <conditionalFormatting sqref="Z66">
    <cfRule type="cellIs" dxfId="1703" priority="1764" stopIfTrue="1" operator="lessThan">
      <formula>-0.01</formula>
    </cfRule>
    <cfRule type="cellIs" dxfId="1702" priority="1765" stopIfTrue="1" operator="greaterThan">
      <formula>0.01</formula>
    </cfRule>
  </conditionalFormatting>
  <conditionalFormatting sqref="V62:V66">
    <cfRule type="cellIs" dxfId="1701" priority="1762" operator="greaterThan">
      <formula>0.03</formula>
    </cfRule>
    <cfRule type="cellIs" dxfId="1700" priority="1763" stopIfTrue="1" operator="lessThan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dxfId="1699" priority="1657" operator="greaterThan">
      <formula>0.03</formula>
    </cfRule>
    <cfRule type="cellIs" dxfId="1698" priority="1658" stopIfTrue="1" operator="lessThan">
      <formula>-0.03</formula>
    </cfRule>
  </conditionalFormatting>
  <conditionalFormatting sqref="AB116">
    <cfRule type="cellIs" dxfId="1697" priority="1655" operator="lessThan">
      <formula>-0.03</formula>
    </cfRule>
    <cfRule type="cellIs" dxfId="1696" priority="1656" stopIfTrue="1" operator="greaterThan">
      <formula>0.03</formula>
    </cfRule>
  </conditionalFormatting>
  <conditionalFormatting sqref="AB123">
    <cfRule type="cellIs" dxfId="1695" priority="1653" operator="greaterThan">
      <formula>0.03</formula>
    </cfRule>
    <cfRule type="cellIs" dxfId="1694" priority="1654" stopIfTrue="1" operator="lessThan">
      <formula>-0.03</formula>
    </cfRule>
  </conditionalFormatting>
  <conditionalFormatting sqref="AB126">
    <cfRule type="cellIs" dxfId="1693" priority="1651" operator="lessThan">
      <formula>-0.03</formula>
    </cfRule>
    <cfRule type="cellIs" dxfId="1692" priority="1652" stopIfTrue="1" operator="greaterThan">
      <formula>0.03</formula>
    </cfRule>
  </conditionalFormatting>
  <conditionalFormatting sqref="AB133">
    <cfRule type="cellIs" dxfId="1691" priority="1649" operator="greaterThan">
      <formula>0.03</formula>
    </cfRule>
    <cfRule type="cellIs" dxfId="1690" priority="1650" stopIfTrue="1" operator="lessThan">
      <formula>-0.03</formula>
    </cfRule>
  </conditionalFormatting>
  <conditionalFormatting sqref="AB136">
    <cfRule type="cellIs" dxfId="1689" priority="1647" operator="lessThan">
      <formula>-0.03</formula>
    </cfRule>
    <cfRule type="cellIs" dxfId="1688" priority="1648" stopIfTrue="1" operator="greaterThan">
      <formula>0.03</formula>
    </cfRule>
  </conditionalFormatting>
  <conditionalFormatting sqref="AB143">
    <cfRule type="cellIs" dxfId="1687" priority="1645" operator="greaterThan">
      <formula>0.03</formula>
    </cfRule>
    <cfRule type="cellIs" dxfId="1686" priority="1646" stopIfTrue="1" operator="lessThan">
      <formula>-0.03</formula>
    </cfRule>
  </conditionalFormatting>
  <conditionalFormatting sqref="AB146">
    <cfRule type="cellIs" dxfId="1685" priority="1643" operator="lessThan">
      <formula>-0.03</formula>
    </cfRule>
    <cfRule type="cellIs" dxfId="1684" priority="1644" stopIfTrue="1" operator="greaterThan">
      <formula>0.03</formula>
    </cfRule>
  </conditionalFormatting>
  <conditionalFormatting sqref="AB153">
    <cfRule type="cellIs" dxfId="1683" priority="1641" operator="greaterThan">
      <formula>0.03</formula>
    </cfRule>
    <cfRule type="cellIs" dxfId="1682" priority="1642" stopIfTrue="1" operator="lessThan">
      <formula>-0.03</formula>
    </cfRule>
  </conditionalFormatting>
  <conditionalFormatting sqref="AB156">
    <cfRule type="cellIs" dxfId="1681" priority="1639" operator="lessThan">
      <formula>-0.03</formula>
    </cfRule>
    <cfRule type="cellIs" dxfId="1680" priority="1640" stopIfTrue="1" operator="greaterThan">
      <formula>0.03</formula>
    </cfRule>
  </conditionalFormatting>
  <conditionalFormatting sqref="AB163">
    <cfRule type="cellIs" dxfId="1679" priority="1637" operator="greaterThan">
      <formula>0.03</formula>
    </cfRule>
    <cfRule type="cellIs" dxfId="1678" priority="1638" stopIfTrue="1" operator="lessThan">
      <formula>-0.03</formula>
    </cfRule>
  </conditionalFormatting>
  <conditionalFormatting sqref="AB166">
    <cfRule type="cellIs" dxfId="1677" priority="1635" operator="lessThan">
      <formula>-0.03</formula>
    </cfRule>
    <cfRule type="cellIs" dxfId="1676" priority="1636" stopIfTrue="1" operator="greaterThan">
      <formula>0.03</formula>
    </cfRule>
  </conditionalFormatting>
  <conditionalFormatting sqref="AB173">
    <cfRule type="cellIs" dxfId="1675" priority="1633" operator="greaterThan">
      <formula>0.03</formula>
    </cfRule>
    <cfRule type="cellIs" dxfId="1674" priority="1634" stopIfTrue="1" operator="lessThan">
      <formula>-0.03</formula>
    </cfRule>
  </conditionalFormatting>
  <conditionalFormatting sqref="AB176">
    <cfRule type="cellIs" dxfId="1673" priority="1631" operator="lessThan">
      <formula>-0.03</formula>
    </cfRule>
    <cfRule type="cellIs" dxfId="1672" priority="1632" stopIfTrue="1" operator="greaterThan">
      <formula>0.03</formula>
    </cfRule>
  </conditionalFormatting>
  <conditionalFormatting sqref="Z187:Z188">
    <cfRule type="cellIs" dxfId="1671" priority="1628" stopIfTrue="1" operator="lessThan">
      <formula>-0.01</formula>
    </cfRule>
    <cfRule type="cellIs" dxfId="1670" priority="1629" stopIfTrue="1" operator="greaterThan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dxfId="1669" priority="1623" operator="greaterThan">
      <formula>0.03</formula>
    </cfRule>
    <cfRule type="cellIs" dxfId="1668" priority="1624" stopIfTrue="1" operator="lessThan">
      <formula>-0.03</formula>
    </cfRule>
  </conditionalFormatting>
  <conditionalFormatting sqref="AB186">
    <cfRule type="cellIs" dxfId="1667" priority="1621" operator="lessThan">
      <formula>-0.03</formula>
    </cfRule>
    <cfRule type="cellIs" dxfId="1666" priority="1622" stopIfTrue="1" operator="greaterThan">
      <formula>0.03</formula>
    </cfRule>
  </conditionalFormatting>
  <conditionalFormatting sqref="Z183">
    <cfRule type="cellIs" dxfId="1665" priority="1618" stopIfTrue="1" operator="lessThan">
      <formula>-0.01</formula>
    </cfRule>
    <cfRule type="cellIs" dxfId="1664" priority="1619" stopIfTrue="1" operator="greaterThan">
      <formula>0.01</formula>
    </cfRule>
  </conditionalFormatting>
  <conditionalFormatting sqref="Z184">
    <cfRule type="cellIs" dxfId="1663" priority="1616" stopIfTrue="1" operator="lessThan">
      <formula>-0.01</formula>
    </cfRule>
    <cfRule type="cellIs" dxfId="1662" priority="1617" stopIfTrue="1" operator="greaterThan">
      <formula>0.01</formula>
    </cfRule>
  </conditionalFormatting>
  <conditionalFormatting sqref="Z185">
    <cfRule type="cellIs" dxfId="1661" priority="1614" stopIfTrue="1" operator="lessThan">
      <formula>-0.01</formula>
    </cfRule>
    <cfRule type="cellIs" dxfId="1660" priority="1615" stopIfTrue="1" operator="greaterThan">
      <formula>0.01</formula>
    </cfRule>
  </conditionalFormatting>
  <conditionalFormatting sqref="Z186">
    <cfRule type="cellIs" dxfId="1659" priority="1612" stopIfTrue="1" operator="lessThan">
      <formula>-0.01</formula>
    </cfRule>
    <cfRule type="cellIs" dxfId="1658" priority="1613" stopIfTrue="1" operator="greaterThan">
      <formula>0.01</formula>
    </cfRule>
  </conditionalFormatting>
  <conditionalFormatting sqref="V183:V186">
    <cfRule type="cellIs" dxfId="1657" priority="1610" operator="greaterThan">
      <formula>0.03</formula>
    </cfRule>
    <cfRule type="cellIs" dxfId="1656" priority="1611" stopIfTrue="1" operator="lessThan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dxfId="1655" priority="1040" stopIfTrue="1" operator="lessThan">
      <formula>-0.01</formula>
    </cfRule>
    <cfRule type="cellIs" dxfId="1654" priority="1041" stopIfTrue="1" operator="greaterThan">
      <formula>0.01</formula>
    </cfRule>
  </conditionalFormatting>
  <conditionalFormatting sqref="AB73">
    <cfRule type="cellIs" dxfId="1653" priority="1037" operator="greaterThan">
      <formula>0.03</formula>
    </cfRule>
    <cfRule type="cellIs" dxfId="1652" priority="1038" stopIfTrue="1" operator="lessThan">
      <formula>-0.03</formula>
    </cfRule>
  </conditionalFormatting>
  <conditionalFormatting sqref="AB77">
    <cfRule type="cellIs" dxfId="1651" priority="1035" operator="lessThan">
      <formula>-0.03</formula>
    </cfRule>
    <cfRule type="cellIs" dxfId="1650" priority="1036" stopIfTrue="1" operator="greaterThan">
      <formula>0.03</formula>
    </cfRule>
  </conditionalFormatting>
  <conditionalFormatting sqref="Z73">
    <cfRule type="cellIs" dxfId="1649" priority="1033" stopIfTrue="1" operator="lessThan">
      <formula>-0.01</formula>
    </cfRule>
    <cfRule type="cellIs" dxfId="1648" priority="1034" stopIfTrue="1" operator="greaterThan">
      <formula>0.01</formula>
    </cfRule>
  </conditionalFormatting>
  <conditionalFormatting sqref="Z74">
    <cfRule type="cellIs" dxfId="1647" priority="1031" stopIfTrue="1" operator="lessThan">
      <formula>-0.01</formula>
    </cfRule>
    <cfRule type="cellIs" dxfId="1646" priority="1032" stopIfTrue="1" operator="greaterThan">
      <formula>0.01</formula>
    </cfRule>
  </conditionalFormatting>
  <conditionalFormatting sqref="Z75:Z76">
    <cfRule type="cellIs" dxfId="1645" priority="1029" stopIfTrue="1" operator="lessThan">
      <formula>-0.01</formula>
    </cfRule>
    <cfRule type="cellIs" dxfId="1644" priority="1030" stopIfTrue="1" operator="greaterThan">
      <formula>0.01</formula>
    </cfRule>
  </conditionalFormatting>
  <conditionalFormatting sqref="Z77">
    <cfRule type="cellIs" dxfId="1643" priority="1027" stopIfTrue="1" operator="lessThan">
      <formula>-0.01</formula>
    </cfRule>
    <cfRule type="cellIs" dxfId="1642" priority="1028" stopIfTrue="1" operator="greaterThan">
      <formula>0.01</formula>
    </cfRule>
  </conditionalFormatting>
  <conditionalFormatting sqref="V73:V77">
    <cfRule type="cellIs" dxfId="1641" priority="1025" operator="greaterThan">
      <formula>0.03</formula>
    </cfRule>
    <cfRule type="cellIs" dxfId="1640" priority="1026" stopIfTrue="1" operator="lessThan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dxfId="1639" priority="989" stopIfTrue="1" operator="lessThan">
      <formula>-0.01</formula>
    </cfRule>
    <cfRule type="cellIs" dxfId="1638" priority="990" stopIfTrue="1" operator="greaterThan">
      <formula>0.01</formula>
    </cfRule>
  </conditionalFormatting>
  <conditionalFormatting sqref="AB84">
    <cfRule type="cellIs" dxfId="1637" priority="986" operator="greaterThan">
      <formula>0.03</formula>
    </cfRule>
    <cfRule type="cellIs" dxfId="1636" priority="987" stopIfTrue="1" operator="lessThan">
      <formula>-0.03</formula>
    </cfRule>
  </conditionalFormatting>
  <conditionalFormatting sqref="AB88">
    <cfRule type="cellIs" dxfId="1635" priority="984" operator="lessThan">
      <formula>-0.03</formula>
    </cfRule>
    <cfRule type="cellIs" dxfId="1634" priority="985" stopIfTrue="1" operator="greaterThan">
      <formula>0.03</formula>
    </cfRule>
  </conditionalFormatting>
  <conditionalFormatting sqref="Z84">
    <cfRule type="cellIs" dxfId="1633" priority="982" stopIfTrue="1" operator="lessThan">
      <formula>-0.01</formula>
    </cfRule>
    <cfRule type="cellIs" dxfId="1632" priority="983" stopIfTrue="1" operator="greaterThan">
      <formula>0.01</formula>
    </cfRule>
  </conditionalFormatting>
  <conditionalFormatting sqref="Z85">
    <cfRule type="cellIs" dxfId="1631" priority="980" stopIfTrue="1" operator="lessThan">
      <formula>-0.01</formula>
    </cfRule>
    <cfRule type="cellIs" dxfId="1630" priority="981" stopIfTrue="1" operator="greaterThan">
      <formula>0.01</formula>
    </cfRule>
  </conditionalFormatting>
  <conditionalFormatting sqref="Z86:Z87">
    <cfRule type="cellIs" dxfId="1629" priority="978" stopIfTrue="1" operator="lessThan">
      <formula>-0.01</formula>
    </cfRule>
    <cfRule type="cellIs" dxfId="1628" priority="979" stopIfTrue="1" operator="greaterThan">
      <formula>0.01</formula>
    </cfRule>
  </conditionalFormatting>
  <conditionalFormatting sqref="Z88">
    <cfRule type="cellIs" dxfId="1627" priority="976" stopIfTrue="1" operator="lessThan">
      <formula>-0.01</formula>
    </cfRule>
    <cfRule type="cellIs" dxfId="1626" priority="977" stopIfTrue="1" operator="greaterThan">
      <formula>0.01</formula>
    </cfRule>
  </conditionalFormatting>
  <conditionalFormatting sqref="V84:V88">
    <cfRule type="cellIs" dxfId="1625" priority="974" operator="greaterThan">
      <formula>0.03</formula>
    </cfRule>
    <cfRule type="cellIs" dxfId="1624" priority="975" stopIfTrue="1" operator="lessThan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dxfId="1623" priority="938" stopIfTrue="1" operator="lessThan">
      <formula>-0.01</formula>
    </cfRule>
    <cfRule type="cellIs" dxfId="1622" priority="939" stopIfTrue="1" operator="greaterThan">
      <formula>0.01</formula>
    </cfRule>
  </conditionalFormatting>
  <conditionalFormatting sqref="AB95">
    <cfRule type="cellIs" dxfId="1621" priority="935" operator="greaterThan">
      <formula>0.03</formula>
    </cfRule>
    <cfRule type="cellIs" dxfId="1620" priority="936" stopIfTrue="1" operator="lessThan">
      <formula>-0.03</formula>
    </cfRule>
  </conditionalFormatting>
  <conditionalFormatting sqref="AB99">
    <cfRule type="cellIs" dxfId="1619" priority="933" operator="lessThan">
      <formula>-0.03</formula>
    </cfRule>
    <cfRule type="cellIs" dxfId="1618" priority="934" stopIfTrue="1" operator="greaterThan">
      <formula>0.03</formula>
    </cfRule>
  </conditionalFormatting>
  <conditionalFormatting sqref="Z95">
    <cfRule type="cellIs" dxfId="1617" priority="931" stopIfTrue="1" operator="lessThan">
      <formula>-0.01</formula>
    </cfRule>
    <cfRule type="cellIs" dxfId="1616" priority="932" stopIfTrue="1" operator="greaterThan">
      <formula>0.01</formula>
    </cfRule>
  </conditionalFormatting>
  <conditionalFormatting sqref="Z96">
    <cfRule type="cellIs" dxfId="1615" priority="929" stopIfTrue="1" operator="lessThan">
      <formula>-0.01</formula>
    </cfRule>
    <cfRule type="cellIs" dxfId="1614" priority="930" stopIfTrue="1" operator="greaterThan">
      <formula>0.01</formula>
    </cfRule>
  </conditionalFormatting>
  <conditionalFormatting sqref="Z97:Z98">
    <cfRule type="cellIs" dxfId="1613" priority="927" stopIfTrue="1" operator="lessThan">
      <formula>-0.01</formula>
    </cfRule>
    <cfRule type="cellIs" dxfId="1612" priority="928" stopIfTrue="1" operator="greaterThan">
      <formula>0.01</formula>
    </cfRule>
  </conditionalFormatting>
  <conditionalFormatting sqref="Z99">
    <cfRule type="cellIs" dxfId="1611" priority="925" stopIfTrue="1" operator="lessThan">
      <formula>-0.01</formula>
    </cfRule>
    <cfRule type="cellIs" dxfId="1610" priority="926" stopIfTrue="1" operator="greaterThan">
      <formula>0.01</formula>
    </cfRule>
  </conditionalFormatting>
  <conditionalFormatting sqref="V95:V99">
    <cfRule type="cellIs" dxfId="1609" priority="923" operator="greaterThan">
      <formula>0.03</formula>
    </cfRule>
    <cfRule type="cellIs" dxfId="1608" priority="924" stopIfTrue="1" operator="lessThan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dxfId="1607" priority="887" stopIfTrue="1" operator="lessThan">
      <formula>-0.01</formula>
    </cfRule>
    <cfRule type="cellIs" dxfId="1606" priority="888" stopIfTrue="1" operator="greaterThan">
      <formula>0.01</formula>
    </cfRule>
  </conditionalFormatting>
  <conditionalFormatting sqref="AB106">
    <cfRule type="cellIs" dxfId="1605" priority="884" operator="greaterThan">
      <formula>0.03</formula>
    </cfRule>
    <cfRule type="cellIs" dxfId="1604" priority="885" stopIfTrue="1" operator="lessThan">
      <formula>-0.03</formula>
    </cfRule>
  </conditionalFormatting>
  <conditionalFormatting sqref="AB110">
    <cfRule type="cellIs" dxfId="1603" priority="882" operator="lessThan">
      <formula>-0.03</formula>
    </cfRule>
    <cfRule type="cellIs" dxfId="1602" priority="883" stopIfTrue="1" operator="greaterThan">
      <formula>0.03</formula>
    </cfRule>
  </conditionalFormatting>
  <conditionalFormatting sqref="Z106">
    <cfRule type="cellIs" dxfId="1601" priority="880" stopIfTrue="1" operator="lessThan">
      <formula>-0.01</formula>
    </cfRule>
    <cfRule type="cellIs" dxfId="1600" priority="881" stopIfTrue="1" operator="greaterThan">
      <formula>0.01</formula>
    </cfRule>
  </conditionalFormatting>
  <conditionalFormatting sqref="Z107">
    <cfRule type="cellIs" dxfId="1599" priority="878" stopIfTrue="1" operator="lessThan">
      <formula>-0.01</formula>
    </cfRule>
    <cfRule type="cellIs" dxfId="1598" priority="879" stopIfTrue="1" operator="greaterThan">
      <formula>0.01</formula>
    </cfRule>
  </conditionalFormatting>
  <conditionalFormatting sqref="Z108:Z109">
    <cfRule type="cellIs" dxfId="1597" priority="876" stopIfTrue="1" operator="lessThan">
      <formula>-0.01</formula>
    </cfRule>
    <cfRule type="cellIs" dxfId="1596" priority="877" stopIfTrue="1" operator="greaterThan">
      <formula>0.01</formula>
    </cfRule>
  </conditionalFormatting>
  <conditionalFormatting sqref="Z110">
    <cfRule type="cellIs" dxfId="1595" priority="874" stopIfTrue="1" operator="lessThan">
      <formula>-0.01</formula>
    </cfRule>
    <cfRule type="cellIs" dxfId="1594" priority="875" stopIfTrue="1" operator="greaterThan">
      <formula>0.01</formula>
    </cfRule>
  </conditionalFormatting>
  <conditionalFormatting sqref="V106:V110">
    <cfRule type="cellIs" dxfId="1593" priority="872" operator="greaterThan">
      <formula>0.03</formula>
    </cfRule>
    <cfRule type="cellIs" dxfId="1592" priority="873" stopIfTrue="1" operator="lessThan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dxfId="1591" priority="837" stopIfTrue="1" operator="lessThan">
      <formula>-0.01</formula>
    </cfRule>
    <cfRule type="cellIs" dxfId="1590" priority="838" stopIfTrue="1" operator="greaterThan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dxfId="1589" priority="832" operator="greaterThan">
      <formula>0.03</formula>
    </cfRule>
    <cfRule type="cellIs" dxfId="1588" priority="833" stopIfTrue="1" operator="lessThan">
      <formula>-0.03</formula>
    </cfRule>
  </conditionalFormatting>
  <conditionalFormatting sqref="AB11">
    <cfRule type="cellIs" dxfId="1587" priority="830" operator="lessThan">
      <formula>-0.03</formula>
    </cfRule>
    <cfRule type="cellIs" dxfId="1586" priority="831" stopIfTrue="1" operator="greaterThan">
      <formula>0.03</formula>
    </cfRule>
  </conditionalFormatting>
  <conditionalFormatting sqref="Z7">
    <cfRule type="cellIs" dxfId="1585" priority="828" stopIfTrue="1" operator="lessThan">
      <formula>-0.01</formula>
    </cfRule>
    <cfRule type="cellIs" dxfId="1584" priority="829" stopIfTrue="1" operator="greaterThan">
      <formula>0.01</formula>
    </cfRule>
  </conditionalFormatting>
  <conditionalFormatting sqref="Z8">
    <cfRule type="cellIs" dxfId="1583" priority="826" stopIfTrue="1" operator="lessThan">
      <formula>-0.01</formula>
    </cfRule>
    <cfRule type="cellIs" dxfId="1582" priority="827" stopIfTrue="1" operator="greaterThan">
      <formula>0.01</formula>
    </cfRule>
  </conditionalFormatting>
  <conditionalFormatting sqref="Z9:Z10">
    <cfRule type="cellIs" dxfId="1581" priority="824" stopIfTrue="1" operator="lessThan">
      <formula>-0.01</formula>
    </cfRule>
    <cfRule type="cellIs" dxfId="1580" priority="825" stopIfTrue="1" operator="greaterThan">
      <formula>0.01</formula>
    </cfRule>
  </conditionalFormatting>
  <conditionalFormatting sqref="Z11">
    <cfRule type="cellIs" dxfId="1579" priority="822" stopIfTrue="1" operator="lessThan">
      <formula>-0.01</formula>
    </cfRule>
    <cfRule type="cellIs" dxfId="1578" priority="823" stopIfTrue="1" operator="greaterThan">
      <formula>0.01</formula>
    </cfRule>
  </conditionalFormatting>
  <conditionalFormatting sqref="V7:V11">
    <cfRule type="cellIs" dxfId="1577" priority="820" operator="greaterThan">
      <formula>0.03</formula>
    </cfRule>
    <cfRule type="cellIs" dxfId="1576" priority="821" stopIfTrue="1" operator="lessThan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dxfId="1575" priority="813" stopIfTrue="1" operator="lessThan">
      <formula>-0.01</formula>
    </cfRule>
    <cfRule type="cellIs" dxfId="1574" priority="814" stopIfTrue="1" operator="greaterThan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dxfId="1573" priority="784" stopIfTrue="1" operator="lessThan">
      <formula>-0.01</formula>
    </cfRule>
    <cfRule type="cellIs" dxfId="1572" priority="785" stopIfTrue="1" operator="greaterThan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I7"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76">
      <dataBar>
        <cfvo type="min"/>
        <cfvo type="max"/>
        <color rgb="FF008AEF"/>
      </dataBar>
    </cfRule>
  </conditionalFormatting>
  <conditionalFormatting sqref="J7:J11">
    <cfRule type="cellIs" dxfId="1571" priority="774" operator="greaterThan">
      <formula>0.03</formula>
    </cfRule>
    <cfRule type="cellIs" dxfId="1570" priority="775" stopIfTrue="1" operator="lessThan">
      <formula>-0.03</formula>
    </cfRule>
  </conditionalFormatting>
  <conditionalFormatting sqref="N12">
    <cfRule type="cellIs" dxfId="1569" priority="772" stopIfTrue="1" operator="lessThan">
      <formula>-0.01</formula>
    </cfRule>
    <cfRule type="cellIs" dxfId="1568" priority="773" stopIfTrue="1" operator="greaterThan">
      <formula>0.01</formula>
    </cfRule>
  </conditionalFormatting>
  <conditionalFormatting sqref="N7">
    <cfRule type="cellIs" dxfId="1567" priority="770" stopIfTrue="1" operator="lessThan">
      <formula>-0.01</formula>
    </cfRule>
    <cfRule type="cellIs" dxfId="1566" priority="771" stopIfTrue="1" operator="greaterThan">
      <formula>0.01</formula>
    </cfRule>
  </conditionalFormatting>
  <conditionalFormatting sqref="N8">
    <cfRule type="cellIs" dxfId="1565" priority="768" stopIfTrue="1" operator="lessThan">
      <formula>-0.01</formula>
    </cfRule>
    <cfRule type="cellIs" dxfId="1564" priority="769" stopIfTrue="1" operator="greaterThan">
      <formula>0.01</formula>
    </cfRule>
  </conditionalFormatting>
  <conditionalFormatting sqref="N9:N11">
    <cfRule type="cellIs" dxfId="1563" priority="766" stopIfTrue="1" operator="lessThan">
      <formula>-0.01</formula>
    </cfRule>
    <cfRule type="cellIs" dxfId="1562" priority="767" stopIfTrue="1" operator="greaterThan">
      <formula>0.01</formula>
    </cfRule>
  </conditionalFormatting>
  <conditionalFormatting sqref="P7">
    <cfRule type="cellIs" dxfId="1561" priority="762" operator="greaterThan">
      <formula>0.03</formula>
    </cfRule>
    <cfRule type="cellIs" dxfId="1560" priority="763" stopIfTrue="1" operator="lessThan">
      <formula>-0.03</formula>
    </cfRule>
  </conditionalFormatting>
  <conditionalFormatting sqref="P11">
    <cfRule type="cellIs" dxfId="1559" priority="760" operator="lessThan">
      <formula>-0.03</formula>
    </cfRule>
    <cfRule type="cellIs" dxfId="1558" priority="761" stopIfTrue="1" operator="greaterThan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dxfId="1557" priority="729" operator="greaterThan">
      <formula>0.03</formula>
    </cfRule>
    <cfRule type="cellIs" dxfId="1556" priority="730" stopIfTrue="1" operator="lessThan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dxfId="1555" priority="724" stopIfTrue="1" operator="lessThan">
      <formula>-0.01</formula>
    </cfRule>
    <cfRule type="cellIs" dxfId="1554" priority="725" stopIfTrue="1" operator="greaterThan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I18"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16">
      <dataBar>
        <cfvo type="min"/>
        <cfvo type="max"/>
        <color rgb="FF008AEF"/>
      </dataBar>
    </cfRule>
  </conditionalFormatting>
  <conditionalFormatting sqref="J18:J22">
    <cfRule type="cellIs" dxfId="1553" priority="714" operator="greaterThan">
      <formula>0.03</formula>
    </cfRule>
    <cfRule type="cellIs" dxfId="1552" priority="715" stopIfTrue="1" operator="lessThan">
      <formula>-0.03</formula>
    </cfRule>
  </conditionalFormatting>
  <conditionalFormatting sqref="N23">
    <cfRule type="cellIs" dxfId="1551" priority="712" stopIfTrue="1" operator="lessThan">
      <formula>-0.01</formula>
    </cfRule>
    <cfRule type="cellIs" dxfId="1550" priority="713" stopIfTrue="1" operator="greaterThan">
      <formula>0.01</formula>
    </cfRule>
  </conditionalFormatting>
  <conditionalFormatting sqref="N18">
    <cfRule type="cellIs" dxfId="1549" priority="710" stopIfTrue="1" operator="lessThan">
      <formula>-0.01</formula>
    </cfRule>
    <cfRule type="cellIs" dxfId="1548" priority="711" stopIfTrue="1" operator="greaterThan">
      <formula>0.01</formula>
    </cfRule>
  </conditionalFormatting>
  <conditionalFormatting sqref="N19">
    <cfRule type="cellIs" dxfId="1547" priority="708" stopIfTrue="1" operator="lessThan">
      <formula>-0.01</formula>
    </cfRule>
    <cfRule type="cellIs" dxfId="1546" priority="709" stopIfTrue="1" operator="greaterThan">
      <formula>0.01</formula>
    </cfRule>
  </conditionalFormatting>
  <conditionalFormatting sqref="N20:N22">
    <cfRule type="cellIs" dxfId="1545" priority="706" stopIfTrue="1" operator="lessThan">
      <formula>-0.01</formula>
    </cfRule>
    <cfRule type="cellIs" dxfId="1544" priority="707" stopIfTrue="1" operator="greaterThan">
      <formula>0.01</formula>
    </cfRule>
  </conditionalFormatting>
  <conditionalFormatting sqref="P18">
    <cfRule type="cellIs" dxfId="1543" priority="704" operator="greaterThan">
      <formula>0.03</formula>
    </cfRule>
    <cfRule type="cellIs" dxfId="1542" priority="705" stopIfTrue="1" operator="lessThan">
      <formula>-0.03</formula>
    </cfRule>
  </conditionalFormatting>
  <conditionalFormatting sqref="P22">
    <cfRule type="cellIs" dxfId="1541" priority="702" operator="lessThan">
      <formula>-0.03</formula>
    </cfRule>
    <cfRule type="cellIs" dxfId="1540" priority="703" stopIfTrue="1" operator="greaterThan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dxfId="1539" priority="700" operator="greaterThan">
      <formula>0.03</formula>
    </cfRule>
    <cfRule type="cellIs" dxfId="1538" priority="701" stopIfTrue="1" operator="lessThan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dxfId="1537" priority="695" stopIfTrue="1" operator="lessThan">
      <formula>-0.01</formula>
    </cfRule>
    <cfRule type="cellIs" dxfId="1536" priority="696" stopIfTrue="1" operator="greaterThan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I29"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87">
      <dataBar>
        <cfvo type="min"/>
        <cfvo type="max"/>
        <color rgb="FF008AEF"/>
      </dataBar>
    </cfRule>
  </conditionalFormatting>
  <conditionalFormatting sqref="J29:J33">
    <cfRule type="cellIs" dxfId="1535" priority="685" operator="greaterThan">
      <formula>0.03</formula>
    </cfRule>
    <cfRule type="cellIs" dxfId="1534" priority="686" stopIfTrue="1" operator="lessThan">
      <formula>-0.03</formula>
    </cfRule>
  </conditionalFormatting>
  <conditionalFormatting sqref="N34">
    <cfRule type="cellIs" dxfId="1533" priority="683" stopIfTrue="1" operator="lessThan">
      <formula>-0.01</formula>
    </cfRule>
    <cfRule type="cellIs" dxfId="1532" priority="684" stopIfTrue="1" operator="greaterThan">
      <formula>0.01</formula>
    </cfRule>
  </conditionalFormatting>
  <conditionalFormatting sqref="N29">
    <cfRule type="cellIs" dxfId="1531" priority="681" stopIfTrue="1" operator="lessThan">
      <formula>-0.01</formula>
    </cfRule>
    <cfRule type="cellIs" dxfId="1530" priority="682" stopIfTrue="1" operator="greaterThan">
      <formula>0.01</formula>
    </cfRule>
  </conditionalFormatting>
  <conditionalFormatting sqref="N30">
    <cfRule type="cellIs" dxfId="1529" priority="679" stopIfTrue="1" operator="lessThan">
      <formula>-0.01</formula>
    </cfRule>
    <cfRule type="cellIs" dxfId="1528" priority="680" stopIfTrue="1" operator="greaterThan">
      <formula>0.01</formula>
    </cfRule>
  </conditionalFormatting>
  <conditionalFormatting sqref="N31:N33">
    <cfRule type="cellIs" dxfId="1527" priority="677" stopIfTrue="1" operator="lessThan">
      <formula>-0.01</formula>
    </cfRule>
    <cfRule type="cellIs" dxfId="1526" priority="678" stopIfTrue="1" operator="greaterThan">
      <formula>0.01</formula>
    </cfRule>
  </conditionalFormatting>
  <conditionalFormatting sqref="P29">
    <cfRule type="cellIs" dxfId="1525" priority="675" operator="greaterThan">
      <formula>0.03</formula>
    </cfRule>
    <cfRule type="cellIs" dxfId="1524" priority="676" stopIfTrue="1" operator="lessThan">
      <formula>-0.03</formula>
    </cfRule>
  </conditionalFormatting>
  <conditionalFormatting sqref="P33">
    <cfRule type="cellIs" dxfId="1523" priority="673" operator="lessThan">
      <formula>-0.03</formula>
    </cfRule>
    <cfRule type="cellIs" dxfId="1522" priority="674" stopIfTrue="1" operator="greaterThan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dxfId="1521" priority="671" operator="greaterThan">
      <formula>0.03</formula>
    </cfRule>
    <cfRule type="cellIs" dxfId="1520" priority="672" stopIfTrue="1" operator="lessThan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dxfId="1519" priority="666" stopIfTrue="1" operator="lessThan">
      <formula>-0.01</formula>
    </cfRule>
    <cfRule type="cellIs" dxfId="1518" priority="667" stopIfTrue="1" operator="greaterThan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I40"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58">
      <dataBar>
        <cfvo type="min"/>
        <cfvo type="max"/>
        <color rgb="FF008AEF"/>
      </dataBar>
    </cfRule>
  </conditionalFormatting>
  <conditionalFormatting sqref="J40:J44">
    <cfRule type="cellIs" dxfId="1517" priority="656" operator="greaterThan">
      <formula>0.03</formula>
    </cfRule>
    <cfRule type="cellIs" dxfId="1516" priority="657" stopIfTrue="1" operator="lessThan">
      <formula>-0.03</formula>
    </cfRule>
  </conditionalFormatting>
  <conditionalFormatting sqref="N45">
    <cfRule type="cellIs" dxfId="1515" priority="654" stopIfTrue="1" operator="lessThan">
      <formula>-0.01</formula>
    </cfRule>
    <cfRule type="cellIs" dxfId="1514" priority="655" stopIfTrue="1" operator="greaterThan">
      <formula>0.01</formula>
    </cfRule>
  </conditionalFormatting>
  <conditionalFormatting sqref="N40">
    <cfRule type="cellIs" dxfId="1513" priority="652" stopIfTrue="1" operator="lessThan">
      <formula>-0.01</formula>
    </cfRule>
    <cfRule type="cellIs" dxfId="1512" priority="653" stopIfTrue="1" operator="greaterThan">
      <formula>0.01</formula>
    </cfRule>
  </conditionalFormatting>
  <conditionalFormatting sqref="N41">
    <cfRule type="cellIs" dxfId="1511" priority="650" stopIfTrue="1" operator="lessThan">
      <formula>-0.01</formula>
    </cfRule>
    <cfRule type="cellIs" dxfId="1510" priority="651" stopIfTrue="1" operator="greaterThan">
      <formula>0.01</formula>
    </cfRule>
  </conditionalFormatting>
  <conditionalFormatting sqref="N42:N44">
    <cfRule type="cellIs" dxfId="1509" priority="648" stopIfTrue="1" operator="lessThan">
      <formula>-0.01</formula>
    </cfRule>
    <cfRule type="cellIs" dxfId="1508" priority="649" stopIfTrue="1" operator="greaterThan">
      <formula>0.01</formula>
    </cfRule>
  </conditionalFormatting>
  <conditionalFormatting sqref="P40">
    <cfRule type="cellIs" dxfId="1507" priority="646" operator="greaterThan">
      <formula>0.03</formula>
    </cfRule>
    <cfRule type="cellIs" dxfId="1506" priority="647" stopIfTrue="1" operator="lessThan">
      <formula>-0.03</formula>
    </cfRule>
  </conditionalFormatting>
  <conditionalFormatting sqref="P44">
    <cfRule type="cellIs" dxfId="1505" priority="644" operator="lessThan">
      <formula>-0.03</formula>
    </cfRule>
    <cfRule type="cellIs" dxfId="1504" priority="645" stopIfTrue="1" operator="greaterThan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dxfId="1503" priority="642" operator="greaterThan">
      <formula>0.03</formula>
    </cfRule>
    <cfRule type="cellIs" dxfId="1502" priority="643" stopIfTrue="1" operator="lessThan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dxfId="1501" priority="637" stopIfTrue="1" operator="lessThan">
      <formula>-0.01</formula>
    </cfRule>
    <cfRule type="cellIs" dxfId="1500" priority="638" stopIfTrue="1" operator="greaterThan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I51"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29">
      <dataBar>
        <cfvo type="min"/>
        <cfvo type="max"/>
        <color rgb="FF008AEF"/>
      </dataBar>
    </cfRule>
  </conditionalFormatting>
  <conditionalFormatting sqref="J51:J55">
    <cfRule type="cellIs" dxfId="1499" priority="627" operator="greaterThan">
      <formula>0.03</formula>
    </cfRule>
    <cfRule type="cellIs" dxfId="1498" priority="628" stopIfTrue="1" operator="lessThan">
      <formula>-0.03</formula>
    </cfRule>
  </conditionalFormatting>
  <conditionalFormatting sqref="N56">
    <cfRule type="cellIs" dxfId="1497" priority="625" stopIfTrue="1" operator="lessThan">
      <formula>-0.01</formula>
    </cfRule>
    <cfRule type="cellIs" dxfId="1496" priority="626" stopIfTrue="1" operator="greaterThan">
      <formula>0.01</formula>
    </cfRule>
  </conditionalFormatting>
  <conditionalFormatting sqref="N51">
    <cfRule type="cellIs" dxfId="1495" priority="623" stopIfTrue="1" operator="lessThan">
      <formula>-0.01</formula>
    </cfRule>
    <cfRule type="cellIs" dxfId="1494" priority="624" stopIfTrue="1" operator="greaterThan">
      <formula>0.01</formula>
    </cfRule>
  </conditionalFormatting>
  <conditionalFormatting sqref="N52">
    <cfRule type="cellIs" dxfId="1493" priority="621" stopIfTrue="1" operator="lessThan">
      <formula>-0.01</formula>
    </cfRule>
    <cfRule type="cellIs" dxfId="1492" priority="622" stopIfTrue="1" operator="greaterThan">
      <formula>0.01</formula>
    </cfRule>
  </conditionalFormatting>
  <conditionalFormatting sqref="N53:N55">
    <cfRule type="cellIs" dxfId="1491" priority="619" stopIfTrue="1" operator="lessThan">
      <formula>-0.01</formula>
    </cfRule>
    <cfRule type="cellIs" dxfId="1490" priority="620" stopIfTrue="1" operator="greaterThan">
      <formula>0.01</formula>
    </cfRule>
  </conditionalFormatting>
  <conditionalFormatting sqref="P51">
    <cfRule type="cellIs" dxfId="1489" priority="617" operator="greaterThan">
      <formula>0.03</formula>
    </cfRule>
    <cfRule type="cellIs" dxfId="1488" priority="618" stopIfTrue="1" operator="lessThan">
      <formula>-0.03</formula>
    </cfRule>
  </conditionalFormatting>
  <conditionalFormatting sqref="P55">
    <cfRule type="cellIs" dxfId="1487" priority="615" operator="lessThan">
      <formula>-0.03</formula>
    </cfRule>
    <cfRule type="cellIs" dxfId="1486" priority="616" stopIfTrue="1" operator="greaterThan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dxfId="1485" priority="613" operator="greaterThan">
      <formula>0.03</formula>
    </cfRule>
    <cfRule type="cellIs" dxfId="1484" priority="614" stopIfTrue="1" operator="lessThan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dxfId="1483" priority="608" stopIfTrue="1" operator="lessThan">
      <formula>-0.01</formula>
    </cfRule>
    <cfRule type="cellIs" dxfId="1482" priority="609" stopIfTrue="1" operator="greaterThan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I62"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0">
      <dataBar>
        <cfvo type="min"/>
        <cfvo type="max"/>
        <color rgb="FF008AEF"/>
      </dataBar>
    </cfRule>
  </conditionalFormatting>
  <conditionalFormatting sqref="J62:J66">
    <cfRule type="cellIs" dxfId="1481" priority="598" operator="greaterThan">
      <formula>0.03</formula>
    </cfRule>
    <cfRule type="cellIs" dxfId="1480" priority="599" stopIfTrue="1" operator="lessThan">
      <formula>-0.03</formula>
    </cfRule>
  </conditionalFormatting>
  <conditionalFormatting sqref="N67">
    <cfRule type="cellIs" dxfId="1479" priority="596" stopIfTrue="1" operator="lessThan">
      <formula>-0.01</formula>
    </cfRule>
    <cfRule type="cellIs" dxfId="1478" priority="597" stopIfTrue="1" operator="greaterThan">
      <formula>0.01</formula>
    </cfRule>
  </conditionalFormatting>
  <conditionalFormatting sqref="N62">
    <cfRule type="cellIs" dxfId="1477" priority="594" stopIfTrue="1" operator="lessThan">
      <formula>-0.01</formula>
    </cfRule>
    <cfRule type="cellIs" dxfId="1476" priority="595" stopIfTrue="1" operator="greaterThan">
      <formula>0.01</formula>
    </cfRule>
  </conditionalFormatting>
  <conditionalFormatting sqref="N63">
    <cfRule type="cellIs" dxfId="1475" priority="592" stopIfTrue="1" operator="lessThan">
      <formula>-0.01</formula>
    </cfRule>
    <cfRule type="cellIs" dxfId="1474" priority="593" stopIfTrue="1" operator="greaterThan">
      <formula>0.01</formula>
    </cfRule>
  </conditionalFormatting>
  <conditionalFormatting sqref="N64:N66">
    <cfRule type="cellIs" dxfId="1473" priority="590" stopIfTrue="1" operator="lessThan">
      <formula>-0.01</formula>
    </cfRule>
    <cfRule type="cellIs" dxfId="1472" priority="591" stopIfTrue="1" operator="greaterThan">
      <formula>0.01</formula>
    </cfRule>
  </conditionalFormatting>
  <conditionalFormatting sqref="P62">
    <cfRule type="cellIs" dxfId="1471" priority="588" operator="greaterThan">
      <formula>0.03</formula>
    </cfRule>
    <cfRule type="cellIs" dxfId="1470" priority="589" stopIfTrue="1" operator="lessThan">
      <formula>-0.03</formula>
    </cfRule>
  </conditionalFormatting>
  <conditionalFormatting sqref="P66">
    <cfRule type="cellIs" dxfId="1469" priority="586" operator="lessThan">
      <formula>-0.03</formula>
    </cfRule>
    <cfRule type="cellIs" dxfId="1468" priority="587" stopIfTrue="1" operator="greaterThan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dxfId="1467" priority="584" operator="greaterThan">
      <formula>0.03</formula>
    </cfRule>
    <cfRule type="cellIs" dxfId="1466" priority="585" stopIfTrue="1" operator="lessThan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dxfId="1465" priority="579" stopIfTrue="1" operator="lessThan">
      <formula>-0.01</formula>
    </cfRule>
    <cfRule type="cellIs" dxfId="1464" priority="580" stopIfTrue="1" operator="greaterThan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I73"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1">
      <dataBar>
        <cfvo type="min"/>
        <cfvo type="max"/>
        <color rgb="FF008AEF"/>
      </dataBar>
    </cfRule>
  </conditionalFormatting>
  <conditionalFormatting sqref="J73:J77">
    <cfRule type="cellIs" dxfId="1463" priority="569" operator="greaterThan">
      <formula>0.03</formula>
    </cfRule>
    <cfRule type="cellIs" dxfId="1462" priority="570" stopIfTrue="1" operator="lessThan">
      <formula>-0.03</formula>
    </cfRule>
  </conditionalFormatting>
  <conditionalFormatting sqref="N78">
    <cfRule type="cellIs" dxfId="1461" priority="567" stopIfTrue="1" operator="lessThan">
      <formula>-0.01</formula>
    </cfRule>
    <cfRule type="cellIs" dxfId="1460" priority="568" stopIfTrue="1" operator="greaterThan">
      <formula>0.01</formula>
    </cfRule>
  </conditionalFormatting>
  <conditionalFormatting sqref="N73">
    <cfRule type="cellIs" dxfId="1459" priority="565" stopIfTrue="1" operator="lessThan">
      <formula>-0.01</formula>
    </cfRule>
    <cfRule type="cellIs" dxfId="1458" priority="566" stopIfTrue="1" operator="greaterThan">
      <formula>0.01</formula>
    </cfRule>
  </conditionalFormatting>
  <conditionalFormatting sqref="N74">
    <cfRule type="cellIs" dxfId="1457" priority="563" stopIfTrue="1" operator="lessThan">
      <formula>-0.01</formula>
    </cfRule>
    <cfRule type="cellIs" dxfId="1456" priority="564" stopIfTrue="1" operator="greaterThan">
      <formula>0.01</formula>
    </cfRule>
  </conditionalFormatting>
  <conditionalFormatting sqref="N75:N77">
    <cfRule type="cellIs" dxfId="1455" priority="561" stopIfTrue="1" operator="lessThan">
      <formula>-0.01</formula>
    </cfRule>
    <cfRule type="cellIs" dxfId="1454" priority="562" stopIfTrue="1" operator="greaterThan">
      <formula>0.01</formula>
    </cfRule>
  </conditionalFormatting>
  <conditionalFormatting sqref="P73">
    <cfRule type="cellIs" dxfId="1453" priority="559" operator="greaterThan">
      <formula>0.03</formula>
    </cfRule>
    <cfRule type="cellIs" dxfId="1452" priority="560" stopIfTrue="1" operator="lessThan">
      <formula>-0.03</formula>
    </cfRule>
  </conditionalFormatting>
  <conditionalFormatting sqref="P77">
    <cfRule type="cellIs" dxfId="1451" priority="557" operator="lessThan">
      <formula>-0.03</formula>
    </cfRule>
    <cfRule type="cellIs" dxfId="1450" priority="558" stopIfTrue="1" operator="greaterThan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dxfId="1449" priority="555" operator="greaterThan">
      <formula>0.03</formula>
    </cfRule>
    <cfRule type="cellIs" dxfId="1448" priority="556" stopIfTrue="1" operator="lessThan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dxfId="1447" priority="550" stopIfTrue="1" operator="lessThan">
      <formula>-0.01</formula>
    </cfRule>
    <cfRule type="cellIs" dxfId="1446" priority="551" stopIfTrue="1" operator="greaterThan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I84"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2">
      <dataBar>
        <cfvo type="min"/>
        <cfvo type="max"/>
        <color rgb="FF008AEF"/>
      </dataBar>
    </cfRule>
  </conditionalFormatting>
  <conditionalFormatting sqref="J84:J88">
    <cfRule type="cellIs" dxfId="1445" priority="540" operator="greaterThan">
      <formula>0.03</formula>
    </cfRule>
    <cfRule type="cellIs" dxfId="1444" priority="541" stopIfTrue="1" operator="lessThan">
      <formula>-0.03</formula>
    </cfRule>
  </conditionalFormatting>
  <conditionalFormatting sqref="N89">
    <cfRule type="cellIs" dxfId="1443" priority="538" stopIfTrue="1" operator="lessThan">
      <formula>-0.01</formula>
    </cfRule>
    <cfRule type="cellIs" dxfId="1442" priority="539" stopIfTrue="1" operator="greaterThan">
      <formula>0.01</formula>
    </cfRule>
  </conditionalFormatting>
  <conditionalFormatting sqref="N84">
    <cfRule type="cellIs" dxfId="1441" priority="536" stopIfTrue="1" operator="lessThan">
      <formula>-0.01</formula>
    </cfRule>
    <cfRule type="cellIs" dxfId="1440" priority="537" stopIfTrue="1" operator="greaterThan">
      <formula>0.01</formula>
    </cfRule>
  </conditionalFormatting>
  <conditionalFormatting sqref="N85">
    <cfRule type="cellIs" dxfId="1439" priority="534" stopIfTrue="1" operator="lessThan">
      <formula>-0.01</formula>
    </cfRule>
    <cfRule type="cellIs" dxfId="1438" priority="535" stopIfTrue="1" operator="greaterThan">
      <formula>0.01</formula>
    </cfRule>
  </conditionalFormatting>
  <conditionalFormatting sqref="N86:N88">
    <cfRule type="cellIs" dxfId="1437" priority="532" stopIfTrue="1" operator="lessThan">
      <formula>-0.01</formula>
    </cfRule>
    <cfRule type="cellIs" dxfId="1436" priority="533" stopIfTrue="1" operator="greaterThan">
      <formula>0.01</formula>
    </cfRule>
  </conditionalFormatting>
  <conditionalFormatting sqref="P84">
    <cfRule type="cellIs" dxfId="1435" priority="530" operator="greaterThan">
      <formula>0.03</formula>
    </cfRule>
    <cfRule type="cellIs" dxfId="1434" priority="531" stopIfTrue="1" operator="lessThan">
      <formula>-0.03</formula>
    </cfRule>
  </conditionalFormatting>
  <conditionalFormatting sqref="P88">
    <cfRule type="cellIs" dxfId="1433" priority="528" operator="lessThan">
      <formula>-0.03</formula>
    </cfRule>
    <cfRule type="cellIs" dxfId="1432" priority="529" stopIfTrue="1" operator="greaterThan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dxfId="1431" priority="526" operator="greaterThan">
      <formula>0.03</formula>
    </cfRule>
    <cfRule type="cellIs" dxfId="1430" priority="527" stopIfTrue="1" operator="lessThan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dxfId="1429" priority="521" stopIfTrue="1" operator="lessThan">
      <formula>-0.01</formula>
    </cfRule>
    <cfRule type="cellIs" dxfId="1428" priority="522" stopIfTrue="1" operator="greaterThan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I95"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3">
      <dataBar>
        <cfvo type="min"/>
        <cfvo type="max"/>
        <color rgb="FF008AEF"/>
      </dataBar>
    </cfRule>
  </conditionalFormatting>
  <conditionalFormatting sqref="J95:J99">
    <cfRule type="cellIs" dxfId="1427" priority="511" operator="greaterThan">
      <formula>0.03</formula>
    </cfRule>
    <cfRule type="cellIs" dxfId="1426" priority="512" stopIfTrue="1" operator="lessThan">
      <formula>-0.03</formula>
    </cfRule>
  </conditionalFormatting>
  <conditionalFormatting sqref="N100">
    <cfRule type="cellIs" dxfId="1425" priority="509" stopIfTrue="1" operator="lessThan">
      <formula>-0.01</formula>
    </cfRule>
    <cfRule type="cellIs" dxfId="1424" priority="510" stopIfTrue="1" operator="greaterThan">
      <formula>0.01</formula>
    </cfRule>
  </conditionalFormatting>
  <conditionalFormatting sqref="N95">
    <cfRule type="cellIs" dxfId="1423" priority="507" stopIfTrue="1" operator="lessThan">
      <formula>-0.01</formula>
    </cfRule>
    <cfRule type="cellIs" dxfId="1422" priority="508" stopIfTrue="1" operator="greaterThan">
      <formula>0.01</formula>
    </cfRule>
  </conditionalFormatting>
  <conditionalFormatting sqref="N96">
    <cfRule type="cellIs" dxfId="1421" priority="505" stopIfTrue="1" operator="lessThan">
      <formula>-0.01</formula>
    </cfRule>
    <cfRule type="cellIs" dxfId="1420" priority="506" stopIfTrue="1" operator="greaterThan">
      <formula>0.01</formula>
    </cfRule>
  </conditionalFormatting>
  <conditionalFormatting sqref="N97:N99">
    <cfRule type="cellIs" dxfId="1419" priority="503" stopIfTrue="1" operator="lessThan">
      <formula>-0.01</formula>
    </cfRule>
    <cfRule type="cellIs" dxfId="1418" priority="504" stopIfTrue="1" operator="greaterThan">
      <formula>0.01</formula>
    </cfRule>
  </conditionalFormatting>
  <conditionalFormatting sqref="P95">
    <cfRule type="cellIs" dxfId="1417" priority="501" operator="greaterThan">
      <formula>0.03</formula>
    </cfRule>
    <cfRule type="cellIs" dxfId="1416" priority="502" stopIfTrue="1" operator="lessThan">
      <formula>-0.03</formula>
    </cfRule>
  </conditionalFormatting>
  <conditionalFormatting sqref="P99">
    <cfRule type="cellIs" dxfId="1415" priority="499" operator="lessThan">
      <formula>-0.03</formula>
    </cfRule>
    <cfRule type="cellIs" dxfId="1414" priority="500" stopIfTrue="1" operator="greaterThan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dxfId="1413" priority="497" operator="greaterThan">
      <formula>0.03</formula>
    </cfRule>
    <cfRule type="cellIs" dxfId="1412" priority="498" stopIfTrue="1" operator="lessThan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dxfId="1411" priority="492" stopIfTrue="1" operator="lessThan">
      <formula>-0.01</formula>
    </cfRule>
    <cfRule type="cellIs" dxfId="1410" priority="493" stopIfTrue="1" operator="greaterThan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I106"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4">
      <dataBar>
        <cfvo type="min"/>
        <cfvo type="max"/>
        <color rgb="FF008AEF"/>
      </dataBar>
    </cfRule>
  </conditionalFormatting>
  <conditionalFormatting sqref="J106:J110">
    <cfRule type="cellIs" dxfId="1409" priority="482" operator="greaterThan">
      <formula>0.03</formula>
    </cfRule>
    <cfRule type="cellIs" dxfId="1408" priority="483" stopIfTrue="1" operator="lessThan">
      <formula>-0.03</formula>
    </cfRule>
  </conditionalFormatting>
  <conditionalFormatting sqref="N111">
    <cfRule type="cellIs" dxfId="1407" priority="480" stopIfTrue="1" operator="lessThan">
      <formula>-0.01</formula>
    </cfRule>
    <cfRule type="cellIs" dxfId="1406" priority="481" stopIfTrue="1" operator="greaterThan">
      <formula>0.01</formula>
    </cfRule>
  </conditionalFormatting>
  <conditionalFormatting sqref="N106">
    <cfRule type="cellIs" dxfId="1405" priority="478" stopIfTrue="1" operator="lessThan">
      <formula>-0.01</formula>
    </cfRule>
    <cfRule type="cellIs" dxfId="1404" priority="479" stopIfTrue="1" operator="greaterThan">
      <formula>0.01</formula>
    </cfRule>
  </conditionalFormatting>
  <conditionalFormatting sqref="N107">
    <cfRule type="cellIs" dxfId="1403" priority="476" stopIfTrue="1" operator="lessThan">
      <formula>-0.01</formula>
    </cfRule>
    <cfRule type="cellIs" dxfId="1402" priority="477" stopIfTrue="1" operator="greaterThan">
      <formula>0.01</formula>
    </cfRule>
  </conditionalFormatting>
  <conditionalFormatting sqref="N108:N110">
    <cfRule type="cellIs" dxfId="1401" priority="474" stopIfTrue="1" operator="lessThan">
      <formula>-0.01</formula>
    </cfRule>
    <cfRule type="cellIs" dxfId="1400" priority="475" stopIfTrue="1" operator="greaterThan">
      <formula>0.01</formula>
    </cfRule>
  </conditionalFormatting>
  <conditionalFormatting sqref="P106">
    <cfRule type="cellIs" dxfId="1399" priority="472" operator="greaterThan">
      <formula>0.03</formula>
    </cfRule>
    <cfRule type="cellIs" dxfId="1398" priority="473" stopIfTrue="1" operator="lessThan">
      <formula>-0.03</formula>
    </cfRule>
  </conditionalFormatting>
  <conditionalFormatting sqref="P110">
    <cfRule type="cellIs" dxfId="1397" priority="470" operator="lessThan">
      <formula>-0.03</formula>
    </cfRule>
    <cfRule type="cellIs" dxfId="1396" priority="471" stopIfTrue="1" operator="greaterThan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dxfId="1395" priority="468" operator="greaterThan">
      <formula>0.03</formula>
    </cfRule>
    <cfRule type="cellIs" dxfId="1394" priority="469" stopIfTrue="1" operator="lessThan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dxfId="1393" priority="463" stopIfTrue="1" operator="lessThan">
      <formula>-0.01</formula>
    </cfRule>
    <cfRule type="cellIs" dxfId="1392" priority="464" stopIfTrue="1" operator="greaterThan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I117"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55">
      <dataBar>
        <cfvo type="min"/>
        <cfvo type="max"/>
        <color rgb="FF008AEF"/>
      </dataBar>
    </cfRule>
  </conditionalFormatting>
  <conditionalFormatting sqref="J117:J121">
    <cfRule type="cellIs" dxfId="1391" priority="453" operator="greaterThan">
      <formula>0.03</formula>
    </cfRule>
    <cfRule type="cellIs" dxfId="1390" priority="454" stopIfTrue="1" operator="lessThan">
      <formula>-0.03</formula>
    </cfRule>
  </conditionalFormatting>
  <conditionalFormatting sqref="N122">
    <cfRule type="cellIs" dxfId="1389" priority="451" stopIfTrue="1" operator="lessThan">
      <formula>-0.01</formula>
    </cfRule>
    <cfRule type="cellIs" dxfId="1388" priority="452" stopIfTrue="1" operator="greaterThan">
      <formula>0.01</formula>
    </cfRule>
  </conditionalFormatting>
  <conditionalFormatting sqref="N117">
    <cfRule type="cellIs" dxfId="1387" priority="449" stopIfTrue="1" operator="lessThan">
      <formula>-0.01</formula>
    </cfRule>
    <cfRule type="cellIs" dxfId="1386" priority="450" stopIfTrue="1" operator="greaterThan">
      <formula>0.01</formula>
    </cfRule>
  </conditionalFormatting>
  <conditionalFormatting sqref="N118">
    <cfRule type="cellIs" dxfId="1385" priority="447" stopIfTrue="1" operator="lessThan">
      <formula>-0.01</formula>
    </cfRule>
    <cfRule type="cellIs" dxfId="1384" priority="448" stopIfTrue="1" operator="greaterThan">
      <formula>0.01</formula>
    </cfRule>
  </conditionalFormatting>
  <conditionalFormatting sqref="N119:N121">
    <cfRule type="cellIs" dxfId="1383" priority="445" stopIfTrue="1" operator="lessThan">
      <formula>-0.01</formula>
    </cfRule>
    <cfRule type="cellIs" dxfId="1382" priority="446" stopIfTrue="1" operator="greaterThan">
      <formula>0.01</formula>
    </cfRule>
  </conditionalFormatting>
  <conditionalFormatting sqref="P117">
    <cfRule type="cellIs" dxfId="1381" priority="443" operator="greaterThan">
      <formula>0.03</formula>
    </cfRule>
    <cfRule type="cellIs" dxfId="1380" priority="444" stopIfTrue="1" operator="lessThan">
      <formula>-0.03</formula>
    </cfRule>
  </conditionalFormatting>
  <conditionalFormatting sqref="P121">
    <cfRule type="cellIs" dxfId="1379" priority="441" operator="lessThan">
      <formula>-0.03</formula>
    </cfRule>
    <cfRule type="cellIs" dxfId="1378" priority="442" stopIfTrue="1" operator="greaterThan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dxfId="1377" priority="439" operator="greaterThan">
      <formula>0.03</formula>
    </cfRule>
    <cfRule type="cellIs" dxfId="1376" priority="440" stopIfTrue="1" operator="lessThan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dxfId="1375" priority="434" stopIfTrue="1" operator="lessThan">
      <formula>-0.01</formula>
    </cfRule>
    <cfRule type="cellIs" dxfId="1374" priority="435" stopIfTrue="1" operator="greaterThan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I128"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26">
      <dataBar>
        <cfvo type="min"/>
        <cfvo type="max"/>
        <color rgb="FF008AEF"/>
      </dataBar>
    </cfRule>
  </conditionalFormatting>
  <conditionalFormatting sqref="J128:J132">
    <cfRule type="cellIs" dxfId="1373" priority="424" operator="greaterThan">
      <formula>0.03</formula>
    </cfRule>
    <cfRule type="cellIs" dxfId="1372" priority="425" stopIfTrue="1" operator="lessThan">
      <formula>-0.03</formula>
    </cfRule>
  </conditionalFormatting>
  <conditionalFormatting sqref="N133">
    <cfRule type="cellIs" dxfId="1371" priority="422" stopIfTrue="1" operator="lessThan">
      <formula>-0.01</formula>
    </cfRule>
    <cfRule type="cellIs" dxfId="1370" priority="423" stopIfTrue="1" operator="greaterThan">
      <formula>0.01</formula>
    </cfRule>
  </conditionalFormatting>
  <conditionalFormatting sqref="N128">
    <cfRule type="cellIs" dxfId="1369" priority="420" stopIfTrue="1" operator="lessThan">
      <formula>-0.01</formula>
    </cfRule>
    <cfRule type="cellIs" dxfId="1368" priority="421" stopIfTrue="1" operator="greaterThan">
      <formula>0.01</formula>
    </cfRule>
  </conditionalFormatting>
  <conditionalFormatting sqref="N129">
    <cfRule type="cellIs" dxfId="1367" priority="418" stopIfTrue="1" operator="lessThan">
      <formula>-0.01</formula>
    </cfRule>
    <cfRule type="cellIs" dxfId="1366" priority="419" stopIfTrue="1" operator="greaterThan">
      <formula>0.01</formula>
    </cfRule>
  </conditionalFormatting>
  <conditionalFormatting sqref="N130:N132">
    <cfRule type="cellIs" dxfId="1365" priority="416" stopIfTrue="1" operator="lessThan">
      <formula>-0.01</formula>
    </cfRule>
    <cfRule type="cellIs" dxfId="1364" priority="417" stopIfTrue="1" operator="greaterThan">
      <formula>0.01</formula>
    </cfRule>
  </conditionalFormatting>
  <conditionalFormatting sqref="P128">
    <cfRule type="cellIs" dxfId="1363" priority="414" operator="greaterThan">
      <formula>0.03</formula>
    </cfRule>
    <cfRule type="cellIs" dxfId="1362" priority="415" stopIfTrue="1" operator="lessThan">
      <formula>-0.03</formula>
    </cfRule>
  </conditionalFormatting>
  <conditionalFormatting sqref="P132">
    <cfRule type="cellIs" dxfId="1361" priority="412" operator="lessThan">
      <formula>-0.03</formula>
    </cfRule>
    <cfRule type="cellIs" dxfId="1360" priority="413" stopIfTrue="1" operator="greaterThan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dxfId="1359" priority="410" operator="greaterThan">
      <formula>0.03</formula>
    </cfRule>
    <cfRule type="cellIs" dxfId="1358" priority="411" stopIfTrue="1" operator="lessThan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</conditionalFormatting>
  <conditionalFormatting sqref="N145">
    <cfRule type="cellIs" dxfId="1357" priority="405" stopIfTrue="1" operator="lessThan">
      <formula>-0.01</formula>
    </cfRule>
    <cfRule type="cellIs" dxfId="1356" priority="406" stopIfTrue="1" operator="greaterThan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</conditionalFormatting>
  <conditionalFormatting sqref="I139">
    <cfRule type="dataBar" priority="398">
      <dataBar>
        <cfvo type="min"/>
        <cfvo type="max"/>
        <color rgb="FF008AEF"/>
      </dataBar>
    </cfRule>
  </conditionalFormatting>
  <conditionalFormatting sqref="I140">
    <cfRule type="dataBar" priority="397">
      <dataBar>
        <cfvo type="min"/>
        <cfvo type="max"/>
        <color rgb="FF008AEF"/>
      </dataBar>
    </cfRule>
  </conditionalFormatting>
  <conditionalFormatting sqref="J139:J143">
    <cfRule type="cellIs" dxfId="1355" priority="395" operator="greaterThan">
      <formula>0.03</formula>
    </cfRule>
    <cfRule type="cellIs" dxfId="1354" priority="396" stopIfTrue="1" operator="lessThan">
      <formula>-0.03</formula>
    </cfRule>
  </conditionalFormatting>
  <conditionalFormatting sqref="N144">
    <cfRule type="cellIs" dxfId="1353" priority="393" stopIfTrue="1" operator="lessThan">
      <formula>-0.01</formula>
    </cfRule>
    <cfRule type="cellIs" dxfId="1352" priority="394" stopIfTrue="1" operator="greaterThan">
      <formula>0.01</formula>
    </cfRule>
  </conditionalFormatting>
  <conditionalFormatting sqref="N139">
    <cfRule type="cellIs" dxfId="1351" priority="391" stopIfTrue="1" operator="lessThan">
      <formula>-0.01</formula>
    </cfRule>
    <cfRule type="cellIs" dxfId="1350" priority="392" stopIfTrue="1" operator="greaterThan">
      <formula>0.01</formula>
    </cfRule>
  </conditionalFormatting>
  <conditionalFormatting sqref="N140">
    <cfRule type="cellIs" dxfId="1349" priority="389" stopIfTrue="1" operator="lessThan">
      <formula>-0.01</formula>
    </cfRule>
    <cfRule type="cellIs" dxfId="1348" priority="390" stopIfTrue="1" operator="greaterThan">
      <formula>0.01</formula>
    </cfRule>
  </conditionalFormatting>
  <conditionalFormatting sqref="N141:N143">
    <cfRule type="cellIs" dxfId="1347" priority="387" stopIfTrue="1" operator="lessThan">
      <formula>-0.01</formula>
    </cfRule>
    <cfRule type="cellIs" dxfId="1346" priority="388" stopIfTrue="1" operator="greaterThan">
      <formula>0.01</formula>
    </cfRule>
  </conditionalFormatting>
  <conditionalFormatting sqref="P139">
    <cfRule type="cellIs" dxfId="1345" priority="385" operator="greaterThan">
      <formula>0.03</formula>
    </cfRule>
    <cfRule type="cellIs" dxfId="1344" priority="386" stopIfTrue="1" operator="lessThan">
      <formula>-0.03</formula>
    </cfRule>
  </conditionalFormatting>
  <conditionalFormatting sqref="P143">
    <cfRule type="cellIs" dxfId="1343" priority="383" operator="lessThan">
      <formula>-0.03</formula>
    </cfRule>
    <cfRule type="cellIs" dxfId="1342" priority="384" stopIfTrue="1" operator="greaterThan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</conditionalFormatting>
  <conditionalFormatting sqref="P142">
    <cfRule type="cellIs" dxfId="1341" priority="381" operator="greaterThan">
      <formula>0.03</formula>
    </cfRule>
    <cfRule type="cellIs" dxfId="1340" priority="382" stopIfTrue="1" operator="lessThan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dxfId="1339" priority="378" stopIfTrue="1" operator="lessThan">
      <formula>-0.01</formula>
    </cfRule>
    <cfRule type="cellIs" dxfId="1338" priority="379" stopIfTrue="1" operator="greaterThan">
      <formula>0.01</formula>
    </cfRule>
  </conditionalFormatting>
  <conditionalFormatting sqref="I137"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376">
      <dataBar>
        <cfvo type="min"/>
        <cfvo type="max"/>
        <color rgb="FF008AEF"/>
      </dataBar>
    </cfRule>
  </conditionalFormatting>
  <conditionalFormatting sqref="N145">
    <cfRule type="cellIs" dxfId="1337" priority="374" stopIfTrue="1" operator="lessThan">
      <formula>-0.01</formula>
    </cfRule>
    <cfRule type="cellIs" dxfId="1336" priority="374" stopIfTrue="1" operator="greaterThan">
      <formula>0.01</formula>
    </cfRule>
  </conditionalFormatting>
  <conditionalFormatting sqref="I144"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372">
      <dataBar>
        <cfvo type="min"/>
        <cfvo type="max"/>
        <color rgb="FF008AEF"/>
      </dataBar>
    </cfRule>
  </conditionalFormatting>
  <conditionalFormatting sqref="I140">
    <cfRule type="dataBar" priority="371">
      <dataBar>
        <cfvo type="min"/>
        <cfvo type="max"/>
        <color rgb="FF008AEF"/>
      </dataBar>
    </cfRule>
  </conditionalFormatting>
  <conditionalFormatting sqref="I141:I142"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68">
      <dataBar>
        <cfvo type="min"/>
        <cfvo type="max"/>
        <color rgb="FF008AEF"/>
      </dataBar>
    </cfRule>
  </conditionalFormatting>
  <conditionalFormatting sqref="I139"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366">
      <dataBar>
        <cfvo type="min"/>
        <cfvo type="max"/>
        <color rgb="FF008AEF"/>
      </dataBar>
    </cfRule>
  </conditionalFormatting>
  <conditionalFormatting sqref="J139:J143">
    <cfRule type="cellIs" dxfId="1335" priority="364" operator="greaterThan">
      <formula>0.03</formula>
    </cfRule>
    <cfRule type="cellIs" dxfId="1334" priority="364" stopIfTrue="1" operator="lessThan">
      <formula>-0.03</formula>
    </cfRule>
  </conditionalFormatting>
  <conditionalFormatting sqref="N144">
    <cfRule type="cellIs" dxfId="1333" priority="362" stopIfTrue="1" operator="lessThan">
      <formula>-0.01</formula>
    </cfRule>
    <cfRule type="cellIs" dxfId="1332" priority="362" stopIfTrue="1" operator="greaterThan">
      <formula>0.01</formula>
    </cfRule>
  </conditionalFormatting>
  <conditionalFormatting sqref="N139">
    <cfRule type="cellIs" dxfId="1331" priority="360" stopIfTrue="1" operator="lessThan">
      <formula>-0.01</formula>
    </cfRule>
    <cfRule type="cellIs" dxfId="1330" priority="360" stopIfTrue="1" operator="greaterThan">
      <formula>0.01</formula>
    </cfRule>
  </conditionalFormatting>
  <conditionalFormatting sqref="N140">
    <cfRule type="cellIs" dxfId="1329" priority="358" stopIfTrue="1" operator="lessThan">
      <formula>-0.01</formula>
    </cfRule>
    <cfRule type="cellIs" dxfId="1328" priority="358" stopIfTrue="1" operator="greaterThan">
      <formula>0.01</formula>
    </cfRule>
  </conditionalFormatting>
  <conditionalFormatting sqref="N141:N143">
    <cfRule type="cellIs" dxfId="1327" priority="356" stopIfTrue="1" operator="lessThan">
      <formula>-0.01</formula>
    </cfRule>
    <cfRule type="cellIs" dxfId="1326" priority="356" stopIfTrue="1" operator="greaterThan">
      <formula>0.01</formula>
    </cfRule>
  </conditionalFormatting>
  <conditionalFormatting sqref="P139">
    <cfRule type="cellIs" dxfId="1325" priority="354" operator="greaterThan">
      <formula>0.03</formula>
    </cfRule>
    <cfRule type="cellIs" dxfId="1324" priority="354" stopIfTrue="1" operator="lessThan">
      <formula>-0.03</formula>
    </cfRule>
  </conditionalFormatting>
  <conditionalFormatting sqref="P143">
    <cfRule type="cellIs" dxfId="1323" priority="352" operator="lessThan">
      <formula>-0.03</formula>
    </cfRule>
    <cfRule type="cellIs" dxfId="1322" priority="352" stopIfTrue="1" operator="greaterThan">
      <formula>0.03</formula>
    </cfRule>
  </conditionalFormatting>
  <conditionalFormatting sqref="I145">
    <cfRule type="dataBar" priority="1898">
      <dataBar>
        <cfvo type="min"/>
        <cfvo type="max"/>
        <color rgb="FF008AEF"/>
      </dataBar>
    </cfRule>
  </conditionalFormatting>
  <conditionalFormatting sqref="P142">
    <cfRule type="cellIs" dxfId="1321" priority="349" operator="greaterThan">
      <formula>0.03</formula>
    </cfRule>
    <cfRule type="cellIs" dxfId="1320" priority="350" stopIfTrue="1" operator="lessThan">
      <formula>-0.03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dxfId="1319" priority="345" stopIfTrue="1" operator="lessThan">
      <formula>-0.01</formula>
    </cfRule>
    <cfRule type="cellIs" dxfId="1318" priority="345" stopIfTrue="1" operator="greaterThan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I150"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37">
      <dataBar>
        <cfvo type="min"/>
        <cfvo type="max"/>
        <color rgb="FF008AEF"/>
      </dataBar>
    </cfRule>
  </conditionalFormatting>
  <conditionalFormatting sqref="J150:J154">
    <cfRule type="cellIs" dxfId="1317" priority="335" operator="greaterThan">
      <formula>0.03</formula>
    </cfRule>
    <cfRule type="cellIs" dxfId="1316" priority="335" stopIfTrue="1" operator="lessThan">
      <formula>-0.03</formula>
    </cfRule>
  </conditionalFormatting>
  <conditionalFormatting sqref="N155">
    <cfRule type="cellIs" dxfId="1315" priority="333" stopIfTrue="1" operator="lessThan">
      <formula>-0.01</formula>
    </cfRule>
    <cfRule type="cellIs" dxfId="1314" priority="333" stopIfTrue="1" operator="greaterThan">
      <formula>0.01</formula>
    </cfRule>
  </conditionalFormatting>
  <conditionalFormatting sqref="N150">
    <cfRule type="cellIs" dxfId="1313" priority="331" stopIfTrue="1" operator="lessThan">
      <formula>-0.01</formula>
    </cfRule>
    <cfRule type="cellIs" dxfId="1312" priority="331" stopIfTrue="1" operator="greaterThan">
      <formula>0.01</formula>
    </cfRule>
  </conditionalFormatting>
  <conditionalFormatting sqref="N151">
    <cfRule type="cellIs" dxfId="1311" priority="329" stopIfTrue="1" operator="lessThan">
      <formula>-0.01</formula>
    </cfRule>
    <cfRule type="cellIs" dxfId="1310" priority="329" stopIfTrue="1" operator="greaterThan">
      <formula>0.01</formula>
    </cfRule>
  </conditionalFormatting>
  <conditionalFormatting sqref="N152:N154">
    <cfRule type="cellIs" dxfId="1309" priority="327" stopIfTrue="1" operator="lessThan">
      <formula>-0.01</formula>
    </cfRule>
    <cfRule type="cellIs" dxfId="1308" priority="327" stopIfTrue="1" operator="greaterThan">
      <formula>0.01</formula>
    </cfRule>
  </conditionalFormatting>
  <conditionalFormatting sqref="P150">
    <cfRule type="cellIs" dxfId="1307" priority="325" operator="greaterThan">
      <formula>0.03</formula>
    </cfRule>
    <cfRule type="cellIs" dxfId="1306" priority="325" stopIfTrue="1" operator="lessThan">
      <formula>-0.03</formula>
    </cfRule>
  </conditionalFormatting>
  <conditionalFormatting sqref="P154">
    <cfRule type="cellIs" dxfId="1305" priority="323" operator="lessThan">
      <formula>-0.03</formula>
    </cfRule>
    <cfRule type="cellIs" dxfId="1304" priority="323" stopIfTrue="1" operator="greaterThan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dxfId="1303" priority="320" operator="greaterThan">
      <formula>0.03</formula>
    </cfRule>
    <cfRule type="cellIs" dxfId="1302" priority="321" stopIfTrue="1" operator="lessThan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dxfId="1301" priority="316" stopIfTrue="1" operator="lessThan">
      <formula>-0.01</formula>
    </cfRule>
    <cfRule type="cellIs" dxfId="1300" priority="316" stopIfTrue="1" operator="greaterThan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I161"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08">
      <dataBar>
        <cfvo type="min"/>
        <cfvo type="max"/>
        <color rgb="FF008AEF"/>
      </dataBar>
    </cfRule>
  </conditionalFormatting>
  <conditionalFormatting sqref="J161:J165">
    <cfRule type="cellIs" dxfId="1299" priority="306" operator="greaterThan">
      <formula>0.03</formula>
    </cfRule>
    <cfRule type="cellIs" dxfId="1298" priority="306" stopIfTrue="1" operator="lessThan">
      <formula>-0.03</formula>
    </cfRule>
  </conditionalFormatting>
  <conditionalFormatting sqref="N166">
    <cfRule type="cellIs" dxfId="1297" priority="304" stopIfTrue="1" operator="lessThan">
      <formula>-0.01</formula>
    </cfRule>
    <cfRule type="cellIs" dxfId="1296" priority="304" stopIfTrue="1" operator="greaterThan">
      <formula>0.01</formula>
    </cfRule>
  </conditionalFormatting>
  <conditionalFormatting sqref="N161">
    <cfRule type="cellIs" dxfId="1295" priority="302" stopIfTrue="1" operator="lessThan">
      <formula>-0.01</formula>
    </cfRule>
    <cfRule type="cellIs" dxfId="1294" priority="302" stopIfTrue="1" operator="greaterThan">
      <formula>0.01</formula>
    </cfRule>
  </conditionalFormatting>
  <conditionalFormatting sqref="N162">
    <cfRule type="cellIs" dxfId="1293" priority="300" stopIfTrue="1" operator="lessThan">
      <formula>-0.01</formula>
    </cfRule>
    <cfRule type="cellIs" dxfId="1292" priority="300" stopIfTrue="1" operator="greaterThan">
      <formula>0.01</formula>
    </cfRule>
  </conditionalFormatting>
  <conditionalFormatting sqref="N163:N165">
    <cfRule type="cellIs" dxfId="1291" priority="298" stopIfTrue="1" operator="lessThan">
      <formula>-0.01</formula>
    </cfRule>
    <cfRule type="cellIs" dxfId="1290" priority="298" stopIfTrue="1" operator="greaterThan">
      <formula>0.01</formula>
    </cfRule>
  </conditionalFormatting>
  <conditionalFormatting sqref="P161">
    <cfRule type="cellIs" dxfId="1289" priority="296" operator="greaterThan">
      <formula>0.03</formula>
    </cfRule>
    <cfRule type="cellIs" dxfId="1288" priority="296" stopIfTrue="1" operator="lessThan">
      <formula>-0.03</formula>
    </cfRule>
  </conditionalFormatting>
  <conditionalFormatting sqref="P165">
    <cfRule type="cellIs" dxfId="1287" priority="294" operator="lessThan">
      <formula>-0.03</formula>
    </cfRule>
    <cfRule type="cellIs" dxfId="1286" priority="294" stopIfTrue="1" operator="greaterThan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dxfId="1285" priority="291" operator="greaterThan">
      <formula>0.03</formula>
    </cfRule>
    <cfRule type="cellIs" dxfId="1284" priority="292" stopIfTrue="1" operator="lessThan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dxfId="1283" priority="287" stopIfTrue="1" operator="lessThan">
      <formula>-0.01</formula>
    </cfRule>
    <cfRule type="cellIs" dxfId="1282" priority="287" stopIfTrue="1" operator="greaterThan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I172"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79">
      <dataBar>
        <cfvo type="min"/>
        <cfvo type="max"/>
        <color rgb="FF008AEF"/>
      </dataBar>
    </cfRule>
  </conditionalFormatting>
  <conditionalFormatting sqref="J172:J176">
    <cfRule type="cellIs" dxfId="1281" priority="277" operator="greaterThan">
      <formula>0.03</formula>
    </cfRule>
    <cfRule type="cellIs" dxfId="1280" priority="277" stopIfTrue="1" operator="lessThan">
      <formula>-0.03</formula>
    </cfRule>
  </conditionalFormatting>
  <conditionalFormatting sqref="N177">
    <cfRule type="cellIs" dxfId="1279" priority="275" stopIfTrue="1" operator="lessThan">
      <formula>-0.01</formula>
    </cfRule>
    <cfRule type="cellIs" dxfId="1278" priority="275" stopIfTrue="1" operator="greaterThan">
      <formula>0.01</formula>
    </cfRule>
  </conditionalFormatting>
  <conditionalFormatting sqref="N172">
    <cfRule type="cellIs" dxfId="1277" priority="273" stopIfTrue="1" operator="lessThan">
      <formula>-0.01</formula>
    </cfRule>
    <cfRule type="cellIs" dxfId="1276" priority="273" stopIfTrue="1" operator="greaterThan">
      <formula>0.01</formula>
    </cfRule>
  </conditionalFormatting>
  <conditionalFormatting sqref="N173">
    <cfRule type="cellIs" dxfId="1275" priority="271" stopIfTrue="1" operator="lessThan">
      <formula>-0.01</formula>
    </cfRule>
    <cfRule type="cellIs" dxfId="1274" priority="271" stopIfTrue="1" operator="greaterThan">
      <formula>0.01</formula>
    </cfRule>
  </conditionalFormatting>
  <conditionalFormatting sqref="N174:N176">
    <cfRule type="cellIs" dxfId="1273" priority="269" stopIfTrue="1" operator="lessThan">
      <formula>-0.01</formula>
    </cfRule>
    <cfRule type="cellIs" dxfId="1272" priority="269" stopIfTrue="1" operator="greaterThan">
      <formula>0.01</formula>
    </cfRule>
  </conditionalFormatting>
  <conditionalFormatting sqref="P172">
    <cfRule type="cellIs" dxfId="1271" priority="267" operator="greaterThan">
      <formula>0.03</formula>
    </cfRule>
    <cfRule type="cellIs" dxfId="1270" priority="267" stopIfTrue="1" operator="lessThan">
      <formula>-0.03</formula>
    </cfRule>
  </conditionalFormatting>
  <conditionalFormatting sqref="P176">
    <cfRule type="cellIs" dxfId="1269" priority="265" operator="lessThan">
      <formula>-0.03</formula>
    </cfRule>
    <cfRule type="cellIs" dxfId="1268" priority="265" stopIfTrue="1" operator="greaterThan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dxfId="1267" priority="262" operator="greaterThan">
      <formula>0.03</formula>
    </cfRule>
    <cfRule type="cellIs" dxfId="1266" priority="263" stopIfTrue="1" operator="lessThan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dxfId="1265" priority="258" stopIfTrue="1" operator="lessThan">
      <formula>-0.01</formula>
    </cfRule>
    <cfRule type="cellIs" dxfId="1264" priority="258" stopIfTrue="1" operator="greaterThan">
      <formula>0.01</formula>
    </cfRule>
  </conditionalFormatting>
  <conditionalFormatting sqref="N188">
    <cfRule type="cellIs" dxfId="1263" priority="246" stopIfTrue="1" operator="lessThan">
      <formula>-0.01</formula>
    </cfRule>
    <cfRule type="cellIs" dxfId="1262" priority="246" stopIfTrue="1" operator="greaterThan">
      <formula>0.01</formula>
    </cfRule>
  </conditionalFormatting>
  <conditionalFormatting sqref="N183">
    <cfRule type="cellIs" dxfId="1261" priority="244" stopIfTrue="1" operator="lessThan">
      <formula>-0.01</formula>
    </cfRule>
    <cfRule type="cellIs" dxfId="1260" priority="244" stopIfTrue="1" operator="greaterThan">
      <formula>0.01</formula>
    </cfRule>
  </conditionalFormatting>
  <conditionalFormatting sqref="N184">
    <cfRule type="cellIs" dxfId="1259" priority="242" stopIfTrue="1" operator="lessThan">
      <formula>-0.01</formula>
    </cfRule>
    <cfRule type="cellIs" dxfId="1258" priority="242" stopIfTrue="1" operator="greaterThan">
      <formula>0.01</formula>
    </cfRule>
  </conditionalFormatting>
  <conditionalFormatting sqref="N185:N187">
    <cfRule type="cellIs" dxfId="1257" priority="240" stopIfTrue="1" operator="lessThan">
      <formula>-0.01</formula>
    </cfRule>
    <cfRule type="cellIs" dxfId="1256" priority="240" stopIfTrue="1" operator="greaterThan">
      <formula>0.01</formula>
    </cfRule>
  </conditionalFormatting>
  <conditionalFormatting sqref="P183">
    <cfRule type="cellIs" dxfId="1255" priority="238" operator="greaterThan">
      <formula>0.03</formula>
    </cfRule>
    <cfRule type="cellIs" dxfId="1254" priority="238" stopIfTrue="1" operator="lessThan">
      <formula>-0.03</formula>
    </cfRule>
  </conditionalFormatting>
  <conditionalFormatting sqref="P187">
    <cfRule type="cellIs" dxfId="1253" priority="236" operator="lessThan">
      <formula>-0.03</formula>
    </cfRule>
    <cfRule type="cellIs" dxfId="1252" priority="236" stopIfTrue="1" operator="greaterThan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dxfId="1251" priority="233" operator="greaterThan">
      <formula>0.03</formula>
    </cfRule>
    <cfRule type="cellIs" dxfId="1250" priority="234" stopIfTrue="1" operator="lessThan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dxfId="1249" priority="229" stopIfTrue="1" operator="lessThan">
      <formula>-0.01</formula>
    </cfRule>
    <cfRule type="cellIs" dxfId="1248" priority="229" stopIfTrue="1" operator="greaterThan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I194"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1">
      <dataBar>
        <cfvo type="min"/>
        <cfvo type="max"/>
        <color rgb="FF008AEF"/>
      </dataBar>
    </cfRule>
  </conditionalFormatting>
  <conditionalFormatting sqref="J194:J198">
    <cfRule type="cellIs" dxfId="1247" priority="219" operator="greaterThan">
      <formula>0.03</formula>
    </cfRule>
    <cfRule type="cellIs" dxfId="1246" priority="219" stopIfTrue="1" operator="lessThan">
      <formula>-0.03</formula>
    </cfRule>
  </conditionalFormatting>
  <conditionalFormatting sqref="N199">
    <cfRule type="cellIs" dxfId="1245" priority="217" stopIfTrue="1" operator="lessThan">
      <formula>-0.01</formula>
    </cfRule>
    <cfRule type="cellIs" dxfId="1244" priority="217" stopIfTrue="1" operator="greaterThan">
      <formula>0.01</formula>
    </cfRule>
  </conditionalFormatting>
  <conditionalFormatting sqref="N194">
    <cfRule type="cellIs" dxfId="1243" priority="215" stopIfTrue="1" operator="lessThan">
      <formula>-0.01</formula>
    </cfRule>
    <cfRule type="cellIs" dxfId="1242" priority="215" stopIfTrue="1" operator="greaterThan">
      <formula>0.01</formula>
    </cfRule>
  </conditionalFormatting>
  <conditionalFormatting sqref="N195">
    <cfRule type="cellIs" dxfId="1241" priority="213" stopIfTrue="1" operator="lessThan">
      <formula>-0.01</formula>
    </cfRule>
    <cfRule type="cellIs" dxfId="1240" priority="213" stopIfTrue="1" operator="greaterThan">
      <formula>0.01</formula>
    </cfRule>
  </conditionalFormatting>
  <conditionalFormatting sqref="N196:N198">
    <cfRule type="cellIs" dxfId="1239" priority="211" stopIfTrue="1" operator="lessThan">
      <formula>-0.01</formula>
    </cfRule>
    <cfRule type="cellIs" dxfId="1238" priority="211" stopIfTrue="1" operator="greaterThan">
      <formula>0.01</formula>
    </cfRule>
  </conditionalFormatting>
  <conditionalFormatting sqref="P194">
    <cfRule type="cellIs" dxfId="1237" priority="209" operator="greaterThan">
      <formula>0.03</formula>
    </cfRule>
    <cfRule type="cellIs" dxfId="1236" priority="209" stopIfTrue="1" operator="lessThan">
      <formula>-0.03</formula>
    </cfRule>
  </conditionalFormatting>
  <conditionalFormatting sqref="P198">
    <cfRule type="cellIs" dxfId="1235" priority="207" operator="lessThan">
      <formula>-0.03</formula>
    </cfRule>
    <cfRule type="cellIs" dxfId="1234" priority="207" stopIfTrue="1" operator="greaterThan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dxfId="1233" priority="204" operator="greaterThan">
      <formula>0.03</formula>
    </cfRule>
    <cfRule type="cellIs" dxfId="1232" priority="205" stopIfTrue="1" operator="lessThan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dxfId="1231" priority="200" stopIfTrue="1" operator="lessThan">
      <formula>-0.01</formula>
    </cfRule>
    <cfRule type="cellIs" dxfId="1230" priority="200" stopIfTrue="1" operator="greaterThan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I205"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2">
      <dataBar>
        <cfvo type="min"/>
        <cfvo type="max"/>
        <color rgb="FF008AEF"/>
      </dataBar>
    </cfRule>
  </conditionalFormatting>
  <conditionalFormatting sqref="J205:J209">
    <cfRule type="cellIs" dxfId="1229" priority="190" operator="greaterThan">
      <formula>0.03</formula>
    </cfRule>
    <cfRule type="cellIs" dxfId="1228" priority="190" stopIfTrue="1" operator="lessThan">
      <formula>-0.03</formula>
    </cfRule>
  </conditionalFormatting>
  <conditionalFormatting sqref="N210">
    <cfRule type="cellIs" dxfId="1227" priority="188" stopIfTrue="1" operator="lessThan">
      <formula>-0.01</formula>
    </cfRule>
    <cfRule type="cellIs" dxfId="1226" priority="188" stopIfTrue="1" operator="greaterThan">
      <formula>0.01</formula>
    </cfRule>
  </conditionalFormatting>
  <conditionalFormatting sqref="N205">
    <cfRule type="cellIs" dxfId="1225" priority="186" stopIfTrue="1" operator="lessThan">
      <formula>-0.01</formula>
    </cfRule>
    <cfRule type="cellIs" dxfId="1224" priority="186" stopIfTrue="1" operator="greaterThan">
      <formula>0.01</formula>
    </cfRule>
  </conditionalFormatting>
  <conditionalFormatting sqref="N206">
    <cfRule type="cellIs" dxfId="1223" priority="184" stopIfTrue="1" operator="lessThan">
      <formula>-0.01</formula>
    </cfRule>
    <cfRule type="cellIs" dxfId="1222" priority="184" stopIfTrue="1" operator="greaterThan">
      <formula>0.01</formula>
    </cfRule>
  </conditionalFormatting>
  <conditionalFormatting sqref="N207:N209">
    <cfRule type="cellIs" dxfId="1221" priority="182" stopIfTrue="1" operator="lessThan">
      <formula>-0.01</formula>
    </cfRule>
    <cfRule type="cellIs" dxfId="1220" priority="182" stopIfTrue="1" operator="greaterThan">
      <formula>0.01</formula>
    </cfRule>
  </conditionalFormatting>
  <conditionalFormatting sqref="P205">
    <cfRule type="cellIs" dxfId="1219" priority="180" operator="greaterThan">
      <formula>0.03</formula>
    </cfRule>
    <cfRule type="cellIs" dxfId="1218" priority="180" stopIfTrue="1" operator="lessThan">
      <formula>-0.03</formula>
    </cfRule>
  </conditionalFormatting>
  <conditionalFormatting sqref="P209">
    <cfRule type="cellIs" dxfId="1217" priority="178" operator="lessThan">
      <formula>-0.03</formula>
    </cfRule>
    <cfRule type="cellIs" dxfId="1216" priority="178" stopIfTrue="1" operator="greaterThan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dxfId="1215" priority="175" operator="greaterThan">
      <formula>0.03</formula>
    </cfRule>
    <cfRule type="cellIs" dxfId="1214" priority="176" stopIfTrue="1" operator="lessThan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dxfId="1213" priority="171" stopIfTrue="1" operator="lessThan">
      <formula>-0.01</formula>
    </cfRule>
    <cfRule type="cellIs" dxfId="1212" priority="171" stopIfTrue="1" operator="greaterThan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I216"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3">
      <dataBar>
        <cfvo type="min"/>
        <cfvo type="max"/>
        <color rgb="FF008AEF"/>
      </dataBar>
    </cfRule>
  </conditionalFormatting>
  <conditionalFormatting sqref="J216:J220">
    <cfRule type="cellIs" dxfId="1211" priority="161" operator="greaterThan">
      <formula>0.03</formula>
    </cfRule>
    <cfRule type="cellIs" dxfId="1210" priority="161" stopIfTrue="1" operator="lessThan">
      <formula>-0.03</formula>
    </cfRule>
  </conditionalFormatting>
  <conditionalFormatting sqref="N221">
    <cfRule type="cellIs" dxfId="1209" priority="159" stopIfTrue="1" operator="lessThan">
      <formula>-0.01</formula>
    </cfRule>
    <cfRule type="cellIs" dxfId="1208" priority="159" stopIfTrue="1" operator="greaterThan">
      <formula>0.01</formula>
    </cfRule>
  </conditionalFormatting>
  <conditionalFormatting sqref="N216">
    <cfRule type="cellIs" dxfId="1207" priority="157" stopIfTrue="1" operator="lessThan">
      <formula>-0.01</formula>
    </cfRule>
    <cfRule type="cellIs" dxfId="1206" priority="157" stopIfTrue="1" operator="greaterThan">
      <formula>0.01</formula>
    </cfRule>
  </conditionalFormatting>
  <conditionalFormatting sqref="N217">
    <cfRule type="cellIs" dxfId="1205" priority="155" stopIfTrue="1" operator="lessThan">
      <formula>-0.01</formula>
    </cfRule>
    <cfRule type="cellIs" dxfId="1204" priority="155" stopIfTrue="1" operator="greaterThan">
      <formula>0.01</formula>
    </cfRule>
  </conditionalFormatting>
  <conditionalFormatting sqref="N218:N220">
    <cfRule type="cellIs" dxfId="1203" priority="153" stopIfTrue="1" operator="lessThan">
      <formula>-0.01</formula>
    </cfRule>
    <cfRule type="cellIs" dxfId="1202" priority="153" stopIfTrue="1" operator="greaterThan">
      <formula>0.01</formula>
    </cfRule>
  </conditionalFormatting>
  <conditionalFormatting sqref="P216">
    <cfRule type="cellIs" dxfId="1201" priority="151" operator="greaterThan">
      <formula>0.03</formula>
    </cfRule>
    <cfRule type="cellIs" dxfId="1200" priority="151" stopIfTrue="1" operator="lessThan">
      <formula>-0.03</formula>
    </cfRule>
  </conditionalFormatting>
  <conditionalFormatting sqref="P220">
    <cfRule type="cellIs" dxfId="1199" priority="149" operator="lessThan">
      <formula>-0.03</formula>
    </cfRule>
    <cfRule type="cellIs" dxfId="1198" priority="149" stopIfTrue="1" operator="greaterThan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dxfId="1197" priority="146" operator="greaterThan">
      <formula>0.03</formula>
    </cfRule>
    <cfRule type="cellIs" dxfId="1196" priority="147" stopIfTrue="1" operator="lessThan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dxfId="1195" priority="142" stopIfTrue="1" operator="lessThan">
      <formula>-0.01</formula>
    </cfRule>
    <cfRule type="cellIs" dxfId="1194" priority="142" stopIfTrue="1" operator="greaterThan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I227"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4">
      <dataBar>
        <cfvo type="min"/>
        <cfvo type="max"/>
        <color rgb="FF008AEF"/>
      </dataBar>
    </cfRule>
  </conditionalFormatting>
  <conditionalFormatting sqref="J227:J231">
    <cfRule type="cellIs" dxfId="1193" priority="132" operator="greaterThan">
      <formula>0.03</formula>
    </cfRule>
    <cfRule type="cellIs" dxfId="1192" priority="132" stopIfTrue="1" operator="lessThan">
      <formula>-0.03</formula>
    </cfRule>
  </conditionalFormatting>
  <conditionalFormatting sqref="N232">
    <cfRule type="cellIs" dxfId="1191" priority="130" stopIfTrue="1" operator="lessThan">
      <formula>-0.01</formula>
    </cfRule>
    <cfRule type="cellIs" dxfId="1190" priority="130" stopIfTrue="1" operator="greaterThan">
      <formula>0.01</formula>
    </cfRule>
  </conditionalFormatting>
  <conditionalFormatting sqref="N227">
    <cfRule type="cellIs" dxfId="1189" priority="128" stopIfTrue="1" operator="lessThan">
      <formula>-0.01</formula>
    </cfRule>
    <cfRule type="cellIs" dxfId="1188" priority="128" stopIfTrue="1" operator="greaterThan">
      <formula>0.01</formula>
    </cfRule>
  </conditionalFormatting>
  <conditionalFormatting sqref="N228">
    <cfRule type="cellIs" dxfId="1187" priority="126" stopIfTrue="1" operator="lessThan">
      <formula>-0.01</formula>
    </cfRule>
    <cfRule type="cellIs" dxfId="1186" priority="126" stopIfTrue="1" operator="greaterThan">
      <formula>0.01</formula>
    </cfRule>
  </conditionalFormatting>
  <conditionalFormatting sqref="N229:N231">
    <cfRule type="cellIs" dxfId="1185" priority="124" stopIfTrue="1" operator="lessThan">
      <formula>-0.01</formula>
    </cfRule>
    <cfRule type="cellIs" dxfId="1184" priority="124" stopIfTrue="1" operator="greaterThan">
      <formula>0.01</formula>
    </cfRule>
  </conditionalFormatting>
  <conditionalFormatting sqref="P227">
    <cfRule type="cellIs" dxfId="1183" priority="122" operator="greaterThan">
      <formula>0.03</formula>
    </cfRule>
    <cfRule type="cellIs" dxfId="1182" priority="122" stopIfTrue="1" operator="lessThan">
      <formula>-0.03</formula>
    </cfRule>
  </conditionalFormatting>
  <conditionalFormatting sqref="P231">
    <cfRule type="cellIs" dxfId="1181" priority="120" operator="lessThan">
      <formula>-0.03</formula>
    </cfRule>
    <cfRule type="cellIs" dxfId="1180" priority="120" stopIfTrue="1" operator="greaterThan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dxfId="1179" priority="117" operator="greaterThan">
      <formula>0.03</formula>
    </cfRule>
    <cfRule type="cellIs" dxfId="1178" priority="118" stopIfTrue="1" operator="lessThan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dxfId="1177" priority="113" stopIfTrue="1" operator="lessThan">
      <formula>-0.01</formula>
    </cfRule>
    <cfRule type="cellIs" dxfId="1176" priority="113" stopIfTrue="1" operator="greaterThan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I238"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05">
      <dataBar>
        <cfvo type="min"/>
        <cfvo type="max"/>
        <color rgb="FF008AEF"/>
      </dataBar>
    </cfRule>
  </conditionalFormatting>
  <conditionalFormatting sqref="J238:J242">
    <cfRule type="cellIs" dxfId="1175" priority="103" operator="greaterThan">
      <formula>0.03</formula>
    </cfRule>
    <cfRule type="cellIs" dxfId="1174" priority="103" stopIfTrue="1" operator="lessThan">
      <formula>-0.03</formula>
    </cfRule>
  </conditionalFormatting>
  <conditionalFormatting sqref="N243">
    <cfRule type="cellIs" dxfId="1173" priority="101" stopIfTrue="1" operator="lessThan">
      <formula>-0.01</formula>
    </cfRule>
    <cfRule type="cellIs" dxfId="1172" priority="101" stopIfTrue="1" operator="greaterThan">
      <formula>0.01</formula>
    </cfRule>
  </conditionalFormatting>
  <conditionalFormatting sqref="N238">
    <cfRule type="cellIs" dxfId="1171" priority="99" stopIfTrue="1" operator="lessThan">
      <formula>-0.01</formula>
    </cfRule>
    <cfRule type="cellIs" dxfId="1170" priority="99" stopIfTrue="1" operator="greaterThan">
      <formula>0.01</formula>
    </cfRule>
  </conditionalFormatting>
  <conditionalFormatting sqref="N239">
    <cfRule type="cellIs" dxfId="1169" priority="97" stopIfTrue="1" operator="lessThan">
      <formula>-0.01</formula>
    </cfRule>
    <cfRule type="cellIs" dxfId="1168" priority="97" stopIfTrue="1" operator="greaterThan">
      <formula>0.01</formula>
    </cfRule>
  </conditionalFormatting>
  <conditionalFormatting sqref="N240:N242">
    <cfRule type="cellIs" dxfId="1167" priority="95" stopIfTrue="1" operator="lessThan">
      <formula>-0.01</formula>
    </cfRule>
    <cfRule type="cellIs" dxfId="1166" priority="95" stopIfTrue="1" operator="greaterThan">
      <formula>0.01</formula>
    </cfRule>
  </conditionalFormatting>
  <conditionalFormatting sqref="P238">
    <cfRule type="cellIs" dxfId="1165" priority="93" operator="greaterThan">
      <formula>0.03</formula>
    </cfRule>
    <cfRule type="cellIs" dxfId="1164" priority="93" stopIfTrue="1" operator="lessThan">
      <formula>-0.03</formula>
    </cfRule>
  </conditionalFormatting>
  <conditionalFormatting sqref="P242">
    <cfRule type="cellIs" dxfId="1163" priority="91" operator="lessThan">
      <formula>-0.03</formula>
    </cfRule>
    <cfRule type="cellIs" dxfId="1162" priority="91" stopIfTrue="1" operator="greaterThan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dxfId="1161" priority="88" operator="greaterThan">
      <formula>0.03</formula>
    </cfRule>
    <cfRule type="cellIs" dxfId="1160" priority="89" stopIfTrue="1" operator="lessThan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dxfId="1159" priority="84" stopIfTrue="1" operator="lessThan">
      <formula>-0.01</formula>
    </cfRule>
    <cfRule type="cellIs" dxfId="1158" priority="84" stopIfTrue="1" operator="greaterThan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I249"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76">
      <dataBar>
        <cfvo type="min"/>
        <cfvo type="max"/>
        <color rgb="FF008AEF"/>
      </dataBar>
    </cfRule>
  </conditionalFormatting>
  <conditionalFormatting sqref="J249:J253">
    <cfRule type="cellIs" dxfId="1157" priority="74" operator="greaterThan">
      <formula>0.03</formula>
    </cfRule>
    <cfRule type="cellIs" dxfId="1156" priority="74" stopIfTrue="1" operator="lessThan">
      <formula>-0.03</formula>
    </cfRule>
  </conditionalFormatting>
  <conditionalFormatting sqref="N254">
    <cfRule type="cellIs" dxfId="1155" priority="72" stopIfTrue="1" operator="lessThan">
      <formula>-0.01</formula>
    </cfRule>
    <cfRule type="cellIs" dxfId="1154" priority="72" stopIfTrue="1" operator="greaterThan">
      <formula>0.01</formula>
    </cfRule>
  </conditionalFormatting>
  <conditionalFormatting sqref="N249">
    <cfRule type="cellIs" dxfId="1153" priority="70" stopIfTrue="1" operator="lessThan">
      <formula>-0.01</formula>
    </cfRule>
    <cfRule type="cellIs" dxfId="1152" priority="70" stopIfTrue="1" operator="greaterThan">
      <formula>0.01</formula>
    </cfRule>
  </conditionalFormatting>
  <conditionalFormatting sqref="N250">
    <cfRule type="cellIs" dxfId="1151" priority="68" stopIfTrue="1" operator="lessThan">
      <formula>-0.01</formula>
    </cfRule>
    <cfRule type="cellIs" dxfId="1150" priority="68" stopIfTrue="1" operator="greaterThan">
      <formula>0.01</formula>
    </cfRule>
  </conditionalFormatting>
  <conditionalFormatting sqref="N251:N253">
    <cfRule type="cellIs" dxfId="1149" priority="66" stopIfTrue="1" operator="lessThan">
      <formula>-0.01</formula>
    </cfRule>
    <cfRule type="cellIs" dxfId="1148" priority="66" stopIfTrue="1" operator="greaterThan">
      <formula>0.01</formula>
    </cfRule>
  </conditionalFormatting>
  <conditionalFormatting sqref="P249">
    <cfRule type="cellIs" dxfId="1147" priority="64" operator="greaterThan">
      <formula>0.03</formula>
    </cfRule>
    <cfRule type="cellIs" dxfId="1146" priority="64" stopIfTrue="1" operator="lessThan">
      <formula>-0.03</formula>
    </cfRule>
  </conditionalFormatting>
  <conditionalFormatting sqref="P253">
    <cfRule type="cellIs" dxfId="1145" priority="62" operator="lessThan">
      <formula>-0.03</formula>
    </cfRule>
    <cfRule type="cellIs" dxfId="1144" priority="62" stopIfTrue="1" operator="greaterThan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dxfId="1143" priority="59" operator="greaterThan">
      <formula>0.03</formula>
    </cfRule>
    <cfRule type="cellIs" dxfId="1142" priority="60" stopIfTrue="1" operator="lessThan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dxfId="1141" priority="55" stopIfTrue="1" operator="lessThan">
      <formula>-0.01</formula>
    </cfRule>
    <cfRule type="cellIs" dxfId="1140" priority="55" stopIfTrue="1" operator="greaterThan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I260"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47">
      <dataBar>
        <cfvo type="min"/>
        <cfvo type="max"/>
        <color rgb="FF008AEF"/>
      </dataBar>
    </cfRule>
  </conditionalFormatting>
  <conditionalFormatting sqref="J260:J264">
    <cfRule type="cellIs" dxfId="1139" priority="45" operator="greaterThan">
      <formula>0.03</formula>
    </cfRule>
    <cfRule type="cellIs" dxfId="1138" priority="45" stopIfTrue="1" operator="lessThan">
      <formula>-0.03</formula>
    </cfRule>
  </conditionalFormatting>
  <conditionalFormatting sqref="N265">
    <cfRule type="cellIs" dxfId="1137" priority="43" stopIfTrue="1" operator="lessThan">
      <formula>-0.01</formula>
    </cfRule>
    <cfRule type="cellIs" dxfId="1136" priority="43" stopIfTrue="1" operator="greaterThan">
      <formula>0.01</formula>
    </cfRule>
  </conditionalFormatting>
  <conditionalFormatting sqref="N260">
    <cfRule type="cellIs" dxfId="1135" priority="41" stopIfTrue="1" operator="lessThan">
      <formula>-0.01</formula>
    </cfRule>
    <cfRule type="cellIs" dxfId="1134" priority="41" stopIfTrue="1" operator="greaterThan">
      <formula>0.01</formula>
    </cfRule>
  </conditionalFormatting>
  <conditionalFormatting sqref="N261">
    <cfRule type="cellIs" dxfId="1133" priority="39" stopIfTrue="1" operator="lessThan">
      <formula>-0.01</formula>
    </cfRule>
    <cfRule type="cellIs" dxfId="1132" priority="39" stopIfTrue="1" operator="greaterThan">
      <formula>0.01</formula>
    </cfRule>
  </conditionalFormatting>
  <conditionalFormatting sqref="N262:N264">
    <cfRule type="cellIs" dxfId="1131" priority="37" stopIfTrue="1" operator="lessThan">
      <formula>-0.01</formula>
    </cfRule>
    <cfRule type="cellIs" dxfId="1130" priority="37" stopIfTrue="1" operator="greaterThan">
      <formula>0.01</formula>
    </cfRule>
  </conditionalFormatting>
  <conditionalFormatting sqref="P260">
    <cfRule type="cellIs" dxfId="1129" priority="35" operator="greaterThan">
      <formula>0.03</formula>
    </cfRule>
    <cfRule type="cellIs" dxfId="1128" priority="35" stopIfTrue="1" operator="lessThan">
      <formula>-0.03</formula>
    </cfRule>
  </conditionalFormatting>
  <conditionalFormatting sqref="P264">
    <cfRule type="cellIs" dxfId="1127" priority="33" operator="lessThan">
      <formula>-0.03</formula>
    </cfRule>
    <cfRule type="cellIs" dxfId="1126" priority="33" stopIfTrue="1" operator="greaterThan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dxfId="1125" priority="30" operator="greaterThan">
      <formula>0.03</formula>
    </cfRule>
    <cfRule type="cellIs" dxfId="1124" priority="31" stopIfTrue="1" operator="lessThan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dxfId="1123" priority="26" stopIfTrue="1" operator="lessThan">
      <formula>-0.01</formula>
    </cfRule>
    <cfRule type="cellIs" dxfId="1122" priority="26" stopIfTrue="1" operator="greaterThan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I271"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18">
      <dataBar>
        <cfvo type="min"/>
        <cfvo type="max"/>
        <color rgb="FF008AEF"/>
      </dataBar>
    </cfRule>
  </conditionalFormatting>
  <conditionalFormatting sqref="J271:J275">
    <cfRule type="cellIs" dxfId="1121" priority="16" operator="greaterThan">
      <formula>0.03</formula>
    </cfRule>
    <cfRule type="cellIs" dxfId="1120" priority="16" stopIfTrue="1" operator="lessThan">
      <formula>-0.03</formula>
    </cfRule>
  </conditionalFormatting>
  <conditionalFormatting sqref="N276">
    <cfRule type="cellIs" dxfId="1119" priority="14" stopIfTrue="1" operator="lessThan">
      <formula>-0.01</formula>
    </cfRule>
    <cfRule type="cellIs" dxfId="1118" priority="14" stopIfTrue="1" operator="greaterThan">
      <formula>0.01</formula>
    </cfRule>
  </conditionalFormatting>
  <conditionalFormatting sqref="N271">
    <cfRule type="cellIs" dxfId="1117" priority="12" stopIfTrue="1" operator="lessThan">
      <formula>-0.01</formula>
    </cfRule>
    <cfRule type="cellIs" dxfId="1116" priority="12" stopIfTrue="1" operator="greaterThan">
      <formula>0.01</formula>
    </cfRule>
  </conditionalFormatting>
  <conditionalFormatting sqref="N272">
    <cfRule type="cellIs" dxfId="1115" priority="10" stopIfTrue="1" operator="lessThan">
      <formula>-0.01</formula>
    </cfRule>
    <cfRule type="cellIs" dxfId="1114" priority="10" stopIfTrue="1" operator="greaterThan">
      <formula>0.01</formula>
    </cfRule>
  </conditionalFormatting>
  <conditionalFormatting sqref="N273:N275">
    <cfRule type="cellIs" dxfId="1113" priority="8" stopIfTrue="1" operator="lessThan">
      <formula>-0.01</formula>
    </cfRule>
    <cfRule type="cellIs" dxfId="1112" priority="8" stopIfTrue="1" operator="greaterThan">
      <formula>0.01</formula>
    </cfRule>
  </conditionalFormatting>
  <conditionalFormatting sqref="P271">
    <cfRule type="cellIs" dxfId="1111" priority="6" operator="greaterThan">
      <formula>0.03</formula>
    </cfRule>
    <cfRule type="cellIs" dxfId="1110" priority="6" stopIfTrue="1" operator="lessThan">
      <formula>-0.03</formula>
    </cfRule>
  </conditionalFormatting>
  <conditionalFormatting sqref="P275">
    <cfRule type="cellIs" dxfId="1109" priority="4" operator="lessThan">
      <formula>-0.03</formula>
    </cfRule>
    <cfRule type="cellIs" dxfId="1108" priority="4" stopIfTrue="1" operator="greaterThan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dxfId="1107" priority="1" operator="greaterThan">
      <formula>0.03</formula>
    </cfRule>
    <cfRule type="cellIs" dxfId="1106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8A8E-3E36-4B99-8E78-8F7A4FFA43D2}">
  <sheetPr codeName="Sheet21"/>
  <dimension ref="A1:AF233"/>
  <sheetViews>
    <sheetView workbookViewId="0">
      <selection activeCell="BE10" sqref="BE10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12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0" t="s">
        <v>46</v>
      </c>
      <c r="AF1" s="10" t="s">
        <v>46</v>
      </c>
    </row>
    <row r="2" spans="1:32" x14ac:dyDescent="0.25">
      <c r="B2" s="271" t="str">
        <f>'Summary (auto)'!C3</f>
        <v>G-PCC v1 Anchor</v>
      </c>
      <c r="C2" s="272"/>
      <c r="D2" s="272"/>
      <c r="E2" s="114"/>
      <c r="F2" s="271" t="str">
        <f>'Summary (auto)'!C4</f>
        <v>G-PCC v1 Proposal</v>
      </c>
      <c r="G2" s="272"/>
      <c r="H2" s="272"/>
      <c r="I2" s="112"/>
      <c r="J2" s="113" t="s">
        <v>47</v>
      </c>
      <c r="K2" s="112"/>
      <c r="L2" s="261" t="s">
        <v>48</v>
      </c>
      <c r="M2" s="268"/>
      <c r="N2" s="268"/>
      <c r="O2" s="112"/>
      <c r="P2" s="113" t="s">
        <v>49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73</v>
      </c>
      <c r="M3" s="105" t="s">
        <v>74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57" t="s">
        <v>23</v>
      </c>
      <c r="C4" s="258"/>
      <c r="D4" s="259"/>
      <c r="E4" s="2"/>
      <c r="F4" s="257" t="str">
        <f>B4</f>
        <v>bartender_track</v>
      </c>
      <c r="G4" s="258"/>
      <c r="H4" s="259"/>
      <c r="I4" s="2"/>
      <c r="J4" s="115"/>
      <c r="L4" s="265" t="str">
        <f>F4</f>
        <v>bartender_track</v>
      </c>
      <c r="M4" s="255"/>
      <c r="N4" s="256"/>
      <c r="O4" s="195"/>
      <c r="P4" s="115"/>
      <c r="Q4" s="195"/>
      <c r="R4" s="195"/>
      <c r="S4" s="195"/>
      <c r="T4" s="195"/>
      <c r="U4" s="112"/>
      <c r="V4" s="112"/>
      <c r="X4" s="268"/>
      <c r="Y4" s="270"/>
      <c r="Z4" s="270"/>
    </row>
    <row r="5" spans="1:32" x14ac:dyDescent="0.25">
      <c r="B5" s="263" t="s">
        <v>52</v>
      </c>
      <c r="C5" s="266"/>
      <c r="D5" s="87" t="s">
        <v>53</v>
      </c>
      <c r="E5" s="21"/>
      <c r="F5" s="263" t="s">
        <v>52</v>
      </c>
      <c r="G5" s="266"/>
      <c r="H5" s="87" t="s">
        <v>53</v>
      </c>
      <c r="I5" s="9"/>
      <c r="J5" s="116" t="s">
        <v>54</v>
      </c>
      <c r="L5" s="267" t="s">
        <v>75</v>
      </c>
      <c r="M5" s="268"/>
      <c r="N5" s="269"/>
      <c r="O5" s="85"/>
      <c r="P5" s="3"/>
      <c r="Q5" s="85"/>
      <c r="R5" s="261"/>
      <c r="S5" s="261"/>
      <c r="T5" s="261"/>
      <c r="U5" s="113"/>
      <c r="V5" s="113"/>
      <c r="X5" s="261"/>
      <c r="Y5" s="270"/>
      <c r="Z5" s="270"/>
    </row>
    <row r="6" spans="1:32" x14ac:dyDescent="0.25">
      <c r="B6" s="191" t="s">
        <v>3</v>
      </c>
      <c r="C6" s="130" t="s">
        <v>56</v>
      </c>
      <c r="D6" s="86" t="s">
        <v>57</v>
      </c>
      <c r="E6" s="21"/>
      <c r="F6" s="191" t="s">
        <v>3</v>
      </c>
      <c r="G6" s="130" t="s">
        <v>56</v>
      </c>
      <c r="H6" s="86" t="s">
        <v>57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Proposal bartender_track</v>
      </c>
      <c r="N6" s="194" t="s">
        <v>58</v>
      </c>
      <c r="O6" s="2"/>
      <c r="P6" s="3" t="s">
        <v>49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59</v>
      </c>
      <c r="D7" s="88" t="e">
        <f ca="1">0.001*INDIRECT($B7&amp;"!E5")</f>
        <v>#VALUE!</v>
      </c>
      <c r="E7" s="21"/>
      <c r="F7" s="122" t="str">
        <f>F4</f>
        <v>bartender_track</v>
      </c>
      <c r="G7" s="130" t="s">
        <v>59</v>
      </c>
      <c r="H7" s="88" t="e">
        <f ca="1">0.001*INDIRECT($B7&amp;"!AC5")</f>
        <v>#VALUE!</v>
      </c>
      <c r="I7" s="9"/>
      <c r="J7" s="22" t="e">
        <f ca="1">H7/D7-1</f>
        <v>#VALUE!</v>
      </c>
      <c r="L7" s="94" t="str">
        <f ca="1">INDIRECT($B7&amp;"!"&amp;L$3&amp;"5")</f>
        <v/>
      </c>
      <c r="M7" s="95" t="str">
        <f ca="1">INDIRECT($B7&amp;"!"&amp;M$3&amp;"5")</f>
        <v/>
      </c>
      <c r="N7" s="96" t="e">
        <f ca="1">M7-L7</f>
        <v>#VALUE!</v>
      </c>
      <c r="O7" s="21"/>
      <c r="P7" s="22" t="e">
        <f ca="1">bdRateExtend(D7:D11,L7:L11,H7:H11,M7:M11)</f>
        <v>#VALUE!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60</v>
      </c>
      <c r="D8" s="88" t="e">
        <f ca="1">0.001*INDIRECT($B8&amp;"!E6")</f>
        <v>#VALUE!</v>
      </c>
      <c r="E8" s="21"/>
      <c r="F8" s="122" t="str">
        <f>F7</f>
        <v>bartender_track</v>
      </c>
      <c r="G8" s="130" t="s">
        <v>60</v>
      </c>
      <c r="H8" s="88" t="e">
        <f ca="1">0.001*INDIRECT($B8&amp;"!AC6")</f>
        <v>#VALUE!</v>
      </c>
      <c r="I8" s="9"/>
      <c r="J8" s="22" t="e">
        <f ca="1">H8/D8-1</f>
        <v>#VALUE!</v>
      </c>
      <c r="L8" s="94" t="str">
        <f ca="1">INDIRECT($B8&amp;"!"&amp;L$3&amp;"6")</f>
        <v/>
      </c>
      <c r="M8" s="95" t="str">
        <f ca="1">INDIRECT($B8&amp;"!"&amp;M$3&amp;"6")</f>
        <v/>
      </c>
      <c r="N8" s="96" t="e">
        <f ca="1">M8-L8</f>
        <v>#VALUE!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61</v>
      </c>
      <c r="D9" s="88" t="e">
        <f ca="1">0.001*INDIRECT($B9&amp;"!E7")</f>
        <v>#VALUE!</v>
      </c>
      <c r="E9" s="21"/>
      <c r="F9" s="122" t="str">
        <f>F8</f>
        <v>bartender_track</v>
      </c>
      <c r="G9" s="130" t="s">
        <v>61</v>
      </c>
      <c r="H9" s="88" t="e">
        <f ca="1">0.001*INDIRECT($B9&amp;"!AC7")</f>
        <v>#VALUE!</v>
      </c>
      <c r="I9" s="9"/>
      <c r="J9" s="22" t="e">
        <f ca="1">H9/D9-1</f>
        <v>#VALUE!</v>
      </c>
      <c r="L9" s="94" t="str">
        <f ca="1">INDIRECT($B9&amp;"!"&amp;L$3&amp;"7")</f>
        <v/>
      </c>
      <c r="M9" s="95" t="str">
        <f ca="1">INDIRECT($B9&amp;"!"&amp;M$3&amp;"7")</f>
        <v/>
      </c>
      <c r="N9" s="96" t="e">
        <f ca="1">M9-L9</f>
        <v>#VALUE!</v>
      </c>
      <c r="O9" s="21"/>
      <c r="P9" s="3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62</v>
      </c>
      <c r="D10" s="88" t="e">
        <f ca="1">0.001*INDIRECT($B10&amp;"!E8")</f>
        <v>#VALUE!</v>
      </c>
      <c r="E10" s="21"/>
      <c r="F10" s="122" t="str">
        <f>F9</f>
        <v>bartender_track</v>
      </c>
      <c r="G10" s="130" t="s">
        <v>62</v>
      </c>
      <c r="H10" s="88" t="e">
        <f ca="1">0.001*INDIRECT($B10&amp;"!AC8")</f>
        <v>#VALUE!</v>
      </c>
      <c r="I10" s="9"/>
      <c r="J10" s="22" t="e">
        <f ca="1">H10/D10-1</f>
        <v>#VALUE!</v>
      </c>
      <c r="L10" s="94" t="str">
        <f ca="1">INDIRECT($B10&amp;"!"&amp;L$3&amp;"8")</f>
        <v/>
      </c>
      <c r="M10" s="95" t="str">
        <f ca="1">INDIRECT($B10&amp;"!"&amp;M$3&amp;"8")</f>
        <v/>
      </c>
      <c r="N10" s="96" t="e">
        <f ca="1">M10-L10</f>
        <v>#VALUE!</v>
      </c>
      <c r="O10" s="21"/>
      <c r="P10" s="18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63</v>
      </c>
      <c r="D11" s="88" t="e">
        <f ca="1">0.001*INDIRECT($B11&amp;"!E9")</f>
        <v>#VALUE!</v>
      </c>
      <c r="E11" s="21"/>
      <c r="F11" s="122" t="str">
        <f>F10</f>
        <v>bartender_track</v>
      </c>
      <c r="G11" s="130" t="s">
        <v>63</v>
      </c>
      <c r="H11" s="88" t="e">
        <f ca="1">0.001*INDIRECT($B11&amp;"!AC9")</f>
        <v>#VALUE!</v>
      </c>
      <c r="I11" s="9"/>
      <c r="J11" s="22" t="e">
        <f ca="1">H11/D11-1</f>
        <v>#VALUE!</v>
      </c>
      <c r="L11" s="94" t="str">
        <f ca="1">INDIRECT($B11&amp;"!"&amp;L$3&amp;"9")</f>
        <v/>
      </c>
      <c r="M11" s="95" t="str">
        <f ca="1">INDIRECT($B11&amp;"!"&amp;M$3&amp;"9")</f>
        <v/>
      </c>
      <c r="N11" s="96" t="e">
        <f ca="1">M11-L11</f>
        <v>#VALUE!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 t="e">
        <f ca="1">MIN(D7:D11,H7:H11)</f>
        <v>#VALUE!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 t="e">
        <f ca="1">MAX(D7:D11,H7:H11)</f>
        <v>#VALUE!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</row>
    <row r="15" spans="1:32" x14ac:dyDescent="0.25">
      <c r="B15" s="257" t="s">
        <v>24</v>
      </c>
      <c r="C15" s="258"/>
      <c r="D15" s="259"/>
      <c r="E15" s="2"/>
      <c r="F15" s="257" t="str">
        <f>B15</f>
        <v>breakfast_track</v>
      </c>
      <c r="G15" s="258"/>
      <c r="H15" s="259"/>
      <c r="I15" s="2"/>
      <c r="J15" s="115"/>
      <c r="L15" s="265" t="str">
        <f>F15</f>
        <v>breakfast_track</v>
      </c>
      <c r="M15" s="255"/>
      <c r="N15" s="256"/>
      <c r="O15" s="195"/>
      <c r="P15" s="115"/>
      <c r="Q15" s="195"/>
      <c r="R15" s="195"/>
      <c r="S15" s="195"/>
      <c r="T15" s="195"/>
      <c r="U15" s="112"/>
      <c r="V15" s="112"/>
      <c r="X15" s="268"/>
      <c r="Y15" s="270"/>
      <c r="Z15" s="270"/>
    </row>
    <row r="16" spans="1:32" x14ac:dyDescent="0.25">
      <c r="B16" s="263" t="s">
        <v>52</v>
      </c>
      <c r="C16" s="266"/>
      <c r="D16" s="87" t="s">
        <v>53</v>
      </c>
      <c r="E16" s="21"/>
      <c r="F16" s="263" t="s">
        <v>52</v>
      </c>
      <c r="G16" s="266"/>
      <c r="H16" s="87" t="s">
        <v>53</v>
      </c>
      <c r="I16" s="9"/>
      <c r="J16" s="116" t="s">
        <v>54</v>
      </c>
      <c r="L16" s="267" t="s">
        <v>75</v>
      </c>
      <c r="M16" s="268"/>
      <c r="N16" s="269"/>
      <c r="O16" s="85"/>
      <c r="P16" s="3"/>
      <c r="Q16" s="85"/>
      <c r="R16" s="261"/>
      <c r="S16" s="261"/>
      <c r="T16" s="261"/>
      <c r="U16" s="113"/>
      <c r="V16" s="113"/>
      <c r="X16" s="261"/>
      <c r="Y16" s="270"/>
      <c r="Z16" s="270"/>
    </row>
    <row r="17" spans="2:28" x14ac:dyDescent="0.25">
      <c r="B17" s="191" t="s">
        <v>3</v>
      </c>
      <c r="C17" s="130" t="s">
        <v>56</v>
      </c>
      <c r="D17" s="86" t="s">
        <v>57</v>
      </c>
      <c r="E17" s="21"/>
      <c r="F17" s="191" t="s">
        <v>3</v>
      </c>
      <c r="G17" s="130" t="s">
        <v>56</v>
      </c>
      <c r="H17" s="86" t="s">
        <v>57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Proposal breakfast_track</v>
      </c>
      <c r="N17" s="194" t="s">
        <v>58</v>
      </c>
      <c r="O17" s="2"/>
      <c r="P17" s="3" t="s">
        <v>49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59</v>
      </c>
      <c r="D18" s="88" t="e">
        <f ca="1">0.001*INDIRECT($B18&amp;"!E5")</f>
        <v>#VALUE!</v>
      </c>
      <c r="E18" s="21"/>
      <c r="F18" s="122" t="str">
        <f>F15</f>
        <v>breakfast_track</v>
      </c>
      <c r="G18" s="130" t="s">
        <v>59</v>
      </c>
      <c r="H18" s="88" t="e">
        <f ca="1">0.001*INDIRECT($B18&amp;"!AC5")</f>
        <v>#VALUE!</v>
      </c>
      <c r="I18" s="9"/>
      <c r="J18" s="22" t="e">
        <f ca="1">H18/D18-1</f>
        <v>#VALUE!</v>
      </c>
      <c r="L18" s="94" t="str">
        <f ca="1">INDIRECT($B18&amp;"!"&amp;L$3&amp;"5")</f>
        <v/>
      </c>
      <c r="M18" s="95" t="str">
        <f ca="1">INDIRECT($B18&amp;"!"&amp;M$3&amp;"5")</f>
        <v/>
      </c>
      <c r="N18" s="96" t="e">
        <f ca="1">M18-L18</f>
        <v>#VALUE!</v>
      </c>
      <c r="O18" s="21"/>
      <c r="P18" s="22" t="e">
        <f ca="1">bdRateExtend(D18:D22,L18:L22,H18:H22,M18:M22)</f>
        <v>#VALUE!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60</v>
      </c>
      <c r="D19" s="88" t="e">
        <f ca="1">0.001*INDIRECT($B19&amp;"!E6")</f>
        <v>#VALUE!</v>
      </c>
      <c r="E19" s="21"/>
      <c r="F19" s="122" t="str">
        <f>F18</f>
        <v>breakfast_track</v>
      </c>
      <c r="G19" s="130" t="s">
        <v>60</v>
      </c>
      <c r="H19" s="88" t="e">
        <f ca="1">0.001*INDIRECT($B19&amp;"!AC6")</f>
        <v>#VALUE!</v>
      </c>
      <c r="I19" s="9"/>
      <c r="J19" s="22" t="e">
        <f ca="1">H19/D19-1</f>
        <v>#VALUE!</v>
      </c>
      <c r="L19" s="94" t="str">
        <f ca="1">INDIRECT($B19&amp;"!"&amp;L$3&amp;"6")</f>
        <v/>
      </c>
      <c r="M19" s="95" t="str">
        <f ca="1">INDIRECT($B19&amp;"!"&amp;M$3&amp;"6")</f>
        <v/>
      </c>
      <c r="N19" s="96" t="e">
        <f ca="1">M19-L19</f>
        <v>#VALUE!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61</v>
      </c>
      <c r="D20" s="88" t="e">
        <f ca="1">0.001*INDIRECT($B20&amp;"!E7")</f>
        <v>#VALUE!</v>
      </c>
      <c r="E20" s="21"/>
      <c r="F20" s="122" t="str">
        <f>F19</f>
        <v>breakfast_track</v>
      </c>
      <c r="G20" s="130" t="s">
        <v>61</v>
      </c>
      <c r="H20" s="88" t="e">
        <f ca="1">0.001*INDIRECT($B20&amp;"!AC7")</f>
        <v>#VALUE!</v>
      </c>
      <c r="I20" s="9"/>
      <c r="J20" s="22" t="e">
        <f ca="1">H20/D20-1</f>
        <v>#VALUE!</v>
      </c>
      <c r="L20" s="94" t="str">
        <f ca="1">INDIRECT($B20&amp;"!"&amp;L$3&amp;"7")</f>
        <v/>
      </c>
      <c r="M20" s="95" t="str">
        <f ca="1">INDIRECT($B20&amp;"!"&amp;M$3&amp;"7")</f>
        <v/>
      </c>
      <c r="N20" s="96" t="e">
        <f ca="1">M20-L20</f>
        <v>#VALUE!</v>
      </c>
      <c r="O20" s="21"/>
      <c r="P20" s="3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62</v>
      </c>
      <c r="D21" s="88" t="e">
        <f ca="1">0.001*INDIRECT($B21&amp;"!E8")</f>
        <v>#VALUE!</v>
      </c>
      <c r="E21" s="21"/>
      <c r="F21" s="122" t="str">
        <f>F20</f>
        <v>breakfast_track</v>
      </c>
      <c r="G21" s="130" t="s">
        <v>62</v>
      </c>
      <c r="H21" s="88" t="e">
        <f ca="1">0.001*INDIRECT($B21&amp;"!AC8")</f>
        <v>#VALUE!</v>
      </c>
      <c r="I21" s="9"/>
      <c r="J21" s="22" t="e">
        <f ca="1">H21/D21-1</f>
        <v>#VALUE!</v>
      </c>
      <c r="L21" s="94" t="str">
        <f ca="1">INDIRECT($B21&amp;"!"&amp;L$3&amp;"8")</f>
        <v/>
      </c>
      <c r="M21" s="95" t="str">
        <f ca="1">INDIRECT($B21&amp;"!"&amp;M$3&amp;"8")</f>
        <v/>
      </c>
      <c r="N21" s="96" t="e">
        <f ca="1">M21-L21</f>
        <v>#VALUE!</v>
      </c>
      <c r="O21" s="21"/>
      <c r="P21" s="18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63</v>
      </c>
      <c r="D22" s="88" t="e">
        <f ca="1">0.001*INDIRECT($B22&amp;"!E9")</f>
        <v>#VALUE!</v>
      </c>
      <c r="E22" s="21"/>
      <c r="F22" s="122" t="str">
        <f>F21</f>
        <v>breakfast_track</v>
      </c>
      <c r="G22" s="130" t="s">
        <v>63</v>
      </c>
      <c r="H22" s="88" t="e">
        <f ca="1">0.001*INDIRECT($B22&amp;"!AC9")</f>
        <v>#VALUE!</v>
      </c>
      <c r="I22" s="9"/>
      <c r="J22" s="22" t="e">
        <f ca="1">H22/D22-1</f>
        <v>#VALUE!</v>
      </c>
      <c r="L22" s="94" t="str">
        <f ca="1">INDIRECT($B22&amp;"!"&amp;L$3&amp;"9")</f>
        <v/>
      </c>
      <c r="M22" s="95" t="str">
        <f ca="1">INDIRECT($B22&amp;"!"&amp;M$3&amp;"9")</f>
        <v/>
      </c>
      <c r="N22" s="96" t="e">
        <f ca="1">M22-L22</f>
        <v>#VALUE!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 t="e">
        <f ca="1">MIN(D18:D22,H18:H22)</f>
        <v>#VALUE!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 t="e">
        <f ca="1">MAX(D18:D22,H18:H22)</f>
        <v>#VALUE!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57" t="s">
        <v>25</v>
      </c>
      <c r="C26" s="258"/>
      <c r="D26" s="259"/>
      <c r="E26" s="2"/>
      <c r="F26" s="257" t="str">
        <f>B26</f>
        <v>cinema_track</v>
      </c>
      <c r="G26" s="258"/>
      <c r="H26" s="259"/>
      <c r="I26" s="2"/>
      <c r="J26" s="115"/>
      <c r="L26" s="265" t="str">
        <f>F26</f>
        <v>cinema_track</v>
      </c>
      <c r="M26" s="255"/>
      <c r="N26" s="256"/>
      <c r="O26" s="195"/>
      <c r="P26" s="115"/>
      <c r="U26" s="112"/>
      <c r="V26" s="112"/>
      <c r="X26" s="268"/>
      <c r="Y26" s="270"/>
      <c r="Z26" s="270"/>
    </row>
    <row r="27" spans="2:28" x14ac:dyDescent="0.25">
      <c r="B27" s="263" t="s">
        <v>52</v>
      </c>
      <c r="C27" s="266"/>
      <c r="D27" s="87" t="s">
        <v>53</v>
      </c>
      <c r="E27" s="21"/>
      <c r="F27" s="263" t="s">
        <v>52</v>
      </c>
      <c r="G27" s="266"/>
      <c r="H27" s="87" t="s">
        <v>53</v>
      </c>
      <c r="I27" s="9"/>
      <c r="J27" s="116" t="s">
        <v>54</v>
      </c>
      <c r="L27" s="267" t="s">
        <v>75</v>
      </c>
      <c r="M27" s="268"/>
      <c r="N27" s="269"/>
      <c r="O27" s="85"/>
      <c r="P27" s="3"/>
      <c r="R27" s="261"/>
      <c r="S27" s="270"/>
      <c r="T27" s="270"/>
      <c r="U27" s="113"/>
      <c r="V27" s="113"/>
      <c r="X27" s="261"/>
      <c r="Y27" s="270"/>
      <c r="Z27" s="270"/>
    </row>
    <row r="28" spans="2:28" x14ac:dyDescent="0.25">
      <c r="B28" s="191" t="s">
        <v>3</v>
      </c>
      <c r="C28" s="130" t="s">
        <v>56</v>
      </c>
      <c r="D28" s="86" t="s">
        <v>57</v>
      </c>
      <c r="E28" s="21"/>
      <c r="F28" s="191" t="s">
        <v>3</v>
      </c>
      <c r="G28" s="130" t="s">
        <v>56</v>
      </c>
      <c r="H28" s="86" t="s">
        <v>57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Proposal cinema_track</v>
      </c>
      <c r="N28" s="194" t="s">
        <v>58</v>
      </c>
      <c r="O28" s="2"/>
      <c r="P28" s="3" t="s">
        <v>49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59</v>
      </c>
      <c r="D29" s="88" t="e">
        <f ca="1">0.001*INDIRECT($B29&amp;"!E5")</f>
        <v>#VALUE!</v>
      </c>
      <c r="E29" s="21"/>
      <c r="F29" s="122" t="str">
        <f>F26</f>
        <v>cinema_track</v>
      </c>
      <c r="G29" s="130" t="s">
        <v>59</v>
      </c>
      <c r="H29" s="88" t="e">
        <f ca="1">0.001*INDIRECT($B29&amp;"!AC5")</f>
        <v>#VALUE!</v>
      </c>
      <c r="I29" s="9"/>
      <c r="J29" s="22" t="e">
        <f ca="1">H29/D29-1</f>
        <v>#VALUE!</v>
      </c>
      <c r="L29" s="94" t="str">
        <f ca="1">INDIRECT($B29&amp;"!"&amp;L$3&amp;"5")</f>
        <v/>
      </c>
      <c r="M29" s="95" t="str">
        <f ca="1">INDIRECT($B29&amp;"!"&amp;M$3&amp;"5")</f>
        <v/>
      </c>
      <c r="N29" s="96" t="e">
        <f ca="1">M29-L29</f>
        <v>#VALUE!</v>
      </c>
      <c r="O29" s="21"/>
      <c r="P29" s="22" t="e">
        <f ca="1">bdRateExtend(D29:D33,L29:L33,H29:H33,M29:M33)</f>
        <v>#VALUE!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60</v>
      </c>
      <c r="D30" s="88" t="e">
        <f ca="1">0.001*INDIRECT($B30&amp;"!E6")</f>
        <v>#VALUE!</v>
      </c>
      <c r="E30" s="21"/>
      <c r="F30" s="122" t="str">
        <f>F29</f>
        <v>cinema_track</v>
      </c>
      <c r="G30" s="130" t="s">
        <v>60</v>
      </c>
      <c r="H30" s="88" t="e">
        <f ca="1">0.001*INDIRECT($B30&amp;"!AC6")</f>
        <v>#VALUE!</v>
      </c>
      <c r="I30" s="9"/>
      <c r="J30" s="22" t="e">
        <f ca="1">H30/D30-1</f>
        <v>#VALUE!</v>
      </c>
      <c r="L30" s="94" t="str">
        <f ca="1">INDIRECT($B30&amp;"!"&amp;L$3&amp;"6")</f>
        <v/>
      </c>
      <c r="M30" s="95" t="str">
        <f ca="1">INDIRECT($B30&amp;"!"&amp;M$3&amp;"6")</f>
        <v/>
      </c>
      <c r="N30" s="96" t="e">
        <f ca="1">M30-L30</f>
        <v>#VALUE!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61</v>
      </c>
      <c r="D31" s="88" t="e">
        <f ca="1">0.001*INDIRECT($B31&amp;"!E7")</f>
        <v>#VALUE!</v>
      </c>
      <c r="E31" s="21"/>
      <c r="F31" s="122" t="str">
        <f>F30</f>
        <v>cinema_track</v>
      </c>
      <c r="G31" s="130" t="s">
        <v>61</v>
      </c>
      <c r="H31" s="88" t="e">
        <f ca="1">0.001*INDIRECT($B31&amp;"!AC7")</f>
        <v>#VALUE!</v>
      </c>
      <c r="I31" s="9"/>
      <c r="J31" s="22" t="e">
        <f ca="1">H31/D31-1</f>
        <v>#VALUE!</v>
      </c>
      <c r="L31" s="94" t="str">
        <f ca="1">INDIRECT($B31&amp;"!"&amp;L$3&amp;"7")</f>
        <v/>
      </c>
      <c r="M31" s="95" t="str">
        <f ca="1">INDIRECT($B31&amp;"!"&amp;M$3&amp;"7")</f>
        <v/>
      </c>
      <c r="N31" s="96" t="e">
        <f ca="1">M31-L31</f>
        <v>#VALUE!</v>
      </c>
      <c r="O31" s="21"/>
      <c r="P31" s="3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62</v>
      </c>
      <c r="D32" s="88" t="e">
        <f ca="1">0.001*INDIRECT($B32&amp;"!E8")</f>
        <v>#VALUE!</v>
      </c>
      <c r="E32" s="21"/>
      <c r="F32" s="122" t="str">
        <f>F31</f>
        <v>cinema_track</v>
      </c>
      <c r="G32" s="130" t="s">
        <v>62</v>
      </c>
      <c r="H32" s="88" t="e">
        <f ca="1">0.001*INDIRECT($B32&amp;"!AC8")</f>
        <v>#VALUE!</v>
      </c>
      <c r="I32" s="9"/>
      <c r="J32" s="22" t="e">
        <f ca="1">H32/D32-1</f>
        <v>#VALUE!</v>
      </c>
      <c r="L32" s="94" t="str">
        <f ca="1">INDIRECT($B32&amp;"!"&amp;L$3&amp;"8")</f>
        <v/>
      </c>
      <c r="M32" s="95" t="str">
        <f ca="1">INDIRECT($B32&amp;"!"&amp;M$3&amp;"8")</f>
        <v/>
      </c>
      <c r="N32" s="96" t="e">
        <f ca="1">M32-L32</f>
        <v>#VALUE!</v>
      </c>
      <c r="O32" s="21"/>
      <c r="P32" s="18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63</v>
      </c>
      <c r="D33" s="88" t="e">
        <f ca="1">0.001*INDIRECT($B33&amp;"!E9")</f>
        <v>#VALUE!</v>
      </c>
      <c r="E33" s="21"/>
      <c r="F33" s="122" t="str">
        <f>F32</f>
        <v>cinema_track</v>
      </c>
      <c r="G33" s="130" t="s">
        <v>63</v>
      </c>
      <c r="H33" s="88" t="e">
        <f ca="1">0.001*INDIRECT($B33&amp;"!AC9")</f>
        <v>#VALUE!</v>
      </c>
      <c r="I33" s="9"/>
      <c r="J33" s="22" t="e">
        <f ca="1">H33/D33-1</f>
        <v>#VALUE!</v>
      </c>
      <c r="L33" s="94" t="str">
        <f ca="1">INDIRECT($B33&amp;"!"&amp;L$3&amp;"9")</f>
        <v/>
      </c>
      <c r="M33" s="95" t="str">
        <f ca="1">INDIRECT($B33&amp;"!"&amp;M$3&amp;"9")</f>
        <v/>
      </c>
      <c r="N33" s="96" t="e">
        <f ca="1">M33-L33</f>
        <v>#VALUE!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 t="e">
        <f ca="1">MIN(D29:D33,H29:H33)</f>
        <v>#VALUE!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 t="e">
        <f ca="1">MAX(D29:D33,H29:H33)</f>
        <v>#VALUE!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57" t="s">
        <v>28</v>
      </c>
      <c r="C37" s="258"/>
      <c r="D37" s="259"/>
      <c r="E37" s="2"/>
      <c r="F37" s="257" t="str">
        <f>B37</f>
        <v>ManWithFruit</v>
      </c>
      <c r="G37" s="258"/>
      <c r="H37" s="259"/>
      <c r="I37" s="2"/>
      <c r="J37" s="115"/>
      <c r="L37" s="265" t="str">
        <f>F37</f>
        <v>ManWithFruit</v>
      </c>
      <c r="M37" s="255"/>
      <c r="N37" s="256"/>
      <c r="O37" s="195"/>
      <c r="P37" s="115"/>
      <c r="U37" s="112"/>
      <c r="V37" s="112"/>
      <c r="X37" s="268"/>
      <c r="Y37" s="270"/>
      <c r="Z37" s="270"/>
    </row>
    <row r="38" spans="2:28" x14ac:dyDescent="0.25">
      <c r="B38" s="263" t="s">
        <v>52</v>
      </c>
      <c r="C38" s="266"/>
      <c r="D38" s="87" t="s">
        <v>53</v>
      </c>
      <c r="E38" s="21"/>
      <c r="F38" s="263" t="s">
        <v>52</v>
      </c>
      <c r="G38" s="266"/>
      <c r="H38" s="87" t="s">
        <v>53</v>
      </c>
      <c r="I38" s="9"/>
      <c r="J38" s="116" t="s">
        <v>54</v>
      </c>
      <c r="L38" s="267" t="s">
        <v>75</v>
      </c>
      <c r="M38" s="268"/>
      <c r="N38" s="269"/>
      <c r="O38" s="85"/>
      <c r="P38" s="3"/>
      <c r="R38" s="261"/>
      <c r="S38" s="270"/>
      <c r="T38" s="270"/>
      <c r="U38" s="113"/>
      <c r="V38" s="113"/>
      <c r="X38" s="261"/>
      <c r="Y38" s="270"/>
      <c r="Z38" s="270"/>
    </row>
    <row r="39" spans="2:28" x14ac:dyDescent="0.25">
      <c r="B39" s="191" t="s">
        <v>3</v>
      </c>
      <c r="C39" s="130" t="s">
        <v>56</v>
      </c>
      <c r="D39" s="86" t="s">
        <v>57</v>
      </c>
      <c r="E39" s="21"/>
      <c r="F39" s="191" t="s">
        <v>3</v>
      </c>
      <c r="G39" s="130" t="s">
        <v>56</v>
      </c>
      <c r="H39" s="86" t="s">
        <v>57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Proposal ManWithFruit</v>
      </c>
      <c r="N39" s="194" t="s">
        <v>58</v>
      </c>
      <c r="O39" s="2"/>
      <c r="P39" s="3" t="s">
        <v>49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59</v>
      </c>
      <c r="D40" s="88" t="e">
        <f ca="1">0.001*INDIRECT($B40&amp;"!E5")</f>
        <v>#VALUE!</v>
      </c>
      <c r="E40" s="21"/>
      <c r="F40" s="122" t="str">
        <f>F37</f>
        <v>ManWithFruit</v>
      </c>
      <c r="G40" s="130" t="s">
        <v>59</v>
      </c>
      <c r="H40" s="88" t="e">
        <f ca="1">0.001*INDIRECT($B40&amp;"!AC5")</f>
        <v>#VALUE!</v>
      </c>
      <c r="I40" s="9"/>
      <c r="J40" s="22" t="e">
        <f ca="1">H40/D40-1</f>
        <v>#VALUE!</v>
      </c>
      <c r="L40" s="94" t="str">
        <f ca="1">INDIRECT($B40&amp;"!"&amp;L$3&amp;"5")</f>
        <v/>
      </c>
      <c r="M40" s="95" t="str">
        <f ca="1">INDIRECT($B40&amp;"!"&amp;M$3&amp;"5")</f>
        <v/>
      </c>
      <c r="N40" s="96" t="e">
        <f ca="1">M40-L40</f>
        <v>#VALUE!</v>
      </c>
      <c r="O40" s="21"/>
      <c r="P40" s="22" t="e">
        <f ca="1">bdRateExtend(D40:D44,L40:L44,H40:H44,M40:M44)</f>
        <v>#VALUE!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60</v>
      </c>
      <c r="D41" s="88" t="e">
        <f ca="1">0.001*INDIRECT($B41&amp;"!E6")</f>
        <v>#VALUE!</v>
      </c>
      <c r="E41" s="21"/>
      <c r="F41" s="122" t="str">
        <f>F40</f>
        <v>ManWithFruit</v>
      </c>
      <c r="G41" s="130" t="s">
        <v>60</v>
      </c>
      <c r="H41" s="88" t="e">
        <f ca="1">0.001*INDIRECT($B41&amp;"!AC6")</f>
        <v>#VALUE!</v>
      </c>
      <c r="I41" s="9"/>
      <c r="J41" s="22" t="e">
        <f ca="1">H41/D41-1</f>
        <v>#VALUE!</v>
      </c>
      <c r="L41" s="94" t="str">
        <f ca="1">INDIRECT($B41&amp;"!"&amp;L$3&amp;"6")</f>
        <v/>
      </c>
      <c r="M41" s="95" t="str">
        <f ca="1">INDIRECT($B41&amp;"!"&amp;M$3&amp;"6")</f>
        <v/>
      </c>
      <c r="N41" s="96" t="e">
        <f ca="1">M41-L41</f>
        <v>#VALUE!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61</v>
      </c>
      <c r="D42" s="88" t="e">
        <f ca="1">0.001*INDIRECT($B42&amp;"!E7")</f>
        <v>#VALUE!</v>
      </c>
      <c r="E42" s="21"/>
      <c r="F42" s="122" t="str">
        <f>F41</f>
        <v>ManWithFruit</v>
      </c>
      <c r="G42" s="130" t="s">
        <v>61</v>
      </c>
      <c r="H42" s="88" t="e">
        <f ca="1">0.001*INDIRECT($B42&amp;"!AC7")</f>
        <v>#VALUE!</v>
      </c>
      <c r="I42" s="9"/>
      <c r="J42" s="22" t="e">
        <f ca="1">H42/D42-1</f>
        <v>#VALUE!</v>
      </c>
      <c r="L42" s="94" t="str">
        <f ca="1">INDIRECT($B42&amp;"!"&amp;L$3&amp;"7")</f>
        <v/>
      </c>
      <c r="M42" s="95" t="str">
        <f ca="1">INDIRECT($B42&amp;"!"&amp;M$3&amp;"7")</f>
        <v/>
      </c>
      <c r="N42" s="96" t="e">
        <f ca="1">M42-L42</f>
        <v>#VALUE!</v>
      </c>
      <c r="O42" s="21"/>
      <c r="P42" s="3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62</v>
      </c>
      <c r="D43" s="88" t="e">
        <f ca="1">0.001*INDIRECT($B43&amp;"!E8")</f>
        <v>#VALUE!</v>
      </c>
      <c r="E43" s="21"/>
      <c r="F43" s="122" t="str">
        <f>F42</f>
        <v>ManWithFruit</v>
      </c>
      <c r="G43" s="130" t="s">
        <v>62</v>
      </c>
      <c r="H43" s="88" t="e">
        <f ca="1">0.001*INDIRECT($B43&amp;"!AC8")</f>
        <v>#VALUE!</v>
      </c>
      <c r="I43" s="9"/>
      <c r="J43" s="22" t="e">
        <f ca="1">H43/D43-1</f>
        <v>#VALUE!</v>
      </c>
      <c r="L43" s="94" t="str">
        <f ca="1">INDIRECT($B43&amp;"!"&amp;L$3&amp;"8")</f>
        <v/>
      </c>
      <c r="M43" s="95" t="str">
        <f ca="1">INDIRECT($B43&amp;"!"&amp;M$3&amp;"8")</f>
        <v/>
      </c>
      <c r="N43" s="96" t="e">
        <f ca="1">M43-L43</f>
        <v>#VALUE!</v>
      </c>
      <c r="O43" s="21"/>
      <c r="P43" s="18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63</v>
      </c>
      <c r="D44" s="88" t="e">
        <f ca="1">0.001*INDIRECT($B44&amp;"!E9")</f>
        <v>#VALUE!</v>
      </c>
      <c r="E44" s="21"/>
      <c r="F44" s="122" t="str">
        <f>F43</f>
        <v>ManWithFruit</v>
      </c>
      <c r="G44" s="130" t="s">
        <v>63</v>
      </c>
      <c r="H44" s="88" t="e">
        <f ca="1">0.001*INDIRECT($B44&amp;"!AC9")</f>
        <v>#VALUE!</v>
      </c>
      <c r="I44" s="9"/>
      <c r="J44" s="22" t="e">
        <f ca="1">H44/D44-1</f>
        <v>#VALUE!</v>
      </c>
      <c r="L44" s="94" t="str">
        <f ca="1">INDIRECT($B44&amp;"!"&amp;L$3&amp;"9")</f>
        <v/>
      </c>
      <c r="M44" s="95" t="str">
        <f ca="1">INDIRECT($B44&amp;"!"&amp;M$3&amp;"9")</f>
        <v/>
      </c>
      <c r="N44" s="96" t="e">
        <f ca="1">M44-L44</f>
        <v>#VALUE!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 t="e">
        <f ca="1">MIN(D40:D44,H40:H44)</f>
        <v>#VALUE!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 t="e">
        <f ca="1">MAX(D40:D44,H40:H44)</f>
        <v>#VALUE!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57" t="s">
        <v>29</v>
      </c>
      <c r="C48" s="258"/>
      <c r="D48" s="259"/>
      <c r="E48" s="2"/>
      <c r="F48" s="257" t="str">
        <f>B48</f>
        <v>LEGO_Ferrari</v>
      </c>
      <c r="G48" s="258"/>
      <c r="H48" s="259"/>
      <c r="I48" s="2"/>
      <c r="J48" s="115"/>
      <c r="L48" s="265" t="str">
        <f>F48</f>
        <v>LEGO_Ferrari</v>
      </c>
      <c r="M48" s="255"/>
      <c r="N48" s="256"/>
      <c r="O48" s="195"/>
      <c r="P48" s="115"/>
      <c r="U48" s="112"/>
      <c r="V48" s="112"/>
      <c r="X48" s="268"/>
      <c r="Y48" s="270"/>
      <c r="Z48" s="270"/>
    </row>
    <row r="49" spans="2:28" x14ac:dyDescent="0.25">
      <c r="B49" s="263" t="s">
        <v>52</v>
      </c>
      <c r="C49" s="266"/>
      <c r="D49" s="87" t="s">
        <v>53</v>
      </c>
      <c r="E49" s="21"/>
      <c r="F49" s="263" t="s">
        <v>52</v>
      </c>
      <c r="G49" s="266"/>
      <c r="H49" s="87" t="s">
        <v>53</v>
      </c>
      <c r="I49" s="9"/>
      <c r="J49" s="116" t="s">
        <v>54</v>
      </c>
      <c r="L49" s="267" t="s">
        <v>75</v>
      </c>
      <c r="M49" s="268"/>
      <c r="N49" s="269"/>
      <c r="O49" s="85"/>
      <c r="P49" s="3"/>
      <c r="R49" s="261"/>
      <c r="S49" s="270"/>
      <c r="T49" s="270"/>
      <c r="U49" s="113"/>
      <c r="V49" s="113"/>
      <c r="X49" s="261"/>
      <c r="Y49" s="270"/>
      <c r="Z49" s="270"/>
    </row>
    <row r="50" spans="2:28" x14ac:dyDescent="0.25">
      <c r="B50" s="191" t="s">
        <v>3</v>
      </c>
      <c r="C50" s="130" t="s">
        <v>56</v>
      </c>
      <c r="D50" s="86" t="s">
        <v>57</v>
      </c>
      <c r="E50" s="21"/>
      <c r="F50" s="191" t="s">
        <v>3</v>
      </c>
      <c r="G50" s="130" t="s">
        <v>56</v>
      </c>
      <c r="H50" s="86" t="s">
        <v>57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Proposal LEGO_Ferrari</v>
      </c>
      <c r="N50" s="194" t="s">
        <v>58</v>
      </c>
      <c r="O50" s="2"/>
      <c r="P50" s="3" t="s">
        <v>49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59</v>
      </c>
      <c r="D51" s="88" t="e">
        <f ca="1">0.001*INDIRECT($B51&amp;"!E5")</f>
        <v>#VALUE!</v>
      </c>
      <c r="E51" s="21"/>
      <c r="F51" s="122" t="str">
        <f>F48</f>
        <v>LEGO_Ferrari</v>
      </c>
      <c r="G51" s="130" t="s">
        <v>59</v>
      </c>
      <c r="H51" s="88" t="e">
        <f ca="1">0.001*INDIRECT($B51&amp;"!AC5")</f>
        <v>#VALUE!</v>
      </c>
      <c r="I51" s="9"/>
      <c r="J51" s="22" t="e">
        <f ca="1">H51/D51-1</f>
        <v>#VALUE!</v>
      </c>
      <c r="L51" s="94" t="str">
        <f ca="1">INDIRECT($B51&amp;"!"&amp;L$3&amp;"5")</f>
        <v/>
      </c>
      <c r="M51" s="95" t="str">
        <f ca="1">INDIRECT($B51&amp;"!"&amp;M$3&amp;"5")</f>
        <v/>
      </c>
      <c r="N51" s="96" t="e">
        <f ca="1">M51-L51</f>
        <v>#VALUE!</v>
      </c>
      <c r="O51" s="21"/>
      <c r="P51" s="22" t="e">
        <f ca="1">bdRateExtend(D51:D55,L51:L55,H51:H55,M51:M55)</f>
        <v>#VALUE!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60</v>
      </c>
      <c r="D52" s="88" t="e">
        <f ca="1">0.001*INDIRECT($B52&amp;"!E6")</f>
        <v>#VALUE!</v>
      </c>
      <c r="E52" s="21"/>
      <c r="F52" s="122" t="str">
        <f>F51</f>
        <v>LEGO_Ferrari</v>
      </c>
      <c r="G52" s="130" t="s">
        <v>60</v>
      </c>
      <c r="H52" s="88" t="e">
        <f ca="1">0.001*INDIRECT($B52&amp;"!AC6")</f>
        <v>#VALUE!</v>
      </c>
      <c r="I52" s="9"/>
      <c r="J52" s="22" t="e">
        <f ca="1">H52/D52-1</f>
        <v>#VALUE!</v>
      </c>
      <c r="L52" s="94" t="str">
        <f ca="1">INDIRECT($B52&amp;"!"&amp;L$3&amp;"6")</f>
        <v/>
      </c>
      <c r="M52" s="95" t="str">
        <f ca="1">INDIRECT($B52&amp;"!"&amp;M$3&amp;"6")</f>
        <v/>
      </c>
      <c r="N52" s="96" t="e">
        <f ca="1">M52-L52</f>
        <v>#VALUE!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61</v>
      </c>
      <c r="D53" s="88" t="e">
        <f ca="1">0.001*INDIRECT($B53&amp;"!E7")</f>
        <v>#VALUE!</v>
      </c>
      <c r="E53" s="21"/>
      <c r="F53" s="122" t="str">
        <f>F52</f>
        <v>LEGO_Ferrari</v>
      </c>
      <c r="G53" s="130" t="s">
        <v>61</v>
      </c>
      <c r="H53" s="88" t="e">
        <f ca="1">0.001*INDIRECT($B53&amp;"!AC7")</f>
        <v>#VALUE!</v>
      </c>
      <c r="I53" s="9"/>
      <c r="J53" s="22" t="e">
        <f ca="1">H53/D53-1</f>
        <v>#VALUE!</v>
      </c>
      <c r="L53" s="94" t="str">
        <f ca="1">INDIRECT($B53&amp;"!"&amp;L$3&amp;"7")</f>
        <v/>
      </c>
      <c r="M53" s="95" t="str">
        <f ca="1">INDIRECT($B53&amp;"!"&amp;M$3&amp;"7")</f>
        <v/>
      </c>
      <c r="N53" s="96" t="e">
        <f ca="1">M53-L53</f>
        <v>#VALUE!</v>
      </c>
      <c r="O53" s="21"/>
      <c r="P53" s="3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62</v>
      </c>
      <c r="D54" s="88" t="e">
        <f ca="1">0.001*INDIRECT($B54&amp;"!E8")</f>
        <v>#VALUE!</v>
      </c>
      <c r="E54" s="21"/>
      <c r="F54" s="122" t="str">
        <f>F53</f>
        <v>LEGO_Ferrari</v>
      </c>
      <c r="G54" s="130" t="s">
        <v>62</v>
      </c>
      <c r="H54" s="88" t="e">
        <f ca="1">0.001*INDIRECT($B54&amp;"!AC8")</f>
        <v>#VALUE!</v>
      </c>
      <c r="I54" s="9"/>
      <c r="J54" s="22" t="e">
        <f ca="1">H54/D54-1</f>
        <v>#VALUE!</v>
      </c>
      <c r="L54" s="94" t="str">
        <f ca="1">INDIRECT($B54&amp;"!"&amp;L$3&amp;"8")</f>
        <v/>
      </c>
      <c r="M54" s="95" t="str">
        <f ca="1">INDIRECT($B54&amp;"!"&amp;M$3&amp;"8")</f>
        <v/>
      </c>
      <c r="N54" s="96" t="e">
        <f ca="1">M54-L54</f>
        <v>#VALUE!</v>
      </c>
      <c r="O54" s="21"/>
      <c r="P54" s="18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63</v>
      </c>
      <c r="D55" s="88" t="e">
        <f ca="1">0.001*INDIRECT($B55&amp;"!E9")</f>
        <v>#VALUE!</v>
      </c>
      <c r="E55" s="21"/>
      <c r="F55" s="122" t="str">
        <f>F54</f>
        <v>LEGO_Ferrari</v>
      </c>
      <c r="G55" s="130" t="s">
        <v>63</v>
      </c>
      <c r="H55" s="88" t="e">
        <f ca="1">0.001*INDIRECT($B55&amp;"!AC9")</f>
        <v>#VALUE!</v>
      </c>
      <c r="I55" s="9"/>
      <c r="J55" s="22" t="e">
        <f ca="1">H55/D55-1</f>
        <v>#VALUE!</v>
      </c>
      <c r="L55" s="94" t="str">
        <f ca="1">INDIRECT($B55&amp;"!"&amp;L$3&amp;"9")</f>
        <v/>
      </c>
      <c r="M55" s="95" t="str">
        <f ca="1">INDIRECT($B55&amp;"!"&amp;M$3&amp;"9")</f>
        <v/>
      </c>
      <c r="N55" s="96" t="e">
        <f ca="1">M55-L55</f>
        <v>#VALUE!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 t="e">
        <f ca="1">MIN(D51:D55,H51:H55)</f>
        <v>#VALUE!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 t="e">
        <f ca="1">MAX(D51:D55,H51:H55)</f>
        <v>#VALUE!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57" t="s">
        <v>30</v>
      </c>
      <c r="C59" s="258"/>
      <c r="D59" s="259"/>
      <c r="E59" s="2"/>
      <c r="F59" s="257" t="str">
        <f>B59</f>
        <v>LEGO_Bugatti</v>
      </c>
      <c r="G59" s="258"/>
      <c r="H59" s="259"/>
      <c r="I59" s="2"/>
      <c r="J59" s="115"/>
      <c r="L59" s="265" t="str">
        <f>F59</f>
        <v>LEGO_Bugatti</v>
      </c>
      <c r="M59" s="255"/>
      <c r="N59" s="256"/>
      <c r="O59" s="195"/>
      <c r="P59" s="115"/>
      <c r="U59" s="112"/>
      <c r="V59" s="112"/>
      <c r="X59" s="268"/>
      <c r="Y59" s="270"/>
      <c r="Z59" s="270"/>
    </row>
    <row r="60" spans="2:28" x14ac:dyDescent="0.25">
      <c r="B60" s="263" t="s">
        <v>52</v>
      </c>
      <c r="C60" s="266"/>
      <c r="D60" s="87" t="s">
        <v>53</v>
      </c>
      <c r="E60" s="21"/>
      <c r="F60" s="263" t="s">
        <v>52</v>
      </c>
      <c r="G60" s="266"/>
      <c r="H60" s="87" t="s">
        <v>53</v>
      </c>
      <c r="I60" s="9"/>
      <c r="J60" s="116" t="s">
        <v>54</v>
      </c>
      <c r="L60" s="267" t="s">
        <v>75</v>
      </c>
      <c r="M60" s="268"/>
      <c r="N60" s="269"/>
      <c r="O60" s="85"/>
      <c r="P60" s="3"/>
      <c r="R60" s="261"/>
      <c r="S60" s="270"/>
      <c r="T60" s="270"/>
      <c r="U60" s="113"/>
      <c r="V60" s="113"/>
      <c r="X60" s="261"/>
      <c r="Y60" s="270"/>
      <c r="Z60" s="270"/>
    </row>
    <row r="61" spans="2:28" x14ac:dyDescent="0.25">
      <c r="B61" s="191" t="s">
        <v>3</v>
      </c>
      <c r="C61" s="130" t="s">
        <v>56</v>
      </c>
      <c r="D61" s="86" t="s">
        <v>57</v>
      </c>
      <c r="E61" s="21"/>
      <c r="F61" s="191" t="s">
        <v>3</v>
      </c>
      <c r="G61" s="130" t="s">
        <v>56</v>
      </c>
      <c r="H61" s="86" t="s">
        <v>57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Proposal LEGO_Bugatti</v>
      </c>
      <c r="N61" s="194" t="s">
        <v>58</v>
      </c>
      <c r="O61" s="2"/>
      <c r="P61" s="3" t="s">
        <v>49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59</v>
      </c>
      <c r="D62" s="88" t="e">
        <f ca="1">0.001*INDIRECT($B62&amp;"!E5")</f>
        <v>#VALUE!</v>
      </c>
      <c r="E62" s="21"/>
      <c r="F62" s="122" t="str">
        <f>F59</f>
        <v>LEGO_Bugatti</v>
      </c>
      <c r="G62" s="130" t="s">
        <v>59</v>
      </c>
      <c r="H62" s="88" t="e">
        <f ca="1">0.001*INDIRECT($B62&amp;"!AC5")</f>
        <v>#VALUE!</v>
      </c>
      <c r="I62" s="9"/>
      <c r="J62" s="22" t="e">
        <f ca="1">H62/D62-1</f>
        <v>#VALUE!</v>
      </c>
      <c r="L62" s="94" t="str">
        <f ca="1">INDIRECT($B62&amp;"!"&amp;L$3&amp;"5")</f>
        <v/>
      </c>
      <c r="M62" s="95" t="str">
        <f ca="1">INDIRECT($B62&amp;"!"&amp;M$3&amp;"5")</f>
        <v/>
      </c>
      <c r="N62" s="96" t="e">
        <f ca="1">M62-L62</f>
        <v>#VALUE!</v>
      </c>
      <c r="O62" s="21"/>
      <c r="P62" s="22" t="e">
        <f ca="1">bdRateExtend(D62:D66,L62:L66,H62:H66,M62:M66)</f>
        <v>#VALUE!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60</v>
      </c>
      <c r="D63" s="88" t="e">
        <f ca="1">0.001*INDIRECT($B63&amp;"!E6")</f>
        <v>#VALUE!</v>
      </c>
      <c r="E63" s="21"/>
      <c r="F63" s="122" t="str">
        <f>F62</f>
        <v>LEGO_Bugatti</v>
      </c>
      <c r="G63" s="130" t="s">
        <v>60</v>
      </c>
      <c r="H63" s="88" t="e">
        <f ca="1">0.001*INDIRECT($B63&amp;"!AC6")</f>
        <v>#VALUE!</v>
      </c>
      <c r="I63" s="9"/>
      <c r="J63" s="22" t="e">
        <f ca="1">H63/D63-1</f>
        <v>#VALUE!</v>
      </c>
      <c r="L63" s="94" t="str">
        <f ca="1">INDIRECT($B63&amp;"!"&amp;L$3&amp;"6")</f>
        <v/>
      </c>
      <c r="M63" s="95" t="str">
        <f ca="1">INDIRECT($B63&amp;"!"&amp;M$3&amp;"6")</f>
        <v/>
      </c>
      <c r="N63" s="96" t="e">
        <f ca="1">M63-L63</f>
        <v>#VALUE!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61</v>
      </c>
      <c r="D64" s="88" t="e">
        <f ca="1">0.001*INDIRECT($B64&amp;"!E7")</f>
        <v>#VALUE!</v>
      </c>
      <c r="E64" s="21"/>
      <c r="F64" s="122" t="str">
        <f>F63</f>
        <v>LEGO_Bugatti</v>
      </c>
      <c r="G64" s="130" t="s">
        <v>61</v>
      </c>
      <c r="H64" s="88" t="e">
        <f ca="1">0.001*INDIRECT($B64&amp;"!AC7")</f>
        <v>#VALUE!</v>
      </c>
      <c r="I64" s="9"/>
      <c r="J64" s="22" t="e">
        <f ca="1">H64/D64-1</f>
        <v>#VALUE!</v>
      </c>
      <c r="L64" s="94" t="str">
        <f ca="1">INDIRECT($B64&amp;"!"&amp;L$3&amp;"7")</f>
        <v/>
      </c>
      <c r="M64" s="95" t="str">
        <f ca="1">INDIRECT($B64&amp;"!"&amp;M$3&amp;"7")</f>
        <v/>
      </c>
      <c r="N64" s="96" t="e">
        <f ca="1">M64-L64</f>
        <v>#VALUE!</v>
      </c>
      <c r="O64" s="21"/>
      <c r="P64" s="3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62</v>
      </c>
      <c r="D65" s="88" t="e">
        <f ca="1">0.001*INDIRECT($B65&amp;"!E8")</f>
        <v>#VALUE!</v>
      </c>
      <c r="E65" s="21"/>
      <c r="F65" s="122" t="str">
        <f>F64</f>
        <v>LEGO_Bugatti</v>
      </c>
      <c r="G65" s="130" t="s">
        <v>62</v>
      </c>
      <c r="H65" s="88" t="e">
        <f ca="1">0.001*INDIRECT($B65&amp;"!AC8")</f>
        <v>#VALUE!</v>
      </c>
      <c r="I65" s="9"/>
      <c r="J65" s="22" t="e">
        <f ca="1">H65/D65-1</f>
        <v>#VALUE!</v>
      </c>
      <c r="L65" s="94" t="str">
        <f ca="1">INDIRECT($B65&amp;"!"&amp;L$3&amp;"8")</f>
        <v/>
      </c>
      <c r="M65" s="95" t="str">
        <f ca="1">INDIRECT($B65&amp;"!"&amp;M$3&amp;"8")</f>
        <v/>
      </c>
      <c r="N65" s="96" t="e">
        <f ca="1">M65-L65</f>
        <v>#VALUE!</v>
      </c>
      <c r="O65" s="21"/>
      <c r="P65" s="18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63</v>
      </c>
      <c r="D66" s="88" t="e">
        <f ca="1">0.001*INDIRECT($B66&amp;"!E9")</f>
        <v>#VALUE!</v>
      </c>
      <c r="E66" s="21"/>
      <c r="F66" s="122" t="str">
        <f>F65</f>
        <v>LEGO_Bugatti</v>
      </c>
      <c r="G66" s="130" t="s">
        <v>63</v>
      </c>
      <c r="H66" s="88" t="e">
        <f ca="1">0.001*INDIRECT($B66&amp;"!AC9")</f>
        <v>#VALUE!</v>
      </c>
      <c r="I66" s="9"/>
      <c r="J66" s="22" t="e">
        <f ca="1">H66/D66-1</f>
        <v>#VALUE!</v>
      </c>
      <c r="L66" s="94" t="str">
        <f ca="1">INDIRECT($B66&amp;"!"&amp;L$3&amp;"9")</f>
        <v/>
      </c>
      <c r="M66" s="95" t="str">
        <f ca="1">INDIRECT($B66&amp;"!"&amp;M$3&amp;"9")</f>
        <v/>
      </c>
      <c r="N66" s="96" t="e">
        <f ca="1">M66-L66</f>
        <v>#VALUE!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 t="e">
        <f ca="1">MIN(D62:D66,H62:H66)</f>
        <v>#VALUE!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 t="e">
        <f ca="1">MAX(D62:D66,H62:H66)</f>
        <v>#VALUE!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57" t="s">
        <v>31</v>
      </c>
      <c r="C70" s="258"/>
      <c r="D70" s="259"/>
      <c r="E70" s="2"/>
      <c r="F70" s="257" t="str">
        <f>B70</f>
        <v>Plant</v>
      </c>
      <c r="G70" s="258"/>
      <c r="H70" s="259"/>
      <c r="I70" s="2"/>
      <c r="J70" s="115"/>
      <c r="L70" s="265" t="str">
        <f>F70</f>
        <v>Plant</v>
      </c>
      <c r="M70" s="255"/>
      <c r="N70" s="256"/>
      <c r="O70" s="195"/>
      <c r="P70" s="115"/>
      <c r="U70" s="112"/>
      <c r="V70" s="112"/>
      <c r="X70" s="268"/>
      <c r="Y70" s="270"/>
      <c r="Z70" s="270"/>
    </row>
    <row r="71" spans="2:28" x14ac:dyDescent="0.25">
      <c r="B71" s="263" t="s">
        <v>52</v>
      </c>
      <c r="C71" s="266"/>
      <c r="D71" s="87" t="s">
        <v>53</v>
      </c>
      <c r="E71" s="21"/>
      <c r="F71" s="263" t="s">
        <v>52</v>
      </c>
      <c r="G71" s="266"/>
      <c r="H71" s="87" t="s">
        <v>53</v>
      </c>
      <c r="I71" s="9"/>
      <c r="J71" s="116" t="s">
        <v>54</v>
      </c>
      <c r="L71" s="267" t="s">
        <v>75</v>
      </c>
      <c r="M71" s="268"/>
      <c r="N71" s="269"/>
      <c r="O71" s="85"/>
      <c r="P71" s="3"/>
      <c r="R71" s="261"/>
      <c r="S71" s="270"/>
      <c r="T71" s="270"/>
      <c r="U71" s="113"/>
      <c r="V71" s="113"/>
      <c r="X71" s="261"/>
      <c r="Y71" s="270"/>
      <c r="Z71" s="270"/>
    </row>
    <row r="72" spans="2:28" x14ac:dyDescent="0.25">
      <c r="B72" s="191" t="s">
        <v>3</v>
      </c>
      <c r="C72" s="130" t="s">
        <v>56</v>
      </c>
      <c r="D72" s="86" t="s">
        <v>57</v>
      </c>
      <c r="E72" s="21"/>
      <c r="F72" s="191" t="s">
        <v>3</v>
      </c>
      <c r="G72" s="130" t="s">
        <v>56</v>
      </c>
      <c r="H72" s="86" t="s">
        <v>57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Proposal Plant</v>
      </c>
      <c r="N72" s="194" t="s">
        <v>58</v>
      </c>
      <c r="O72" s="2"/>
      <c r="P72" s="3" t="s">
        <v>49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59</v>
      </c>
      <c r="D73" s="88" t="e">
        <f ca="1">0.001*INDIRECT($B73&amp;"!E5")</f>
        <v>#VALUE!</v>
      </c>
      <c r="E73" s="21"/>
      <c r="F73" s="122" t="str">
        <f>F70</f>
        <v>Plant</v>
      </c>
      <c r="G73" s="130" t="s">
        <v>59</v>
      </c>
      <c r="H73" s="88" t="e">
        <f ca="1">0.001*INDIRECT($B73&amp;"!AC5")</f>
        <v>#VALUE!</v>
      </c>
      <c r="I73" s="9"/>
      <c r="J73" s="22" t="e">
        <f ca="1">H73/D73-1</f>
        <v>#VALUE!</v>
      </c>
      <c r="L73" s="94" t="str">
        <f ca="1">INDIRECT($B73&amp;"!"&amp;L$3&amp;"5")</f>
        <v/>
      </c>
      <c r="M73" s="95" t="str">
        <f ca="1">INDIRECT($B73&amp;"!"&amp;M$3&amp;"5")</f>
        <v/>
      </c>
      <c r="N73" s="96" t="e">
        <f ca="1">M73-L73</f>
        <v>#VALUE!</v>
      </c>
      <c r="O73" s="21"/>
      <c r="P73" s="22" t="e">
        <f ca="1">bdRateExtend(D73:D77,L73:L77,H73:H77,M73:M77)</f>
        <v>#VALUE!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60</v>
      </c>
      <c r="D74" s="88" t="e">
        <f ca="1">0.001*INDIRECT($B74&amp;"!E6")</f>
        <v>#VALUE!</v>
      </c>
      <c r="E74" s="21"/>
      <c r="F74" s="122" t="str">
        <f>F73</f>
        <v>Plant</v>
      </c>
      <c r="G74" s="130" t="s">
        <v>60</v>
      </c>
      <c r="H74" s="88" t="e">
        <f ca="1">0.001*INDIRECT($B74&amp;"!AC6")</f>
        <v>#VALUE!</v>
      </c>
      <c r="I74" s="9"/>
      <c r="J74" s="22" t="e">
        <f ca="1">H74/D74-1</f>
        <v>#VALUE!</v>
      </c>
      <c r="L74" s="94" t="str">
        <f ca="1">INDIRECT($B74&amp;"!"&amp;L$3&amp;"6")</f>
        <v/>
      </c>
      <c r="M74" s="95" t="str">
        <f ca="1">INDIRECT($B74&amp;"!"&amp;M$3&amp;"6")</f>
        <v/>
      </c>
      <c r="N74" s="96" t="e">
        <f ca="1">M74-L74</f>
        <v>#VALUE!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61</v>
      </c>
      <c r="D75" s="88" t="e">
        <f ca="1">0.001*INDIRECT($B75&amp;"!E7")</f>
        <v>#VALUE!</v>
      </c>
      <c r="E75" s="21"/>
      <c r="F75" s="122" t="str">
        <f>F74</f>
        <v>Plant</v>
      </c>
      <c r="G75" s="130" t="s">
        <v>61</v>
      </c>
      <c r="H75" s="88" t="e">
        <f ca="1">0.001*INDIRECT($B75&amp;"!AC7")</f>
        <v>#VALUE!</v>
      </c>
      <c r="I75" s="9"/>
      <c r="J75" s="22" t="e">
        <f ca="1">H75/D75-1</f>
        <v>#VALUE!</v>
      </c>
      <c r="L75" s="94" t="str">
        <f ca="1">INDIRECT($B75&amp;"!"&amp;L$3&amp;"7")</f>
        <v/>
      </c>
      <c r="M75" s="95" t="str">
        <f ca="1">INDIRECT($B75&amp;"!"&amp;M$3&amp;"7")</f>
        <v/>
      </c>
      <c r="N75" s="96" t="e">
        <f ca="1">M75-L75</f>
        <v>#VALUE!</v>
      </c>
      <c r="O75" s="21"/>
      <c r="P75" s="3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62</v>
      </c>
      <c r="D76" s="88" t="e">
        <f ca="1">0.001*INDIRECT($B76&amp;"!E8")</f>
        <v>#VALUE!</v>
      </c>
      <c r="E76" s="21"/>
      <c r="F76" s="122" t="str">
        <f>F75</f>
        <v>Plant</v>
      </c>
      <c r="G76" s="130" t="s">
        <v>62</v>
      </c>
      <c r="H76" s="88" t="e">
        <f ca="1">0.001*INDIRECT($B76&amp;"!AC8")</f>
        <v>#VALUE!</v>
      </c>
      <c r="I76" s="9"/>
      <c r="J76" s="22" t="e">
        <f ca="1">H76/D76-1</f>
        <v>#VALUE!</v>
      </c>
      <c r="L76" s="94" t="str">
        <f ca="1">INDIRECT($B76&amp;"!"&amp;L$3&amp;"8")</f>
        <v/>
      </c>
      <c r="M76" s="95" t="str">
        <f ca="1">INDIRECT($B76&amp;"!"&amp;M$3&amp;"8")</f>
        <v/>
      </c>
      <c r="N76" s="96" t="e">
        <f ca="1">M76-L76</f>
        <v>#VALUE!</v>
      </c>
      <c r="O76" s="21"/>
      <c r="P76" s="18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63</v>
      </c>
      <c r="D77" s="88" t="e">
        <f ca="1">0.001*INDIRECT($B77&amp;"!E9")</f>
        <v>#VALUE!</v>
      </c>
      <c r="E77" s="21"/>
      <c r="F77" s="122" t="str">
        <f>F76</f>
        <v>Plant</v>
      </c>
      <c r="G77" s="130" t="s">
        <v>63</v>
      </c>
      <c r="H77" s="88" t="e">
        <f ca="1">0.001*INDIRECT($B77&amp;"!AC9")</f>
        <v>#VALUE!</v>
      </c>
      <c r="I77" s="9"/>
      <c r="J77" s="22" t="e">
        <f ca="1">H77/D77-1</f>
        <v>#VALUE!</v>
      </c>
      <c r="L77" s="94" t="str">
        <f ca="1">INDIRECT($B77&amp;"!"&amp;L$3&amp;"9")</f>
        <v/>
      </c>
      <c r="M77" s="95" t="str">
        <f ca="1">INDIRECT($B77&amp;"!"&amp;M$3&amp;"9")</f>
        <v/>
      </c>
      <c r="N77" s="96" t="e">
        <f ca="1">M77-L77</f>
        <v>#VALUE!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 t="e">
        <f ca="1">MIN(D73:D77,H73:H77)</f>
        <v>#VALUE!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 t="e">
        <f ca="1">MAX(D73:D77,H73:H77)</f>
        <v>#VALUE!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5" customHeight="1" thickBot="1" x14ac:dyDescent="0.3"/>
    <row r="81" spans="2:28" x14ac:dyDescent="0.25">
      <c r="B81" s="257" t="s">
        <v>32</v>
      </c>
      <c r="C81" s="258"/>
      <c r="D81" s="259"/>
      <c r="E81" s="2"/>
      <c r="F81" s="257" t="str">
        <f>B81</f>
        <v>Tennis_Player</v>
      </c>
      <c r="G81" s="258"/>
      <c r="H81" s="259"/>
      <c r="I81" s="2"/>
      <c r="J81" s="115"/>
      <c r="L81" s="265" t="str">
        <f>F81</f>
        <v>Tennis_Player</v>
      </c>
      <c r="M81" s="255"/>
      <c r="N81" s="256"/>
      <c r="O81" s="195"/>
      <c r="P81" s="115"/>
      <c r="U81" s="112"/>
      <c r="V81" s="112"/>
      <c r="X81" s="268"/>
      <c r="Y81" s="270"/>
      <c r="Z81" s="270"/>
    </row>
    <row r="82" spans="2:28" x14ac:dyDescent="0.25">
      <c r="B82" s="263" t="s">
        <v>52</v>
      </c>
      <c r="C82" s="266"/>
      <c r="D82" s="87" t="s">
        <v>53</v>
      </c>
      <c r="E82" s="21"/>
      <c r="F82" s="263" t="s">
        <v>52</v>
      </c>
      <c r="G82" s="266"/>
      <c r="H82" s="87" t="s">
        <v>53</v>
      </c>
      <c r="I82" s="9"/>
      <c r="J82" s="116" t="s">
        <v>54</v>
      </c>
      <c r="L82" s="267" t="s">
        <v>75</v>
      </c>
      <c r="M82" s="268"/>
      <c r="N82" s="269"/>
      <c r="O82" s="85"/>
      <c r="P82" s="3"/>
      <c r="R82" s="261"/>
      <c r="S82" s="270"/>
      <c r="T82" s="270"/>
      <c r="U82" s="113"/>
      <c r="V82" s="113"/>
      <c r="X82" s="261"/>
      <c r="Y82" s="270"/>
      <c r="Z82" s="270"/>
    </row>
    <row r="83" spans="2:28" x14ac:dyDescent="0.25">
      <c r="B83" s="191" t="s">
        <v>3</v>
      </c>
      <c r="C83" s="130" t="s">
        <v>56</v>
      </c>
      <c r="D83" s="86" t="s">
        <v>57</v>
      </c>
      <c r="E83" s="21"/>
      <c r="F83" s="191" t="s">
        <v>3</v>
      </c>
      <c r="G83" s="130" t="s">
        <v>56</v>
      </c>
      <c r="H83" s="86" t="s">
        <v>57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Proposal Tennis_Player</v>
      </c>
      <c r="N83" s="194" t="s">
        <v>58</v>
      </c>
      <c r="O83" s="2"/>
      <c r="P83" s="3" t="s">
        <v>49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59</v>
      </c>
      <c r="D84" s="88" t="e">
        <f ca="1">0.001*INDIRECT($B84&amp;"!E5")</f>
        <v>#VALUE!</v>
      </c>
      <c r="E84" s="21"/>
      <c r="F84" s="122" t="str">
        <f>F81</f>
        <v>Tennis_Player</v>
      </c>
      <c r="G84" s="130" t="s">
        <v>59</v>
      </c>
      <c r="H84" s="88" t="e">
        <f ca="1">0.001*INDIRECT($B84&amp;"!AC5")</f>
        <v>#VALUE!</v>
      </c>
      <c r="I84" s="9"/>
      <c r="J84" s="22" t="e">
        <f ca="1">H84/D84-1</f>
        <v>#VALUE!</v>
      </c>
      <c r="L84" s="94" t="str">
        <f ca="1">INDIRECT($B84&amp;"!"&amp;L$3&amp;"5")</f>
        <v/>
      </c>
      <c r="M84" s="95" t="str">
        <f ca="1">INDIRECT($B84&amp;"!"&amp;M$3&amp;"5")</f>
        <v/>
      </c>
      <c r="N84" s="96" t="e">
        <f ca="1">M84-L84</f>
        <v>#VALUE!</v>
      </c>
      <c r="O84" s="21"/>
      <c r="P84" s="22" t="e">
        <f ca="1">bdRateExtend(D84:D88,L84:L88,H84:H88,M84:M88)</f>
        <v>#VALUE!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60</v>
      </c>
      <c r="D85" s="88" t="e">
        <f ca="1">0.001*INDIRECT($B85&amp;"!E6")</f>
        <v>#VALUE!</v>
      </c>
      <c r="E85" s="21"/>
      <c r="F85" s="122" t="str">
        <f>F84</f>
        <v>Tennis_Player</v>
      </c>
      <c r="G85" s="130" t="s">
        <v>60</v>
      </c>
      <c r="H85" s="88" t="e">
        <f ca="1">0.001*INDIRECT($B85&amp;"!AC6")</f>
        <v>#VALUE!</v>
      </c>
      <c r="I85" s="9"/>
      <c r="J85" s="22" t="e">
        <f ca="1">H85/D85-1</f>
        <v>#VALUE!</v>
      </c>
      <c r="L85" s="94" t="str">
        <f ca="1">INDIRECT($B85&amp;"!"&amp;L$3&amp;"6")</f>
        <v/>
      </c>
      <c r="M85" s="95" t="str">
        <f ca="1">INDIRECT($B85&amp;"!"&amp;M$3&amp;"6")</f>
        <v/>
      </c>
      <c r="N85" s="96" t="e">
        <f ca="1">M85-L85</f>
        <v>#VALUE!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61</v>
      </c>
      <c r="D86" s="88" t="e">
        <f ca="1">0.001*INDIRECT($B86&amp;"!E7")</f>
        <v>#VALUE!</v>
      </c>
      <c r="E86" s="21"/>
      <c r="F86" s="122" t="str">
        <f>F85</f>
        <v>Tennis_Player</v>
      </c>
      <c r="G86" s="130" t="s">
        <v>61</v>
      </c>
      <c r="H86" s="88" t="e">
        <f ca="1">0.001*INDIRECT($B86&amp;"!AC7")</f>
        <v>#VALUE!</v>
      </c>
      <c r="I86" s="9"/>
      <c r="J86" s="22" t="e">
        <f ca="1">H86/D86-1</f>
        <v>#VALUE!</v>
      </c>
      <c r="L86" s="94" t="str">
        <f ca="1">INDIRECT($B86&amp;"!"&amp;L$3&amp;"7")</f>
        <v/>
      </c>
      <c r="M86" s="95" t="str">
        <f ca="1">INDIRECT($B86&amp;"!"&amp;M$3&amp;"7")</f>
        <v/>
      </c>
      <c r="N86" s="96" t="e">
        <f ca="1">M86-L86</f>
        <v>#VALUE!</v>
      </c>
      <c r="O86" s="21"/>
      <c r="P86" s="3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62</v>
      </c>
      <c r="D87" s="88" t="e">
        <f ca="1">0.001*INDIRECT($B87&amp;"!E8")</f>
        <v>#VALUE!</v>
      </c>
      <c r="E87" s="21"/>
      <c r="F87" s="122" t="str">
        <f>F86</f>
        <v>Tennis_Player</v>
      </c>
      <c r="G87" s="130" t="s">
        <v>62</v>
      </c>
      <c r="H87" s="88" t="e">
        <f ca="1">0.001*INDIRECT($B87&amp;"!AC8")</f>
        <v>#VALUE!</v>
      </c>
      <c r="I87" s="9"/>
      <c r="J87" s="22" t="e">
        <f ca="1">H87/D87-1</f>
        <v>#VALUE!</v>
      </c>
      <c r="L87" s="94" t="str">
        <f ca="1">INDIRECT($B87&amp;"!"&amp;L$3&amp;"8")</f>
        <v/>
      </c>
      <c r="M87" s="95" t="str">
        <f ca="1">INDIRECT($B87&amp;"!"&amp;M$3&amp;"8")</f>
        <v/>
      </c>
      <c r="N87" s="96" t="e">
        <f ca="1">M87-L87</f>
        <v>#VALUE!</v>
      </c>
      <c r="O87" s="21"/>
      <c r="P87" s="18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63</v>
      </c>
      <c r="D88" s="88" t="e">
        <f ca="1">0.001*INDIRECT($B88&amp;"!E9")</f>
        <v>#VALUE!</v>
      </c>
      <c r="E88" s="21"/>
      <c r="F88" s="122" t="str">
        <f>F87</f>
        <v>Tennis_Player</v>
      </c>
      <c r="G88" s="130" t="s">
        <v>63</v>
      </c>
      <c r="H88" s="88" t="e">
        <f ca="1">0.001*INDIRECT($B88&amp;"!AC9")</f>
        <v>#VALUE!</v>
      </c>
      <c r="I88" s="9"/>
      <c r="J88" s="22" t="e">
        <f ca="1">H88/D88-1</f>
        <v>#VALUE!</v>
      </c>
      <c r="L88" s="94" t="str">
        <f ca="1">INDIRECT($B88&amp;"!"&amp;L$3&amp;"9")</f>
        <v/>
      </c>
      <c r="M88" s="95" t="str">
        <f ca="1">INDIRECT($B88&amp;"!"&amp;M$3&amp;"9")</f>
        <v/>
      </c>
      <c r="N88" s="96" t="e">
        <f ca="1">M88-L88</f>
        <v>#VALUE!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 t="e">
        <f ca="1">MIN(D84:D88,H84:H88)</f>
        <v>#VALUE!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 t="e">
        <f ca="1">MAX(D84:D88,H84:H88)</f>
        <v>#VALUE!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5" customHeight="1" thickBot="1" x14ac:dyDescent="0.3"/>
    <row r="92" spans="2:28" x14ac:dyDescent="0.25">
      <c r="B92" s="257" t="s">
        <v>33</v>
      </c>
      <c r="C92" s="258"/>
      <c r="D92" s="259"/>
      <c r="E92" s="2"/>
      <c r="F92" s="257" t="str">
        <f>B92</f>
        <v>Cricket_Player</v>
      </c>
      <c r="G92" s="258"/>
      <c r="H92" s="259"/>
      <c r="I92" s="2"/>
      <c r="J92" s="115"/>
      <c r="L92" s="265" t="str">
        <f>F92</f>
        <v>Cricket_Player</v>
      </c>
      <c r="M92" s="255"/>
      <c r="N92" s="256"/>
      <c r="O92" s="195"/>
      <c r="P92" s="115"/>
      <c r="U92" s="112"/>
      <c r="V92" s="112"/>
      <c r="X92" s="268"/>
      <c r="Y92" s="270"/>
      <c r="Z92" s="270"/>
    </row>
    <row r="93" spans="2:28" x14ac:dyDescent="0.25">
      <c r="B93" s="263" t="s">
        <v>52</v>
      </c>
      <c r="C93" s="266"/>
      <c r="D93" s="87" t="s">
        <v>53</v>
      </c>
      <c r="E93" s="21"/>
      <c r="F93" s="263" t="s">
        <v>52</v>
      </c>
      <c r="G93" s="266"/>
      <c r="H93" s="87" t="s">
        <v>53</v>
      </c>
      <c r="I93" s="9"/>
      <c r="J93" s="116" t="s">
        <v>54</v>
      </c>
      <c r="L93" s="267" t="s">
        <v>75</v>
      </c>
      <c r="M93" s="268"/>
      <c r="N93" s="269"/>
      <c r="O93" s="85"/>
      <c r="P93" s="3"/>
      <c r="R93" s="261"/>
      <c r="S93" s="270"/>
      <c r="T93" s="270"/>
      <c r="U93" s="113"/>
      <c r="V93" s="113"/>
      <c r="X93" s="261"/>
      <c r="Y93" s="270"/>
      <c r="Z93" s="270"/>
    </row>
    <row r="94" spans="2:28" x14ac:dyDescent="0.25">
      <c r="B94" s="191" t="s">
        <v>3</v>
      </c>
      <c r="C94" s="130" t="s">
        <v>56</v>
      </c>
      <c r="D94" s="86" t="s">
        <v>57</v>
      </c>
      <c r="E94" s="21"/>
      <c r="F94" s="191" t="s">
        <v>3</v>
      </c>
      <c r="G94" s="130" t="s">
        <v>56</v>
      </c>
      <c r="H94" s="86" t="s">
        <v>57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Proposal Cricket_Player</v>
      </c>
      <c r="N94" s="194" t="s">
        <v>58</v>
      </c>
      <c r="O94" s="2"/>
      <c r="P94" s="3" t="s">
        <v>49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59</v>
      </c>
      <c r="D95" s="88" t="e">
        <f ca="1">0.001*INDIRECT($B95&amp;"!E5")</f>
        <v>#VALUE!</v>
      </c>
      <c r="E95" s="21"/>
      <c r="F95" s="122" t="str">
        <f>F92</f>
        <v>Cricket_Player</v>
      </c>
      <c r="G95" s="130" t="s">
        <v>59</v>
      </c>
      <c r="H95" s="88" t="e">
        <f ca="1">0.001*INDIRECT($B95&amp;"!AC5")</f>
        <v>#VALUE!</v>
      </c>
      <c r="I95" s="9"/>
      <c r="J95" s="22" t="e">
        <f ca="1">H95/D95-1</f>
        <v>#VALUE!</v>
      </c>
      <c r="L95" s="94" t="str">
        <f ca="1">INDIRECT($B95&amp;"!"&amp;L$3&amp;"5")</f>
        <v/>
      </c>
      <c r="M95" s="95" t="str">
        <f ca="1">INDIRECT($B95&amp;"!"&amp;M$3&amp;"5")</f>
        <v/>
      </c>
      <c r="N95" s="96" t="e">
        <f ca="1">M95-L95</f>
        <v>#VALUE!</v>
      </c>
      <c r="O95" s="21"/>
      <c r="P95" s="22" t="e">
        <f ca="1">bdRateExtend(D95:D99,L95:L99,H95:H99,M95:M99)</f>
        <v>#VALUE!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60</v>
      </c>
      <c r="D96" s="88" t="e">
        <f ca="1">0.001*INDIRECT($B96&amp;"!E6")</f>
        <v>#VALUE!</v>
      </c>
      <c r="E96" s="21"/>
      <c r="F96" s="122" t="str">
        <f>F95</f>
        <v>Cricket_Player</v>
      </c>
      <c r="G96" s="130" t="s">
        <v>60</v>
      </c>
      <c r="H96" s="88" t="e">
        <f ca="1">0.001*INDIRECT($B96&amp;"!AC6")</f>
        <v>#VALUE!</v>
      </c>
      <c r="I96" s="9"/>
      <c r="J96" s="22" t="e">
        <f ca="1">H96/D96-1</f>
        <v>#VALUE!</v>
      </c>
      <c r="L96" s="94" t="str">
        <f ca="1">INDIRECT($B96&amp;"!"&amp;L$3&amp;"6")</f>
        <v/>
      </c>
      <c r="M96" s="95" t="str">
        <f ca="1">INDIRECT($B96&amp;"!"&amp;M$3&amp;"6")</f>
        <v/>
      </c>
      <c r="N96" s="96" t="e">
        <f ca="1">M96-L96</f>
        <v>#VALUE!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61</v>
      </c>
      <c r="D97" s="88" t="e">
        <f ca="1">0.001*INDIRECT($B97&amp;"!E7")</f>
        <v>#VALUE!</v>
      </c>
      <c r="E97" s="21"/>
      <c r="F97" s="122" t="str">
        <f>F96</f>
        <v>Cricket_Player</v>
      </c>
      <c r="G97" s="130" t="s">
        <v>61</v>
      </c>
      <c r="H97" s="88" t="e">
        <f ca="1">0.001*INDIRECT($B97&amp;"!AC7")</f>
        <v>#VALUE!</v>
      </c>
      <c r="I97" s="9"/>
      <c r="J97" s="22" t="e">
        <f ca="1">H97/D97-1</f>
        <v>#VALUE!</v>
      </c>
      <c r="L97" s="94" t="str">
        <f ca="1">INDIRECT($B97&amp;"!"&amp;L$3&amp;"7")</f>
        <v/>
      </c>
      <c r="M97" s="95" t="str">
        <f ca="1">INDIRECT($B97&amp;"!"&amp;M$3&amp;"7")</f>
        <v/>
      </c>
      <c r="N97" s="96" t="e">
        <f ca="1">M97-L97</f>
        <v>#VALUE!</v>
      </c>
      <c r="O97" s="21"/>
      <c r="P97" s="3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62</v>
      </c>
      <c r="D98" s="88" t="e">
        <f ca="1">0.001*INDIRECT($B98&amp;"!E8")</f>
        <v>#VALUE!</v>
      </c>
      <c r="E98" s="21"/>
      <c r="F98" s="122" t="str">
        <f>F97</f>
        <v>Cricket_Player</v>
      </c>
      <c r="G98" s="130" t="s">
        <v>62</v>
      </c>
      <c r="H98" s="88" t="e">
        <f ca="1">0.001*INDIRECT($B98&amp;"!AC8")</f>
        <v>#VALUE!</v>
      </c>
      <c r="I98" s="9"/>
      <c r="J98" s="22" t="e">
        <f ca="1">H98/D98-1</f>
        <v>#VALUE!</v>
      </c>
      <c r="L98" s="94" t="str">
        <f ca="1">INDIRECT($B98&amp;"!"&amp;L$3&amp;"8")</f>
        <v/>
      </c>
      <c r="M98" s="95" t="str">
        <f ca="1">INDIRECT($B98&amp;"!"&amp;M$3&amp;"8")</f>
        <v/>
      </c>
      <c r="N98" s="96" t="e">
        <f ca="1">M98-L98</f>
        <v>#VALUE!</v>
      </c>
      <c r="O98" s="21"/>
      <c r="P98" s="18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63</v>
      </c>
      <c r="D99" s="88" t="e">
        <f ca="1">0.001*INDIRECT($B99&amp;"!E9")</f>
        <v>#VALUE!</v>
      </c>
      <c r="E99" s="21"/>
      <c r="F99" s="122" t="str">
        <f>F98</f>
        <v>Cricket_Player</v>
      </c>
      <c r="G99" s="130" t="s">
        <v>63</v>
      </c>
      <c r="H99" s="88" t="e">
        <f ca="1">0.001*INDIRECT($B99&amp;"!AC9")</f>
        <v>#VALUE!</v>
      </c>
      <c r="I99" s="9"/>
      <c r="J99" s="22" t="e">
        <f ca="1">H99/D99-1</f>
        <v>#VALUE!</v>
      </c>
      <c r="L99" s="94" t="str">
        <f ca="1">INDIRECT($B99&amp;"!"&amp;L$3&amp;"9")</f>
        <v/>
      </c>
      <c r="M99" s="95" t="str">
        <f ca="1">INDIRECT($B99&amp;"!"&amp;M$3&amp;"9")</f>
        <v/>
      </c>
      <c r="N99" s="96" t="e">
        <f ca="1">M99-L99</f>
        <v>#VALUE!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 t="e">
        <f ca="1">MIN(D95:D99,H95:H99)</f>
        <v>#VALUE!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 t="e">
        <f ca="1">MAX(D95:D99,H95:H99)</f>
        <v>#VALUE!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5" customHeight="1" thickBot="1" x14ac:dyDescent="0.3"/>
    <row r="103" spans="2:28" x14ac:dyDescent="0.25">
      <c r="B103" s="257" t="s">
        <v>34</v>
      </c>
      <c r="C103" s="258"/>
      <c r="D103" s="259"/>
      <c r="E103" s="2"/>
      <c r="F103" s="257" t="str">
        <f>B103</f>
        <v>Tango_Duo</v>
      </c>
      <c r="G103" s="258"/>
      <c r="H103" s="259"/>
      <c r="I103" s="2"/>
      <c r="J103" s="115"/>
      <c r="L103" s="265" t="str">
        <f>F103</f>
        <v>Tango_Duo</v>
      </c>
      <c r="M103" s="255"/>
      <c r="N103" s="256"/>
      <c r="O103" s="195"/>
      <c r="P103" s="115"/>
      <c r="U103" s="112"/>
      <c r="V103" s="112"/>
      <c r="X103" s="268"/>
      <c r="Y103" s="270"/>
      <c r="Z103" s="270"/>
    </row>
    <row r="104" spans="2:28" x14ac:dyDescent="0.25">
      <c r="B104" s="263" t="s">
        <v>52</v>
      </c>
      <c r="C104" s="266"/>
      <c r="D104" s="87" t="s">
        <v>53</v>
      </c>
      <c r="E104" s="21"/>
      <c r="F104" s="263" t="s">
        <v>52</v>
      </c>
      <c r="G104" s="266"/>
      <c r="H104" s="87" t="s">
        <v>53</v>
      </c>
      <c r="I104" s="9"/>
      <c r="J104" s="116" t="s">
        <v>54</v>
      </c>
      <c r="L104" s="267" t="s">
        <v>75</v>
      </c>
      <c r="M104" s="268"/>
      <c r="N104" s="269"/>
      <c r="O104" s="85"/>
      <c r="P104" s="3"/>
      <c r="R104" s="261"/>
      <c r="S104" s="270"/>
      <c r="T104" s="270"/>
      <c r="U104" s="113"/>
      <c r="V104" s="113"/>
      <c r="X104" s="261"/>
      <c r="Y104" s="270"/>
      <c r="Z104" s="270"/>
    </row>
    <row r="105" spans="2:28" x14ac:dyDescent="0.25">
      <c r="B105" s="191" t="s">
        <v>3</v>
      </c>
      <c r="C105" s="130" t="s">
        <v>56</v>
      </c>
      <c r="D105" s="86" t="s">
        <v>57</v>
      </c>
      <c r="E105" s="21"/>
      <c r="F105" s="191" t="s">
        <v>3</v>
      </c>
      <c r="G105" s="130" t="s">
        <v>56</v>
      </c>
      <c r="H105" s="86" t="s">
        <v>57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Proposal Tango_Duo</v>
      </c>
      <c r="N105" s="194" t="s">
        <v>58</v>
      </c>
      <c r="O105" s="2"/>
      <c r="P105" s="3" t="s">
        <v>49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59</v>
      </c>
      <c r="D106" s="88" t="e">
        <f ca="1">0.001*INDIRECT($B106&amp;"!E5")</f>
        <v>#VALUE!</v>
      </c>
      <c r="E106" s="21"/>
      <c r="F106" s="122" t="str">
        <f>F103</f>
        <v>Tango_Duo</v>
      </c>
      <c r="G106" s="130" t="s">
        <v>59</v>
      </c>
      <c r="H106" s="88" t="e">
        <f ca="1">0.001*INDIRECT($B106&amp;"!AC5")</f>
        <v>#VALUE!</v>
      </c>
      <c r="I106" s="9"/>
      <c r="J106" s="22" t="e">
        <f ca="1">H106/D106-1</f>
        <v>#VALUE!</v>
      </c>
      <c r="L106" s="94" t="str">
        <f ca="1">INDIRECT($B106&amp;"!"&amp;L$3&amp;"5")</f>
        <v/>
      </c>
      <c r="M106" s="95" t="str">
        <f ca="1">INDIRECT($B106&amp;"!"&amp;M$3&amp;"5")</f>
        <v/>
      </c>
      <c r="N106" s="96" t="e">
        <f ca="1">M106-L106</f>
        <v>#VALUE!</v>
      </c>
      <c r="O106" s="21"/>
      <c r="P106" s="22" t="e">
        <f ca="1">bdRateExtend(D106:D110,L106:L110,H106:H110,M106:M110)</f>
        <v>#VALUE!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60</v>
      </c>
      <c r="D107" s="88" t="e">
        <f ca="1">0.001*INDIRECT($B107&amp;"!E6")</f>
        <v>#VALUE!</v>
      </c>
      <c r="E107" s="21"/>
      <c r="F107" s="122" t="str">
        <f>F106</f>
        <v>Tango_Duo</v>
      </c>
      <c r="G107" s="130" t="s">
        <v>60</v>
      </c>
      <c r="H107" s="88" t="e">
        <f ca="1">0.001*INDIRECT($B107&amp;"!AC6")</f>
        <v>#VALUE!</v>
      </c>
      <c r="I107" s="9"/>
      <c r="J107" s="22" t="e">
        <f ca="1">H107/D107-1</f>
        <v>#VALUE!</v>
      </c>
      <c r="L107" s="94" t="str">
        <f ca="1">INDIRECT($B107&amp;"!"&amp;L$3&amp;"6")</f>
        <v/>
      </c>
      <c r="M107" s="95" t="str">
        <f ca="1">INDIRECT($B107&amp;"!"&amp;M$3&amp;"6")</f>
        <v/>
      </c>
      <c r="N107" s="96" t="e">
        <f ca="1">M107-L107</f>
        <v>#VALUE!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61</v>
      </c>
      <c r="D108" s="88" t="e">
        <f ca="1">0.001*INDIRECT($B108&amp;"!E7")</f>
        <v>#VALUE!</v>
      </c>
      <c r="E108" s="21"/>
      <c r="F108" s="122" t="str">
        <f>F107</f>
        <v>Tango_Duo</v>
      </c>
      <c r="G108" s="130" t="s">
        <v>61</v>
      </c>
      <c r="H108" s="88" t="e">
        <f ca="1">0.001*INDIRECT($B108&amp;"!AC7")</f>
        <v>#VALUE!</v>
      </c>
      <c r="I108" s="9"/>
      <c r="J108" s="22" t="e">
        <f ca="1">H108/D108-1</f>
        <v>#VALUE!</v>
      </c>
      <c r="L108" s="94" t="str">
        <f ca="1">INDIRECT($B108&amp;"!"&amp;L$3&amp;"7")</f>
        <v/>
      </c>
      <c r="M108" s="95" t="str">
        <f ca="1">INDIRECT($B108&amp;"!"&amp;M$3&amp;"7")</f>
        <v/>
      </c>
      <c r="N108" s="96" t="e">
        <f ca="1">M108-L108</f>
        <v>#VALUE!</v>
      </c>
      <c r="O108" s="21"/>
      <c r="P108" s="3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62</v>
      </c>
      <c r="D109" s="88" t="e">
        <f ca="1">0.001*INDIRECT($B109&amp;"!E8")</f>
        <v>#VALUE!</v>
      </c>
      <c r="E109" s="21"/>
      <c r="F109" s="122" t="str">
        <f>F108</f>
        <v>Tango_Duo</v>
      </c>
      <c r="G109" s="130" t="s">
        <v>62</v>
      </c>
      <c r="H109" s="88" t="e">
        <f ca="1">0.001*INDIRECT($B109&amp;"!AC8")</f>
        <v>#VALUE!</v>
      </c>
      <c r="I109" s="9"/>
      <c r="J109" s="22" t="e">
        <f ca="1">H109/D109-1</f>
        <v>#VALUE!</v>
      </c>
      <c r="L109" s="94" t="str">
        <f ca="1">INDIRECT($B109&amp;"!"&amp;L$3&amp;"8")</f>
        <v/>
      </c>
      <c r="M109" s="95" t="str">
        <f ca="1">INDIRECT($B109&amp;"!"&amp;M$3&amp;"8")</f>
        <v/>
      </c>
      <c r="N109" s="96" t="e">
        <f ca="1">M109-L109</f>
        <v>#VALUE!</v>
      </c>
      <c r="O109" s="21"/>
      <c r="P109" s="18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63</v>
      </c>
      <c r="D110" s="88" t="e">
        <f ca="1">0.001*INDIRECT($B110&amp;"!E9")</f>
        <v>#VALUE!</v>
      </c>
      <c r="E110" s="21"/>
      <c r="F110" s="122" t="str">
        <f>F109</f>
        <v>Tango_Duo</v>
      </c>
      <c r="G110" s="130" t="s">
        <v>63</v>
      </c>
      <c r="H110" s="88" t="e">
        <f ca="1">0.001*INDIRECT($B110&amp;"!AC9")</f>
        <v>#VALUE!</v>
      </c>
      <c r="I110" s="9"/>
      <c r="J110" s="22" t="e">
        <f ca="1">H110/D110-1</f>
        <v>#VALUE!</v>
      </c>
      <c r="L110" s="94" t="str">
        <f ca="1">INDIRECT($B110&amp;"!"&amp;L$3&amp;"9")</f>
        <v/>
      </c>
      <c r="M110" s="95" t="str">
        <f ca="1">INDIRECT($B110&amp;"!"&amp;M$3&amp;"9")</f>
        <v/>
      </c>
      <c r="N110" s="96" t="e">
        <f ca="1">M110-L110</f>
        <v>#VALUE!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 t="e">
        <f ca="1">MIN(D106:D110,H106:H110)</f>
        <v>#VALUE!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 t="e">
        <f ca="1">MAX(D106:D110,H106:H110)</f>
        <v>#VALUE!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6.2" thickBot="1" x14ac:dyDescent="0.3"/>
    <row r="114" spans="2:28" x14ac:dyDescent="0.25">
      <c r="B114" s="257" t="s">
        <v>35</v>
      </c>
      <c r="C114" s="258"/>
      <c r="D114" s="259"/>
      <c r="E114" s="2"/>
      <c r="F114" s="257" t="str">
        <f>B114</f>
        <v>Solo_Tango_Female</v>
      </c>
      <c r="G114" s="258"/>
      <c r="H114" s="259"/>
      <c r="J114" s="115"/>
      <c r="L114" s="265" t="str">
        <f>F114</f>
        <v>Solo_Tango_Female</v>
      </c>
      <c r="M114" s="255"/>
      <c r="N114" s="256"/>
      <c r="O114" s="195"/>
      <c r="P114" s="115"/>
    </row>
    <row r="115" spans="2:28" x14ac:dyDescent="0.25">
      <c r="B115" s="263" t="s">
        <v>52</v>
      </c>
      <c r="C115" s="266"/>
      <c r="D115" s="87" t="s">
        <v>53</v>
      </c>
      <c r="E115" s="21"/>
      <c r="F115" s="263" t="s">
        <v>52</v>
      </c>
      <c r="G115" s="266"/>
      <c r="H115" s="87" t="s">
        <v>53</v>
      </c>
      <c r="J115" s="116" t="s">
        <v>54</v>
      </c>
      <c r="L115" s="267" t="s">
        <v>75</v>
      </c>
      <c r="M115" s="268"/>
      <c r="N115" s="269"/>
      <c r="O115" s="85"/>
      <c r="P115" s="3"/>
    </row>
    <row r="116" spans="2:28" x14ac:dyDescent="0.25">
      <c r="B116" s="191" t="s">
        <v>3</v>
      </c>
      <c r="C116" s="130" t="s">
        <v>56</v>
      </c>
      <c r="D116" s="86" t="s">
        <v>57</v>
      </c>
      <c r="E116" s="21"/>
      <c r="F116" s="191" t="s">
        <v>3</v>
      </c>
      <c r="G116" s="130" t="s">
        <v>56</v>
      </c>
      <c r="H116" s="86" t="s">
        <v>57</v>
      </c>
      <c r="J116" s="93"/>
      <c r="L116" s="192" t="str">
        <f>CONCATENATE(B$2," ",L114)</f>
        <v>G-PCC v1 Anchor Solo_Tango_Female</v>
      </c>
      <c r="M116" s="193" t="str">
        <f>CONCATENATE(F$2," ",L114)</f>
        <v>G-PCC v1 Proposal Solo_Tango_Female</v>
      </c>
      <c r="N116" s="194" t="s">
        <v>58</v>
      </c>
      <c r="O116" s="2"/>
      <c r="P116" s="3" t="s">
        <v>49</v>
      </c>
      <c r="AB116" s="82"/>
    </row>
    <row r="117" spans="2:28" x14ac:dyDescent="0.25">
      <c r="B117" s="122" t="str">
        <f>B114</f>
        <v>Solo_Tango_Female</v>
      </c>
      <c r="C117" s="130" t="s">
        <v>59</v>
      </c>
      <c r="D117" s="88" t="e">
        <f ca="1">0.001*INDIRECT($B117&amp;"!E5")</f>
        <v>#VALUE!</v>
      </c>
      <c r="E117" s="21"/>
      <c r="F117" s="122" t="str">
        <f>F114</f>
        <v>Solo_Tango_Female</v>
      </c>
      <c r="G117" s="130" t="s">
        <v>59</v>
      </c>
      <c r="H117" s="88" t="e">
        <f ca="1">0.001*INDIRECT($B117&amp;"!AC5")</f>
        <v>#VALUE!</v>
      </c>
      <c r="J117" s="22" t="e">
        <f ca="1">H117/D117-1</f>
        <v>#VALUE!</v>
      </c>
      <c r="L117" s="94" t="str">
        <f ca="1">INDIRECT($B117&amp;"!"&amp;L$3&amp;"5")</f>
        <v/>
      </c>
      <c r="M117" s="95" t="str">
        <f ca="1">INDIRECT($B117&amp;"!"&amp;M$3&amp;"5")</f>
        <v/>
      </c>
      <c r="N117" s="96" t="e">
        <f ca="1">M117-L117</f>
        <v>#VALUE!</v>
      </c>
      <c r="O117" s="21"/>
      <c r="P117" s="22" t="e">
        <f ca="1">bdRateExtend(D117:D121,L117:L121,H117:H121,M117:M121)</f>
        <v>#VALUE!</v>
      </c>
    </row>
    <row r="118" spans="2:28" x14ac:dyDescent="0.25">
      <c r="B118" s="122" t="str">
        <f>B117</f>
        <v>Solo_Tango_Female</v>
      </c>
      <c r="C118" s="130" t="s">
        <v>60</v>
      </c>
      <c r="D118" s="88" t="e">
        <f ca="1">0.001*INDIRECT($B118&amp;"!E6")</f>
        <v>#VALUE!</v>
      </c>
      <c r="E118" s="21"/>
      <c r="F118" s="122" t="str">
        <f>F117</f>
        <v>Solo_Tango_Female</v>
      </c>
      <c r="G118" s="130" t="s">
        <v>60</v>
      </c>
      <c r="H118" s="88" t="e">
        <f ca="1">0.001*INDIRECT($B118&amp;"!AC6")</f>
        <v>#VALUE!</v>
      </c>
      <c r="J118" s="22" t="e">
        <f ca="1">H118/D118-1</f>
        <v>#VALUE!</v>
      </c>
      <c r="L118" s="94" t="str">
        <f ca="1">INDIRECT($B118&amp;"!"&amp;L$3&amp;"6")</f>
        <v/>
      </c>
      <c r="M118" s="95" t="str">
        <f ca="1">INDIRECT($B118&amp;"!"&amp;M$3&amp;"6")</f>
        <v/>
      </c>
      <c r="N118" s="96" t="e">
        <f ca="1">M118-L118</f>
        <v>#VALUE!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61</v>
      </c>
      <c r="D119" s="88" t="e">
        <f ca="1">0.001*INDIRECT($B119&amp;"!E7")</f>
        <v>#VALUE!</v>
      </c>
      <c r="E119" s="21"/>
      <c r="F119" s="122" t="str">
        <f>F118</f>
        <v>Solo_Tango_Female</v>
      </c>
      <c r="G119" s="130" t="s">
        <v>61</v>
      </c>
      <c r="H119" s="88" t="e">
        <f ca="1">0.001*INDIRECT($B119&amp;"!AC7")</f>
        <v>#VALUE!</v>
      </c>
      <c r="J119" s="22" t="e">
        <f ca="1">H119/D119-1</f>
        <v>#VALUE!</v>
      </c>
      <c r="L119" s="94" t="str">
        <f ca="1">INDIRECT($B119&amp;"!"&amp;L$3&amp;"7")</f>
        <v/>
      </c>
      <c r="M119" s="95" t="str">
        <f ca="1">INDIRECT($B119&amp;"!"&amp;M$3&amp;"7")</f>
        <v/>
      </c>
      <c r="N119" s="96" t="e">
        <f ca="1">M119-L119</f>
        <v>#VALUE!</v>
      </c>
      <c r="O119" s="21"/>
      <c r="P119" s="3"/>
      <c r="AB119" s="82"/>
    </row>
    <row r="120" spans="2:28" x14ac:dyDescent="0.25">
      <c r="B120" s="122" t="str">
        <f>B119</f>
        <v>Solo_Tango_Female</v>
      </c>
      <c r="C120" s="130" t="s">
        <v>62</v>
      </c>
      <c r="D120" s="88" t="e">
        <f ca="1">0.001*INDIRECT($B120&amp;"!E8")</f>
        <v>#VALUE!</v>
      </c>
      <c r="E120" s="21"/>
      <c r="F120" s="122" t="str">
        <f>F119</f>
        <v>Solo_Tango_Female</v>
      </c>
      <c r="G120" s="130" t="s">
        <v>62</v>
      </c>
      <c r="H120" s="88" t="e">
        <f ca="1">0.001*INDIRECT($B120&amp;"!AC8")</f>
        <v>#VALUE!</v>
      </c>
      <c r="J120" s="22" t="e">
        <f ca="1">H120/D120-1</f>
        <v>#VALUE!</v>
      </c>
      <c r="L120" s="94" t="str">
        <f ca="1">INDIRECT($B120&amp;"!"&amp;L$3&amp;"8")</f>
        <v/>
      </c>
      <c r="M120" s="95" t="str">
        <f ca="1">INDIRECT($B120&amp;"!"&amp;M$3&amp;"8")</f>
        <v/>
      </c>
      <c r="N120" s="96" t="e">
        <f ca="1">M120-L120</f>
        <v>#VALUE!</v>
      </c>
      <c r="O120" s="21"/>
      <c r="P120" s="182"/>
    </row>
    <row r="121" spans="2:28" ht="16.5" customHeight="1" thickBot="1" x14ac:dyDescent="0.3">
      <c r="B121" s="122" t="str">
        <f>B120</f>
        <v>Solo_Tango_Female</v>
      </c>
      <c r="C121" s="130" t="s">
        <v>63</v>
      </c>
      <c r="D121" s="88" t="e">
        <f ca="1">0.001*INDIRECT($B121&amp;"!E9")</f>
        <v>#VALUE!</v>
      </c>
      <c r="E121" s="21"/>
      <c r="F121" s="122" t="str">
        <f>F120</f>
        <v>Solo_Tango_Female</v>
      </c>
      <c r="G121" s="130" t="s">
        <v>63</v>
      </c>
      <c r="H121" s="88" t="e">
        <f ca="1">0.001*INDIRECT($B121&amp;"!AC9")</f>
        <v>#VALUE!</v>
      </c>
      <c r="J121" s="22" t="e">
        <f ca="1">H121/D121-1</f>
        <v>#VALUE!</v>
      </c>
      <c r="L121" s="94" t="str">
        <f ca="1">INDIRECT($B121&amp;"!"&amp;L$3&amp;"9")</f>
        <v/>
      </c>
      <c r="M121" s="95" t="str">
        <f ca="1">INDIRECT($B121&amp;"!"&amp;M$3&amp;"9")</f>
        <v/>
      </c>
      <c r="N121" s="96" t="e">
        <f ca="1">M121-L121</f>
        <v>#VALUE!</v>
      </c>
      <c r="O121" s="21"/>
      <c r="P121" s="26"/>
    </row>
    <row r="122" spans="2:28" ht="16.5" customHeight="1" x14ac:dyDescent="0.25">
      <c r="B122" s="109"/>
      <c r="C122" s="110"/>
      <c r="D122" s="91"/>
      <c r="F122" s="109"/>
      <c r="G122" s="110"/>
      <c r="H122" s="91"/>
      <c r="J122" s="98" t="e">
        <f ca="1">MIN(D117:D121,H117:H121)</f>
        <v>#VALUE!</v>
      </c>
      <c r="L122" s="99"/>
      <c r="M122" s="100"/>
      <c r="N122" s="101"/>
      <c r="O122" s="21"/>
      <c r="P122" s="115"/>
    </row>
    <row r="123" spans="2:28" ht="16.2" thickBot="1" x14ac:dyDescent="0.3">
      <c r="B123" s="89"/>
      <c r="C123" s="92"/>
      <c r="D123" s="90"/>
      <c r="E123" s="21"/>
      <c r="F123" s="89"/>
      <c r="G123" s="92"/>
      <c r="H123" s="90"/>
      <c r="J123" s="102" t="e">
        <f ca="1">MAX(D117:D121,H117:H121)</f>
        <v>#VALUE!</v>
      </c>
      <c r="L123" s="103">
        <f>L122</f>
        <v>0</v>
      </c>
      <c r="M123" s="104">
        <f>M122</f>
        <v>0</v>
      </c>
      <c r="N123" s="97"/>
      <c r="O123" s="21"/>
      <c r="P123" s="5"/>
    </row>
    <row r="124" spans="2:28" ht="16.2" thickBot="1" x14ac:dyDescent="0.3"/>
    <row r="125" spans="2:28" x14ac:dyDescent="0.25">
      <c r="B125" s="257" t="s">
        <v>36</v>
      </c>
      <c r="C125" s="258"/>
      <c r="D125" s="259"/>
      <c r="E125" s="2"/>
      <c r="F125" s="257" t="str">
        <f>B125</f>
        <v>Solo_Tango_Male</v>
      </c>
      <c r="G125" s="258"/>
      <c r="H125" s="259"/>
      <c r="J125" s="115"/>
      <c r="L125" s="265" t="str">
        <f>F125</f>
        <v>Solo_Tango_Male</v>
      </c>
      <c r="M125" s="255"/>
      <c r="N125" s="256"/>
      <c r="O125" s="195"/>
      <c r="P125" s="115"/>
    </row>
    <row r="126" spans="2:28" x14ac:dyDescent="0.25">
      <c r="B126" s="263" t="s">
        <v>52</v>
      </c>
      <c r="C126" s="266"/>
      <c r="D126" s="87" t="s">
        <v>53</v>
      </c>
      <c r="E126" s="21"/>
      <c r="F126" s="263" t="s">
        <v>52</v>
      </c>
      <c r="G126" s="266"/>
      <c r="H126" s="87" t="s">
        <v>53</v>
      </c>
      <c r="J126" s="116" t="s">
        <v>54</v>
      </c>
      <c r="L126" s="267" t="s">
        <v>75</v>
      </c>
      <c r="M126" s="268"/>
      <c r="N126" s="269"/>
      <c r="O126" s="85"/>
      <c r="P126" s="3"/>
      <c r="AB126" s="82"/>
    </row>
    <row r="127" spans="2:28" x14ac:dyDescent="0.25">
      <c r="B127" s="191" t="s">
        <v>3</v>
      </c>
      <c r="C127" s="130" t="s">
        <v>56</v>
      </c>
      <c r="D127" s="86" t="s">
        <v>57</v>
      </c>
      <c r="E127" s="21"/>
      <c r="F127" s="191" t="s">
        <v>3</v>
      </c>
      <c r="G127" s="130" t="s">
        <v>56</v>
      </c>
      <c r="H127" s="86" t="s">
        <v>57</v>
      </c>
      <c r="J127" s="93"/>
      <c r="L127" s="192" t="str">
        <f>CONCATENATE(B$2," ",L125)</f>
        <v>G-PCC v1 Anchor Solo_Tango_Male</v>
      </c>
      <c r="M127" s="193" t="str">
        <f>CONCATENATE(F$2," ",L125)</f>
        <v>G-PCC v1 Proposal Solo_Tango_Male</v>
      </c>
      <c r="N127" s="194" t="s">
        <v>58</v>
      </c>
      <c r="O127" s="2"/>
      <c r="P127" s="3" t="s">
        <v>49</v>
      </c>
    </row>
    <row r="128" spans="2:28" x14ac:dyDescent="0.25">
      <c r="B128" s="122" t="str">
        <f>B125</f>
        <v>Solo_Tango_Male</v>
      </c>
      <c r="C128" s="130" t="s">
        <v>59</v>
      </c>
      <c r="D128" s="88" t="e">
        <f ca="1">0.001*INDIRECT($B128&amp;"!E5")</f>
        <v>#VALUE!</v>
      </c>
      <c r="E128" s="21"/>
      <c r="F128" s="122" t="str">
        <f>F125</f>
        <v>Solo_Tango_Male</v>
      </c>
      <c r="G128" s="130" t="s">
        <v>59</v>
      </c>
      <c r="H128" s="88" t="e">
        <f ca="1">0.001*INDIRECT($B128&amp;"!AC5")</f>
        <v>#VALUE!</v>
      </c>
      <c r="J128" s="22" t="e">
        <f ca="1">H128/D128-1</f>
        <v>#VALUE!</v>
      </c>
      <c r="L128" s="94" t="str">
        <f ca="1">INDIRECT($B128&amp;"!"&amp;L$3&amp;"5")</f>
        <v/>
      </c>
      <c r="M128" s="95" t="str">
        <f ca="1">INDIRECT($B128&amp;"!"&amp;M$3&amp;"5")</f>
        <v/>
      </c>
      <c r="N128" s="96" t="e">
        <f ca="1">M128-L128</f>
        <v>#VALUE!</v>
      </c>
      <c r="O128" s="21"/>
      <c r="P128" s="22" t="e">
        <f ca="1">bdRateExtend(D128:D132,L128:L132,H128:H132,M128:M132)</f>
        <v>#VALUE!</v>
      </c>
    </row>
    <row r="129" spans="2:28" ht="16.5" customHeight="1" x14ac:dyDescent="0.25">
      <c r="B129" s="122" t="str">
        <f>B128</f>
        <v>Solo_Tango_Male</v>
      </c>
      <c r="C129" s="130" t="s">
        <v>60</v>
      </c>
      <c r="D129" s="88" t="e">
        <f ca="1">0.001*INDIRECT($B129&amp;"!E6")</f>
        <v>#VALUE!</v>
      </c>
      <c r="E129" s="21"/>
      <c r="F129" s="122" t="str">
        <f>F128</f>
        <v>Solo_Tango_Male</v>
      </c>
      <c r="G129" s="130" t="s">
        <v>60</v>
      </c>
      <c r="H129" s="88" t="e">
        <f ca="1">0.001*INDIRECT($B129&amp;"!AC6")</f>
        <v>#VALUE!</v>
      </c>
      <c r="J129" s="22" t="e">
        <f ca="1">H129/D129-1</f>
        <v>#VALUE!</v>
      </c>
      <c r="L129" s="94" t="str">
        <f ca="1">INDIRECT($B129&amp;"!"&amp;L$3&amp;"6")</f>
        <v/>
      </c>
      <c r="M129" s="95" t="str">
        <f ca="1">INDIRECT($B129&amp;"!"&amp;M$3&amp;"6")</f>
        <v/>
      </c>
      <c r="N129" s="96" t="e">
        <f ca="1">M129-L129</f>
        <v>#VALUE!</v>
      </c>
      <c r="O129" s="21"/>
      <c r="P129" s="3"/>
      <c r="AB129" s="82"/>
    </row>
    <row r="130" spans="2:28" x14ac:dyDescent="0.25">
      <c r="B130" s="122" t="str">
        <f>B129</f>
        <v>Solo_Tango_Male</v>
      </c>
      <c r="C130" s="130" t="s">
        <v>61</v>
      </c>
      <c r="D130" s="88" t="e">
        <f ca="1">0.001*INDIRECT($B130&amp;"!E7")</f>
        <v>#VALUE!</v>
      </c>
      <c r="E130" s="21"/>
      <c r="F130" s="122" t="str">
        <f>F129</f>
        <v>Solo_Tango_Male</v>
      </c>
      <c r="G130" s="130" t="s">
        <v>61</v>
      </c>
      <c r="H130" s="88" t="e">
        <f ca="1">0.001*INDIRECT($B130&amp;"!AC7")</f>
        <v>#VALUE!</v>
      </c>
      <c r="J130" s="22" t="e">
        <f ca="1">H130/D130-1</f>
        <v>#VALUE!</v>
      </c>
      <c r="L130" s="94" t="str">
        <f ca="1">INDIRECT($B130&amp;"!"&amp;L$3&amp;"7")</f>
        <v/>
      </c>
      <c r="M130" s="95" t="str">
        <f ca="1">INDIRECT($B130&amp;"!"&amp;M$3&amp;"7")</f>
        <v/>
      </c>
      <c r="N130" s="96" t="e">
        <f ca="1">M130-L130</f>
        <v>#VALUE!</v>
      </c>
      <c r="O130" s="21"/>
      <c r="P130" s="3"/>
    </row>
    <row r="131" spans="2:28" ht="16.5" customHeight="1" x14ac:dyDescent="0.25">
      <c r="B131" s="122" t="str">
        <f>B130</f>
        <v>Solo_Tango_Male</v>
      </c>
      <c r="C131" s="130" t="s">
        <v>62</v>
      </c>
      <c r="D131" s="88" t="e">
        <f ca="1">0.001*INDIRECT($B131&amp;"!E8")</f>
        <v>#VALUE!</v>
      </c>
      <c r="E131" s="21"/>
      <c r="F131" s="122" t="str">
        <f>F130</f>
        <v>Solo_Tango_Male</v>
      </c>
      <c r="G131" s="130" t="s">
        <v>62</v>
      </c>
      <c r="H131" s="88" t="e">
        <f ca="1">0.001*INDIRECT($B131&amp;"!AC8")</f>
        <v>#VALUE!</v>
      </c>
      <c r="J131" s="22" t="e">
        <f ca="1">H131/D131-1</f>
        <v>#VALUE!</v>
      </c>
      <c r="L131" s="94" t="str">
        <f ca="1">INDIRECT($B131&amp;"!"&amp;L$3&amp;"8")</f>
        <v/>
      </c>
      <c r="M131" s="95" t="str">
        <f ca="1">INDIRECT($B131&amp;"!"&amp;M$3&amp;"8")</f>
        <v/>
      </c>
      <c r="N131" s="96" t="e">
        <f ca="1">M131-L131</f>
        <v>#VALUE!</v>
      </c>
      <c r="O131" s="21"/>
      <c r="P131" s="182"/>
    </row>
    <row r="132" spans="2:28" ht="16.5" customHeight="1" thickBot="1" x14ac:dyDescent="0.3">
      <c r="B132" s="122" t="str">
        <f>B131</f>
        <v>Solo_Tango_Male</v>
      </c>
      <c r="C132" s="130" t="s">
        <v>63</v>
      </c>
      <c r="D132" s="88" t="e">
        <f ca="1">0.001*INDIRECT($B132&amp;"!E9")</f>
        <v>#VALUE!</v>
      </c>
      <c r="E132" s="21"/>
      <c r="F132" s="122" t="str">
        <f>F131</f>
        <v>Solo_Tango_Male</v>
      </c>
      <c r="G132" s="130" t="s">
        <v>63</v>
      </c>
      <c r="H132" s="88" t="e">
        <f ca="1">0.001*INDIRECT($B132&amp;"!AC9")</f>
        <v>#VALUE!</v>
      </c>
      <c r="J132" s="22" t="e">
        <f ca="1">H132/D132-1</f>
        <v>#VALUE!</v>
      </c>
      <c r="L132" s="94" t="str">
        <f ca="1">INDIRECT($B132&amp;"!"&amp;L$3&amp;"9")</f>
        <v/>
      </c>
      <c r="M132" s="95" t="str">
        <f ca="1">INDIRECT($B132&amp;"!"&amp;M$3&amp;"9")</f>
        <v/>
      </c>
      <c r="N132" s="96" t="e">
        <f ca="1">M132-L132</f>
        <v>#VALUE!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 t="e">
        <f ca="1">MIN(D128:D132,H128:H132)</f>
        <v>#VALUE!</v>
      </c>
      <c r="L133" s="99"/>
      <c r="M133" s="100"/>
      <c r="N133" s="101"/>
      <c r="O133" s="21"/>
      <c r="P133" s="115"/>
    </row>
    <row r="134" spans="2:28" ht="16.2" thickBot="1" x14ac:dyDescent="0.3">
      <c r="B134" s="89"/>
      <c r="C134" s="92"/>
      <c r="D134" s="90"/>
      <c r="E134" s="21"/>
      <c r="F134" s="89"/>
      <c r="G134" s="92"/>
      <c r="H134" s="90"/>
      <c r="J134" s="102" t="e">
        <f ca="1">MAX(D128:D132,H128:H132)</f>
        <v>#VALUE!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6.2" thickBot="1" x14ac:dyDescent="0.3">
      <c r="J135" s="102" t="e">
        <f ca="1">MAX(D129:D133,H129:H133)</f>
        <v>#VALUE!</v>
      </c>
      <c r="L135" s="103">
        <f>L134</f>
        <v>0</v>
      </c>
      <c r="M135" s="104">
        <f>M134</f>
        <v>0</v>
      </c>
      <c r="N135" s="97"/>
      <c r="O135" s="21"/>
      <c r="P135" s="5"/>
    </row>
    <row r="136" spans="2:28" x14ac:dyDescent="0.25">
      <c r="B136" s="257" t="s">
        <v>64</v>
      </c>
      <c r="C136" s="258"/>
      <c r="D136" s="259"/>
      <c r="E136" s="2"/>
      <c r="F136" s="257" t="str">
        <f>B136</f>
        <v>BlueBackpack_UVGgs_0100</v>
      </c>
      <c r="G136" s="258"/>
      <c r="H136" s="259"/>
      <c r="J136" s="115"/>
      <c r="L136" s="265" t="str">
        <f>F136</f>
        <v>BlueBackpack_UVGgs_0100</v>
      </c>
      <c r="M136" s="255"/>
      <c r="N136" s="256"/>
      <c r="O136" s="195"/>
      <c r="P136" s="115"/>
      <c r="AB136" s="82"/>
    </row>
    <row r="137" spans="2:28" x14ac:dyDescent="0.25">
      <c r="B137" s="263" t="s">
        <v>52</v>
      </c>
      <c r="C137" s="264"/>
      <c r="D137" s="87" t="s">
        <v>53</v>
      </c>
      <c r="E137" s="21"/>
      <c r="F137" s="263" t="s">
        <v>52</v>
      </c>
      <c r="G137" s="264"/>
      <c r="H137" s="87" t="s">
        <v>53</v>
      </c>
      <c r="J137" s="116" t="s">
        <v>54</v>
      </c>
      <c r="L137" s="267" t="s">
        <v>75</v>
      </c>
      <c r="M137" s="268"/>
      <c r="N137" s="269"/>
      <c r="O137" s="85"/>
      <c r="P137" s="3"/>
    </row>
    <row r="138" spans="2:28" x14ac:dyDescent="0.25">
      <c r="B138" s="191" t="s">
        <v>3</v>
      </c>
      <c r="C138" s="130" t="s">
        <v>56</v>
      </c>
      <c r="D138" s="86" t="s">
        <v>57</v>
      </c>
      <c r="E138" s="21"/>
      <c r="F138" s="191" t="s">
        <v>3</v>
      </c>
      <c r="G138" s="130" t="s">
        <v>56</v>
      </c>
      <c r="H138" s="86" t="s">
        <v>57</v>
      </c>
      <c r="J138" s="93"/>
      <c r="L138" s="192" t="str">
        <f>CONCATENATE(B$2," ",L136)</f>
        <v>G-PCC v1 Anchor BlueBackpack_UVGgs_0100</v>
      </c>
      <c r="M138" s="193" t="str">
        <f>CONCATENATE(F$2," ",L136)</f>
        <v>G-PCC v1 Proposal BlueBackpack_UVGgs_0100</v>
      </c>
      <c r="N138" s="194" t="s">
        <v>58</v>
      </c>
      <c r="O138" s="2"/>
      <c r="P138" s="3" t="s">
        <v>49</v>
      </c>
    </row>
    <row r="139" spans="2:28" ht="16.5" customHeight="1" x14ac:dyDescent="0.25">
      <c r="B139" s="122" t="str">
        <f>B136</f>
        <v>BlueBackpack_UVGgs_0100</v>
      </c>
      <c r="C139" s="130" t="s">
        <v>59</v>
      </c>
      <c r="D139" s="88" t="e">
        <f ca="1">0.001*INDIRECT($B139&amp;"!E5")</f>
        <v>#VALUE!</v>
      </c>
      <c r="E139" s="21"/>
      <c r="F139" s="122" t="str">
        <f>F136</f>
        <v>BlueBackpack_UVGgs_0100</v>
      </c>
      <c r="G139" s="130" t="s">
        <v>59</v>
      </c>
      <c r="H139" s="88" t="e">
        <f ca="1">0.001*INDIRECT($B139&amp;"!AC5")</f>
        <v>#VALUE!</v>
      </c>
      <c r="J139" s="22" t="e">
        <f ca="1">H139/D139-1</f>
        <v>#VALUE!</v>
      </c>
      <c r="L139" s="94" t="str">
        <f ca="1">INDIRECT($B139&amp;"!"&amp;L$3&amp;"5")</f>
        <v/>
      </c>
      <c r="M139" s="95" t="str">
        <f ca="1">INDIRECT($B139&amp;"!"&amp;M$3&amp;"5")</f>
        <v/>
      </c>
      <c r="N139" s="96" t="e">
        <f ca="1">M139-L139</f>
        <v>#VALUE!</v>
      </c>
      <c r="O139" s="21"/>
      <c r="P139" s="22" t="e">
        <f ca="1">bdRateExtend(D139:D143,L139:L143,H139:H143,M139:M143)</f>
        <v>#VALUE!</v>
      </c>
      <c r="AB139" s="82"/>
    </row>
    <row r="140" spans="2:28" x14ac:dyDescent="0.25">
      <c r="B140" s="122" t="str">
        <f>B139</f>
        <v>BlueBackpack_UVGgs_0100</v>
      </c>
      <c r="C140" s="130" t="s">
        <v>60</v>
      </c>
      <c r="D140" s="88" t="e">
        <f ca="1">0.001*INDIRECT($B140&amp;"!E6")</f>
        <v>#VALUE!</v>
      </c>
      <c r="E140" s="21"/>
      <c r="F140" s="122" t="str">
        <f>F139</f>
        <v>BlueBackpack_UVGgs_0100</v>
      </c>
      <c r="G140" s="130" t="s">
        <v>60</v>
      </c>
      <c r="H140" s="88" t="e">
        <f ca="1">0.001*INDIRECT($B140&amp;"!AC6")</f>
        <v>#VALUE!</v>
      </c>
      <c r="J140" s="22" t="e">
        <f ca="1">H140/D140-1</f>
        <v>#VALUE!</v>
      </c>
      <c r="L140" s="94" t="str">
        <f ca="1">INDIRECT($B140&amp;"!"&amp;L$3&amp;"6")</f>
        <v/>
      </c>
      <c r="M140" s="95" t="str">
        <f ca="1">INDIRECT($B140&amp;"!"&amp;M$3&amp;"6")</f>
        <v/>
      </c>
      <c r="N140" s="96" t="e">
        <f ca="1">M140-L140</f>
        <v>#VALUE!</v>
      </c>
      <c r="O140" s="21"/>
      <c r="P140" s="3"/>
    </row>
    <row r="141" spans="2:28" ht="16.5" customHeight="1" x14ac:dyDescent="0.25">
      <c r="B141" s="122" t="str">
        <f>B140</f>
        <v>BlueBackpack_UVGgs_0100</v>
      </c>
      <c r="C141" s="130" t="s">
        <v>61</v>
      </c>
      <c r="D141" s="88" t="e">
        <f ca="1">0.001*INDIRECT($B141&amp;"!E7")</f>
        <v>#VALUE!</v>
      </c>
      <c r="E141" s="21"/>
      <c r="F141" s="122" t="str">
        <f>F140</f>
        <v>BlueBackpack_UVGgs_0100</v>
      </c>
      <c r="G141" s="130" t="s">
        <v>61</v>
      </c>
      <c r="H141" s="88" t="e">
        <f ca="1">0.001*INDIRECT($B141&amp;"!AC7")</f>
        <v>#VALUE!</v>
      </c>
      <c r="J141" s="22" t="e">
        <f ca="1">H141/D141-1</f>
        <v>#VALUE!</v>
      </c>
      <c r="L141" s="94" t="str">
        <f ca="1">INDIRECT($B141&amp;"!"&amp;L$3&amp;"7")</f>
        <v/>
      </c>
      <c r="M141" s="95" t="str">
        <f ca="1">INDIRECT($B141&amp;"!"&amp;M$3&amp;"7")</f>
        <v/>
      </c>
      <c r="N141" s="96" t="e">
        <f ca="1">M141-L141</f>
        <v>#VALUE!</v>
      </c>
      <c r="O141" s="21"/>
      <c r="P141" s="3"/>
    </row>
    <row r="142" spans="2:28" ht="16.5" customHeight="1" x14ac:dyDescent="0.25">
      <c r="B142" s="122" t="str">
        <f>B141</f>
        <v>BlueBackpack_UVGgs_0100</v>
      </c>
      <c r="C142" s="130" t="s">
        <v>62</v>
      </c>
      <c r="D142" s="88" t="e">
        <f ca="1">0.001*INDIRECT($B142&amp;"!E8")</f>
        <v>#VALUE!</v>
      </c>
      <c r="E142" s="21"/>
      <c r="F142" s="122" t="str">
        <f>F141</f>
        <v>BlueBackpack_UVGgs_0100</v>
      </c>
      <c r="G142" s="130" t="s">
        <v>62</v>
      </c>
      <c r="H142" s="88" t="e">
        <f ca="1">0.001*INDIRECT($B142&amp;"!AC8")</f>
        <v>#VALUE!</v>
      </c>
      <c r="J142" s="22" t="e">
        <f ca="1">H142/D142-1</f>
        <v>#VALUE!</v>
      </c>
      <c r="L142" s="94" t="str">
        <f ca="1">INDIRECT($B142&amp;"!"&amp;L$3&amp;"8")</f>
        <v/>
      </c>
      <c r="M142" s="95" t="str">
        <f ca="1">INDIRECT($B142&amp;"!"&amp;M$3&amp;"8")</f>
        <v/>
      </c>
      <c r="N142" s="96" t="e">
        <f ca="1">M142-L142</f>
        <v>#VALUE!</v>
      </c>
      <c r="O142" s="21"/>
      <c r="P142" s="182"/>
    </row>
    <row r="143" spans="2:28" ht="16.2" thickBot="1" x14ac:dyDescent="0.3">
      <c r="B143" s="122" t="str">
        <f>B142</f>
        <v>BlueBackpack_UVGgs_0100</v>
      </c>
      <c r="C143" s="130" t="s">
        <v>63</v>
      </c>
      <c r="D143" s="88" t="e">
        <f ca="1">0.001*INDIRECT($B143&amp;"!E9")</f>
        <v>#VALUE!</v>
      </c>
      <c r="E143" s="21"/>
      <c r="F143" s="122" t="str">
        <f>F142</f>
        <v>BlueBackpack_UVGgs_0100</v>
      </c>
      <c r="G143" s="130" t="s">
        <v>63</v>
      </c>
      <c r="H143" s="88" t="e">
        <f ca="1">0.001*INDIRECT($B143&amp;"!AC9")</f>
        <v>#VALUE!</v>
      </c>
      <c r="J143" s="22" t="e">
        <f ca="1">H143/D143-1</f>
        <v>#VALUE!</v>
      </c>
      <c r="L143" s="94" t="str">
        <f ca="1">INDIRECT($B143&amp;"!"&amp;L$3&amp;"9")</f>
        <v/>
      </c>
      <c r="M143" s="95" t="str">
        <f ca="1">INDIRECT($B143&amp;"!"&amp;M$3&amp;"9")</f>
        <v/>
      </c>
      <c r="N143" s="96" t="e">
        <f ca="1">M143-L143</f>
        <v>#VALUE!</v>
      </c>
      <c r="O143" s="21"/>
      <c r="P143" s="26"/>
    </row>
    <row r="144" spans="2:28" x14ac:dyDescent="0.25">
      <c r="B144" s="109"/>
      <c r="C144" s="110"/>
      <c r="D144" s="91"/>
      <c r="F144" s="109"/>
      <c r="G144" s="110"/>
      <c r="H144" s="91"/>
      <c r="J144" s="98" t="e">
        <f ca="1">MIN(D139:D143,H139:H143)</f>
        <v>#VALUE!</v>
      </c>
      <c r="L144" s="99"/>
      <c r="M144" s="100"/>
      <c r="N144" s="101"/>
      <c r="O144" s="21"/>
      <c r="P144" s="115"/>
    </row>
    <row r="145" spans="2:28" ht="16.2" thickBot="1" x14ac:dyDescent="0.3">
      <c r="B145" s="89"/>
      <c r="C145" s="92"/>
      <c r="D145" s="90"/>
      <c r="E145" s="21"/>
      <c r="F145" s="89"/>
      <c r="G145" s="92"/>
      <c r="H145" s="90"/>
      <c r="J145" s="102" t="e">
        <f ca="1">MAX(D139:D143,H139:H143)</f>
        <v>#VALUE!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2" thickBot="1" x14ac:dyDescent="0.3">
      <c r="B146" s="114"/>
      <c r="C146" s="114"/>
      <c r="D146" s="211"/>
      <c r="E146" s="21"/>
      <c r="F146" s="114"/>
      <c r="G146" s="114"/>
      <c r="H146" s="211"/>
      <c r="AB146" s="82"/>
    </row>
    <row r="147" spans="2:28" x14ac:dyDescent="0.25">
      <c r="B147" s="257" t="s">
        <v>65</v>
      </c>
      <c r="C147" s="258"/>
      <c r="D147" s="259"/>
      <c r="E147" s="2"/>
      <c r="F147" s="257" t="str">
        <f>B147</f>
        <v>BlueBackpack_UVGgs_0200</v>
      </c>
      <c r="G147" s="258"/>
      <c r="H147" s="259"/>
      <c r="J147" s="115"/>
      <c r="L147" s="265" t="str">
        <f>F147</f>
        <v>BlueBackpack_UVGgs_0200</v>
      </c>
      <c r="M147" s="255"/>
      <c r="N147" s="256"/>
      <c r="O147" s="195"/>
      <c r="P147" s="115"/>
    </row>
    <row r="148" spans="2:28" x14ac:dyDescent="0.25">
      <c r="B148" s="263" t="s">
        <v>52</v>
      </c>
      <c r="C148" s="264"/>
      <c r="D148" s="87" t="s">
        <v>53</v>
      </c>
      <c r="E148" s="21"/>
      <c r="F148" s="263" t="s">
        <v>52</v>
      </c>
      <c r="G148" s="264"/>
      <c r="H148" s="87" t="s">
        <v>53</v>
      </c>
      <c r="J148" s="116" t="s">
        <v>54</v>
      </c>
      <c r="L148" s="267" t="s">
        <v>75</v>
      </c>
      <c r="M148" s="268"/>
      <c r="N148" s="269"/>
      <c r="O148" s="85"/>
      <c r="P148" s="3"/>
    </row>
    <row r="149" spans="2:28" ht="16.5" customHeight="1" x14ac:dyDescent="0.25">
      <c r="B149" s="191" t="s">
        <v>3</v>
      </c>
      <c r="C149" s="130" t="s">
        <v>56</v>
      </c>
      <c r="D149" s="86" t="s">
        <v>57</v>
      </c>
      <c r="E149" s="21"/>
      <c r="F149" s="191" t="s">
        <v>3</v>
      </c>
      <c r="G149" s="130" t="s">
        <v>56</v>
      </c>
      <c r="H149" s="86" t="s">
        <v>57</v>
      </c>
      <c r="J149" s="93"/>
      <c r="L149" s="192" t="str">
        <f>CONCATENATE(B$2," ",L147)</f>
        <v>G-PCC v1 Anchor BlueBackpack_UVGgs_0200</v>
      </c>
      <c r="M149" s="193" t="str">
        <f>CONCATENATE(F$2," ",L147)</f>
        <v>G-PCC v1 Proposal BlueBackpack_UVGgs_0200</v>
      </c>
      <c r="N149" s="194" t="s">
        <v>58</v>
      </c>
      <c r="O149" s="2"/>
      <c r="P149" s="3" t="s">
        <v>49</v>
      </c>
      <c r="AB149" s="82"/>
    </row>
    <row r="150" spans="2:28" x14ac:dyDescent="0.25">
      <c r="B150" s="122" t="str">
        <f>B147</f>
        <v>BlueBackpack_UVGgs_0200</v>
      </c>
      <c r="C150" s="130" t="s">
        <v>59</v>
      </c>
      <c r="D150" s="88" t="e">
        <f ca="1">0.001*INDIRECT($B150&amp;"!E5")</f>
        <v>#VALUE!</v>
      </c>
      <c r="E150" s="21"/>
      <c r="F150" s="122" t="str">
        <f>F147</f>
        <v>BlueBackpack_UVGgs_0200</v>
      </c>
      <c r="G150" s="130" t="s">
        <v>59</v>
      </c>
      <c r="H150" s="88" t="e">
        <f ca="1">0.001*INDIRECT($B150&amp;"!AC5")</f>
        <v>#VALUE!</v>
      </c>
      <c r="J150" s="22" t="e">
        <f ca="1">H150/D150-1</f>
        <v>#VALUE!</v>
      </c>
      <c r="L150" s="94" t="str">
        <f ca="1">INDIRECT($B150&amp;"!"&amp;L$3&amp;"5")</f>
        <v/>
      </c>
      <c r="M150" s="95" t="str">
        <f ca="1">INDIRECT($B150&amp;"!"&amp;M$3&amp;"5")</f>
        <v/>
      </c>
      <c r="N150" s="96" t="e">
        <f ca="1">M150-L150</f>
        <v>#VALUE!</v>
      </c>
      <c r="O150" s="21"/>
      <c r="P150" s="22" t="e">
        <f ca="1">bdRateExtend(D150:D154,L150:L154,H150:H154,M150:M154)</f>
        <v>#VALUE!</v>
      </c>
    </row>
    <row r="151" spans="2:28" ht="16.5" customHeight="1" x14ac:dyDescent="0.25">
      <c r="B151" s="122" t="str">
        <f>B150</f>
        <v>BlueBackpack_UVGgs_0200</v>
      </c>
      <c r="C151" s="130" t="s">
        <v>60</v>
      </c>
      <c r="D151" s="88" t="e">
        <f ca="1">0.001*INDIRECT($B151&amp;"!E6")</f>
        <v>#VALUE!</v>
      </c>
      <c r="E151" s="21"/>
      <c r="F151" s="122" t="str">
        <f>F150</f>
        <v>BlueBackpack_UVGgs_0200</v>
      </c>
      <c r="G151" s="130" t="s">
        <v>60</v>
      </c>
      <c r="H151" s="88" t="e">
        <f ca="1">0.001*INDIRECT($B151&amp;"!AC6")</f>
        <v>#VALUE!</v>
      </c>
      <c r="J151" s="22" t="e">
        <f ca="1">H151/D151-1</f>
        <v>#VALUE!</v>
      </c>
      <c r="L151" s="94" t="str">
        <f ca="1">INDIRECT($B151&amp;"!"&amp;L$3&amp;"6")</f>
        <v/>
      </c>
      <c r="M151" s="95" t="str">
        <f ca="1">INDIRECT($B151&amp;"!"&amp;M$3&amp;"6")</f>
        <v/>
      </c>
      <c r="N151" s="96" t="e">
        <f ca="1">M151-L151</f>
        <v>#VALUE!</v>
      </c>
      <c r="O151" s="21"/>
      <c r="P151" s="3"/>
    </row>
    <row r="152" spans="2:28" ht="16.5" customHeight="1" x14ac:dyDescent="0.25">
      <c r="B152" s="122" t="str">
        <f>B151</f>
        <v>BlueBackpack_UVGgs_0200</v>
      </c>
      <c r="C152" s="130" t="s">
        <v>61</v>
      </c>
      <c r="D152" s="88" t="e">
        <f ca="1">0.001*INDIRECT($B152&amp;"!E7")</f>
        <v>#VALUE!</v>
      </c>
      <c r="E152" s="21"/>
      <c r="F152" s="122" t="str">
        <f>F151</f>
        <v>BlueBackpack_UVGgs_0200</v>
      </c>
      <c r="G152" s="130" t="s">
        <v>61</v>
      </c>
      <c r="H152" s="88" t="e">
        <f ca="1">0.001*INDIRECT($B152&amp;"!AC7")</f>
        <v>#VALUE!</v>
      </c>
      <c r="J152" s="22" t="e">
        <f ca="1">H152/D152-1</f>
        <v>#VALUE!</v>
      </c>
      <c r="L152" s="94" t="str">
        <f ca="1">INDIRECT($B152&amp;"!"&amp;L$3&amp;"7")</f>
        <v/>
      </c>
      <c r="M152" s="95" t="str">
        <f ca="1">INDIRECT($B152&amp;"!"&amp;M$3&amp;"7")</f>
        <v/>
      </c>
      <c r="N152" s="96" t="e">
        <f ca="1">M152-L152</f>
        <v>#VALUE!</v>
      </c>
      <c r="O152" s="21"/>
      <c r="P152" s="3"/>
    </row>
    <row r="153" spans="2:28" x14ac:dyDescent="0.25">
      <c r="B153" s="122" t="str">
        <f>B152</f>
        <v>BlueBackpack_UVGgs_0200</v>
      </c>
      <c r="C153" s="130" t="s">
        <v>62</v>
      </c>
      <c r="D153" s="88" t="e">
        <f ca="1">0.001*INDIRECT($B153&amp;"!E8")</f>
        <v>#VALUE!</v>
      </c>
      <c r="E153" s="21"/>
      <c r="F153" s="122" t="str">
        <f>F152</f>
        <v>BlueBackpack_UVGgs_0200</v>
      </c>
      <c r="G153" s="130" t="s">
        <v>62</v>
      </c>
      <c r="H153" s="88" t="e">
        <f ca="1">0.001*INDIRECT($B153&amp;"!AC8")</f>
        <v>#VALUE!</v>
      </c>
      <c r="J153" s="22" t="e">
        <f ca="1">H153/D153-1</f>
        <v>#VALUE!</v>
      </c>
      <c r="L153" s="94" t="str">
        <f ca="1">INDIRECT($B153&amp;"!"&amp;L$3&amp;"8")</f>
        <v/>
      </c>
      <c r="M153" s="95" t="str">
        <f ca="1">INDIRECT($B153&amp;"!"&amp;M$3&amp;"8")</f>
        <v/>
      </c>
      <c r="N153" s="96" t="e">
        <f ca="1">M153-L153</f>
        <v>#VALUE!</v>
      </c>
      <c r="O153" s="21"/>
      <c r="P153" s="182"/>
    </row>
    <row r="154" spans="2:28" ht="16.2" thickBot="1" x14ac:dyDescent="0.3">
      <c r="B154" s="122" t="str">
        <f>B153</f>
        <v>BlueBackpack_UVGgs_0200</v>
      </c>
      <c r="C154" s="130" t="s">
        <v>63</v>
      </c>
      <c r="D154" s="88" t="e">
        <f ca="1">0.001*INDIRECT($B154&amp;"!E9")</f>
        <v>#VALUE!</v>
      </c>
      <c r="E154" s="21"/>
      <c r="F154" s="122" t="str">
        <f>F153</f>
        <v>BlueBackpack_UVGgs_0200</v>
      </c>
      <c r="G154" s="130" t="s">
        <v>63</v>
      </c>
      <c r="H154" s="88" t="e">
        <f ca="1">0.001*INDIRECT($B154&amp;"!AC9")</f>
        <v>#VALUE!</v>
      </c>
      <c r="J154" s="22" t="e">
        <f ca="1">H154/D154-1</f>
        <v>#VALUE!</v>
      </c>
      <c r="L154" s="94" t="str">
        <f ca="1">INDIRECT($B154&amp;"!"&amp;L$3&amp;"9")</f>
        <v/>
      </c>
      <c r="M154" s="95" t="str">
        <f ca="1">INDIRECT($B154&amp;"!"&amp;M$3&amp;"9")</f>
        <v/>
      </c>
      <c r="N154" s="96" t="e">
        <f ca="1">M154-L154</f>
        <v>#VALUE!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 t="e">
        <f ca="1">MIN(D150:D154,H150:H154)</f>
        <v>#VALUE!</v>
      </c>
      <c r="L155" s="99"/>
      <c r="M155" s="100"/>
      <c r="N155" s="101"/>
      <c r="O155" s="21"/>
      <c r="P155" s="115"/>
    </row>
    <row r="156" spans="2:28" ht="16.2" thickBot="1" x14ac:dyDescent="0.3">
      <c r="B156" s="89"/>
      <c r="C156" s="92"/>
      <c r="D156" s="90"/>
      <c r="E156" s="21"/>
      <c r="F156" s="89"/>
      <c r="G156" s="92"/>
      <c r="H156" s="90"/>
      <c r="J156" s="102" t="e">
        <f ca="1">MAX(D150:D154,H150:H154)</f>
        <v>#VALUE!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6.2" thickBot="1" x14ac:dyDescent="0.3"/>
    <row r="158" spans="2:28" x14ac:dyDescent="0.25">
      <c r="B158" s="257" t="s">
        <v>66</v>
      </c>
      <c r="C158" s="258"/>
      <c r="D158" s="259"/>
      <c r="E158" s="2"/>
      <c r="F158" s="257" t="str">
        <f>B158</f>
        <v>FlowerDance_UVGgs_0000</v>
      </c>
      <c r="G158" s="258"/>
      <c r="H158" s="259"/>
      <c r="J158" s="115"/>
      <c r="L158" s="265" t="str">
        <f>F158</f>
        <v>FlowerDance_UVGgs_0000</v>
      </c>
      <c r="M158" s="255"/>
      <c r="N158" s="256"/>
      <c r="O158" s="195"/>
      <c r="P158" s="115"/>
    </row>
    <row r="159" spans="2:28" ht="16.5" customHeight="1" x14ac:dyDescent="0.25">
      <c r="B159" s="263" t="s">
        <v>52</v>
      </c>
      <c r="C159" s="264"/>
      <c r="D159" s="87" t="s">
        <v>53</v>
      </c>
      <c r="E159" s="21"/>
      <c r="F159" s="263" t="s">
        <v>52</v>
      </c>
      <c r="G159" s="264"/>
      <c r="H159" s="87" t="s">
        <v>53</v>
      </c>
      <c r="J159" s="116" t="s">
        <v>54</v>
      </c>
      <c r="L159" s="267" t="s">
        <v>75</v>
      </c>
      <c r="M159" s="268"/>
      <c r="N159" s="269"/>
      <c r="O159" s="85"/>
      <c r="P159" s="3"/>
      <c r="AB159" s="82"/>
    </row>
    <row r="160" spans="2:28" x14ac:dyDescent="0.25">
      <c r="B160" s="191" t="s">
        <v>3</v>
      </c>
      <c r="C160" s="130" t="s">
        <v>56</v>
      </c>
      <c r="D160" s="86" t="s">
        <v>57</v>
      </c>
      <c r="E160" s="21"/>
      <c r="F160" s="191" t="s">
        <v>3</v>
      </c>
      <c r="G160" s="130" t="s">
        <v>56</v>
      </c>
      <c r="H160" s="86" t="s">
        <v>57</v>
      </c>
      <c r="J160" s="93"/>
      <c r="L160" s="192" t="str">
        <f>CONCATENATE(B$2," ",L158)</f>
        <v>G-PCC v1 Anchor FlowerDance_UVGgs_0000</v>
      </c>
      <c r="M160" s="193" t="str">
        <f>CONCATENATE(F$2," ",L158)</f>
        <v>G-PCC v1 Proposal FlowerDance_UVGgs_0000</v>
      </c>
      <c r="N160" s="194" t="s">
        <v>58</v>
      </c>
      <c r="O160" s="2"/>
      <c r="P160" s="3" t="s">
        <v>49</v>
      </c>
    </row>
    <row r="161" spans="2:28" ht="16.5" customHeight="1" x14ac:dyDescent="0.25">
      <c r="B161" s="122" t="str">
        <f>B158</f>
        <v>FlowerDance_UVGgs_0000</v>
      </c>
      <c r="C161" s="130" t="s">
        <v>59</v>
      </c>
      <c r="D161" s="88" t="e">
        <f ca="1">0.001*INDIRECT($B161&amp;"!E5")</f>
        <v>#VALUE!</v>
      </c>
      <c r="E161" s="21"/>
      <c r="F161" s="122" t="str">
        <f>F158</f>
        <v>FlowerDance_UVGgs_0000</v>
      </c>
      <c r="G161" s="130" t="s">
        <v>59</v>
      </c>
      <c r="H161" s="88" t="e">
        <f ca="1">0.001*INDIRECT($B161&amp;"!AC5")</f>
        <v>#VALUE!</v>
      </c>
      <c r="J161" s="22" t="e">
        <f ca="1">H161/D161-1</f>
        <v>#VALUE!</v>
      </c>
      <c r="L161" s="94" t="str">
        <f ca="1">INDIRECT($B161&amp;"!"&amp;L$3&amp;"5")</f>
        <v/>
      </c>
      <c r="M161" s="95" t="str">
        <f ca="1">INDIRECT($B161&amp;"!"&amp;M$3&amp;"5")</f>
        <v/>
      </c>
      <c r="N161" s="96" t="e">
        <f ca="1">M161-L161</f>
        <v>#VALUE!</v>
      </c>
      <c r="O161" s="21"/>
      <c r="P161" s="22" t="e">
        <f ca="1">bdRateExtend(D161:D165,L161:L165,H161:H165,M161:M165)</f>
        <v>#VALUE!</v>
      </c>
    </row>
    <row r="162" spans="2:28" ht="16.5" customHeight="1" x14ac:dyDescent="0.25">
      <c r="B162" s="122" t="str">
        <f>B161</f>
        <v>FlowerDance_UVGgs_0000</v>
      </c>
      <c r="C162" s="130" t="s">
        <v>60</v>
      </c>
      <c r="D162" s="88" t="e">
        <f ca="1">0.001*INDIRECT($B162&amp;"!E6")</f>
        <v>#VALUE!</v>
      </c>
      <c r="E162" s="21"/>
      <c r="F162" s="122" t="str">
        <f>F161</f>
        <v>FlowerDance_UVGgs_0000</v>
      </c>
      <c r="G162" s="130" t="s">
        <v>60</v>
      </c>
      <c r="H162" s="88" t="e">
        <f ca="1">0.001*INDIRECT($B162&amp;"!AC6")</f>
        <v>#VALUE!</v>
      </c>
      <c r="J162" s="22" t="e">
        <f ca="1">H162/D162-1</f>
        <v>#VALUE!</v>
      </c>
      <c r="L162" s="94" t="str">
        <f ca="1">INDIRECT($B162&amp;"!"&amp;L$3&amp;"6")</f>
        <v/>
      </c>
      <c r="M162" s="95" t="str">
        <f ca="1">INDIRECT($B162&amp;"!"&amp;M$3&amp;"6")</f>
        <v/>
      </c>
      <c r="N162" s="96" t="e">
        <f ca="1">M162-L162</f>
        <v>#VALUE!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61</v>
      </c>
      <c r="D163" s="88" t="e">
        <f ca="1">0.001*INDIRECT($B163&amp;"!E7")</f>
        <v>#VALUE!</v>
      </c>
      <c r="E163" s="21"/>
      <c r="F163" s="122" t="str">
        <f>F162</f>
        <v>FlowerDance_UVGgs_0000</v>
      </c>
      <c r="G163" s="130" t="s">
        <v>61</v>
      </c>
      <c r="H163" s="88" t="e">
        <f ca="1">0.001*INDIRECT($B163&amp;"!AC7")</f>
        <v>#VALUE!</v>
      </c>
      <c r="J163" s="22" t="e">
        <f ca="1">H163/D163-1</f>
        <v>#VALUE!</v>
      </c>
      <c r="L163" s="94" t="str">
        <f ca="1">INDIRECT($B163&amp;"!"&amp;L$3&amp;"7")</f>
        <v/>
      </c>
      <c r="M163" s="95" t="str">
        <f ca="1">INDIRECT($B163&amp;"!"&amp;M$3&amp;"7")</f>
        <v/>
      </c>
      <c r="N163" s="96" t="e">
        <f ca="1">M163-L163</f>
        <v>#VALUE!</v>
      </c>
      <c r="O163" s="21"/>
      <c r="P163" s="3"/>
    </row>
    <row r="164" spans="2:28" x14ac:dyDescent="0.25">
      <c r="B164" s="122" t="str">
        <f>B163</f>
        <v>FlowerDance_UVGgs_0000</v>
      </c>
      <c r="C164" s="130" t="s">
        <v>62</v>
      </c>
      <c r="D164" s="88" t="e">
        <f ca="1">0.001*INDIRECT($B164&amp;"!E8")</f>
        <v>#VALUE!</v>
      </c>
      <c r="E164" s="21"/>
      <c r="F164" s="122" t="str">
        <f>F163</f>
        <v>FlowerDance_UVGgs_0000</v>
      </c>
      <c r="G164" s="130" t="s">
        <v>62</v>
      </c>
      <c r="H164" s="88" t="e">
        <f ca="1">0.001*INDIRECT($B164&amp;"!AC8")</f>
        <v>#VALUE!</v>
      </c>
      <c r="J164" s="22" t="e">
        <f ca="1">H164/D164-1</f>
        <v>#VALUE!</v>
      </c>
      <c r="L164" s="94" t="str">
        <f ca="1">INDIRECT($B164&amp;"!"&amp;L$3&amp;"8")</f>
        <v/>
      </c>
      <c r="M164" s="95" t="str">
        <f ca="1">INDIRECT($B164&amp;"!"&amp;M$3&amp;"8")</f>
        <v/>
      </c>
      <c r="N164" s="96" t="e">
        <f ca="1">M164-L164</f>
        <v>#VALUE!</v>
      </c>
      <c r="O164" s="21"/>
      <c r="P164" s="182"/>
    </row>
    <row r="165" spans="2:28" ht="16.2" thickBot="1" x14ac:dyDescent="0.3">
      <c r="B165" s="122" t="str">
        <f>B164</f>
        <v>FlowerDance_UVGgs_0000</v>
      </c>
      <c r="C165" s="130" t="s">
        <v>63</v>
      </c>
      <c r="D165" s="88" t="e">
        <f ca="1">0.001*INDIRECT($B165&amp;"!E9")</f>
        <v>#VALUE!</v>
      </c>
      <c r="E165" s="21"/>
      <c r="F165" s="122" t="str">
        <f>F164</f>
        <v>FlowerDance_UVGgs_0000</v>
      </c>
      <c r="G165" s="130" t="s">
        <v>63</v>
      </c>
      <c r="H165" s="88" t="e">
        <f ca="1">0.001*INDIRECT($B165&amp;"!AC9")</f>
        <v>#VALUE!</v>
      </c>
      <c r="J165" s="22" t="e">
        <f ca="1">H165/D165-1</f>
        <v>#VALUE!</v>
      </c>
      <c r="L165" s="94" t="str">
        <f ca="1">INDIRECT($B165&amp;"!"&amp;L$3&amp;"9")</f>
        <v/>
      </c>
      <c r="M165" s="95" t="str">
        <f ca="1">INDIRECT($B165&amp;"!"&amp;M$3&amp;"9")</f>
        <v/>
      </c>
      <c r="N165" s="96" t="e">
        <f ca="1">M165-L165</f>
        <v>#VALUE!</v>
      </c>
      <c r="O165" s="21"/>
      <c r="P165" s="26"/>
    </row>
    <row r="166" spans="2:28" x14ac:dyDescent="0.25">
      <c r="B166" s="109"/>
      <c r="C166" s="110"/>
      <c r="D166" s="91"/>
      <c r="F166" s="109"/>
      <c r="G166" s="110"/>
      <c r="H166" s="91"/>
      <c r="J166" s="98" t="e">
        <f ca="1">MIN(D161:D165,H161:H165)</f>
        <v>#VALUE!</v>
      </c>
      <c r="L166" s="99"/>
      <c r="M166" s="100"/>
      <c r="N166" s="101"/>
      <c r="O166" s="21"/>
      <c r="P166" s="115"/>
      <c r="AB166" s="82"/>
    </row>
    <row r="167" spans="2:28" ht="16.2" thickBot="1" x14ac:dyDescent="0.3">
      <c r="B167" s="89"/>
      <c r="C167" s="92"/>
      <c r="D167" s="90"/>
      <c r="E167" s="21"/>
      <c r="F167" s="89"/>
      <c r="G167" s="92"/>
      <c r="H167" s="90"/>
      <c r="J167" s="102" t="e">
        <f ca="1">MAX(D161:D165,H161:H165)</f>
        <v>#VALUE!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2" thickBot="1" x14ac:dyDescent="0.3"/>
    <row r="169" spans="2:28" ht="16.5" customHeight="1" x14ac:dyDescent="0.25">
      <c r="B169" s="257" t="s">
        <v>67</v>
      </c>
      <c r="C169" s="258"/>
      <c r="D169" s="259"/>
      <c r="E169" s="2"/>
      <c r="F169" s="257" t="str">
        <f>B169</f>
        <v>FlowerDance_UVGgs_0200</v>
      </c>
      <c r="G169" s="258"/>
      <c r="H169" s="259"/>
      <c r="J169" s="115"/>
      <c r="L169" s="265" t="str">
        <f>F169</f>
        <v>FlowerDance_UVGgs_0200</v>
      </c>
      <c r="M169" s="255"/>
      <c r="N169" s="256"/>
      <c r="O169" s="195"/>
      <c r="P169" s="115"/>
      <c r="AB169" s="82"/>
    </row>
    <row r="170" spans="2:28" x14ac:dyDescent="0.25">
      <c r="B170" s="263" t="s">
        <v>52</v>
      </c>
      <c r="C170" s="264"/>
      <c r="D170" s="87" t="s">
        <v>53</v>
      </c>
      <c r="E170" s="21"/>
      <c r="F170" s="263" t="s">
        <v>52</v>
      </c>
      <c r="G170" s="264"/>
      <c r="H170" s="87" t="s">
        <v>53</v>
      </c>
      <c r="J170" s="116" t="s">
        <v>54</v>
      </c>
      <c r="L170" s="267" t="s">
        <v>75</v>
      </c>
      <c r="M170" s="268"/>
      <c r="N170" s="269"/>
      <c r="O170" s="85"/>
      <c r="P170" s="3"/>
    </row>
    <row r="171" spans="2:28" ht="16.5" customHeight="1" x14ac:dyDescent="0.25">
      <c r="B171" s="191" t="s">
        <v>3</v>
      </c>
      <c r="C171" s="130" t="s">
        <v>56</v>
      </c>
      <c r="D171" s="86" t="s">
        <v>57</v>
      </c>
      <c r="E171" s="21"/>
      <c r="F171" s="191" t="s">
        <v>3</v>
      </c>
      <c r="G171" s="130" t="s">
        <v>56</v>
      </c>
      <c r="H171" s="86" t="s">
        <v>57</v>
      </c>
      <c r="J171" s="93"/>
      <c r="L171" s="192" t="str">
        <f>CONCATENATE(B$2," ",L169)</f>
        <v>G-PCC v1 Anchor FlowerDance_UVGgs_0200</v>
      </c>
      <c r="M171" s="193" t="str">
        <f>CONCATENATE(F$2," ",L169)</f>
        <v>G-PCC v1 Proposal FlowerDance_UVGgs_0200</v>
      </c>
      <c r="N171" s="194" t="s">
        <v>58</v>
      </c>
      <c r="O171" s="2"/>
      <c r="P171" s="3" t="s">
        <v>49</v>
      </c>
    </row>
    <row r="172" spans="2:28" ht="16.5" customHeight="1" x14ac:dyDescent="0.25">
      <c r="B172" s="122" t="str">
        <f>B169</f>
        <v>FlowerDance_UVGgs_0200</v>
      </c>
      <c r="C172" s="130" t="s">
        <v>59</v>
      </c>
      <c r="D172" s="88" t="e">
        <f ca="1">0.001*INDIRECT($B172&amp;"!E5")</f>
        <v>#VALUE!</v>
      </c>
      <c r="E172" s="21"/>
      <c r="F172" s="122" t="str">
        <f>F169</f>
        <v>FlowerDance_UVGgs_0200</v>
      </c>
      <c r="G172" s="130" t="s">
        <v>59</v>
      </c>
      <c r="H172" s="88" t="e">
        <f ca="1">0.001*INDIRECT($B172&amp;"!AC5")</f>
        <v>#VALUE!</v>
      </c>
      <c r="J172" s="22" t="e">
        <f ca="1">H172/D172-1</f>
        <v>#VALUE!</v>
      </c>
      <c r="L172" s="94" t="str">
        <f ca="1">INDIRECT($B172&amp;"!"&amp;L$3&amp;"5")</f>
        <v/>
      </c>
      <c r="M172" s="95" t="str">
        <f ca="1">INDIRECT($B172&amp;"!"&amp;M$3&amp;"5")</f>
        <v/>
      </c>
      <c r="N172" s="96" t="e">
        <f ca="1">M172-L172</f>
        <v>#VALUE!</v>
      </c>
      <c r="O172" s="21"/>
      <c r="P172" s="22" t="e">
        <f ca="1">bdRateExtend(D172:D176,L172:L176,H172:H176,M172:M176)</f>
        <v>#VALUE!</v>
      </c>
    </row>
    <row r="173" spans="2:28" x14ac:dyDescent="0.25">
      <c r="B173" s="122" t="str">
        <f>B172</f>
        <v>FlowerDance_UVGgs_0200</v>
      </c>
      <c r="C173" s="130" t="s">
        <v>60</v>
      </c>
      <c r="D173" s="88" t="e">
        <f ca="1">0.001*INDIRECT($B173&amp;"!E6")</f>
        <v>#VALUE!</v>
      </c>
      <c r="E173" s="21"/>
      <c r="F173" s="122" t="str">
        <f>F172</f>
        <v>FlowerDance_UVGgs_0200</v>
      </c>
      <c r="G173" s="130" t="s">
        <v>60</v>
      </c>
      <c r="H173" s="88" t="e">
        <f ca="1">0.001*INDIRECT($B173&amp;"!AC6")</f>
        <v>#VALUE!</v>
      </c>
      <c r="J173" s="22" t="e">
        <f ca="1">H173/D173-1</f>
        <v>#VALUE!</v>
      </c>
      <c r="L173" s="94" t="str">
        <f ca="1">INDIRECT($B173&amp;"!"&amp;L$3&amp;"6")</f>
        <v/>
      </c>
      <c r="M173" s="95" t="str">
        <f ca="1">INDIRECT($B173&amp;"!"&amp;M$3&amp;"6")</f>
        <v/>
      </c>
      <c r="N173" s="96" t="e">
        <f ca="1">M173-L173</f>
        <v>#VALUE!</v>
      </c>
      <c r="O173" s="21"/>
      <c r="P173" s="3"/>
    </row>
    <row r="174" spans="2:28" x14ac:dyDescent="0.25">
      <c r="B174" s="122" t="str">
        <f>B173</f>
        <v>FlowerDance_UVGgs_0200</v>
      </c>
      <c r="C174" s="130" t="s">
        <v>61</v>
      </c>
      <c r="D174" s="88" t="e">
        <f ca="1">0.001*INDIRECT($B174&amp;"!E7")</f>
        <v>#VALUE!</v>
      </c>
      <c r="E174" s="21"/>
      <c r="F174" s="122" t="str">
        <f>F173</f>
        <v>FlowerDance_UVGgs_0200</v>
      </c>
      <c r="G174" s="130" t="s">
        <v>61</v>
      </c>
      <c r="H174" s="88" t="e">
        <f ca="1">0.001*INDIRECT($B174&amp;"!AC7")</f>
        <v>#VALUE!</v>
      </c>
      <c r="J174" s="22" t="e">
        <f ca="1">H174/D174-1</f>
        <v>#VALUE!</v>
      </c>
      <c r="L174" s="94" t="str">
        <f ca="1">INDIRECT($B174&amp;"!"&amp;L$3&amp;"7")</f>
        <v/>
      </c>
      <c r="M174" s="95" t="str">
        <f ca="1">INDIRECT($B174&amp;"!"&amp;M$3&amp;"7")</f>
        <v/>
      </c>
      <c r="N174" s="96" t="e">
        <f ca="1">M174-L174</f>
        <v>#VALUE!</v>
      </c>
      <c r="O174" s="21"/>
      <c r="P174" s="3"/>
    </row>
    <row r="175" spans="2:28" x14ac:dyDescent="0.25">
      <c r="B175" s="122" t="str">
        <f>B174</f>
        <v>FlowerDance_UVGgs_0200</v>
      </c>
      <c r="C175" s="130" t="s">
        <v>62</v>
      </c>
      <c r="D175" s="88" t="e">
        <f ca="1">0.001*INDIRECT($B175&amp;"!E8")</f>
        <v>#VALUE!</v>
      </c>
      <c r="E175" s="21"/>
      <c r="F175" s="122" t="str">
        <f>F174</f>
        <v>FlowerDance_UVGgs_0200</v>
      </c>
      <c r="G175" s="130" t="s">
        <v>62</v>
      </c>
      <c r="H175" s="88" t="e">
        <f ca="1">0.001*INDIRECT($B175&amp;"!AC8")</f>
        <v>#VALUE!</v>
      </c>
      <c r="J175" s="22" t="e">
        <f ca="1">H175/D175-1</f>
        <v>#VALUE!</v>
      </c>
      <c r="L175" s="94" t="str">
        <f ca="1">INDIRECT($B175&amp;"!"&amp;L$3&amp;"8")</f>
        <v/>
      </c>
      <c r="M175" s="95" t="str">
        <f ca="1">INDIRECT($B175&amp;"!"&amp;M$3&amp;"8")</f>
        <v/>
      </c>
      <c r="N175" s="96" t="e">
        <f ca="1">M175-L175</f>
        <v>#VALUE!</v>
      </c>
      <c r="O175" s="21"/>
      <c r="P175" s="182"/>
    </row>
    <row r="176" spans="2:28" ht="16.2" thickBot="1" x14ac:dyDescent="0.3">
      <c r="B176" s="122" t="str">
        <f>B175</f>
        <v>FlowerDance_UVGgs_0200</v>
      </c>
      <c r="C176" s="130" t="s">
        <v>63</v>
      </c>
      <c r="D176" s="88" t="e">
        <f ca="1">0.001*INDIRECT($B176&amp;"!E9")</f>
        <v>#VALUE!</v>
      </c>
      <c r="E176" s="21"/>
      <c r="F176" s="122" t="str">
        <f>F175</f>
        <v>FlowerDance_UVGgs_0200</v>
      </c>
      <c r="G176" s="130" t="s">
        <v>63</v>
      </c>
      <c r="H176" s="88" t="e">
        <f ca="1">0.001*INDIRECT($B176&amp;"!AC9")</f>
        <v>#VALUE!</v>
      </c>
      <c r="J176" s="22" t="e">
        <f ca="1">H176/D176-1</f>
        <v>#VALUE!</v>
      </c>
      <c r="L176" s="94" t="str">
        <f ca="1">INDIRECT($B176&amp;"!"&amp;L$3&amp;"9")</f>
        <v/>
      </c>
      <c r="M176" s="95" t="str">
        <f ca="1">INDIRECT($B176&amp;"!"&amp;M$3&amp;"9")</f>
        <v/>
      </c>
      <c r="N176" s="96" t="e">
        <f ca="1">M176-L176</f>
        <v>#VALUE!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 t="e">
        <f ca="1">MIN(D172:D176,H172:H176)</f>
        <v>#VALUE!</v>
      </c>
      <c r="L177" s="99"/>
      <c r="M177" s="100"/>
      <c r="N177" s="101"/>
      <c r="O177" s="21"/>
      <c r="P177" s="115"/>
    </row>
    <row r="178" spans="2:28" ht="16.2" thickBot="1" x14ac:dyDescent="0.3">
      <c r="B178" s="89"/>
      <c r="C178" s="92"/>
      <c r="D178" s="90"/>
      <c r="E178" s="21"/>
      <c r="F178" s="89"/>
      <c r="G178" s="92"/>
      <c r="H178" s="90"/>
      <c r="J178" s="102" t="e">
        <f ca="1">MAX(D172:D176,H172:H176)</f>
        <v>#VALUE!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>
      <c r="AB179" s="82"/>
    </row>
    <row r="180" spans="2:28" x14ac:dyDescent="0.25">
      <c r="B180" s="257" t="s">
        <v>68</v>
      </c>
      <c r="C180" s="258"/>
      <c r="D180" s="259"/>
      <c r="E180" s="2"/>
      <c r="F180" s="257" t="str">
        <f>B180</f>
        <v>Gymnast_UVGgs_0100</v>
      </c>
      <c r="G180" s="258"/>
      <c r="H180" s="259"/>
      <c r="J180" s="115"/>
      <c r="L180" s="265" t="str">
        <f>F180</f>
        <v>Gymnast_UVGgs_0100</v>
      </c>
      <c r="M180" s="255"/>
      <c r="N180" s="256"/>
      <c r="O180" s="195"/>
      <c r="P180" s="115"/>
    </row>
    <row r="181" spans="2:28" ht="16.5" customHeight="1" x14ac:dyDescent="0.25">
      <c r="B181" s="263" t="s">
        <v>52</v>
      </c>
      <c r="C181" s="264"/>
      <c r="D181" s="87" t="s">
        <v>53</v>
      </c>
      <c r="E181" s="21"/>
      <c r="F181" s="263" t="s">
        <v>52</v>
      </c>
      <c r="G181" s="264"/>
      <c r="H181" s="87" t="s">
        <v>53</v>
      </c>
      <c r="J181" s="116" t="s">
        <v>54</v>
      </c>
      <c r="L181" s="267" t="s">
        <v>75</v>
      </c>
      <c r="M181" s="268"/>
      <c r="N181" s="269"/>
      <c r="O181" s="85"/>
      <c r="P181" s="3"/>
    </row>
    <row r="182" spans="2:28" ht="16.5" customHeight="1" x14ac:dyDescent="0.25">
      <c r="B182" s="191" t="s">
        <v>3</v>
      </c>
      <c r="C182" s="130" t="s">
        <v>56</v>
      </c>
      <c r="D182" s="86" t="s">
        <v>57</v>
      </c>
      <c r="E182" s="21"/>
      <c r="F182" s="191" t="s">
        <v>3</v>
      </c>
      <c r="G182" s="130" t="s">
        <v>56</v>
      </c>
      <c r="H182" s="86" t="s">
        <v>57</v>
      </c>
      <c r="J182" s="93"/>
      <c r="L182" s="192" t="str">
        <f>CONCATENATE(B$2," ",L180)</f>
        <v>G-PCC v1 Anchor Gymnast_UVGgs_0100</v>
      </c>
      <c r="M182" s="193" t="str">
        <f>CONCATENATE(F$2," ",L180)</f>
        <v>G-PCC v1 Proposal Gymnast_UVGgs_0100</v>
      </c>
      <c r="N182" s="194" t="s">
        <v>58</v>
      </c>
      <c r="O182" s="2"/>
      <c r="P182" s="3" t="s">
        <v>49</v>
      </c>
    </row>
    <row r="183" spans="2:28" x14ac:dyDescent="0.25">
      <c r="B183" s="122" t="str">
        <f>B180</f>
        <v>Gymnast_UVGgs_0100</v>
      </c>
      <c r="C183" s="130" t="s">
        <v>59</v>
      </c>
      <c r="D183" s="88" t="e">
        <f ca="1">0.001*INDIRECT($B183&amp;"!E5")</f>
        <v>#VALUE!</v>
      </c>
      <c r="E183" s="21"/>
      <c r="F183" s="122" t="str">
        <f>F180</f>
        <v>Gymnast_UVGgs_0100</v>
      </c>
      <c r="G183" s="130" t="s">
        <v>59</v>
      </c>
      <c r="H183" s="88" t="e">
        <f ca="1">0.001*INDIRECT($B183&amp;"!AC5")</f>
        <v>#VALUE!</v>
      </c>
      <c r="J183" s="22" t="e">
        <f ca="1">H183/D183-1</f>
        <v>#VALUE!</v>
      </c>
      <c r="L183" s="94" t="str">
        <f ca="1">INDIRECT($B183&amp;"!"&amp;L$3&amp;"5")</f>
        <v/>
      </c>
      <c r="M183" s="95" t="str">
        <f ca="1">INDIRECT($B183&amp;"!"&amp;M$3&amp;"5")</f>
        <v/>
      </c>
      <c r="N183" s="96" t="e">
        <f ca="1">M183-L183</f>
        <v>#VALUE!</v>
      </c>
      <c r="O183" s="21"/>
      <c r="P183" s="22" t="e">
        <f ca="1">bdRateExtend(D183:D187,L183:L187,H183:H187,M183:M187)</f>
        <v>#VALUE!</v>
      </c>
    </row>
    <row r="184" spans="2:28" x14ac:dyDescent="0.25">
      <c r="B184" s="122" t="str">
        <f>B183</f>
        <v>Gymnast_UVGgs_0100</v>
      </c>
      <c r="C184" s="130" t="s">
        <v>60</v>
      </c>
      <c r="D184" s="88" t="e">
        <f ca="1">0.001*INDIRECT($B184&amp;"!E6")</f>
        <v>#VALUE!</v>
      </c>
      <c r="E184" s="21"/>
      <c r="F184" s="122" t="str">
        <f>F183</f>
        <v>Gymnast_UVGgs_0100</v>
      </c>
      <c r="G184" s="130" t="s">
        <v>60</v>
      </c>
      <c r="H184" s="88" t="e">
        <f ca="1">0.001*INDIRECT($B184&amp;"!AC6")</f>
        <v>#VALUE!</v>
      </c>
      <c r="J184" s="22" t="e">
        <f ca="1">H184/D184-1</f>
        <v>#VALUE!</v>
      </c>
      <c r="L184" s="94" t="str">
        <f ca="1">INDIRECT($B184&amp;"!"&amp;L$3&amp;"6")</f>
        <v/>
      </c>
      <c r="M184" s="95" t="str">
        <f ca="1">INDIRECT($B184&amp;"!"&amp;M$3&amp;"6")</f>
        <v/>
      </c>
      <c r="N184" s="96" t="e">
        <f ca="1">M184-L184</f>
        <v>#VALUE!</v>
      </c>
      <c r="O184" s="21"/>
      <c r="P184" s="3"/>
    </row>
    <row r="185" spans="2:28" x14ac:dyDescent="0.25">
      <c r="B185" s="122" t="str">
        <f>B184</f>
        <v>Gymnast_UVGgs_0100</v>
      </c>
      <c r="C185" s="130" t="s">
        <v>61</v>
      </c>
      <c r="D185" s="88" t="e">
        <f ca="1">0.001*INDIRECT($B185&amp;"!E7")</f>
        <v>#VALUE!</v>
      </c>
      <c r="E185" s="21"/>
      <c r="F185" s="122" t="str">
        <f>F184</f>
        <v>Gymnast_UVGgs_0100</v>
      </c>
      <c r="G185" s="130" t="s">
        <v>61</v>
      </c>
      <c r="H185" s="88" t="e">
        <f ca="1">0.001*INDIRECT($B185&amp;"!AC7")</f>
        <v>#VALUE!</v>
      </c>
      <c r="J185" s="22" t="e">
        <f ca="1">H185/D185-1</f>
        <v>#VALUE!</v>
      </c>
      <c r="L185" s="94" t="str">
        <f ca="1">INDIRECT($B185&amp;"!"&amp;L$3&amp;"7")</f>
        <v/>
      </c>
      <c r="M185" s="95" t="str">
        <f ca="1">INDIRECT($B185&amp;"!"&amp;M$3&amp;"7")</f>
        <v/>
      </c>
      <c r="N185" s="96" t="e">
        <f ca="1">M185-L185</f>
        <v>#VALUE!</v>
      </c>
      <c r="O185" s="21"/>
      <c r="P185" s="3"/>
    </row>
    <row r="186" spans="2:28" x14ac:dyDescent="0.25">
      <c r="B186" s="122" t="str">
        <f>B185</f>
        <v>Gymnast_UVGgs_0100</v>
      </c>
      <c r="C186" s="130" t="s">
        <v>62</v>
      </c>
      <c r="D186" s="88" t="e">
        <f ca="1">0.001*INDIRECT($B186&amp;"!E8")</f>
        <v>#VALUE!</v>
      </c>
      <c r="E186" s="21"/>
      <c r="F186" s="122" t="str">
        <f>F185</f>
        <v>Gymnast_UVGgs_0100</v>
      </c>
      <c r="G186" s="130" t="s">
        <v>62</v>
      </c>
      <c r="H186" s="88" t="e">
        <f ca="1">0.001*INDIRECT($B186&amp;"!AC8")</f>
        <v>#VALUE!</v>
      </c>
      <c r="J186" s="22" t="e">
        <f ca="1">H186/D186-1</f>
        <v>#VALUE!</v>
      </c>
      <c r="L186" s="94" t="str">
        <f ca="1">INDIRECT($B186&amp;"!"&amp;L$3&amp;"8")</f>
        <v/>
      </c>
      <c r="M186" s="95" t="str">
        <f ca="1">INDIRECT($B186&amp;"!"&amp;M$3&amp;"8")</f>
        <v/>
      </c>
      <c r="N186" s="96" t="e">
        <f ca="1">M186-L186</f>
        <v>#VALUE!</v>
      </c>
      <c r="O186" s="21"/>
      <c r="P186" s="182"/>
      <c r="AB186" s="82"/>
    </row>
    <row r="187" spans="2:28" ht="16.2" thickBot="1" x14ac:dyDescent="0.3">
      <c r="B187" s="122" t="str">
        <f>B186</f>
        <v>Gymnast_UVGgs_0100</v>
      </c>
      <c r="C187" s="130" t="s">
        <v>63</v>
      </c>
      <c r="D187" s="88" t="e">
        <f ca="1">0.001*INDIRECT($B187&amp;"!E9")</f>
        <v>#VALUE!</v>
      </c>
      <c r="E187" s="21"/>
      <c r="F187" s="122" t="str">
        <f>F186</f>
        <v>Gymnast_UVGgs_0100</v>
      </c>
      <c r="G187" s="130" t="s">
        <v>63</v>
      </c>
      <c r="H187" s="88" t="e">
        <f ca="1">0.001*INDIRECT($B187&amp;"!AC9")</f>
        <v>#VALUE!</v>
      </c>
      <c r="J187" s="22" t="e">
        <f ca="1">H187/D187-1</f>
        <v>#VALUE!</v>
      </c>
      <c r="L187" s="94" t="str">
        <f ca="1">INDIRECT($B187&amp;"!"&amp;L$3&amp;"9")</f>
        <v/>
      </c>
      <c r="M187" s="95" t="str">
        <f ca="1">INDIRECT($B187&amp;"!"&amp;M$3&amp;"9")</f>
        <v/>
      </c>
      <c r="N187" s="96" t="e">
        <f ca="1">M187-L187</f>
        <v>#VALUE!</v>
      </c>
      <c r="O187" s="21"/>
      <c r="P187" s="26"/>
    </row>
    <row r="188" spans="2:28" x14ac:dyDescent="0.25">
      <c r="B188" s="109"/>
      <c r="C188" s="110"/>
      <c r="D188" s="91"/>
      <c r="F188" s="109"/>
      <c r="G188" s="110"/>
      <c r="H188" s="91"/>
      <c r="J188" s="98" t="e">
        <f ca="1">MIN(D183:D187,H183:H187)</f>
        <v>#VALUE!</v>
      </c>
      <c r="L188" s="99"/>
      <c r="M188" s="100"/>
      <c r="N188" s="101"/>
      <c r="O188" s="21"/>
      <c r="P188" s="115"/>
    </row>
    <row r="189" spans="2:28" ht="16.5" customHeight="1" thickBot="1" x14ac:dyDescent="0.3">
      <c r="B189" s="89"/>
      <c r="C189" s="92"/>
      <c r="D189" s="90"/>
      <c r="E189" s="21"/>
      <c r="F189" s="89"/>
      <c r="G189" s="92"/>
      <c r="H189" s="90"/>
      <c r="J189" s="102" t="e">
        <f ca="1">MAX(D183:D187,H183:H187)</f>
        <v>#VALUE!</v>
      </c>
      <c r="L189" s="103">
        <f>L188</f>
        <v>0</v>
      </c>
      <c r="M189" s="104">
        <f>M188</f>
        <v>0</v>
      </c>
      <c r="N189" s="97"/>
      <c r="O189" s="21"/>
      <c r="P189" s="5"/>
      <c r="AB189" s="82"/>
    </row>
    <row r="190" spans="2:28" ht="16.2" thickBot="1" x14ac:dyDescent="0.3"/>
    <row r="191" spans="2:28" ht="16.5" customHeight="1" x14ac:dyDescent="0.25">
      <c r="B191" s="257" t="s">
        <v>69</v>
      </c>
      <c r="C191" s="258"/>
      <c r="D191" s="259"/>
      <c r="E191" s="2"/>
      <c r="F191" s="257" t="str">
        <f>B191</f>
        <v>Gymnast_UVGgs_0200</v>
      </c>
      <c r="G191" s="258"/>
      <c r="H191" s="259"/>
      <c r="J191" s="115"/>
      <c r="L191" s="265" t="str">
        <f>F191</f>
        <v>Gymnast_UVGgs_0200</v>
      </c>
      <c r="M191" s="255"/>
      <c r="N191" s="256"/>
      <c r="O191" s="195"/>
      <c r="P191" s="115"/>
    </row>
    <row r="192" spans="2:28" ht="16.5" customHeight="1" x14ac:dyDescent="0.25">
      <c r="B192" s="263" t="s">
        <v>52</v>
      </c>
      <c r="C192" s="264"/>
      <c r="D192" s="87" t="s">
        <v>53</v>
      </c>
      <c r="E192" s="21"/>
      <c r="F192" s="263" t="s">
        <v>52</v>
      </c>
      <c r="G192" s="264"/>
      <c r="H192" s="87" t="s">
        <v>53</v>
      </c>
      <c r="J192" s="116" t="s">
        <v>54</v>
      </c>
      <c r="L192" s="267" t="s">
        <v>75</v>
      </c>
      <c r="M192" s="268"/>
      <c r="N192" s="269"/>
      <c r="O192" s="85"/>
      <c r="P192" s="3"/>
    </row>
    <row r="193" spans="2:28" x14ac:dyDescent="0.25">
      <c r="B193" s="191" t="s">
        <v>3</v>
      </c>
      <c r="C193" s="130" t="s">
        <v>56</v>
      </c>
      <c r="D193" s="86" t="s">
        <v>57</v>
      </c>
      <c r="E193" s="21"/>
      <c r="F193" s="191" t="s">
        <v>3</v>
      </c>
      <c r="G193" s="130" t="s">
        <v>56</v>
      </c>
      <c r="H193" s="86" t="s">
        <v>57</v>
      </c>
      <c r="J193" s="93"/>
      <c r="L193" s="192" t="str">
        <f>CONCATENATE(B$2," ",L191)</f>
        <v>G-PCC v1 Anchor Gymnast_UVGgs_0200</v>
      </c>
      <c r="M193" s="193" t="str">
        <f>CONCATENATE(F$2," ",L191)</f>
        <v>G-PCC v1 Proposal Gymnast_UVGgs_0200</v>
      </c>
      <c r="N193" s="194" t="s">
        <v>58</v>
      </c>
      <c r="O193" s="2"/>
      <c r="P193" s="3" t="s">
        <v>49</v>
      </c>
    </row>
    <row r="194" spans="2:28" x14ac:dyDescent="0.25">
      <c r="B194" s="122" t="str">
        <f>B191</f>
        <v>Gymnast_UVGgs_0200</v>
      </c>
      <c r="C194" s="130" t="s">
        <v>59</v>
      </c>
      <c r="D194" s="88" t="e">
        <f ca="1">0.001*INDIRECT($B194&amp;"!E5")</f>
        <v>#VALUE!</v>
      </c>
      <c r="E194" s="21"/>
      <c r="F194" s="122" t="str">
        <f>F191</f>
        <v>Gymnast_UVGgs_0200</v>
      </c>
      <c r="G194" s="130" t="s">
        <v>59</v>
      </c>
      <c r="H194" s="88" t="e">
        <f ca="1">0.001*INDIRECT($B194&amp;"!AC5")</f>
        <v>#VALUE!</v>
      </c>
      <c r="J194" s="22" t="e">
        <f ca="1">H194/D194-1</f>
        <v>#VALUE!</v>
      </c>
      <c r="L194" s="94" t="str">
        <f ca="1">INDIRECT($B194&amp;"!"&amp;L$3&amp;"5")</f>
        <v/>
      </c>
      <c r="M194" s="95" t="str">
        <f ca="1">INDIRECT($B194&amp;"!"&amp;M$3&amp;"5")</f>
        <v/>
      </c>
      <c r="N194" s="96" t="e">
        <f ca="1">M194-L194</f>
        <v>#VALUE!</v>
      </c>
      <c r="O194" s="21"/>
      <c r="P194" s="22" t="e">
        <f ca="1">bdRateExtend(D194:D198,L194:L198,H194:H198,M194:M198)</f>
        <v>#VALUE!</v>
      </c>
    </row>
    <row r="195" spans="2:28" x14ac:dyDescent="0.25">
      <c r="B195" s="122" t="str">
        <f>B194</f>
        <v>Gymnast_UVGgs_0200</v>
      </c>
      <c r="C195" s="130" t="s">
        <v>60</v>
      </c>
      <c r="D195" s="88" t="e">
        <f ca="1">0.001*INDIRECT($B195&amp;"!E6")</f>
        <v>#VALUE!</v>
      </c>
      <c r="E195" s="21"/>
      <c r="F195" s="122" t="str">
        <f>F194</f>
        <v>Gymnast_UVGgs_0200</v>
      </c>
      <c r="G195" s="130" t="s">
        <v>60</v>
      </c>
      <c r="H195" s="88" t="e">
        <f ca="1">0.001*INDIRECT($B195&amp;"!AC6")</f>
        <v>#VALUE!</v>
      </c>
      <c r="J195" s="22" t="e">
        <f ca="1">H195/D195-1</f>
        <v>#VALUE!</v>
      </c>
      <c r="L195" s="94" t="str">
        <f ca="1">INDIRECT($B195&amp;"!"&amp;L$3&amp;"6")</f>
        <v/>
      </c>
      <c r="M195" s="95" t="str">
        <f ca="1">INDIRECT($B195&amp;"!"&amp;M$3&amp;"6")</f>
        <v/>
      </c>
      <c r="N195" s="96" t="e">
        <f ca="1">M195-L195</f>
        <v>#VALUE!</v>
      </c>
      <c r="O195" s="21"/>
      <c r="P195" s="3"/>
    </row>
    <row r="196" spans="2:28" x14ac:dyDescent="0.25">
      <c r="B196" s="122" t="str">
        <f>B195</f>
        <v>Gymnast_UVGgs_0200</v>
      </c>
      <c r="C196" s="130" t="s">
        <v>61</v>
      </c>
      <c r="D196" s="88" t="e">
        <f ca="1">0.001*INDIRECT($B196&amp;"!E7")</f>
        <v>#VALUE!</v>
      </c>
      <c r="E196" s="21"/>
      <c r="F196" s="122" t="str">
        <f>F195</f>
        <v>Gymnast_UVGgs_0200</v>
      </c>
      <c r="G196" s="130" t="s">
        <v>61</v>
      </c>
      <c r="H196" s="88" t="e">
        <f ca="1">0.001*INDIRECT($B196&amp;"!AC7")</f>
        <v>#VALUE!</v>
      </c>
      <c r="J196" s="22" t="e">
        <f ca="1">H196/D196-1</f>
        <v>#VALUE!</v>
      </c>
      <c r="L196" s="94" t="str">
        <f ca="1">INDIRECT($B196&amp;"!"&amp;L$3&amp;"7")</f>
        <v/>
      </c>
      <c r="M196" s="95" t="str">
        <f ca="1">INDIRECT($B196&amp;"!"&amp;M$3&amp;"7")</f>
        <v/>
      </c>
      <c r="N196" s="96" t="e">
        <f ca="1">M196-L196</f>
        <v>#VALUE!</v>
      </c>
      <c r="O196" s="21"/>
      <c r="P196" s="3"/>
      <c r="AB196" s="82"/>
    </row>
    <row r="197" spans="2:28" x14ac:dyDescent="0.25">
      <c r="B197" s="122" t="str">
        <f>B196</f>
        <v>Gymnast_UVGgs_0200</v>
      </c>
      <c r="C197" s="130" t="s">
        <v>62</v>
      </c>
      <c r="D197" s="88" t="e">
        <f ca="1">0.001*INDIRECT($B197&amp;"!E8")</f>
        <v>#VALUE!</v>
      </c>
      <c r="E197" s="21"/>
      <c r="F197" s="122" t="str">
        <f>F196</f>
        <v>Gymnast_UVGgs_0200</v>
      </c>
      <c r="G197" s="130" t="s">
        <v>62</v>
      </c>
      <c r="H197" s="88" t="e">
        <f ca="1">0.001*INDIRECT($B197&amp;"!AC8")</f>
        <v>#VALUE!</v>
      </c>
      <c r="J197" s="22" t="e">
        <f ca="1">H197/D197-1</f>
        <v>#VALUE!</v>
      </c>
      <c r="L197" s="94" t="str">
        <f ca="1">INDIRECT($B197&amp;"!"&amp;L$3&amp;"8")</f>
        <v/>
      </c>
      <c r="M197" s="95" t="str">
        <f ca="1">INDIRECT($B197&amp;"!"&amp;M$3&amp;"8")</f>
        <v/>
      </c>
      <c r="N197" s="96" t="e">
        <f ca="1">M197-L197</f>
        <v>#VALUE!</v>
      </c>
      <c r="O197" s="21"/>
      <c r="P197" s="182"/>
    </row>
    <row r="198" spans="2:28" ht="16.2" thickBot="1" x14ac:dyDescent="0.3">
      <c r="B198" s="122" t="str">
        <f>B197</f>
        <v>Gymnast_UVGgs_0200</v>
      </c>
      <c r="C198" s="130" t="s">
        <v>63</v>
      </c>
      <c r="D198" s="88" t="e">
        <f ca="1">0.001*INDIRECT($B198&amp;"!E9")</f>
        <v>#VALUE!</v>
      </c>
      <c r="E198" s="21"/>
      <c r="F198" s="122" t="str">
        <f>F197</f>
        <v>Gymnast_UVGgs_0200</v>
      </c>
      <c r="G198" s="130" t="s">
        <v>63</v>
      </c>
      <c r="H198" s="88" t="e">
        <f ca="1">0.001*INDIRECT($B198&amp;"!AC9")</f>
        <v>#VALUE!</v>
      </c>
      <c r="J198" s="22" t="e">
        <f ca="1">H198/D198-1</f>
        <v>#VALUE!</v>
      </c>
      <c r="L198" s="94" t="str">
        <f ca="1">INDIRECT($B198&amp;"!"&amp;L$3&amp;"9")</f>
        <v/>
      </c>
      <c r="M198" s="95" t="str">
        <f ca="1">INDIRECT($B198&amp;"!"&amp;M$3&amp;"9")</f>
        <v/>
      </c>
      <c r="N198" s="96" t="e">
        <f ca="1">M198-L198</f>
        <v>#VALUE!</v>
      </c>
      <c r="O198" s="21"/>
      <c r="P198" s="26"/>
    </row>
    <row r="199" spans="2:28" ht="16.5" customHeight="1" x14ac:dyDescent="0.25">
      <c r="B199" s="109"/>
      <c r="C199" s="110"/>
      <c r="D199" s="91"/>
      <c r="F199" s="109"/>
      <c r="G199" s="110"/>
      <c r="H199" s="91"/>
      <c r="J199" s="98" t="e">
        <f ca="1">MIN(D194:D198,H194:H198)</f>
        <v>#VALUE!</v>
      </c>
      <c r="L199" s="99"/>
      <c r="M199" s="100"/>
      <c r="N199" s="101"/>
      <c r="O199" s="21"/>
      <c r="P199" s="115"/>
      <c r="AB199" s="82"/>
    </row>
    <row r="200" spans="2:28" ht="16.2" thickBot="1" x14ac:dyDescent="0.3">
      <c r="B200" s="89"/>
      <c r="C200" s="92"/>
      <c r="D200" s="90"/>
      <c r="E200" s="21"/>
      <c r="F200" s="89"/>
      <c r="G200" s="92"/>
      <c r="H200" s="90"/>
      <c r="J200" s="102" t="e">
        <f ca="1">MAX(D194:D198,H194:H198)</f>
        <v>#VALUE!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28" ht="16.5" customHeight="1" thickBot="1" x14ac:dyDescent="0.3"/>
    <row r="202" spans="2:28" ht="16.5" customHeight="1" x14ac:dyDescent="0.25">
      <c r="B202" s="257" t="s">
        <v>70</v>
      </c>
      <c r="C202" s="258"/>
      <c r="D202" s="259"/>
      <c r="E202" s="2"/>
      <c r="F202" s="257" t="str">
        <f>B202</f>
        <v>artwork</v>
      </c>
      <c r="G202" s="258"/>
      <c r="H202" s="259"/>
      <c r="J202" s="115"/>
      <c r="L202" s="265" t="str">
        <f>F202</f>
        <v>artwork</v>
      </c>
      <c r="M202" s="255"/>
      <c r="N202" s="256"/>
      <c r="O202" s="195"/>
      <c r="P202" s="115"/>
    </row>
    <row r="203" spans="2:28" x14ac:dyDescent="0.25">
      <c r="B203" s="263" t="s">
        <v>52</v>
      </c>
      <c r="C203" s="264"/>
      <c r="D203" s="87" t="s">
        <v>53</v>
      </c>
      <c r="E203" s="21"/>
      <c r="F203" s="263" t="s">
        <v>52</v>
      </c>
      <c r="G203" s="264"/>
      <c r="H203" s="87" t="s">
        <v>53</v>
      </c>
      <c r="J203" s="116" t="s">
        <v>54</v>
      </c>
      <c r="L203" s="267" t="s">
        <v>75</v>
      </c>
      <c r="M203" s="268"/>
      <c r="N203" s="269"/>
      <c r="O203" s="85"/>
      <c r="P203" s="3"/>
    </row>
    <row r="204" spans="2:28" x14ac:dyDescent="0.25">
      <c r="B204" s="191" t="s">
        <v>3</v>
      </c>
      <c r="C204" s="130" t="s">
        <v>56</v>
      </c>
      <c r="D204" s="86" t="s">
        <v>57</v>
      </c>
      <c r="E204" s="21"/>
      <c r="F204" s="191" t="s">
        <v>3</v>
      </c>
      <c r="G204" s="130" t="s">
        <v>56</v>
      </c>
      <c r="H204" s="86" t="s">
        <v>57</v>
      </c>
      <c r="J204" s="93"/>
      <c r="L204" s="192" t="str">
        <f>CONCATENATE(B$2," ",L202)</f>
        <v>G-PCC v1 Anchor artwork</v>
      </c>
      <c r="M204" s="193" t="str">
        <f>CONCATENATE(F$2," ",L202)</f>
        <v>G-PCC v1 Proposal artwork</v>
      </c>
      <c r="N204" s="194" t="s">
        <v>58</v>
      </c>
      <c r="O204" s="2"/>
      <c r="P204" s="3" t="s">
        <v>49</v>
      </c>
    </row>
    <row r="205" spans="2:28" x14ac:dyDescent="0.25">
      <c r="B205" s="122" t="str">
        <f>B202</f>
        <v>artwork</v>
      </c>
      <c r="C205" s="130" t="s">
        <v>59</v>
      </c>
      <c r="D205" s="88" t="e">
        <f ca="1">0.001*INDIRECT($B205&amp;"!E5")</f>
        <v>#VALUE!</v>
      </c>
      <c r="E205" s="21"/>
      <c r="F205" s="122" t="str">
        <f>F202</f>
        <v>artwork</v>
      </c>
      <c r="G205" s="130" t="s">
        <v>59</v>
      </c>
      <c r="H205" s="88" t="e">
        <f ca="1">0.001*INDIRECT($B205&amp;"!AC5")</f>
        <v>#VALUE!</v>
      </c>
      <c r="J205" s="22" t="e">
        <f ca="1">H205/D205-1</f>
        <v>#VALUE!</v>
      </c>
      <c r="L205" s="94" t="str">
        <f ca="1">INDIRECT($B205&amp;"!"&amp;L$3&amp;"5")</f>
        <v/>
      </c>
      <c r="M205" s="95" t="str">
        <f ca="1">INDIRECT($B205&amp;"!"&amp;M$3&amp;"5")</f>
        <v/>
      </c>
      <c r="N205" s="96" t="e">
        <f ca="1">M205-L205</f>
        <v>#VALUE!</v>
      </c>
      <c r="O205" s="21"/>
      <c r="P205" s="22" t="e">
        <f ca="1">bdRateExtend(D205:D209,L205:L209,H205:H209,M205:M209)</f>
        <v>#VALUE!</v>
      </c>
    </row>
    <row r="206" spans="2:28" x14ac:dyDescent="0.25">
      <c r="B206" s="122" t="str">
        <f>B205</f>
        <v>artwork</v>
      </c>
      <c r="C206" s="130" t="s">
        <v>60</v>
      </c>
      <c r="D206" s="88" t="e">
        <f ca="1">0.001*INDIRECT($B206&amp;"!E6")</f>
        <v>#VALUE!</v>
      </c>
      <c r="E206" s="21"/>
      <c r="F206" s="122" t="str">
        <f>F205</f>
        <v>artwork</v>
      </c>
      <c r="G206" s="130" t="s">
        <v>60</v>
      </c>
      <c r="H206" s="88" t="e">
        <f ca="1">0.001*INDIRECT($B206&amp;"!AC6")</f>
        <v>#VALUE!</v>
      </c>
      <c r="J206" s="22" t="e">
        <f ca="1">H206/D206-1</f>
        <v>#VALUE!</v>
      </c>
      <c r="L206" s="94" t="str">
        <f ca="1">INDIRECT($B206&amp;"!"&amp;L$3&amp;"6")</f>
        <v/>
      </c>
      <c r="M206" s="95" t="str">
        <f ca="1">INDIRECT($B206&amp;"!"&amp;M$3&amp;"6")</f>
        <v/>
      </c>
      <c r="N206" s="96" t="e">
        <f ca="1">M206-L206</f>
        <v>#VALUE!</v>
      </c>
      <c r="O206" s="21"/>
      <c r="P206" s="3"/>
      <c r="AB206" s="82"/>
    </row>
    <row r="207" spans="2:28" x14ac:dyDescent="0.25">
      <c r="B207" s="122" t="str">
        <f>B206</f>
        <v>artwork</v>
      </c>
      <c r="C207" s="130" t="s">
        <v>61</v>
      </c>
      <c r="D207" s="88" t="e">
        <f ca="1">0.001*INDIRECT($B207&amp;"!E7")</f>
        <v>#VALUE!</v>
      </c>
      <c r="E207" s="21"/>
      <c r="F207" s="122" t="str">
        <f>F206</f>
        <v>artwork</v>
      </c>
      <c r="G207" s="130" t="s">
        <v>61</v>
      </c>
      <c r="H207" s="88" t="e">
        <f ca="1">0.001*INDIRECT($B207&amp;"!AC7")</f>
        <v>#VALUE!</v>
      </c>
      <c r="J207" s="22" t="e">
        <f ca="1">H207/D207-1</f>
        <v>#VALUE!</v>
      </c>
      <c r="L207" s="94" t="str">
        <f ca="1">INDIRECT($B207&amp;"!"&amp;L$3&amp;"7")</f>
        <v/>
      </c>
      <c r="M207" s="95" t="str">
        <f ca="1">INDIRECT($B207&amp;"!"&amp;M$3&amp;"7")</f>
        <v/>
      </c>
      <c r="N207" s="96" t="e">
        <f ca="1">M207-L207</f>
        <v>#VALUE!</v>
      </c>
      <c r="O207" s="21"/>
      <c r="P207" s="3"/>
    </row>
    <row r="208" spans="2:28" x14ac:dyDescent="0.25">
      <c r="B208" s="122" t="str">
        <f>B207</f>
        <v>artwork</v>
      </c>
      <c r="C208" s="130" t="s">
        <v>62</v>
      </c>
      <c r="D208" s="88" t="e">
        <f ca="1">0.001*INDIRECT($B208&amp;"!E8")</f>
        <v>#VALUE!</v>
      </c>
      <c r="E208" s="21"/>
      <c r="F208" s="122" t="str">
        <f>F207</f>
        <v>artwork</v>
      </c>
      <c r="G208" s="130" t="s">
        <v>62</v>
      </c>
      <c r="H208" s="88" t="e">
        <f ca="1">0.001*INDIRECT($B208&amp;"!AC8")</f>
        <v>#VALUE!</v>
      </c>
      <c r="J208" s="22" t="e">
        <f ca="1">H208/D208-1</f>
        <v>#VALUE!</v>
      </c>
      <c r="L208" s="94" t="str">
        <f ca="1">INDIRECT($B208&amp;"!"&amp;L$3&amp;"8")</f>
        <v/>
      </c>
      <c r="M208" s="95" t="str">
        <f ca="1">INDIRECT($B208&amp;"!"&amp;M$3&amp;"8")</f>
        <v/>
      </c>
      <c r="N208" s="96" t="e">
        <f ca="1">M208-L208</f>
        <v>#VALUE!</v>
      </c>
      <c r="O208" s="21"/>
      <c r="P208" s="182"/>
    </row>
    <row r="209" spans="2:28" ht="16.5" customHeight="1" thickBot="1" x14ac:dyDescent="0.3">
      <c r="B209" s="122" t="str">
        <f>B208</f>
        <v>artwork</v>
      </c>
      <c r="C209" s="130" t="s">
        <v>63</v>
      </c>
      <c r="D209" s="88" t="e">
        <f ca="1">0.001*INDIRECT($B209&amp;"!E9")</f>
        <v>#VALUE!</v>
      </c>
      <c r="E209" s="21"/>
      <c r="F209" s="122" t="str">
        <f>F208</f>
        <v>artwork</v>
      </c>
      <c r="G209" s="130" t="s">
        <v>63</v>
      </c>
      <c r="H209" s="88" t="e">
        <f ca="1">0.001*INDIRECT($B209&amp;"!AC9")</f>
        <v>#VALUE!</v>
      </c>
      <c r="J209" s="22" t="e">
        <f ca="1">H209/D209-1</f>
        <v>#VALUE!</v>
      </c>
      <c r="L209" s="94" t="str">
        <f ca="1">INDIRECT($B209&amp;"!"&amp;L$3&amp;"9")</f>
        <v/>
      </c>
      <c r="M209" s="95" t="str">
        <f ca="1">INDIRECT($B209&amp;"!"&amp;M$3&amp;"9")</f>
        <v/>
      </c>
      <c r="N209" s="96" t="e">
        <f ca="1">M209-L209</f>
        <v>#VALUE!</v>
      </c>
      <c r="O209" s="21"/>
      <c r="P209" s="26"/>
      <c r="AB209" s="82"/>
    </row>
    <row r="210" spans="2:28" x14ac:dyDescent="0.25">
      <c r="B210" s="109"/>
      <c r="C210" s="110"/>
      <c r="D210" s="91"/>
      <c r="F210" s="109"/>
      <c r="G210" s="110"/>
      <c r="H210" s="91"/>
      <c r="J210" s="98" t="e">
        <f ca="1">MIN(D205:D209,H205:H209)</f>
        <v>#VALUE!</v>
      </c>
      <c r="L210" s="99"/>
      <c r="M210" s="100"/>
      <c r="N210" s="101"/>
      <c r="O210" s="21"/>
      <c r="P210" s="115"/>
    </row>
    <row r="211" spans="2:28" ht="16.5" customHeight="1" thickBot="1" x14ac:dyDescent="0.3">
      <c r="B211" s="89"/>
      <c r="C211" s="92"/>
      <c r="D211" s="90"/>
      <c r="E211" s="21"/>
      <c r="F211" s="89"/>
      <c r="G211" s="92"/>
      <c r="H211" s="90"/>
      <c r="J211" s="102" t="e">
        <f ca="1">MAX(D205:D209,H205:H209)</f>
        <v>#VALUE!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28" ht="16.5" customHeight="1" thickBot="1" x14ac:dyDescent="0.3"/>
    <row r="213" spans="2:28" x14ac:dyDescent="0.25">
      <c r="B213" s="257" t="s">
        <v>71</v>
      </c>
      <c r="C213" s="258"/>
      <c r="D213" s="259"/>
      <c r="E213" s="2"/>
      <c r="F213" s="257" t="str">
        <f>B213</f>
        <v>panda</v>
      </c>
      <c r="G213" s="258"/>
      <c r="H213" s="259"/>
      <c r="J213" s="115"/>
      <c r="L213" s="265" t="str">
        <f>F213</f>
        <v>panda</v>
      </c>
      <c r="M213" s="255"/>
      <c r="N213" s="256"/>
      <c r="O213" s="195"/>
      <c r="P213" s="115"/>
    </row>
    <row r="214" spans="2:28" x14ac:dyDescent="0.25">
      <c r="B214" s="263" t="s">
        <v>52</v>
      </c>
      <c r="C214" s="264"/>
      <c r="D214" s="87" t="s">
        <v>53</v>
      </c>
      <c r="E214" s="21"/>
      <c r="F214" s="263" t="s">
        <v>52</v>
      </c>
      <c r="G214" s="264"/>
      <c r="H214" s="87" t="s">
        <v>53</v>
      </c>
      <c r="J214" s="116" t="s">
        <v>54</v>
      </c>
      <c r="L214" s="267" t="s">
        <v>75</v>
      </c>
      <c r="M214" s="268"/>
      <c r="N214" s="269"/>
      <c r="O214" s="85"/>
      <c r="P214" s="3"/>
    </row>
    <row r="215" spans="2:28" x14ac:dyDescent="0.25">
      <c r="B215" s="191" t="s">
        <v>3</v>
      </c>
      <c r="C215" s="130" t="s">
        <v>56</v>
      </c>
      <c r="D215" s="86" t="s">
        <v>57</v>
      </c>
      <c r="E215" s="21"/>
      <c r="F215" s="191" t="s">
        <v>3</v>
      </c>
      <c r="G215" s="130" t="s">
        <v>56</v>
      </c>
      <c r="H215" s="86" t="s">
        <v>57</v>
      </c>
      <c r="I215" s="2"/>
      <c r="J215" s="93"/>
      <c r="L215" s="192" t="str">
        <f>CONCATENATE(B$2," ",L213)</f>
        <v>G-PCC v1 Anchor panda</v>
      </c>
      <c r="M215" s="193" t="str">
        <f>CONCATENATE(F$2," ",L213)</f>
        <v>G-PCC v1 Proposal panda</v>
      </c>
      <c r="N215" s="194" t="s">
        <v>58</v>
      </c>
      <c r="O215" s="2"/>
      <c r="P215" s="3" t="s">
        <v>49</v>
      </c>
      <c r="Q215" s="2"/>
      <c r="R215" s="2"/>
      <c r="S215" s="2"/>
      <c r="T215" s="2"/>
      <c r="U215" s="2"/>
      <c r="V215" s="2"/>
      <c r="X215" s="195"/>
      <c r="Y215" s="195"/>
      <c r="Z215" s="195"/>
    </row>
    <row r="216" spans="2:28" x14ac:dyDescent="0.25">
      <c r="B216" s="122" t="str">
        <f>B213</f>
        <v>panda</v>
      </c>
      <c r="C216" s="130" t="s">
        <v>59</v>
      </c>
      <c r="D216" s="88" t="e">
        <f ca="1">0.001*INDIRECT($B216&amp;"!E5")</f>
        <v>#VALUE!</v>
      </c>
      <c r="E216" s="21"/>
      <c r="F216" s="122" t="str">
        <f>F213</f>
        <v>panda</v>
      </c>
      <c r="G216" s="130" t="s">
        <v>59</v>
      </c>
      <c r="H216" s="88" t="e">
        <f ca="1">0.001*INDIRECT($B216&amp;"!AC5")</f>
        <v>#VALUE!</v>
      </c>
      <c r="I216" s="9"/>
      <c r="J216" s="22" t="e">
        <f ca="1">H216/D216-1</f>
        <v>#VALUE!</v>
      </c>
      <c r="L216" s="94" t="str">
        <f ca="1">INDIRECT($B216&amp;"!"&amp;L$3&amp;"5")</f>
        <v/>
      </c>
      <c r="M216" s="95" t="str">
        <f ca="1">INDIRECT($B216&amp;"!"&amp;M$3&amp;"5")</f>
        <v/>
      </c>
      <c r="N216" s="96" t="e">
        <f ca="1">M216-L216</f>
        <v>#VALUE!</v>
      </c>
      <c r="O216" s="21"/>
      <c r="P216" s="22" t="e">
        <f ca="1">bdRateExtend(D216:D220,L216:L220,H216:H220,M216:M220)</f>
        <v>#VALUE!</v>
      </c>
      <c r="Q216" s="21"/>
      <c r="R216" s="9"/>
      <c r="S216" s="9"/>
      <c r="T216" s="9"/>
      <c r="U216" s="9"/>
      <c r="V216" s="80"/>
      <c r="X216" s="6"/>
      <c r="Y216" s="6"/>
      <c r="Z216" s="81"/>
      <c r="AB216" s="82"/>
    </row>
    <row r="217" spans="2:28" x14ac:dyDescent="0.25">
      <c r="B217" s="122" t="str">
        <f>B216</f>
        <v>panda</v>
      </c>
      <c r="C217" s="130" t="s">
        <v>60</v>
      </c>
      <c r="D217" s="88" t="e">
        <f ca="1">0.001*INDIRECT($B217&amp;"!E6")</f>
        <v>#VALUE!</v>
      </c>
      <c r="E217" s="21"/>
      <c r="F217" s="122" t="str">
        <f>F216</f>
        <v>panda</v>
      </c>
      <c r="G217" s="130" t="s">
        <v>60</v>
      </c>
      <c r="H217" s="88" t="e">
        <f ca="1">0.001*INDIRECT($B217&amp;"!AC6")</f>
        <v>#VALUE!</v>
      </c>
      <c r="I217" s="9"/>
      <c r="J217" s="22" t="e">
        <f ca="1">H217/D217-1</f>
        <v>#VALUE!</v>
      </c>
      <c r="L217" s="94" t="str">
        <f ca="1">INDIRECT($B217&amp;"!"&amp;L$3&amp;"6")</f>
        <v/>
      </c>
      <c r="M217" s="95" t="str">
        <f ca="1">INDIRECT($B217&amp;"!"&amp;M$3&amp;"6")</f>
        <v/>
      </c>
      <c r="N217" s="96" t="e">
        <f ca="1">M217-L217</f>
        <v>#VALUE!</v>
      </c>
      <c r="O217" s="21"/>
      <c r="P217" s="3"/>
      <c r="Q217" s="21"/>
      <c r="R217" s="9"/>
      <c r="S217" s="9"/>
      <c r="T217" s="9"/>
      <c r="U217" s="9"/>
      <c r="V217" s="80"/>
      <c r="X217" s="6"/>
      <c r="Y217" s="6"/>
      <c r="Z217" s="81"/>
    </row>
    <row r="218" spans="2:28" x14ac:dyDescent="0.25">
      <c r="B218" s="122" t="str">
        <f>B217</f>
        <v>panda</v>
      </c>
      <c r="C218" s="130" t="s">
        <v>61</v>
      </c>
      <c r="D218" s="88" t="e">
        <f ca="1">0.001*INDIRECT($B218&amp;"!E7")</f>
        <v>#VALUE!</v>
      </c>
      <c r="E218" s="21"/>
      <c r="F218" s="122" t="str">
        <f>F217</f>
        <v>panda</v>
      </c>
      <c r="G218" s="130" t="s">
        <v>61</v>
      </c>
      <c r="H218" s="88" t="e">
        <f ca="1">0.001*INDIRECT($B218&amp;"!AC7")</f>
        <v>#VALUE!</v>
      </c>
      <c r="I218" s="9"/>
      <c r="J218" s="22" t="e">
        <f ca="1">H218/D218-1</f>
        <v>#VALUE!</v>
      </c>
      <c r="L218" s="94" t="str">
        <f ca="1">INDIRECT($B218&amp;"!"&amp;L$3&amp;"7")</f>
        <v/>
      </c>
      <c r="M218" s="95" t="str">
        <f ca="1">INDIRECT($B218&amp;"!"&amp;M$3&amp;"7")</f>
        <v/>
      </c>
      <c r="N218" s="96" t="e">
        <f ca="1">M218-L218</f>
        <v>#VALUE!</v>
      </c>
      <c r="O218" s="21"/>
      <c r="P218" s="3"/>
      <c r="Q218" s="21"/>
      <c r="R218" s="9"/>
      <c r="S218" s="9"/>
      <c r="T218" s="9"/>
      <c r="U218" s="9"/>
      <c r="V218" s="80"/>
      <c r="X218" s="6"/>
      <c r="Y218" s="6"/>
      <c r="Z218" s="81"/>
    </row>
    <row r="219" spans="2:28" ht="16.5" customHeight="1" x14ac:dyDescent="0.25">
      <c r="B219" s="122" t="str">
        <f>B218</f>
        <v>panda</v>
      </c>
      <c r="C219" s="130" t="s">
        <v>62</v>
      </c>
      <c r="D219" s="88" t="e">
        <f ca="1">0.001*INDIRECT($B219&amp;"!E8")</f>
        <v>#VALUE!</v>
      </c>
      <c r="E219" s="21"/>
      <c r="F219" s="122" t="str">
        <f>F218</f>
        <v>panda</v>
      </c>
      <c r="G219" s="130" t="s">
        <v>62</v>
      </c>
      <c r="H219" s="88" t="e">
        <f ca="1">0.001*INDIRECT($B219&amp;"!AC8")</f>
        <v>#VALUE!</v>
      </c>
      <c r="I219" s="9"/>
      <c r="J219" s="22" t="e">
        <f ca="1">H219/D219-1</f>
        <v>#VALUE!</v>
      </c>
      <c r="L219" s="94" t="str">
        <f ca="1">INDIRECT($B219&amp;"!"&amp;L$3&amp;"8")</f>
        <v/>
      </c>
      <c r="M219" s="95" t="str">
        <f ca="1">INDIRECT($B219&amp;"!"&amp;M$3&amp;"8")</f>
        <v/>
      </c>
      <c r="N219" s="96" t="e">
        <f ca="1">M219-L219</f>
        <v>#VALUE!</v>
      </c>
      <c r="O219" s="21"/>
      <c r="P219" s="182"/>
      <c r="Q219" s="21"/>
      <c r="R219" s="9"/>
      <c r="S219" s="9"/>
      <c r="T219" s="9"/>
      <c r="U219" s="9"/>
      <c r="V219" s="80"/>
      <c r="X219" s="6"/>
      <c r="Y219" s="6"/>
      <c r="Z219" s="81"/>
      <c r="AB219" s="82"/>
    </row>
    <row r="220" spans="2:28" ht="16.2" thickBot="1" x14ac:dyDescent="0.3">
      <c r="B220" s="122" t="str">
        <f>B219</f>
        <v>panda</v>
      </c>
      <c r="C220" s="130" t="s">
        <v>63</v>
      </c>
      <c r="D220" s="88" t="e">
        <f ca="1">0.001*INDIRECT($B220&amp;"!E9")</f>
        <v>#VALUE!</v>
      </c>
      <c r="E220" s="21"/>
      <c r="F220" s="122" t="str">
        <f>F219</f>
        <v>panda</v>
      </c>
      <c r="G220" s="130" t="s">
        <v>63</v>
      </c>
      <c r="H220" s="88" t="e">
        <f ca="1">0.001*INDIRECT($B220&amp;"!AC9")</f>
        <v>#VALUE!</v>
      </c>
      <c r="I220" s="9"/>
      <c r="J220" s="22" t="e">
        <f ca="1">H220/D220-1</f>
        <v>#VALUE!</v>
      </c>
      <c r="L220" s="94" t="str">
        <f ca="1">INDIRECT($B220&amp;"!"&amp;L$3&amp;"9")</f>
        <v/>
      </c>
      <c r="M220" s="95" t="str">
        <f ca="1">INDIRECT($B220&amp;"!"&amp;M$3&amp;"9")</f>
        <v/>
      </c>
      <c r="N220" s="96" t="e">
        <f ca="1">M220-L220</f>
        <v>#VALUE!</v>
      </c>
      <c r="O220" s="21"/>
      <c r="P220" s="26"/>
      <c r="Q220" s="21"/>
      <c r="R220" s="9"/>
      <c r="S220" s="9"/>
      <c r="T220" s="9"/>
      <c r="U220" s="9"/>
      <c r="V220" s="83"/>
      <c r="X220" s="6"/>
      <c r="Y220" s="6"/>
      <c r="Z220" s="81"/>
    </row>
    <row r="221" spans="2:28" ht="16.5" customHeight="1" x14ac:dyDescent="0.25">
      <c r="B221" s="109"/>
      <c r="C221" s="110"/>
      <c r="D221" s="91"/>
      <c r="F221" s="109"/>
      <c r="G221" s="110"/>
      <c r="H221" s="91"/>
      <c r="I221" s="9"/>
      <c r="J221" s="98" t="e">
        <f ca="1">MIN(D216:D220,H216:H220)</f>
        <v>#VALUE!</v>
      </c>
      <c r="L221" s="99"/>
      <c r="M221" s="100"/>
      <c r="N221" s="101"/>
      <c r="O221" s="21"/>
      <c r="P221" s="115"/>
      <c r="Q221" s="21"/>
      <c r="R221" s="9"/>
      <c r="S221" s="9"/>
      <c r="T221" s="9"/>
      <c r="U221" s="9"/>
      <c r="V221" s="83"/>
      <c r="X221" s="84"/>
      <c r="Y221" s="84"/>
      <c r="Z221" s="81"/>
    </row>
    <row r="222" spans="2:28" ht="16.2" thickBot="1" x14ac:dyDescent="0.3">
      <c r="B222" s="89"/>
      <c r="C222" s="92"/>
      <c r="D222" s="90"/>
      <c r="E222" s="21"/>
      <c r="F222" s="89"/>
      <c r="G222" s="92"/>
      <c r="H222" s="90"/>
      <c r="J222" s="102" t="e">
        <f ca="1">MAX(D216:D220,H216:H220)</f>
        <v>#VALUE!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28" ht="16.2" thickBot="1" x14ac:dyDescent="0.3"/>
    <row r="224" spans="2:28" x14ac:dyDescent="0.25">
      <c r="B224" s="257" t="s">
        <v>72</v>
      </c>
      <c r="C224" s="258"/>
      <c r="D224" s="259"/>
      <c r="E224" s="2"/>
      <c r="F224" s="257" t="str">
        <f>B224</f>
        <v>wukong</v>
      </c>
      <c r="G224" s="258"/>
      <c r="H224" s="259"/>
      <c r="J224" s="115"/>
      <c r="L224" s="265" t="str">
        <f>F224</f>
        <v>wukong</v>
      </c>
      <c r="M224" s="255"/>
      <c r="N224" s="256"/>
      <c r="O224" s="195"/>
      <c r="P224" s="115"/>
    </row>
    <row r="225" spans="2:16" x14ac:dyDescent="0.25">
      <c r="B225" s="263" t="s">
        <v>52</v>
      </c>
      <c r="C225" s="264"/>
      <c r="D225" s="87" t="s">
        <v>53</v>
      </c>
      <c r="E225" s="21"/>
      <c r="F225" s="263" t="s">
        <v>52</v>
      </c>
      <c r="G225" s="264"/>
      <c r="H225" s="87" t="s">
        <v>53</v>
      </c>
      <c r="J225" s="116" t="s">
        <v>54</v>
      </c>
      <c r="L225" s="267" t="s">
        <v>75</v>
      </c>
      <c r="M225" s="268"/>
      <c r="N225" s="269"/>
      <c r="O225" s="85"/>
      <c r="P225" s="3"/>
    </row>
    <row r="226" spans="2:16" x14ac:dyDescent="0.25">
      <c r="B226" s="191" t="s">
        <v>3</v>
      </c>
      <c r="C226" s="130" t="s">
        <v>56</v>
      </c>
      <c r="D226" s="86" t="s">
        <v>57</v>
      </c>
      <c r="E226" s="21"/>
      <c r="F226" s="191" t="s">
        <v>3</v>
      </c>
      <c r="G226" s="130" t="s">
        <v>56</v>
      </c>
      <c r="H226" s="86" t="s">
        <v>57</v>
      </c>
      <c r="J226" s="93"/>
      <c r="L226" s="192" t="str">
        <f>CONCATENATE(B$2," ",L224)</f>
        <v>G-PCC v1 Anchor wukong</v>
      </c>
      <c r="M226" s="193" t="str">
        <f>CONCATENATE(F$2," ",L224)</f>
        <v>G-PCC v1 Proposal wukong</v>
      </c>
      <c r="N226" s="194" t="s">
        <v>58</v>
      </c>
      <c r="O226" s="2"/>
      <c r="P226" s="3" t="s">
        <v>49</v>
      </c>
    </row>
    <row r="227" spans="2:16" x14ac:dyDescent="0.25">
      <c r="B227" s="122" t="str">
        <f>B224</f>
        <v>wukong</v>
      </c>
      <c r="C227" s="130" t="s">
        <v>59</v>
      </c>
      <c r="D227" s="88" t="e">
        <f ca="1">0.001*INDIRECT($B227&amp;"!E5")</f>
        <v>#VALUE!</v>
      </c>
      <c r="E227" s="21"/>
      <c r="F227" s="122" t="str">
        <f>F224</f>
        <v>wukong</v>
      </c>
      <c r="G227" s="130" t="s">
        <v>59</v>
      </c>
      <c r="H227" s="88" t="e">
        <f ca="1">0.001*INDIRECT($B227&amp;"!AC5")</f>
        <v>#VALUE!</v>
      </c>
      <c r="J227" s="22" t="e">
        <f ca="1">H227/D227-1</f>
        <v>#VALUE!</v>
      </c>
      <c r="L227" s="94" t="str">
        <f ca="1">INDIRECT($B227&amp;"!"&amp;L$3&amp;"5")</f>
        <v/>
      </c>
      <c r="M227" s="95" t="str">
        <f ca="1">INDIRECT($B227&amp;"!"&amp;M$3&amp;"5")</f>
        <v/>
      </c>
      <c r="N227" s="96" t="e">
        <f ca="1">M227-L227</f>
        <v>#VALUE!</v>
      </c>
      <c r="O227" s="21"/>
      <c r="P227" s="22" t="e">
        <f ca="1">bdRateExtend(D227:D231,L227:L231,H227:H231,M227:M231)</f>
        <v>#VALUE!</v>
      </c>
    </row>
    <row r="228" spans="2:16" x14ac:dyDescent="0.25">
      <c r="B228" s="122" t="str">
        <f>B227</f>
        <v>wukong</v>
      </c>
      <c r="C228" s="130" t="s">
        <v>60</v>
      </c>
      <c r="D228" s="88" t="e">
        <f ca="1">0.001*INDIRECT($B228&amp;"!E6")</f>
        <v>#VALUE!</v>
      </c>
      <c r="E228" s="21"/>
      <c r="F228" s="122" t="str">
        <f>F227</f>
        <v>wukong</v>
      </c>
      <c r="G228" s="130" t="s">
        <v>60</v>
      </c>
      <c r="H228" s="88" t="e">
        <f ca="1">0.001*INDIRECT($B228&amp;"!AC6")</f>
        <v>#VALUE!</v>
      </c>
      <c r="J228" s="22" t="e">
        <f ca="1">H228/D228-1</f>
        <v>#VALUE!</v>
      </c>
      <c r="L228" s="94" t="str">
        <f ca="1">INDIRECT($B228&amp;"!"&amp;L$3&amp;"6")</f>
        <v/>
      </c>
      <c r="M228" s="95" t="str">
        <f ca="1">INDIRECT($B228&amp;"!"&amp;M$3&amp;"6")</f>
        <v/>
      </c>
      <c r="N228" s="96" t="e">
        <f ca="1">M228-L228</f>
        <v>#VALUE!</v>
      </c>
      <c r="O228" s="21"/>
      <c r="P228" s="3"/>
    </row>
    <row r="229" spans="2:16" x14ac:dyDescent="0.25">
      <c r="B229" s="122" t="str">
        <f>B228</f>
        <v>wukong</v>
      </c>
      <c r="C229" s="130" t="s">
        <v>61</v>
      </c>
      <c r="D229" s="88" t="e">
        <f ca="1">0.001*INDIRECT($B229&amp;"!E7")</f>
        <v>#VALUE!</v>
      </c>
      <c r="E229" s="21"/>
      <c r="F229" s="122" t="str">
        <f>F228</f>
        <v>wukong</v>
      </c>
      <c r="G229" s="130" t="s">
        <v>61</v>
      </c>
      <c r="H229" s="88" t="e">
        <f ca="1">0.001*INDIRECT($B229&amp;"!AC7")</f>
        <v>#VALUE!</v>
      </c>
      <c r="J229" s="22" t="e">
        <f ca="1">H229/D229-1</f>
        <v>#VALUE!</v>
      </c>
      <c r="L229" s="94" t="str">
        <f ca="1">INDIRECT($B229&amp;"!"&amp;L$3&amp;"7")</f>
        <v/>
      </c>
      <c r="M229" s="95" t="str">
        <f ca="1">INDIRECT($B229&amp;"!"&amp;M$3&amp;"7")</f>
        <v/>
      </c>
      <c r="N229" s="96" t="e">
        <f ca="1">M229-L229</f>
        <v>#VALUE!</v>
      </c>
      <c r="O229" s="21"/>
      <c r="P229" s="3"/>
    </row>
    <row r="230" spans="2:16" x14ac:dyDescent="0.25">
      <c r="B230" s="122" t="str">
        <f>B229</f>
        <v>wukong</v>
      </c>
      <c r="C230" s="130" t="s">
        <v>62</v>
      </c>
      <c r="D230" s="88" t="e">
        <f ca="1">0.001*INDIRECT($B230&amp;"!E8")</f>
        <v>#VALUE!</v>
      </c>
      <c r="E230" s="21"/>
      <c r="F230" s="122" t="str">
        <f>F229</f>
        <v>wukong</v>
      </c>
      <c r="G230" s="130" t="s">
        <v>62</v>
      </c>
      <c r="H230" s="88" t="e">
        <f ca="1">0.001*INDIRECT($B230&amp;"!AC8")</f>
        <v>#VALUE!</v>
      </c>
      <c r="J230" s="22" t="e">
        <f ca="1">H230/D230-1</f>
        <v>#VALUE!</v>
      </c>
      <c r="L230" s="94" t="str">
        <f ca="1">INDIRECT($B230&amp;"!"&amp;L$3&amp;"8")</f>
        <v/>
      </c>
      <c r="M230" s="95" t="str">
        <f ca="1">INDIRECT($B230&amp;"!"&amp;M$3&amp;"8")</f>
        <v/>
      </c>
      <c r="N230" s="96" t="e">
        <f ca="1">M230-L230</f>
        <v>#VALUE!</v>
      </c>
      <c r="O230" s="21"/>
      <c r="P230" s="182"/>
    </row>
    <row r="231" spans="2:16" ht="16.2" thickBot="1" x14ac:dyDescent="0.3">
      <c r="B231" s="122" t="str">
        <f>B230</f>
        <v>wukong</v>
      </c>
      <c r="C231" s="130" t="s">
        <v>63</v>
      </c>
      <c r="D231" s="88" t="e">
        <f ca="1">0.001*INDIRECT($B231&amp;"!E9")</f>
        <v>#VALUE!</v>
      </c>
      <c r="E231" s="21"/>
      <c r="F231" s="122" t="str">
        <f>F230</f>
        <v>wukong</v>
      </c>
      <c r="G231" s="130" t="s">
        <v>63</v>
      </c>
      <c r="H231" s="88" t="e">
        <f ca="1">0.001*INDIRECT($B231&amp;"!AC9")</f>
        <v>#VALUE!</v>
      </c>
      <c r="J231" s="22" t="e">
        <f ca="1">H231/D231-1</f>
        <v>#VALUE!</v>
      </c>
      <c r="L231" s="94" t="str">
        <f ca="1">INDIRECT($B231&amp;"!"&amp;L$3&amp;"9")</f>
        <v/>
      </c>
      <c r="M231" s="95" t="str">
        <f ca="1">INDIRECT($B231&amp;"!"&amp;M$3&amp;"9")</f>
        <v/>
      </c>
      <c r="N231" s="96" t="e">
        <f ca="1">M231-L231</f>
        <v>#VALUE!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 t="e">
        <f ca="1">MIN(D227:D231,H227:H231)</f>
        <v>#VALUE!</v>
      </c>
      <c r="L232" s="99"/>
      <c r="M232" s="100"/>
      <c r="N232" s="101"/>
      <c r="O232" s="21"/>
      <c r="P232" s="115"/>
    </row>
    <row r="233" spans="2:16" ht="16.2" thickBot="1" x14ac:dyDescent="0.3">
      <c r="B233" s="89"/>
      <c r="C233" s="92"/>
      <c r="D233" s="90"/>
      <c r="E233" s="21"/>
      <c r="F233" s="89"/>
      <c r="G233" s="92"/>
      <c r="H233" s="90"/>
      <c r="J233" s="102" t="e">
        <f ca="1">MAX(D227:D231,H227:H231)</f>
        <v>#VALUE!</v>
      </c>
      <c r="L233" s="103">
        <f>L232</f>
        <v>0</v>
      </c>
      <c r="M233" s="104">
        <f>M232</f>
        <v>0</v>
      </c>
      <c r="N233" s="97"/>
      <c r="O233" s="21"/>
      <c r="P233" s="5"/>
    </row>
  </sheetData>
  <mergeCells count="159">
    <mergeCell ref="B82:C82"/>
    <mergeCell ref="F82:G82"/>
    <mergeCell ref="L82:N82"/>
    <mergeCell ref="R82:T82"/>
    <mergeCell ref="X82:Z82"/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X103:Z103"/>
    <mergeCell ref="R104:T104"/>
    <mergeCell ref="X104:Z104"/>
    <mergeCell ref="X92:Z92"/>
    <mergeCell ref="R93:T93"/>
    <mergeCell ref="X93:Z93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F4:H4"/>
    <mergeCell ref="F5:G5"/>
    <mergeCell ref="L5:N5"/>
    <mergeCell ref="X15:Z15"/>
    <mergeCell ref="B2:D2"/>
    <mergeCell ref="F2:H2"/>
    <mergeCell ref="L2:N2"/>
    <mergeCell ref="B15:D15"/>
    <mergeCell ref="F15:H15"/>
    <mergeCell ref="L15:N15"/>
    <mergeCell ref="B4:D4"/>
    <mergeCell ref="B5:C5"/>
    <mergeCell ref="L4:N4"/>
    <mergeCell ref="R5:T5"/>
    <mergeCell ref="X5:Z5"/>
    <mergeCell ref="X4:Z4"/>
    <mergeCell ref="B126:C126"/>
    <mergeCell ref="F126:G126"/>
    <mergeCell ref="B136:D136"/>
    <mergeCell ref="F136:H136"/>
    <mergeCell ref="B137:C137"/>
    <mergeCell ref="F137:G137"/>
    <mergeCell ref="B114:D114"/>
    <mergeCell ref="F114:H114"/>
    <mergeCell ref="B115:C115"/>
    <mergeCell ref="F115:G115"/>
    <mergeCell ref="B125:D125"/>
    <mergeCell ref="F125:H125"/>
    <mergeCell ref="B159:C159"/>
    <mergeCell ref="F159:G159"/>
    <mergeCell ref="B169:D169"/>
    <mergeCell ref="F169:H169"/>
    <mergeCell ref="B170:C170"/>
    <mergeCell ref="F170:G170"/>
    <mergeCell ref="B147:D147"/>
    <mergeCell ref="F147:H147"/>
    <mergeCell ref="B148:C148"/>
    <mergeCell ref="F148:G148"/>
    <mergeCell ref="B158:D158"/>
    <mergeCell ref="F158:H158"/>
    <mergeCell ref="F202:H202"/>
    <mergeCell ref="B203:C203"/>
    <mergeCell ref="F203:G203"/>
    <mergeCell ref="B180:D180"/>
    <mergeCell ref="F180:H180"/>
    <mergeCell ref="B181:C181"/>
    <mergeCell ref="F181:G181"/>
    <mergeCell ref="B191:D191"/>
    <mergeCell ref="F191:H191"/>
    <mergeCell ref="B225:C225"/>
    <mergeCell ref="F225:G225"/>
    <mergeCell ref="L114:N114"/>
    <mergeCell ref="L115:N115"/>
    <mergeCell ref="L126:N126"/>
    <mergeCell ref="L136:N136"/>
    <mergeCell ref="L137:N137"/>
    <mergeCell ref="L147:N147"/>
    <mergeCell ref="L148:N148"/>
    <mergeCell ref="L158:N158"/>
    <mergeCell ref="L159:N159"/>
    <mergeCell ref="L169:N169"/>
    <mergeCell ref="L170:N170"/>
    <mergeCell ref="L180:N180"/>
    <mergeCell ref="L181:N181"/>
    <mergeCell ref="B213:D213"/>
    <mergeCell ref="F213:H213"/>
    <mergeCell ref="B214:C214"/>
    <mergeCell ref="F214:G214"/>
    <mergeCell ref="B224:D224"/>
    <mergeCell ref="F224:H224"/>
    <mergeCell ref="B192:C192"/>
    <mergeCell ref="F192:G192"/>
    <mergeCell ref="B202:D202"/>
    <mergeCell ref="L214:N214"/>
    <mergeCell ref="L224:N224"/>
    <mergeCell ref="L225:N225"/>
    <mergeCell ref="L125:N125"/>
    <mergeCell ref="L191:N191"/>
    <mergeCell ref="L192:N192"/>
    <mergeCell ref="L202:N202"/>
    <mergeCell ref="L203:N203"/>
    <mergeCell ref="L213:N213"/>
  </mergeCells>
  <phoneticPr fontId="26"/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dxfId="1105" priority="1097" stopIfTrue="1" operator="lessThan">
      <formula>-0.01</formula>
    </cfRule>
    <cfRule type="cellIs" dxfId="1104" priority="1098" stopIfTrue="1" operator="greaterThan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dxfId="1103" priority="1092" operator="greaterThan">
      <formula>0.03</formula>
    </cfRule>
    <cfRule type="cellIs" dxfId="1102" priority="1093" stopIfTrue="1" operator="lessThan">
      <formula>-0.03</formula>
    </cfRule>
  </conditionalFormatting>
  <conditionalFormatting sqref="AB22">
    <cfRule type="cellIs" dxfId="1101" priority="1090" operator="lessThan">
      <formula>-0.03</formula>
    </cfRule>
    <cfRule type="cellIs" dxfId="1100" priority="1091" stopIfTrue="1" operator="greaterThan">
      <formula>0.03</formula>
    </cfRule>
  </conditionalFormatting>
  <conditionalFormatting sqref="Z18">
    <cfRule type="cellIs" dxfId="1099" priority="1088" stopIfTrue="1" operator="lessThan">
      <formula>-0.01</formula>
    </cfRule>
    <cfRule type="cellIs" dxfId="1098" priority="1089" stopIfTrue="1" operator="greaterThan">
      <formula>0.01</formula>
    </cfRule>
  </conditionalFormatting>
  <conditionalFormatting sqref="Z19">
    <cfRule type="cellIs" dxfId="1097" priority="1086" stopIfTrue="1" operator="lessThan">
      <formula>-0.01</formula>
    </cfRule>
    <cfRule type="cellIs" dxfId="1096" priority="1087" stopIfTrue="1" operator="greaterThan">
      <formula>0.01</formula>
    </cfRule>
  </conditionalFormatting>
  <conditionalFormatting sqref="Z20:Z21">
    <cfRule type="cellIs" dxfId="1095" priority="1084" stopIfTrue="1" operator="lessThan">
      <formula>-0.01</formula>
    </cfRule>
    <cfRule type="cellIs" dxfId="1094" priority="1085" stopIfTrue="1" operator="greaterThan">
      <formula>0.01</formula>
    </cfRule>
  </conditionalFormatting>
  <conditionalFormatting sqref="Z22">
    <cfRule type="cellIs" dxfId="1093" priority="1082" stopIfTrue="1" operator="lessThan">
      <formula>-0.01</formula>
    </cfRule>
    <cfRule type="cellIs" dxfId="1092" priority="1083" stopIfTrue="1" operator="greaterThan">
      <formula>0.01</formula>
    </cfRule>
  </conditionalFormatting>
  <conditionalFormatting sqref="V18:V22">
    <cfRule type="cellIs" dxfId="1091" priority="1080" operator="greaterThan">
      <formula>0.03</formula>
    </cfRule>
    <cfRule type="cellIs" dxfId="1090" priority="1081" stopIfTrue="1" operator="lessThan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dxfId="1089" priority="1074" stopIfTrue="1" operator="lessThan">
      <formula>-0.01</formula>
    </cfRule>
    <cfRule type="cellIs" dxfId="1088" priority="1075" stopIfTrue="1" operator="greaterThan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dxfId="1087" priority="1070" operator="greaterThan">
      <formula>0.03</formula>
    </cfRule>
    <cfRule type="cellIs" dxfId="1086" priority="1071" stopIfTrue="1" operator="lessThan">
      <formula>-0.03</formula>
    </cfRule>
  </conditionalFormatting>
  <conditionalFormatting sqref="AB33">
    <cfRule type="cellIs" dxfId="1085" priority="1068" operator="lessThan">
      <formula>-0.03</formula>
    </cfRule>
    <cfRule type="cellIs" dxfId="1084" priority="1069" stopIfTrue="1" operator="greaterThan">
      <formula>0.03</formula>
    </cfRule>
  </conditionalFormatting>
  <conditionalFormatting sqref="Z29">
    <cfRule type="cellIs" dxfId="1083" priority="1066" stopIfTrue="1" operator="lessThan">
      <formula>-0.01</formula>
    </cfRule>
    <cfRule type="cellIs" dxfId="1082" priority="1067" stopIfTrue="1" operator="greaterThan">
      <formula>0.01</formula>
    </cfRule>
  </conditionalFormatting>
  <conditionalFormatting sqref="Z30">
    <cfRule type="cellIs" dxfId="1081" priority="1064" stopIfTrue="1" operator="lessThan">
      <formula>-0.01</formula>
    </cfRule>
    <cfRule type="cellIs" dxfId="1080" priority="1065" stopIfTrue="1" operator="greaterThan">
      <formula>0.01</formula>
    </cfRule>
  </conditionalFormatting>
  <conditionalFormatting sqref="Z31:Z32">
    <cfRule type="cellIs" dxfId="1079" priority="1062" stopIfTrue="1" operator="lessThan">
      <formula>-0.01</formula>
    </cfRule>
    <cfRule type="cellIs" dxfId="1078" priority="1063" stopIfTrue="1" operator="greaterThan">
      <formula>0.01</formula>
    </cfRule>
  </conditionalFormatting>
  <conditionalFormatting sqref="Z33">
    <cfRule type="cellIs" dxfId="1077" priority="1060" stopIfTrue="1" operator="lessThan">
      <formula>-0.01</formula>
    </cfRule>
    <cfRule type="cellIs" dxfId="1076" priority="1061" stopIfTrue="1" operator="greaterThan">
      <formula>0.01</formula>
    </cfRule>
  </conditionalFormatting>
  <conditionalFormatting sqref="V29:V33">
    <cfRule type="cellIs" dxfId="1075" priority="1058" operator="greaterThan">
      <formula>0.03</formula>
    </cfRule>
    <cfRule type="cellIs" dxfId="1074" priority="1059" stopIfTrue="1" operator="lessThan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dxfId="1073" priority="1052" stopIfTrue="1" operator="lessThan">
      <formula>-0.01</formula>
    </cfRule>
    <cfRule type="cellIs" dxfId="1072" priority="1053" stopIfTrue="1" operator="greaterThan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dxfId="1071" priority="1048" operator="greaterThan">
      <formula>0.03</formula>
    </cfRule>
    <cfRule type="cellIs" dxfId="1070" priority="1049" stopIfTrue="1" operator="lessThan">
      <formula>-0.03</formula>
    </cfRule>
  </conditionalFormatting>
  <conditionalFormatting sqref="AB44">
    <cfRule type="cellIs" dxfId="1069" priority="1046" operator="lessThan">
      <formula>-0.03</formula>
    </cfRule>
    <cfRule type="cellIs" dxfId="1068" priority="1047" stopIfTrue="1" operator="greaterThan">
      <formula>0.03</formula>
    </cfRule>
  </conditionalFormatting>
  <conditionalFormatting sqref="Z40">
    <cfRule type="cellIs" dxfId="1067" priority="1044" stopIfTrue="1" operator="lessThan">
      <formula>-0.01</formula>
    </cfRule>
    <cfRule type="cellIs" dxfId="1066" priority="1045" stopIfTrue="1" operator="greaterThan">
      <formula>0.01</formula>
    </cfRule>
  </conditionalFormatting>
  <conditionalFormatting sqref="Z41">
    <cfRule type="cellIs" dxfId="1065" priority="1042" stopIfTrue="1" operator="lessThan">
      <formula>-0.01</formula>
    </cfRule>
    <cfRule type="cellIs" dxfId="1064" priority="1043" stopIfTrue="1" operator="greaterThan">
      <formula>0.01</formula>
    </cfRule>
  </conditionalFormatting>
  <conditionalFormatting sqref="Z42:Z43">
    <cfRule type="cellIs" dxfId="1063" priority="1040" stopIfTrue="1" operator="lessThan">
      <formula>-0.01</formula>
    </cfRule>
    <cfRule type="cellIs" dxfId="1062" priority="1041" stopIfTrue="1" operator="greaterThan">
      <formula>0.01</formula>
    </cfRule>
  </conditionalFormatting>
  <conditionalFormatting sqref="Z44">
    <cfRule type="cellIs" dxfId="1061" priority="1038" stopIfTrue="1" operator="lessThan">
      <formula>-0.01</formula>
    </cfRule>
    <cfRule type="cellIs" dxfId="1060" priority="1039" stopIfTrue="1" operator="greaterThan">
      <formula>0.01</formula>
    </cfRule>
  </conditionalFormatting>
  <conditionalFormatting sqref="V40:V44">
    <cfRule type="cellIs" dxfId="1059" priority="1036" operator="greaterThan">
      <formula>0.03</formula>
    </cfRule>
    <cfRule type="cellIs" dxfId="1058" priority="1037" stopIfTrue="1" operator="lessThan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dxfId="1057" priority="1030" stopIfTrue="1" operator="lessThan">
      <formula>-0.01</formula>
    </cfRule>
    <cfRule type="cellIs" dxfId="1056" priority="1031" stopIfTrue="1" operator="greaterThan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dxfId="1055" priority="1026" operator="greaterThan">
      <formula>0.03</formula>
    </cfRule>
    <cfRule type="cellIs" dxfId="1054" priority="1027" stopIfTrue="1" operator="lessThan">
      <formula>-0.03</formula>
    </cfRule>
  </conditionalFormatting>
  <conditionalFormatting sqref="AB55">
    <cfRule type="cellIs" dxfId="1053" priority="1024" operator="lessThan">
      <formula>-0.03</formula>
    </cfRule>
    <cfRule type="cellIs" dxfId="1052" priority="1025" stopIfTrue="1" operator="greaterThan">
      <formula>0.03</formula>
    </cfRule>
  </conditionalFormatting>
  <conditionalFormatting sqref="Z51">
    <cfRule type="cellIs" dxfId="1051" priority="1022" stopIfTrue="1" operator="lessThan">
      <formula>-0.01</formula>
    </cfRule>
    <cfRule type="cellIs" dxfId="1050" priority="1023" stopIfTrue="1" operator="greaterThan">
      <formula>0.01</formula>
    </cfRule>
  </conditionalFormatting>
  <conditionalFormatting sqref="Z52">
    <cfRule type="cellIs" dxfId="1049" priority="1020" stopIfTrue="1" operator="lessThan">
      <formula>-0.01</formula>
    </cfRule>
    <cfRule type="cellIs" dxfId="1048" priority="1021" stopIfTrue="1" operator="greaterThan">
      <formula>0.01</formula>
    </cfRule>
  </conditionalFormatting>
  <conditionalFormatting sqref="Z53:Z54">
    <cfRule type="cellIs" dxfId="1047" priority="1018" stopIfTrue="1" operator="lessThan">
      <formula>-0.01</formula>
    </cfRule>
    <cfRule type="cellIs" dxfId="1046" priority="1019" stopIfTrue="1" operator="greaterThan">
      <formula>0.01</formula>
    </cfRule>
  </conditionalFormatting>
  <conditionalFormatting sqref="Z55">
    <cfRule type="cellIs" dxfId="1045" priority="1016" stopIfTrue="1" operator="lessThan">
      <formula>-0.01</formula>
    </cfRule>
    <cfRule type="cellIs" dxfId="1044" priority="1017" stopIfTrue="1" operator="greaterThan">
      <formula>0.01</formula>
    </cfRule>
  </conditionalFormatting>
  <conditionalFormatting sqref="V51:V55">
    <cfRule type="cellIs" dxfId="1043" priority="1014" operator="greaterThan">
      <formula>0.03</formula>
    </cfRule>
    <cfRule type="cellIs" dxfId="1042" priority="1015" stopIfTrue="1" operator="lessThan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dxfId="1041" priority="1008" stopIfTrue="1" operator="lessThan">
      <formula>-0.01</formula>
    </cfRule>
    <cfRule type="cellIs" dxfId="1040" priority="1009" stopIfTrue="1" operator="greaterThan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dxfId="1039" priority="1004" operator="greaterThan">
      <formula>0.03</formula>
    </cfRule>
    <cfRule type="cellIs" dxfId="1038" priority="1005" stopIfTrue="1" operator="lessThan">
      <formula>-0.03</formula>
    </cfRule>
  </conditionalFormatting>
  <conditionalFormatting sqref="AB66">
    <cfRule type="cellIs" dxfId="1037" priority="1002" operator="lessThan">
      <formula>-0.03</formula>
    </cfRule>
    <cfRule type="cellIs" dxfId="1036" priority="1003" stopIfTrue="1" operator="greaterThan">
      <formula>0.03</formula>
    </cfRule>
  </conditionalFormatting>
  <conditionalFormatting sqref="Z62">
    <cfRule type="cellIs" dxfId="1035" priority="1000" stopIfTrue="1" operator="lessThan">
      <formula>-0.01</formula>
    </cfRule>
    <cfRule type="cellIs" dxfId="1034" priority="1001" stopIfTrue="1" operator="greaterThan">
      <formula>0.01</formula>
    </cfRule>
  </conditionalFormatting>
  <conditionalFormatting sqref="Z63">
    <cfRule type="cellIs" dxfId="1033" priority="998" stopIfTrue="1" operator="lessThan">
      <formula>-0.01</formula>
    </cfRule>
    <cfRule type="cellIs" dxfId="1032" priority="999" stopIfTrue="1" operator="greaterThan">
      <formula>0.01</formula>
    </cfRule>
  </conditionalFormatting>
  <conditionalFormatting sqref="Z64:Z65">
    <cfRule type="cellIs" dxfId="1031" priority="996" stopIfTrue="1" operator="lessThan">
      <formula>-0.01</formula>
    </cfRule>
    <cfRule type="cellIs" dxfId="1030" priority="997" stopIfTrue="1" operator="greaterThan">
      <formula>0.01</formula>
    </cfRule>
  </conditionalFormatting>
  <conditionalFormatting sqref="Z66">
    <cfRule type="cellIs" dxfId="1029" priority="994" stopIfTrue="1" operator="lessThan">
      <formula>-0.01</formula>
    </cfRule>
    <cfRule type="cellIs" dxfId="1028" priority="995" stopIfTrue="1" operator="greaterThan">
      <formula>0.01</formula>
    </cfRule>
  </conditionalFormatting>
  <conditionalFormatting sqref="V62:V66">
    <cfRule type="cellIs" dxfId="1027" priority="992" operator="greaterThan">
      <formula>0.03</formula>
    </cfRule>
    <cfRule type="cellIs" dxfId="1026" priority="993" stopIfTrue="1" operator="lessThan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dxfId="1025" priority="986" stopIfTrue="1" operator="lessThan">
      <formula>-0.01</formula>
    </cfRule>
    <cfRule type="cellIs" dxfId="1024" priority="987" stopIfTrue="1" operator="greaterThan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dxfId="1023" priority="982" operator="greaterThan">
      <formula>0.03</formula>
    </cfRule>
    <cfRule type="cellIs" dxfId="1022" priority="983" stopIfTrue="1" operator="lessThan">
      <formula>-0.03</formula>
    </cfRule>
  </conditionalFormatting>
  <conditionalFormatting sqref="AB77">
    <cfRule type="cellIs" dxfId="1021" priority="980" operator="lessThan">
      <formula>-0.03</formula>
    </cfRule>
    <cfRule type="cellIs" dxfId="1020" priority="981" stopIfTrue="1" operator="greaterThan">
      <formula>0.03</formula>
    </cfRule>
  </conditionalFormatting>
  <conditionalFormatting sqref="Z73">
    <cfRule type="cellIs" dxfId="1019" priority="978" stopIfTrue="1" operator="lessThan">
      <formula>-0.01</formula>
    </cfRule>
    <cfRule type="cellIs" dxfId="1018" priority="979" stopIfTrue="1" operator="greaterThan">
      <formula>0.01</formula>
    </cfRule>
  </conditionalFormatting>
  <conditionalFormatting sqref="Z74">
    <cfRule type="cellIs" dxfId="1017" priority="976" stopIfTrue="1" operator="lessThan">
      <formula>-0.01</formula>
    </cfRule>
    <cfRule type="cellIs" dxfId="1016" priority="977" stopIfTrue="1" operator="greaterThan">
      <formula>0.01</formula>
    </cfRule>
  </conditionalFormatting>
  <conditionalFormatting sqref="Z75:Z76">
    <cfRule type="cellIs" dxfId="1015" priority="974" stopIfTrue="1" operator="lessThan">
      <formula>-0.01</formula>
    </cfRule>
    <cfRule type="cellIs" dxfId="1014" priority="975" stopIfTrue="1" operator="greaterThan">
      <formula>0.01</formula>
    </cfRule>
  </conditionalFormatting>
  <conditionalFormatting sqref="Z77">
    <cfRule type="cellIs" dxfId="1013" priority="972" stopIfTrue="1" operator="lessThan">
      <formula>-0.01</formula>
    </cfRule>
    <cfRule type="cellIs" dxfId="1012" priority="973" stopIfTrue="1" operator="greaterThan">
      <formula>0.01</formula>
    </cfRule>
  </conditionalFormatting>
  <conditionalFormatting sqref="V73:V77">
    <cfRule type="cellIs" dxfId="1011" priority="970" operator="greaterThan">
      <formula>0.03</formula>
    </cfRule>
    <cfRule type="cellIs" dxfId="1010" priority="971" stopIfTrue="1" operator="lessThan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dxfId="1009" priority="964" stopIfTrue="1" operator="lessThan">
      <formula>-0.01</formula>
    </cfRule>
    <cfRule type="cellIs" dxfId="1008" priority="965" stopIfTrue="1" operator="greaterThan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dxfId="1007" priority="961" operator="greaterThan">
      <formula>0.03</formula>
    </cfRule>
    <cfRule type="cellIs" dxfId="1006" priority="962" stopIfTrue="1" operator="lessThan">
      <formula>-0.03</formula>
    </cfRule>
  </conditionalFormatting>
  <conditionalFormatting sqref="AB88">
    <cfRule type="cellIs" dxfId="1005" priority="959" operator="lessThan">
      <formula>-0.03</formula>
    </cfRule>
    <cfRule type="cellIs" dxfId="1004" priority="960" stopIfTrue="1" operator="greaterThan">
      <formula>0.03</formula>
    </cfRule>
  </conditionalFormatting>
  <conditionalFormatting sqref="Z84">
    <cfRule type="cellIs" dxfId="1003" priority="957" stopIfTrue="1" operator="lessThan">
      <formula>-0.01</formula>
    </cfRule>
    <cfRule type="cellIs" dxfId="1002" priority="958" stopIfTrue="1" operator="greaterThan">
      <formula>0.01</formula>
    </cfRule>
  </conditionalFormatting>
  <conditionalFormatting sqref="Z85">
    <cfRule type="cellIs" dxfId="1001" priority="955" stopIfTrue="1" operator="lessThan">
      <formula>-0.01</formula>
    </cfRule>
    <cfRule type="cellIs" dxfId="1000" priority="956" stopIfTrue="1" operator="greaterThan">
      <formula>0.01</formula>
    </cfRule>
  </conditionalFormatting>
  <conditionalFormatting sqref="Z86:Z87">
    <cfRule type="cellIs" dxfId="999" priority="953" stopIfTrue="1" operator="lessThan">
      <formula>-0.01</formula>
    </cfRule>
    <cfRule type="cellIs" dxfId="998" priority="954" stopIfTrue="1" operator="greaterThan">
      <formula>0.01</formula>
    </cfRule>
  </conditionalFormatting>
  <conditionalFormatting sqref="Z88">
    <cfRule type="cellIs" dxfId="997" priority="951" stopIfTrue="1" operator="lessThan">
      <formula>-0.01</formula>
    </cfRule>
    <cfRule type="cellIs" dxfId="996" priority="952" stopIfTrue="1" operator="greaterThan">
      <formula>0.01</formula>
    </cfRule>
  </conditionalFormatting>
  <conditionalFormatting sqref="V84:V88">
    <cfRule type="cellIs" dxfId="995" priority="949" operator="greaterThan">
      <formula>0.03</formula>
    </cfRule>
    <cfRule type="cellIs" dxfId="994" priority="950" stopIfTrue="1" operator="lessThan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dxfId="993" priority="946" stopIfTrue="1" operator="lessThan">
      <formula>-0.01</formula>
    </cfRule>
    <cfRule type="cellIs" dxfId="992" priority="947" stopIfTrue="1" operator="greaterThan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dxfId="991" priority="943" operator="greaterThan">
      <formula>0.03</formula>
    </cfRule>
    <cfRule type="cellIs" dxfId="990" priority="944" stopIfTrue="1" operator="lessThan">
      <formula>-0.03</formula>
    </cfRule>
  </conditionalFormatting>
  <conditionalFormatting sqref="AB99">
    <cfRule type="cellIs" dxfId="989" priority="941" operator="lessThan">
      <formula>-0.03</formula>
    </cfRule>
    <cfRule type="cellIs" dxfId="988" priority="942" stopIfTrue="1" operator="greaterThan">
      <formula>0.03</formula>
    </cfRule>
  </conditionalFormatting>
  <conditionalFormatting sqref="Z95">
    <cfRule type="cellIs" dxfId="987" priority="939" stopIfTrue="1" operator="lessThan">
      <formula>-0.01</formula>
    </cfRule>
    <cfRule type="cellIs" dxfId="986" priority="940" stopIfTrue="1" operator="greaterThan">
      <formula>0.01</formula>
    </cfRule>
  </conditionalFormatting>
  <conditionalFormatting sqref="Z96">
    <cfRule type="cellIs" dxfId="985" priority="937" stopIfTrue="1" operator="lessThan">
      <formula>-0.01</formula>
    </cfRule>
    <cfRule type="cellIs" dxfId="984" priority="938" stopIfTrue="1" operator="greaterThan">
      <formula>0.01</formula>
    </cfRule>
  </conditionalFormatting>
  <conditionalFormatting sqref="Z97:Z98">
    <cfRule type="cellIs" dxfId="983" priority="935" stopIfTrue="1" operator="lessThan">
      <formula>-0.01</formula>
    </cfRule>
    <cfRule type="cellIs" dxfId="982" priority="936" stopIfTrue="1" operator="greaterThan">
      <formula>0.01</formula>
    </cfRule>
  </conditionalFormatting>
  <conditionalFormatting sqref="Z99">
    <cfRule type="cellIs" dxfId="981" priority="933" stopIfTrue="1" operator="lessThan">
      <formula>-0.01</formula>
    </cfRule>
    <cfRule type="cellIs" dxfId="980" priority="934" stopIfTrue="1" operator="greaterThan">
      <formula>0.01</formula>
    </cfRule>
  </conditionalFormatting>
  <conditionalFormatting sqref="V95:V99">
    <cfRule type="cellIs" dxfId="979" priority="931" operator="greaterThan">
      <formula>0.03</formula>
    </cfRule>
    <cfRule type="cellIs" dxfId="978" priority="932" stopIfTrue="1" operator="lessThan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dxfId="977" priority="907" operator="greaterThan">
      <formula>0.03</formula>
    </cfRule>
    <cfRule type="cellIs" dxfId="976" priority="908" stopIfTrue="1" operator="lessThan">
      <formula>-0.03</formula>
    </cfRule>
  </conditionalFormatting>
  <conditionalFormatting sqref="AB119">
    <cfRule type="cellIs" dxfId="975" priority="905" operator="lessThan">
      <formula>-0.03</formula>
    </cfRule>
    <cfRule type="cellIs" dxfId="974" priority="906" stopIfTrue="1" operator="greaterThan">
      <formula>0.03</formula>
    </cfRule>
  </conditionalFormatting>
  <conditionalFormatting sqref="AB126">
    <cfRule type="cellIs" dxfId="973" priority="903" operator="greaterThan">
      <formula>0.03</formula>
    </cfRule>
    <cfRule type="cellIs" dxfId="972" priority="904" stopIfTrue="1" operator="lessThan">
      <formula>-0.03</formula>
    </cfRule>
  </conditionalFormatting>
  <conditionalFormatting sqref="AB129">
    <cfRule type="cellIs" dxfId="971" priority="901" operator="lessThan">
      <formula>-0.03</formula>
    </cfRule>
    <cfRule type="cellIs" dxfId="970" priority="902" stopIfTrue="1" operator="greaterThan">
      <formula>0.03</formula>
    </cfRule>
  </conditionalFormatting>
  <conditionalFormatting sqref="AB136">
    <cfRule type="cellIs" dxfId="969" priority="899" operator="greaterThan">
      <formula>0.03</formula>
    </cfRule>
    <cfRule type="cellIs" dxfId="968" priority="900" stopIfTrue="1" operator="lessThan">
      <formula>-0.03</formula>
    </cfRule>
  </conditionalFormatting>
  <conditionalFormatting sqref="AB139">
    <cfRule type="cellIs" dxfId="967" priority="897" operator="lessThan">
      <formula>-0.03</formula>
    </cfRule>
    <cfRule type="cellIs" dxfId="966" priority="898" stopIfTrue="1" operator="greaterThan">
      <formula>0.03</formula>
    </cfRule>
  </conditionalFormatting>
  <conditionalFormatting sqref="AB146">
    <cfRule type="cellIs" dxfId="965" priority="895" operator="greaterThan">
      <formula>0.03</formula>
    </cfRule>
    <cfRule type="cellIs" dxfId="964" priority="896" stopIfTrue="1" operator="lessThan">
      <formula>-0.03</formula>
    </cfRule>
  </conditionalFormatting>
  <conditionalFormatting sqref="AB149">
    <cfRule type="cellIs" dxfId="963" priority="893" operator="lessThan">
      <formula>-0.03</formula>
    </cfRule>
    <cfRule type="cellIs" dxfId="962" priority="894" stopIfTrue="1" operator="greaterThan">
      <formula>0.03</formula>
    </cfRule>
  </conditionalFormatting>
  <conditionalFormatting sqref="AB156">
    <cfRule type="cellIs" dxfId="961" priority="891" operator="greaterThan">
      <formula>0.03</formula>
    </cfRule>
    <cfRule type="cellIs" dxfId="960" priority="892" stopIfTrue="1" operator="lessThan">
      <formula>-0.03</formula>
    </cfRule>
  </conditionalFormatting>
  <conditionalFormatting sqref="AB159">
    <cfRule type="cellIs" dxfId="959" priority="889" operator="lessThan">
      <formula>-0.03</formula>
    </cfRule>
    <cfRule type="cellIs" dxfId="958" priority="890" stopIfTrue="1" operator="greaterThan">
      <formula>0.03</formula>
    </cfRule>
  </conditionalFormatting>
  <conditionalFormatting sqref="AB166">
    <cfRule type="cellIs" dxfId="957" priority="887" operator="greaterThan">
      <formula>0.03</formula>
    </cfRule>
    <cfRule type="cellIs" dxfId="956" priority="888" stopIfTrue="1" operator="lessThan">
      <formula>-0.03</formula>
    </cfRule>
  </conditionalFormatting>
  <conditionalFormatting sqref="AB169">
    <cfRule type="cellIs" dxfId="955" priority="885" operator="lessThan">
      <formula>-0.03</formula>
    </cfRule>
    <cfRule type="cellIs" dxfId="954" priority="886" stopIfTrue="1" operator="greaterThan">
      <formula>0.03</formula>
    </cfRule>
  </conditionalFormatting>
  <conditionalFormatting sqref="AB176">
    <cfRule type="cellIs" dxfId="953" priority="883" operator="greaterThan">
      <formula>0.03</formula>
    </cfRule>
    <cfRule type="cellIs" dxfId="952" priority="884" stopIfTrue="1" operator="lessThan">
      <formula>-0.03</formula>
    </cfRule>
  </conditionalFormatting>
  <conditionalFormatting sqref="AB179">
    <cfRule type="cellIs" dxfId="951" priority="881" operator="lessThan">
      <formula>-0.03</formula>
    </cfRule>
    <cfRule type="cellIs" dxfId="950" priority="882" stopIfTrue="1" operator="greaterThan">
      <formula>0.03</formula>
    </cfRule>
  </conditionalFormatting>
  <conditionalFormatting sqref="AB186">
    <cfRule type="cellIs" dxfId="949" priority="879" operator="greaterThan">
      <formula>0.03</formula>
    </cfRule>
    <cfRule type="cellIs" dxfId="948" priority="880" stopIfTrue="1" operator="lessThan">
      <formula>-0.03</formula>
    </cfRule>
  </conditionalFormatting>
  <conditionalFormatting sqref="AB189">
    <cfRule type="cellIs" dxfId="947" priority="877" operator="lessThan">
      <formula>-0.03</formula>
    </cfRule>
    <cfRule type="cellIs" dxfId="946" priority="878" stopIfTrue="1" operator="greaterThan">
      <formula>0.03</formula>
    </cfRule>
  </conditionalFormatting>
  <conditionalFormatting sqref="AB196">
    <cfRule type="cellIs" dxfId="945" priority="875" operator="greaterThan">
      <formula>0.03</formula>
    </cfRule>
    <cfRule type="cellIs" dxfId="944" priority="876" stopIfTrue="1" operator="lessThan">
      <formula>-0.03</formula>
    </cfRule>
  </conditionalFormatting>
  <conditionalFormatting sqref="AB199">
    <cfRule type="cellIs" dxfId="943" priority="873" operator="lessThan">
      <formula>-0.03</formula>
    </cfRule>
    <cfRule type="cellIs" dxfId="942" priority="874" stopIfTrue="1" operator="greaterThan">
      <formula>0.03</formula>
    </cfRule>
  </conditionalFormatting>
  <conditionalFormatting sqref="AB206">
    <cfRule type="cellIs" dxfId="941" priority="871" operator="greaterThan">
      <formula>0.03</formula>
    </cfRule>
    <cfRule type="cellIs" dxfId="940" priority="872" stopIfTrue="1" operator="lessThan">
      <formula>-0.03</formula>
    </cfRule>
  </conditionalFormatting>
  <conditionalFormatting sqref="AB209">
    <cfRule type="cellIs" dxfId="939" priority="869" operator="lessThan">
      <formula>-0.03</formula>
    </cfRule>
    <cfRule type="cellIs" dxfId="938" priority="870" stopIfTrue="1" operator="greaterThan">
      <formula>0.03</formula>
    </cfRule>
  </conditionalFormatting>
  <conditionalFormatting sqref="Z220:Z221">
    <cfRule type="cellIs" dxfId="937" priority="866" stopIfTrue="1" operator="lessThan">
      <formula>-0.01</formula>
    </cfRule>
    <cfRule type="cellIs" dxfId="936" priority="867" stopIfTrue="1" operator="greaterThan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dxfId="935" priority="861" operator="greaterThan">
      <formula>0.03</formula>
    </cfRule>
    <cfRule type="cellIs" dxfId="934" priority="862" stopIfTrue="1" operator="lessThan">
      <formula>-0.03</formula>
    </cfRule>
  </conditionalFormatting>
  <conditionalFormatting sqref="AB219">
    <cfRule type="cellIs" dxfId="933" priority="859" operator="lessThan">
      <formula>-0.03</formula>
    </cfRule>
    <cfRule type="cellIs" dxfId="932" priority="860" stopIfTrue="1" operator="greaterThan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dxfId="931" priority="856" stopIfTrue="1" operator="lessThan">
      <formula>-0.01</formula>
    </cfRule>
    <cfRule type="cellIs" dxfId="930" priority="857" stopIfTrue="1" operator="greaterThan">
      <formula>0.01</formula>
    </cfRule>
  </conditionalFormatting>
  <conditionalFormatting sqref="Z217">
    <cfRule type="cellIs" dxfId="929" priority="854" stopIfTrue="1" operator="lessThan">
      <formula>-0.01</formula>
    </cfRule>
    <cfRule type="cellIs" dxfId="928" priority="855" stopIfTrue="1" operator="greaterThan">
      <formula>0.01</formula>
    </cfRule>
  </conditionalFormatting>
  <conditionalFormatting sqref="Z218">
    <cfRule type="cellIs" dxfId="927" priority="852" stopIfTrue="1" operator="lessThan">
      <formula>-0.01</formula>
    </cfRule>
    <cfRule type="cellIs" dxfId="926" priority="853" stopIfTrue="1" operator="greaterThan">
      <formula>0.01</formula>
    </cfRule>
  </conditionalFormatting>
  <conditionalFormatting sqref="Z219">
    <cfRule type="cellIs" dxfId="925" priority="850" stopIfTrue="1" operator="lessThan">
      <formula>-0.01</formula>
    </cfRule>
    <cfRule type="cellIs" dxfId="924" priority="851" stopIfTrue="1" operator="greaterThan">
      <formula>0.01</formula>
    </cfRule>
  </conditionalFormatting>
  <conditionalFormatting sqref="V216:V219">
    <cfRule type="cellIs" dxfId="923" priority="848" operator="greaterThan">
      <formula>0.03</formula>
    </cfRule>
    <cfRule type="cellIs" dxfId="922" priority="849" stopIfTrue="1" operator="lessThan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40"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13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51"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1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29"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3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62"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1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73"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37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84"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3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I95"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89">
      <dataBar>
        <cfvo type="min"/>
        <cfvo type="max"/>
        <color rgb="FF008AEF"/>
      </dataBar>
    </cfRule>
  </conditionalFormatting>
  <conditionalFormatting sqref="Z111:Z112">
    <cfRule type="cellIs" dxfId="921" priority="568" stopIfTrue="1" operator="lessThan">
      <formula>-0.01</formula>
    </cfRule>
    <cfRule type="cellIs" dxfId="920" priority="569" stopIfTrue="1" operator="greaterThan">
      <formula>0.01</formula>
    </cfRule>
  </conditionalFormatting>
  <conditionalFormatting sqref="AB106">
    <cfRule type="cellIs" dxfId="919" priority="565" operator="greaterThan">
      <formula>0.03</formula>
    </cfRule>
    <cfRule type="cellIs" dxfId="918" priority="566" stopIfTrue="1" operator="lessThan">
      <formula>-0.03</formula>
    </cfRule>
  </conditionalFormatting>
  <conditionalFormatting sqref="AB110">
    <cfRule type="cellIs" dxfId="917" priority="563" operator="lessThan">
      <formula>-0.03</formula>
    </cfRule>
    <cfRule type="cellIs" dxfId="916" priority="564" stopIfTrue="1" operator="greaterThan">
      <formula>0.03</formula>
    </cfRule>
  </conditionalFormatting>
  <conditionalFormatting sqref="Z106">
    <cfRule type="cellIs" dxfId="915" priority="561" stopIfTrue="1" operator="lessThan">
      <formula>-0.01</formula>
    </cfRule>
    <cfRule type="cellIs" dxfId="914" priority="562" stopIfTrue="1" operator="greaterThan">
      <formula>0.01</formula>
    </cfRule>
  </conditionalFormatting>
  <conditionalFormatting sqref="Z107">
    <cfRule type="cellIs" dxfId="913" priority="559" stopIfTrue="1" operator="lessThan">
      <formula>-0.01</formula>
    </cfRule>
    <cfRule type="cellIs" dxfId="912" priority="560" stopIfTrue="1" operator="greaterThan">
      <formula>0.01</formula>
    </cfRule>
  </conditionalFormatting>
  <conditionalFormatting sqref="Z108:Z109">
    <cfRule type="cellIs" dxfId="911" priority="557" stopIfTrue="1" operator="lessThan">
      <formula>-0.01</formula>
    </cfRule>
    <cfRule type="cellIs" dxfId="910" priority="558" stopIfTrue="1" operator="greaterThan">
      <formula>0.01</formula>
    </cfRule>
  </conditionalFormatting>
  <conditionalFormatting sqref="Z110">
    <cfRule type="cellIs" dxfId="909" priority="555" stopIfTrue="1" operator="lessThan">
      <formula>-0.01</formula>
    </cfRule>
    <cfRule type="cellIs" dxfId="908" priority="556" stopIfTrue="1" operator="greaterThan">
      <formula>0.01</formula>
    </cfRule>
  </conditionalFormatting>
  <conditionalFormatting sqref="V106:V110">
    <cfRule type="cellIs" dxfId="907" priority="553" operator="greaterThan">
      <formula>0.03</formula>
    </cfRule>
    <cfRule type="cellIs" dxfId="906" priority="554" stopIfTrue="1" operator="lessThan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I106"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3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dxfId="905" priority="443" stopIfTrue="1" operator="lessThan">
      <formula>-0.01</formula>
    </cfRule>
    <cfRule type="cellIs" dxfId="904" priority="444" stopIfTrue="1" operator="greaterThan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dxfId="903" priority="438" operator="greaterThan">
      <formula>0.03</formula>
    </cfRule>
    <cfRule type="cellIs" dxfId="902" priority="439" stopIfTrue="1" operator="lessThan">
      <formula>-0.03</formula>
    </cfRule>
  </conditionalFormatting>
  <conditionalFormatting sqref="AB11">
    <cfRule type="cellIs" dxfId="901" priority="436" operator="lessThan">
      <formula>-0.03</formula>
    </cfRule>
    <cfRule type="cellIs" dxfId="900" priority="437" stopIfTrue="1" operator="greaterThan">
      <formula>0.03</formula>
    </cfRule>
  </conditionalFormatting>
  <conditionalFormatting sqref="Z7">
    <cfRule type="cellIs" dxfId="899" priority="434" stopIfTrue="1" operator="lessThan">
      <formula>-0.01</formula>
    </cfRule>
    <cfRule type="cellIs" dxfId="898" priority="435" stopIfTrue="1" operator="greaterThan">
      <formula>0.01</formula>
    </cfRule>
  </conditionalFormatting>
  <conditionalFormatting sqref="Z8">
    <cfRule type="cellIs" dxfId="897" priority="432" stopIfTrue="1" operator="lessThan">
      <formula>-0.01</formula>
    </cfRule>
    <cfRule type="cellIs" dxfId="896" priority="433" stopIfTrue="1" operator="greaterThan">
      <formula>0.01</formula>
    </cfRule>
  </conditionalFormatting>
  <conditionalFormatting sqref="Z9:Z10">
    <cfRule type="cellIs" dxfId="895" priority="430" stopIfTrue="1" operator="lessThan">
      <formula>-0.01</formula>
    </cfRule>
    <cfRule type="cellIs" dxfId="894" priority="431" stopIfTrue="1" operator="greaterThan">
      <formula>0.01</formula>
    </cfRule>
  </conditionalFormatting>
  <conditionalFormatting sqref="Z11">
    <cfRule type="cellIs" dxfId="893" priority="428" stopIfTrue="1" operator="lessThan">
      <formula>-0.01</formula>
    </cfRule>
    <cfRule type="cellIs" dxfId="892" priority="429" stopIfTrue="1" operator="greaterThan">
      <formula>0.01</formula>
    </cfRule>
  </conditionalFormatting>
  <conditionalFormatting sqref="V7:V11">
    <cfRule type="cellIs" dxfId="891" priority="426" operator="greaterThan">
      <formula>0.03</formula>
    </cfRule>
    <cfRule type="cellIs" dxfId="890" priority="427" stopIfTrue="1" operator="lessThan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dxfId="889" priority="390" stopIfTrue="1" operator="lessThan">
      <formula>-0.01</formula>
    </cfRule>
    <cfRule type="cellIs" dxfId="888" priority="391" stopIfTrue="1" operator="greaterThan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I7"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2">
      <dataBar>
        <cfvo type="min"/>
        <cfvo type="max"/>
        <color rgb="FF008AEF"/>
      </dataBar>
    </cfRule>
  </conditionalFormatting>
  <conditionalFormatting sqref="J7:J11">
    <cfRule type="cellIs" dxfId="887" priority="380" operator="greaterThan">
      <formula>0.03</formula>
    </cfRule>
    <cfRule type="cellIs" dxfId="886" priority="381" stopIfTrue="1" operator="lessThan">
      <formula>-0.03</formula>
    </cfRule>
  </conditionalFormatting>
  <conditionalFormatting sqref="N12">
    <cfRule type="cellIs" dxfId="885" priority="378" stopIfTrue="1" operator="lessThan">
      <formula>-0.01</formula>
    </cfRule>
    <cfRule type="cellIs" dxfId="884" priority="379" stopIfTrue="1" operator="greaterThan">
      <formula>0.01</formula>
    </cfRule>
  </conditionalFormatting>
  <conditionalFormatting sqref="N7">
    <cfRule type="cellIs" dxfId="883" priority="376" stopIfTrue="1" operator="lessThan">
      <formula>-0.01</formula>
    </cfRule>
    <cfRule type="cellIs" dxfId="882" priority="377" stopIfTrue="1" operator="greaterThan">
      <formula>0.01</formula>
    </cfRule>
  </conditionalFormatting>
  <conditionalFormatting sqref="N8">
    <cfRule type="cellIs" dxfId="881" priority="374" stopIfTrue="1" operator="lessThan">
      <formula>-0.01</formula>
    </cfRule>
    <cfRule type="cellIs" dxfId="880" priority="375" stopIfTrue="1" operator="greaterThan">
      <formula>0.01</formula>
    </cfRule>
  </conditionalFormatting>
  <conditionalFormatting sqref="N9:N11">
    <cfRule type="cellIs" dxfId="879" priority="372" stopIfTrue="1" operator="lessThan">
      <formula>-0.01</formula>
    </cfRule>
    <cfRule type="cellIs" dxfId="878" priority="373" stopIfTrue="1" operator="greaterThan">
      <formula>0.01</formula>
    </cfRule>
  </conditionalFormatting>
  <conditionalFormatting sqref="P7">
    <cfRule type="cellIs" dxfId="877" priority="368" operator="greaterThan">
      <formula>0.03</formula>
    </cfRule>
    <cfRule type="cellIs" dxfId="876" priority="369" stopIfTrue="1" operator="lessThan">
      <formula>-0.03</formula>
    </cfRule>
  </conditionalFormatting>
  <conditionalFormatting sqref="P11">
    <cfRule type="cellIs" dxfId="875" priority="366" operator="lessThan">
      <formula>-0.03</formula>
    </cfRule>
    <cfRule type="cellIs" dxfId="874" priority="367" stopIfTrue="1" operator="greaterThan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I18"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3">
      <dataBar>
        <cfvo type="min"/>
        <cfvo type="max"/>
        <color rgb="FF008AEF"/>
      </dataBar>
    </cfRule>
  </conditionalFormatting>
  <conditionalFormatting sqref="N24">
    <cfRule type="cellIs" dxfId="873" priority="335" stopIfTrue="1" operator="lessThan">
      <formula>-0.01</formula>
    </cfRule>
    <cfRule type="cellIs" dxfId="872" priority="336" stopIfTrue="1" operator="greaterThan">
      <formula>0.01</formula>
    </cfRule>
  </conditionalFormatting>
  <conditionalFormatting sqref="N23">
    <cfRule type="cellIs" dxfId="871" priority="333" stopIfTrue="1" operator="lessThan">
      <formula>-0.01</formula>
    </cfRule>
    <cfRule type="cellIs" dxfId="870" priority="334" stopIfTrue="1" operator="greaterThan">
      <formula>0.01</formula>
    </cfRule>
  </conditionalFormatting>
  <conditionalFormatting sqref="N18">
    <cfRule type="cellIs" dxfId="869" priority="331" stopIfTrue="1" operator="lessThan">
      <formula>-0.01</formula>
    </cfRule>
    <cfRule type="cellIs" dxfId="868" priority="332" stopIfTrue="1" operator="greaterThan">
      <formula>0.01</formula>
    </cfRule>
  </conditionalFormatting>
  <conditionalFormatting sqref="N19">
    <cfRule type="cellIs" dxfId="867" priority="329" stopIfTrue="1" operator="lessThan">
      <formula>-0.01</formula>
    </cfRule>
    <cfRule type="cellIs" dxfId="866" priority="330" stopIfTrue="1" operator="greaterThan">
      <formula>0.01</formula>
    </cfRule>
  </conditionalFormatting>
  <conditionalFormatting sqref="N20:N22">
    <cfRule type="cellIs" dxfId="865" priority="327" stopIfTrue="1" operator="lessThan">
      <formula>-0.01</formula>
    </cfRule>
    <cfRule type="cellIs" dxfId="864" priority="328" stopIfTrue="1" operator="greaterThan">
      <formula>0.01</formula>
    </cfRule>
  </conditionalFormatting>
  <conditionalFormatting sqref="P18">
    <cfRule type="cellIs" dxfId="863" priority="325" operator="greaterThan">
      <formula>0.03</formula>
    </cfRule>
    <cfRule type="cellIs" dxfId="862" priority="326" stopIfTrue="1" operator="lessThan">
      <formula>-0.03</formula>
    </cfRule>
  </conditionalFormatting>
  <conditionalFormatting sqref="P22">
    <cfRule type="cellIs" dxfId="861" priority="323" operator="lessThan">
      <formula>-0.03</formula>
    </cfRule>
    <cfRule type="cellIs" dxfId="860" priority="324" stopIfTrue="1" operator="greaterThan">
      <formula>0.03</formula>
    </cfRule>
  </conditionalFormatting>
  <conditionalFormatting sqref="J18:J22">
    <cfRule type="cellIs" dxfId="859" priority="321" operator="greaterThan">
      <formula>0.03</formula>
    </cfRule>
    <cfRule type="cellIs" dxfId="858" priority="322" stopIfTrue="1" operator="lessThan">
      <formula>-0.03</formula>
    </cfRule>
  </conditionalFormatting>
  <conditionalFormatting sqref="N35">
    <cfRule type="cellIs" dxfId="857" priority="319" stopIfTrue="1" operator="lessThan">
      <formula>-0.01</formula>
    </cfRule>
    <cfRule type="cellIs" dxfId="856" priority="320" stopIfTrue="1" operator="greaterThan">
      <formula>0.01</formula>
    </cfRule>
  </conditionalFormatting>
  <conditionalFormatting sqref="N34">
    <cfRule type="cellIs" dxfId="855" priority="317" stopIfTrue="1" operator="lessThan">
      <formula>-0.01</formula>
    </cfRule>
    <cfRule type="cellIs" dxfId="854" priority="318" stopIfTrue="1" operator="greaterThan">
      <formula>0.01</formula>
    </cfRule>
  </conditionalFormatting>
  <conditionalFormatting sqref="N29">
    <cfRule type="cellIs" dxfId="853" priority="315" stopIfTrue="1" operator="lessThan">
      <formula>-0.01</formula>
    </cfRule>
    <cfRule type="cellIs" dxfId="852" priority="316" stopIfTrue="1" operator="greaterThan">
      <formula>0.01</formula>
    </cfRule>
  </conditionalFormatting>
  <conditionalFormatting sqref="N30">
    <cfRule type="cellIs" dxfId="851" priority="313" stopIfTrue="1" operator="lessThan">
      <formula>-0.01</formula>
    </cfRule>
    <cfRule type="cellIs" dxfId="850" priority="314" stopIfTrue="1" operator="greaterThan">
      <formula>0.01</formula>
    </cfRule>
  </conditionalFormatting>
  <conditionalFormatting sqref="N31:N33">
    <cfRule type="cellIs" dxfId="849" priority="311" stopIfTrue="1" operator="lessThan">
      <formula>-0.01</formula>
    </cfRule>
    <cfRule type="cellIs" dxfId="848" priority="312" stopIfTrue="1" operator="greaterThan">
      <formula>0.01</formula>
    </cfRule>
  </conditionalFormatting>
  <conditionalFormatting sqref="P29">
    <cfRule type="cellIs" dxfId="847" priority="309" operator="greaterThan">
      <formula>0.03</formula>
    </cfRule>
    <cfRule type="cellIs" dxfId="846" priority="310" stopIfTrue="1" operator="lessThan">
      <formula>-0.03</formula>
    </cfRule>
  </conditionalFormatting>
  <conditionalFormatting sqref="P33">
    <cfRule type="cellIs" dxfId="845" priority="307" operator="lessThan">
      <formula>-0.03</formula>
    </cfRule>
    <cfRule type="cellIs" dxfId="844" priority="308" stopIfTrue="1" operator="greaterThan">
      <formula>0.03</formula>
    </cfRule>
  </conditionalFormatting>
  <conditionalFormatting sqref="J29:J33">
    <cfRule type="cellIs" dxfId="843" priority="305" operator="greaterThan">
      <formula>0.03</formula>
    </cfRule>
    <cfRule type="cellIs" dxfId="842" priority="306" stopIfTrue="1" operator="lessThan">
      <formula>-0.03</formula>
    </cfRule>
  </conditionalFormatting>
  <conditionalFormatting sqref="N46">
    <cfRule type="cellIs" dxfId="841" priority="303" stopIfTrue="1" operator="lessThan">
      <formula>-0.01</formula>
    </cfRule>
    <cfRule type="cellIs" dxfId="840" priority="304" stopIfTrue="1" operator="greaterThan">
      <formula>0.01</formula>
    </cfRule>
  </conditionalFormatting>
  <conditionalFormatting sqref="N45">
    <cfRule type="cellIs" dxfId="839" priority="301" stopIfTrue="1" operator="lessThan">
      <formula>-0.01</formula>
    </cfRule>
    <cfRule type="cellIs" dxfId="838" priority="302" stopIfTrue="1" operator="greaterThan">
      <formula>0.01</formula>
    </cfRule>
  </conditionalFormatting>
  <conditionalFormatting sqref="N40">
    <cfRule type="cellIs" dxfId="837" priority="299" stopIfTrue="1" operator="lessThan">
      <formula>-0.01</formula>
    </cfRule>
    <cfRule type="cellIs" dxfId="836" priority="300" stopIfTrue="1" operator="greaterThan">
      <formula>0.01</formula>
    </cfRule>
  </conditionalFormatting>
  <conditionalFormatting sqref="N41">
    <cfRule type="cellIs" dxfId="835" priority="297" stopIfTrue="1" operator="lessThan">
      <formula>-0.01</formula>
    </cfRule>
    <cfRule type="cellIs" dxfId="834" priority="298" stopIfTrue="1" operator="greaterThan">
      <formula>0.01</formula>
    </cfRule>
  </conditionalFormatting>
  <conditionalFormatting sqref="N42:N44">
    <cfRule type="cellIs" dxfId="833" priority="295" stopIfTrue="1" operator="lessThan">
      <formula>-0.01</formula>
    </cfRule>
    <cfRule type="cellIs" dxfId="832" priority="296" stopIfTrue="1" operator="greaterThan">
      <formula>0.01</formula>
    </cfRule>
  </conditionalFormatting>
  <conditionalFormatting sqref="P40">
    <cfRule type="cellIs" dxfId="831" priority="293" operator="greaterThan">
      <formula>0.03</formula>
    </cfRule>
    <cfRule type="cellIs" dxfId="830" priority="294" stopIfTrue="1" operator="lessThan">
      <formula>-0.03</formula>
    </cfRule>
  </conditionalFormatting>
  <conditionalFormatting sqref="P44">
    <cfRule type="cellIs" dxfId="829" priority="291" operator="lessThan">
      <formula>-0.03</formula>
    </cfRule>
    <cfRule type="cellIs" dxfId="828" priority="292" stopIfTrue="1" operator="greaterThan">
      <formula>0.03</formula>
    </cfRule>
  </conditionalFormatting>
  <conditionalFormatting sqref="J40:J44">
    <cfRule type="cellIs" dxfId="827" priority="289" operator="greaterThan">
      <formula>0.03</formula>
    </cfRule>
    <cfRule type="cellIs" dxfId="826" priority="290" stopIfTrue="1" operator="lessThan">
      <formula>-0.03</formula>
    </cfRule>
  </conditionalFormatting>
  <conditionalFormatting sqref="N57">
    <cfRule type="cellIs" dxfId="825" priority="287" stopIfTrue="1" operator="lessThan">
      <formula>-0.01</formula>
    </cfRule>
    <cfRule type="cellIs" dxfId="824" priority="288" stopIfTrue="1" operator="greaterThan">
      <formula>0.01</formula>
    </cfRule>
  </conditionalFormatting>
  <conditionalFormatting sqref="N56">
    <cfRule type="cellIs" dxfId="823" priority="285" stopIfTrue="1" operator="lessThan">
      <formula>-0.01</formula>
    </cfRule>
    <cfRule type="cellIs" dxfId="822" priority="286" stopIfTrue="1" operator="greaterThan">
      <formula>0.01</formula>
    </cfRule>
  </conditionalFormatting>
  <conditionalFormatting sqref="N51">
    <cfRule type="cellIs" dxfId="821" priority="283" stopIfTrue="1" operator="lessThan">
      <formula>-0.01</formula>
    </cfRule>
    <cfRule type="cellIs" dxfId="820" priority="284" stopIfTrue="1" operator="greaterThan">
      <formula>0.01</formula>
    </cfRule>
  </conditionalFormatting>
  <conditionalFormatting sqref="N52">
    <cfRule type="cellIs" dxfId="819" priority="281" stopIfTrue="1" operator="lessThan">
      <formula>-0.01</formula>
    </cfRule>
    <cfRule type="cellIs" dxfId="818" priority="282" stopIfTrue="1" operator="greaterThan">
      <formula>0.01</formula>
    </cfRule>
  </conditionalFormatting>
  <conditionalFormatting sqref="N53:N55">
    <cfRule type="cellIs" dxfId="817" priority="279" stopIfTrue="1" operator="lessThan">
      <formula>-0.01</formula>
    </cfRule>
    <cfRule type="cellIs" dxfId="816" priority="280" stopIfTrue="1" operator="greaterThan">
      <formula>0.01</formula>
    </cfRule>
  </conditionalFormatting>
  <conditionalFormatting sqref="P51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P55">
    <cfRule type="cellIs" dxfId="813" priority="275" operator="lessThan">
      <formula>-0.03</formula>
    </cfRule>
    <cfRule type="cellIs" dxfId="812" priority="276" stopIfTrue="1" operator="greaterThan">
      <formula>0.03</formula>
    </cfRule>
  </conditionalFormatting>
  <conditionalFormatting sqref="J51:J55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N68">
    <cfRule type="cellIs" dxfId="809" priority="271" stopIfTrue="1" operator="lessThan">
      <formula>-0.01</formula>
    </cfRule>
    <cfRule type="cellIs" dxfId="808" priority="272" stopIfTrue="1" operator="greaterThan">
      <formula>0.01</formula>
    </cfRule>
  </conditionalFormatting>
  <conditionalFormatting sqref="N67">
    <cfRule type="cellIs" dxfId="807" priority="269" stopIfTrue="1" operator="lessThan">
      <formula>-0.01</formula>
    </cfRule>
    <cfRule type="cellIs" dxfId="806" priority="270" stopIfTrue="1" operator="greaterThan">
      <formula>0.01</formula>
    </cfRule>
  </conditionalFormatting>
  <conditionalFormatting sqref="N62">
    <cfRule type="cellIs" dxfId="805" priority="267" stopIfTrue="1" operator="lessThan">
      <formula>-0.01</formula>
    </cfRule>
    <cfRule type="cellIs" dxfId="804" priority="268" stopIfTrue="1" operator="greaterThan">
      <formula>0.01</formula>
    </cfRule>
  </conditionalFormatting>
  <conditionalFormatting sqref="N63">
    <cfRule type="cellIs" dxfId="803" priority="265" stopIfTrue="1" operator="lessThan">
      <formula>-0.01</formula>
    </cfRule>
    <cfRule type="cellIs" dxfId="802" priority="266" stopIfTrue="1" operator="greaterThan">
      <formula>0.01</formula>
    </cfRule>
  </conditionalFormatting>
  <conditionalFormatting sqref="N64:N66">
    <cfRule type="cellIs" dxfId="801" priority="263" stopIfTrue="1" operator="lessThan">
      <formula>-0.01</formula>
    </cfRule>
    <cfRule type="cellIs" dxfId="800" priority="264" stopIfTrue="1" operator="greaterThan">
      <formula>0.01</formula>
    </cfRule>
  </conditionalFormatting>
  <conditionalFormatting sqref="P62">
    <cfRule type="cellIs" dxfId="799" priority="261" operator="greaterThan">
      <formula>0.03</formula>
    </cfRule>
    <cfRule type="cellIs" dxfId="798" priority="262" stopIfTrue="1" operator="lessThan">
      <formula>-0.03</formula>
    </cfRule>
  </conditionalFormatting>
  <conditionalFormatting sqref="P66">
    <cfRule type="cellIs" dxfId="797" priority="259" operator="lessThan">
      <formula>-0.03</formula>
    </cfRule>
    <cfRule type="cellIs" dxfId="796" priority="260" stopIfTrue="1" operator="greaterThan">
      <formula>0.03</formula>
    </cfRule>
  </conditionalFormatting>
  <conditionalFormatting sqref="J62:J66">
    <cfRule type="cellIs" dxfId="795" priority="257" operator="greaterThan">
      <formula>0.03</formula>
    </cfRule>
    <cfRule type="cellIs" dxfId="794" priority="258" stopIfTrue="1" operator="lessThan">
      <formula>-0.03</formula>
    </cfRule>
  </conditionalFormatting>
  <conditionalFormatting sqref="N79">
    <cfRule type="cellIs" dxfId="793" priority="255" stopIfTrue="1" operator="lessThan">
      <formula>-0.01</formula>
    </cfRule>
    <cfRule type="cellIs" dxfId="792" priority="256" stopIfTrue="1" operator="greaterThan">
      <formula>0.01</formula>
    </cfRule>
  </conditionalFormatting>
  <conditionalFormatting sqref="N78">
    <cfRule type="cellIs" dxfId="791" priority="253" stopIfTrue="1" operator="lessThan">
      <formula>-0.01</formula>
    </cfRule>
    <cfRule type="cellIs" dxfId="790" priority="254" stopIfTrue="1" operator="greaterThan">
      <formula>0.01</formula>
    </cfRule>
  </conditionalFormatting>
  <conditionalFormatting sqref="N73">
    <cfRule type="cellIs" dxfId="789" priority="251" stopIfTrue="1" operator="lessThan">
      <formula>-0.01</formula>
    </cfRule>
    <cfRule type="cellIs" dxfId="788" priority="252" stopIfTrue="1" operator="greaterThan">
      <formula>0.01</formula>
    </cfRule>
  </conditionalFormatting>
  <conditionalFormatting sqref="N74">
    <cfRule type="cellIs" dxfId="787" priority="249" stopIfTrue="1" operator="lessThan">
      <formula>-0.01</formula>
    </cfRule>
    <cfRule type="cellIs" dxfId="786" priority="250" stopIfTrue="1" operator="greaterThan">
      <formula>0.01</formula>
    </cfRule>
  </conditionalFormatting>
  <conditionalFormatting sqref="N75:N77">
    <cfRule type="cellIs" dxfId="785" priority="247" stopIfTrue="1" operator="lessThan">
      <formula>-0.01</formula>
    </cfRule>
    <cfRule type="cellIs" dxfId="784" priority="248" stopIfTrue="1" operator="greaterThan">
      <formula>0.01</formula>
    </cfRule>
  </conditionalFormatting>
  <conditionalFormatting sqref="P73">
    <cfRule type="cellIs" dxfId="783" priority="245" operator="greaterThan">
      <formula>0.03</formula>
    </cfRule>
    <cfRule type="cellIs" dxfId="782" priority="246" stopIfTrue="1" operator="lessThan">
      <formula>-0.03</formula>
    </cfRule>
  </conditionalFormatting>
  <conditionalFormatting sqref="P77">
    <cfRule type="cellIs" dxfId="781" priority="243" operator="lessThan">
      <formula>-0.03</formula>
    </cfRule>
    <cfRule type="cellIs" dxfId="780" priority="244" stopIfTrue="1" operator="greaterThan">
      <formula>0.03</formula>
    </cfRule>
  </conditionalFormatting>
  <conditionalFormatting sqref="J73:J77">
    <cfRule type="cellIs" dxfId="779" priority="241" operator="greaterThan">
      <formula>0.03</formula>
    </cfRule>
    <cfRule type="cellIs" dxfId="778" priority="242" stopIfTrue="1" operator="lessThan">
      <formula>-0.03</formula>
    </cfRule>
  </conditionalFormatting>
  <conditionalFormatting sqref="N90">
    <cfRule type="cellIs" dxfId="777" priority="239" stopIfTrue="1" operator="lessThan">
      <formula>-0.01</formula>
    </cfRule>
    <cfRule type="cellIs" dxfId="776" priority="240" stopIfTrue="1" operator="greaterThan">
      <formula>0.01</formula>
    </cfRule>
  </conditionalFormatting>
  <conditionalFormatting sqref="N89">
    <cfRule type="cellIs" dxfId="775" priority="237" stopIfTrue="1" operator="lessThan">
      <formula>-0.01</formula>
    </cfRule>
    <cfRule type="cellIs" dxfId="774" priority="238" stopIfTrue="1" operator="greaterThan">
      <formula>0.01</formula>
    </cfRule>
  </conditionalFormatting>
  <conditionalFormatting sqref="N84">
    <cfRule type="cellIs" dxfId="773" priority="235" stopIfTrue="1" operator="lessThan">
      <formula>-0.01</formula>
    </cfRule>
    <cfRule type="cellIs" dxfId="772" priority="236" stopIfTrue="1" operator="greaterThan">
      <formula>0.01</formula>
    </cfRule>
  </conditionalFormatting>
  <conditionalFormatting sqref="N85">
    <cfRule type="cellIs" dxfId="771" priority="233" stopIfTrue="1" operator="lessThan">
      <formula>-0.01</formula>
    </cfRule>
    <cfRule type="cellIs" dxfId="770" priority="234" stopIfTrue="1" operator="greaterThan">
      <formula>0.01</formula>
    </cfRule>
  </conditionalFormatting>
  <conditionalFormatting sqref="N86:N88">
    <cfRule type="cellIs" dxfId="769" priority="231" stopIfTrue="1" operator="lessThan">
      <formula>-0.01</formula>
    </cfRule>
    <cfRule type="cellIs" dxfId="768" priority="232" stopIfTrue="1" operator="greaterThan">
      <formula>0.01</formula>
    </cfRule>
  </conditionalFormatting>
  <conditionalFormatting sqref="P84">
    <cfRule type="cellIs" dxfId="767" priority="229" operator="greaterThan">
      <formula>0.03</formula>
    </cfRule>
    <cfRule type="cellIs" dxfId="766" priority="230" stopIfTrue="1" operator="lessThan">
      <formula>-0.03</formula>
    </cfRule>
  </conditionalFormatting>
  <conditionalFormatting sqref="P88">
    <cfRule type="cellIs" dxfId="765" priority="227" operator="lessThan">
      <formula>-0.03</formula>
    </cfRule>
    <cfRule type="cellIs" dxfId="764" priority="228" stopIfTrue="1" operator="greaterThan">
      <formula>0.03</formula>
    </cfRule>
  </conditionalFormatting>
  <conditionalFormatting sqref="J84:J88">
    <cfRule type="cellIs" dxfId="763" priority="225" operator="greaterThan">
      <formula>0.03</formula>
    </cfRule>
    <cfRule type="cellIs" dxfId="762" priority="226" stopIfTrue="1" operator="lessThan">
      <formula>-0.03</formula>
    </cfRule>
  </conditionalFormatting>
  <conditionalFormatting sqref="N101">
    <cfRule type="cellIs" dxfId="761" priority="223" stopIfTrue="1" operator="lessThan">
      <formula>-0.01</formula>
    </cfRule>
    <cfRule type="cellIs" dxfId="760" priority="224" stopIfTrue="1" operator="greaterThan">
      <formula>0.01</formula>
    </cfRule>
  </conditionalFormatting>
  <conditionalFormatting sqref="N100">
    <cfRule type="cellIs" dxfId="759" priority="221" stopIfTrue="1" operator="lessThan">
      <formula>-0.01</formula>
    </cfRule>
    <cfRule type="cellIs" dxfId="758" priority="222" stopIfTrue="1" operator="greaterThan">
      <formula>0.01</formula>
    </cfRule>
  </conditionalFormatting>
  <conditionalFormatting sqref="N95">
    <cfRule type="cellIs" dxfId="757" priority="219" stopIfTrue="1" operator="lessThan">
      <formula>-0.01</formula>
    </cfRule>
    <cfRule type="cellIs" dxfId="756" priority="220" stopIfTrue="1" operator="greaterThan">
      <formula>0.01</formula>
    </cfRule>
  </conditionalFormatting>
  <conditionalFormatting sqref="N96">
    <cfRule type="cellIs" dxfId="755" priority="217" stopIfTrue="1" operator="lessThan">
      <formula>-0.01</formula>
    </cfRule>
    <cfRule type="cellIs" dxfId="754" priority="218" stopIfTrue="1" operator="greaterThan">
      <formula>0.01</formula>
    </cfRule>
  </conditionalFormatting>
  <conditionalFormatting sqref="N97:N99">
    <cfRule type="cellIs" dxfId="753" priority="215" stopIfTrue="1" operator="lessThan">
      <formula>-0.01</formula>
    </cfRule>
    <cfRule type="cellIs" dxfId="752" priority="216" stopIfTrue="1" operator="greaterThan">
      <formula>0.01</formula>
    </cfRule>
  </conditionalFormatting>
  <conditionalFormatting sqref="P95">
    <cfRule type="cellIs" dxfId="751" priority="213" operator="greaterThan">
      <formula>0.03</formula>
    </cfRule>
    <cfRule type="cellIs" dxfId="750" priority="214" stopIfTrue="1" operator="lessThan">
      <formula>-0.03</formula>
    </cfRule>
  </conditionalFormatting>
  <conditionalFormatting sqref="P99">
    <cfRule type="cellIs" dxfId="749" priority="211" operator="lessThan">
      <formula>-0.03</formula>
    </cfRule>
    <cfRule type="cellIs" dxfId="748" priority="212" stopIfTrue="1" operator="greaterThan">
      <formula>0.03</formula>
    </cfRule>
  </conditionalFormatting>
  <conditionalFormatting sqref="J95:J99">
    <cfRule type="cellIs" dxfId="747" priority="209" operator="greaterThan">
      <formula>0.03</formula>
    </cfRule>
    <cfRule type="cellIs" dxfId="746" priority="210" stopIfTrue="1" operator="lessThan">
      <formula>-0.03</formula>
    </cfRule>
  </conditionalFormatting>
  <conditionalFormatting sqref="N112">
    <cfRule type="cellIs" dxfId="745" priority="207" stopIfTrue="1" operator="lessThan">
      <formula>-0.01</formula>
    </cfRule>
    <cfRule type="cellIs" dxfId="744" priority="208" stopIfTrue="1" operator="greaterThan">
      <formula>0.01</formula>
    </cfRule>
  </conditionalFormatting>
  <conditionalFormatting sqref="N111">
    <cfRule type="cellIs" dxfId="743" priority="205" stopIfTrue="1" operator="lessThan">
      <formula>-0.01</formula>
    </cfRule>
    <cfRule type="cellIs" dxfId="742" priority="206" stopIfTrue="1" operator="greaterThan">
      <formula>0.01</formula>
    </cfRule>
  </conditionalFormatting>
  <conditionalFormatting sqref="N106">
    <cfRule type="cellIs" dxfId="741" priority="203" stopIfTrue="1" operator="lessThan">
      <formula>-0.01</formula>
    </cfRule>
    <cfRule type="cellIs" dxfId="740" priority="204" stopIfTrue="1" operator="greaterThan">
      <formula>0.01</formula>
    </cfRule>
  </conditionalFormatting>
  <conditionalFormatting sqref="N107">
    <cfRule type="cellIs" dxfId="739" priority="201" stopIfTrue="1" operator="lessThan">
      <formula>-0.01</formula>
    </cfRule>
    <cfRule type="cellIs" dxfId="738" priority="202" stopIfTrue="1" operator="greaterThan">
      <formula>0.01</formula>
    </cfRule>
  </conditionalFormatting>
  <conditionalFormatting sqref="N108:N110">
    <cfRule type="cellIs" dxfId="737" priority="199" stopIfTrue="1" operator="lessThan">
      <formula>-0.01</formula>
    </cfRule>
    <cfRule type="cellIs" dxfId="736" priority="200" stopIfTrue="1" operator="greaterThan">
      <formula>0.01</formula>
    </cfRule>
  </conditionalFormatting>
  <conditionalFormatting sqref="P106">
    <cfRule type="cellIs" dxfId="735" priority="197" operator="greaterThan">
      <formula>0.03</formula>
    </cfRule>
    <cfRule type="cellIs" dxfId="734" priority="198" stopIfTrue="1" operator="lessThan">
      <formula>-0.03</formula>
    </cfRule>
  </conditionalFormatting>
  <conditionalFormatting sqref="P110">
    <cfRule type="cellIs" dxfId="733" priority="195" operator="lessThan">
      <formula>-0.03</formula>
    </cfRule>
    <cfRule type="cellIs" dxfId="732" priority="196" stopIfTrue="1" operator="greaterThan">
      <formula>0.03</formula>
    </cfRule>
  </conditionalFormatting>
  <conditionalFormatting sqref="J106:J110">
    <cfRule type="cellIs" dxfId="731" priority="193" operator="greaterThan">
      <formula>0.03</formula>
    </cfRule>
    <cfRule type="cellIs" dxfId="730" priority="194" stopIfTrue="1" operator="lessThan">
      <formula>-0.03</formula>
    </cfRule>
  </conditionalFormatting>
  <conditionalFormatting sqref="N123">
    <cfRule type="cellIs" dxfId="729" priority="191" stopIfTrue="1" operator="lessThan">
      <formula>-0.01</formula>
    </cfRule>
    <cfRule type="cellIs" dxfId="728" priority="192" stopIfTrue="1" operator="greaterThan">
      <formula>0.01</formula>
    </cfRule>
  </conditionalFormatting>
  <conditionalFormatting sqref="N122">
    <cfRule type="cellIs" dxfId="727" priority="189" stopIfTrue="1" operator="lessThan">
      <formula>-0.01</formula>
    </cfRule>
    <cfRule type="cellIs" dxfId="726" priority="190" stopIfTrue="1" operator="greaterThan">
      <formula>0.01</formula>
    </cfRule>
  </conditionalFormatting>
  <conditionalFormatting sqref="N117">
    <cfRule type="cellIs" dxfId="725" priority="187" stopIfTrue="1" operator="lessThan">
      <formula>-0.01</formula>
    </cfRule>
    <cfRule type="cellIs" dxfId="724" priority="188" stopIfTrue="1" operator="greaterThan">
      <formula>0.01</formula>
    </cfRule>
  </conditionalFormatting>
  <conditionalFormatting sqref="N118">
    <cfRule type="cellIs" dxfId="723" priority="185" stopIfTrue="1" operator="lessThan">
      <formula>-0.01</formula>
    </cfRule>
    <cfRule type="cellIs" dxfId="722" priority="186" stopIfTrue="1" operator="greaterThan">
      <formula>0.01</formula>
    </cfRule>
  </conditionalFormatting>
  <conditionalFormatting sqref="N119:N121">
    <cfRule type="cellIs" dxfId="721" priority="183" stopIfTrue="1" operator="lessThan">
      <formula>-0.01</formula>
    </cfRule>
    <cfRule type="cellIs" dxfId="720" priority="184" stopIfTrue="1" operator="greaterThan">
      <formula>0.01</formula>
    </cfRule>
  </conditionalFormatting>
  <conditionalFormatting sqref="P117">
    <cfRule type="cellIs" dxfId="719" priority="181" operator="greaterThan">
      <formula>0.03</formula>
    </cfRule>
    <cfRule type="cellIs" dxfId="718" priority="182" stopIfTrue="1" operator="lessThan">
      <formula>-0.03</formula>
    </cfRule>
  </conditionalFormatting>
  <conditionalFormatting sqref="P121">
    <cfRule type="cellIs" dxfId="717" priority="179" operator="lessThan">
      <formula>-0.03</formula>
    </cfRule>
    <cfRule type="cellIs" dxfId="716" priority="180" stopIfTrue="1" operator="greaterThan">
      <formula>0.03</formula>
    </cfRule>
  </conditionalFormatting>
  <conditionalFormatting sqref="J117:J121">
    <cfRule type="cellIs" dxfId="715" priority="177" operator="greaterThan">
      <formula>0.03</formula>
    </cfRule>
    <cfRule type="cellIs" dxfId="714" priority="178" stopIfTrue="1" operator="lessThan">
      <formula>-0.03</formula>
    </cfRule>
  </conditionalFormatting>
  <conditionalFormatting sqref="N135">
    <cfRule type="cellIs" dxfId="713" priority="175" stopIfTrue="1" operator="lessThan">
      <formula>-0.01</formula>
    </cfRule>
    <cfRule type="cellIs" dxfId="712" priority="176" stopIfTrue="1" operator="greaterThan">
      <formula>0.01</formula>
    </cfRule>
  </conditionalFormatting>
  <conditionalFormatting sqref="N145">
    <cfRule type="cellIs" dxfId="711" priority="159" stopIfTrue="1" operator="lessThan">
      <formula>-0.01</formula>
    </cfRule>
    <cfRule type="cellIs" dxfId="710" priority="160" stopIfTrue="1" operator="greaterThan">
      <formula>0.01</formula>
    </cfRule>
  </conditionalFormatting>
  <conditionalFormatting sqref="N144">
    <cfRule type="cellIs" dxfId="709" priority="157" stopIfTrue="1" operator="lessThan">
      <formula>-0.01</formula>
    </cfRule>
    <cfRule type="cellIs" dxfId="708" priority="158" stopIfTrue="1" operator="greaterThan">
      <formula>0.01</formula>
    </cfRule>
  </conditionalFormatting>
  <conditionalFormatting sqref="N139">
    <cfRule type="cellIs" dxfId="707" priority="155" stopIfTrue="1" operator="lessThan">
      <formula>-0.01</formula>
    </cfRule>
    <cfRule type="cellIs" dxfId="706" priority="156" stopIfTrue="1" operator="greaterThan">
      <formula>0.01</formula>
    </cfRule>
  </conditionalFormatting>
  <conditionalFormatting sqref="N140">
    <cfRule type="cellIs" dxfId="705" priority="153" stopIfTrue="1" operator="lessThan">
      <formula>-0.01</formula>
    </cfRule>
    <cfRule type="cellIs" dxfId="704" priority="154" stopIfTrue="1" operator="greaterThan">
      <formula>0.01</formula>
    </cfRule>
  </conditionalFormatting>
  <conditionalFormatting sqref="N141:N143">
    <cfRule type="cellIs" dxfId="703" priority="151" stopIfTrue="1" operator="lessThan">
      <formula>-0.01</formula>
    </cfRule>
    <cfRule type="cellIs" dxfId="702" priority="152" stopIfTrue="1" operator="greaterThan">
      <formula>0.01</formula>
    </cfRule>
  </conditionalFormatting>
  <conditionalFormatting sqref="P139">
    <cfRule type="cellIs" dxfId="701" priority="149" operator="greaterThan">
      <formula>0.03</formula>
    </cfRule>
    <cfRule type="cellIs" dxfId="700" priority="150" stopIfTrue="1" operator="lessThan">
      <formula>-0.03</formula>
    </cfRule>
  </conditionalFormatting>
  <conditionalFormatting sqref="P143">
    <cfRule type="cellIs" dxfId="699" priority="147" operator="lessThan">
      <formula>-0.03</formula>
    </cfRule>
    <cfRule type="cellIs" dxfId="698" priority="148" stopIfTrue="1" operator="greaterThan">
      <formula>0.03</formula>
    </cfRule>
  </conditionalFormatting>
  <conditionalFormatting sqref="J139:J143">
    <cfRule type="cellIs" dxfId="697" priority="145" operator="greaterThan">
      <formula>0.03</formula>
    </cfRule>
    <cfRule type="cellIs" dxfId="696" priority="146" stopIfTrue="1" operator="lessThan">
      <formula>-0.03</formula>
    </cfRule>
  </conditionalFormatting>
  <conditionalFormatting sqref="N156">
    <cfRule type="cellIs" dxfId="695" priority="143" stopIfTrue="1" operator="lessThan">
      <formula>-0.01</formula>
    </cfRule>
    <cfRule type="cellIs" dxfId="694" priority="144" stopIfTrue="1" operator="greaterThan">
      <formula>0.01</formula>
    </cfRule>
  </conditionalFormatting>
  <conditionalFormatting sqref="N155">
    <cfRule type="cellIs" dxfId="693" priority="141" stopIfTrue="1" operator="lessThan">
      <formula>-0.01</formula>
    </cfRule>
    <cfRule type="cellIs" dxfId="692" priority="142" stopIfTrue="1" operator="greaterThan">
      <formula>0.01</formula>
    </cfRule>
  </conditionalFormatting>
  <conditionalFormatting sqref="N150">
    <cfRule type="cellIs" dxfId="691" priority="139" stopIfTrue="1" operator="lessThan">
      <formula>-0.01</formula>
    </cfRule>
    <cfRule type="cellIs" dxfId="690" priority="140" stopIfTrue="1" operator="greaterThan">
      <formula>0.01</formula>
    </cfRule>
  </conditionalFormatting>
  <conditionalFormatting sqref="N151">
    <cfRule type="cellIs" dxfId="689" priority="137" stopIfTrue="1" operator="lessThan">
      <formula>-0.01</formula>
    </cfRule>
    <cfRule type="cellIs" dxfId="688" priority="138" stopIfTrue="1" operator="greaterThan">
      <formula>0.01</formula>
    </cfRule>
  </conditionalFormatting>
  <conditionalFormatting sqref="N152:N154">
    <cfRule type="cellIs" dxfId="687" priority="135" stopIfTrue="1" operator="lessThan">
      <formula>-0.01</formula>
    </cfRule>
    <cfRule type="cellIs" dxfId="686" priority="136" stopIfTrue="1" operator="greaterThan">
      <formula>0.01</formula>
    </cfRule>
  </conditionalFormatting>
  <conditionalFormatting sqref="P150">
    <cfRule type="cellIs" dxfId="685" priority="133" operator="greaterThan">
      <formula>0.03</formula>
    </cfRule>
    <cfRule type="cellIs" dxfId="684" priority="134" stopIfTrue="1" operator="lessThan">
      <formula>-0.03</formula>
    </cfRule>
  </conditionalFormatting>
  <conditionalFormatting sqref="P154">
    <cfRule type="cellIs" dxfId="683" priority="131" operator="lessThan">
      <formula>-0.03</formula>
    </cfRule>
    <cfRule type="cellIs" dxfId="682" priority="132" stopIfTrue="1" operator="greaterThan">
      <formula>0.03</formula>
    </cfRule>
  </conditionalFormatting>
  <conditionalFormatting sqref="J150:J154">
    <cfRule type="cellIs" dxfId="681" priority="129" operator="greaterThan">
      <formula>0.03</formula>
    </cfRule>
    <cfRule type="cellIs" dxfId="680" priority="130" stopIfTrue="1" operator="lessThan">
      <formula>-0.03</formula>
    </cfRule>
  </conditionalFormatting>
  <conditionalFormatting sqref="N167">
    <cfRule type="cellIs" dxfId="679" priority="127" stopIfTrue="1" operator="lessThan">
      <formula>-0.01</formula>
    </cfRule>
    <cfRule type="cellIs" dxfId="678" priority="128" stopIfTrue="1" operator="greaterThan">
      <formula>0.01</formula>
    </cfRule>
  </conditionalFormatting>
  <conditionalFormatting sqref="N166">
    <cfRule type="cellIs" dxfId="677" priority="125" stopIfTrue="1" operator="lessThan">
      <formula>-0.01</formula>
    </cfRule>
    <cfRule type="cellIs" dxfId="676" priority="126" stopIfTrue="1" operator="greaterThan">
      <formula>0.01</formula>
    </cfRule>
  </conditionalFormatting>
  <conditionalFormatting sqref="N161">
    <cfRule type="cellIs" dxfId="675" priority="123" stopIfTrue="1" operator="lessThan">
      <formula>-0.01</formula>
    </cfRule>
    <cfRule type="cellIs" dxfId="674" priority="124" stopIfTrue="1" operator="greaterThan">
      <formula>0.01</formula>
    </cfRule>
  </conditionalFormatting>
  <conditionalFormatting sqref="N162">
    <cfRule type="cellIs" dxfId="673" priority="121" stopIfTrue="1" operator="lessThan">
      <formula>-0.01</formula>
    </cfRule>
    <cfRule type="cellIs" dxfId="672" priority="122" stopIfTrue="1" operator="greaterThan">
      <formula>0.01</formula>
    </cfRule>
  </conditionalFormatting>
  <conditionalFormatting sqref="N163:N165">
    <cfRule type="cellIs" dxfId="671" priority="119" stopIfTrue="1" operator="lessThan">
      <formula>-0.01</formula>
    </cfRule>
    <cfRule type="cellIs" dxfId="670" priority="120" stopIfTrue="1" operator="greaterThan">
      <formula>0.01</formula>
    </cfRule>
  </conditionalFormatting>
  <conditionalFormatting sqref="P161">
    <cfRule type="cellIs" dxfId="669" priority="117" operator="greaterThan">
      <formula>0.03</formula>
    </cfRule>
    <cfRule type="cellIs" dxfId="668" priority="118" stopIfTrue="1" operator="lessThan">
      <formula>-0.03</formula>
    </cfRule>
  </conditionalFormatting>
  <conditionalFormatting sqref="P165">
    <cfRule type="cellIs" dxfId="667" priority="115" operator="lessThan">
      <formula>-0.03</formula>
    </cfRule>
    <cfRule type="cellIs" dxfId="666" priority="116" stopIfTrue="1" operator="greaterThan">
      <formula>0.03</formula>
    </cfRule>
  </conditionalFormatting>
  <conditionalFormatting sqref="J161:J165">
    <cfRule type="cellIs" dxfId="665" priority="113" operator="greaterThan">
      <formula>0.03</formula>
    </cfRule>
    <cfRule type="cellIs" dxfId="664" priority="114" stopIfTrue="1" operator="lessThan">
      <formula>-0.03</formula>
    </cfRule>
  </conditionalFormatting>
  <conditionalFormatting sqref="N178">
    <cfRule type="cellIs" dxfId="663" priority="111" stopIfTrue="1" operator="lessThan">
      <formula>-0.01</formula>
    </cfRule>
    <cfRule type="cellIs" dxfId="662" priority="112" stopIfTrue="1" operator="greaterThan">
      <formula>0.01</formula>
    </cfRule>
  </conditionalFormatting>
  <conditionalFormatting sqref="N177">
    <cfRule type="cellIs" dxfId="661" priority="109" stopIfTrue="1" operator="lessThan">
      <formula>-0.01</formula>
    </cfRule>
    <cfRule type="cellIs" dxfId="660" priority="110" stopIfTrue="1" operator="greaterThan">
      <formula>0.01</formula>
    </cfRule>
  </conditionalFormatting>
  <conditionalFormatting sqref="N172">
    <cfRule type="cellIs" dxfId="659" priority="107" stopIfTrue="1" operator="lessThan">
      <formula>-0.01</formula>
    </cfRule>
    <cfRule type="cellIs" dxfId="658" priority="108" stopIfTrue="1" operator="greaterThan">
      <formula>0.01</formula>
    </cfRule>
  </conditionalFormatting>
  <conditionalFormatting sqref="N173">
    <cfRule type="cellIs" dxfId="657" priority="105" stopIfTrue="1" operator="lessThan">
      <formula>-0.01</formula>
    </cfRule>
    <cfRule type="cellIs" dxfId="656" priority="106" stopIfTrue="1" operator="greaterThan">
      <formula>0.01</formula>
    </cfRule>
  </conditionalFormatting>
  <conditionalFormatting sqref="N174:N176">
    <cfRule type="cellIs" dxfId="655" priority="103" stopIfTrue="1" operator="lessThan">
      <formula>-0.01</formula>
    </cfRule>
    <cfRule type="cellIs" dxfId="654" priority="104" stopIfTrue="1" operator="greaterThan">
      <formula>0.01</formula>
    </cfRule>
  </conditionalFormatting>
  <conditionalFormatting sqref="P172">
    <cfRule type="cellIs" dxfId="653" priority="101" operator="greaterThan">
      <formula>0.03</formula>
    </cfRule>
    <cfRule type="cellIs" dxfId="652" priority="102" stopIfTrue="1" operator="lessThan">
      <formula>-0.03</formula>
    </cfRule>
  </conditionalFormatting>
  <conditionalFormatting sqref="P176">
    <cfRule type="cellIs" dxfId="651" priority="99" operator="lessThan">
      <formula>-0.03</formula>
    </cfRule>
    <cfRule type="cellIs" dxfId="650" priority="100" stopIfTrue="1" operator="greaterThan">
      <formula>0.03</formula>
    </cfRule>
  </conditionalFormatting>
  <conditionalFormatting sqref="J172:J176">
    <cfRule type="cellIs" dxfId="649" priority="97" operator="greaterThan">
      <formula>0.03</formula>
    </cfRule>
    <cfRule type="cellIs" dxfId="648" priority="98" stopIfTrue="1" operator="lessThan">
      <formula>-0.03</formula>
    </cfRule>
  </conditionalFormatting>
  <conditionalFormatting sqref="N189">
    <cfRule type="cellIs" dxfId="647" priority="95" stopIfTrue="1" operator="lessThan">
      <formula>-0.01</formula>
    </cfRule>
    <cfRule type="cellIs" dxfId="646" priority="96" stopIfTrue="1" operator="greaterThan">
      <formula>0.01</formula>
    </cfRule>
  </conditionalFormatting>
  <conditionalFormatting sqref="N188">
    <cfRule type="cellIs" dxfId="645" priority="93" stopIfTrue="1" operator="lessThan">
      <formula>-0.01</formula>
    </cfRule>
    <cfRule type="cellIs" dxfId="644" priority="94" stopIfTrue="1" operator="greaterThan">
      <formula>0.01</formula>
    </cfRule>
  </conditionalFormatting>
  <conditionalFormatting sqref="N183">
    <cfRule type="cellIs" dxfId="643" priority="91" stopIfTrue="1" operator="lessThan">
      <formula>-0.01</formula>
    </cfRule>
    <cfRule type="cellIs" dxfId="642" priority="92" stopIfTrue="1" operator="greaterThan">
      <formula>0.01</formula>
    </cfRule>
  </conditionalFormatting>
  <conditionalFormatting sqref="N184">
    <cfRule type="cellIs" dxfId="641" priority="89" stopIfTrue="1" operator="lessThan">
      <formula>-0.01</formula>
    </cfRule>
    <cfRule type="cellIs" dxfId="640" priority="90" stopIfTrue="1" operator="greaterThan">
      <formula>0.01</formula>
    </cfRule>
  </conditionalFormatting>
  <conditionalFormatting sqref="N185:N187">
    <cfRule type="cellIs" dxfId="639" priority="87" stopIfTrue="1" operator="lessThan">
      <formula>-0.01</formula>
    </cfRule>
    <cfRule type="cellIs" dxfId="638" priority="88" stopIfTrue="1" operator="greaterThan">
      <formula>0.01</formula>
    </cfRule>
  </conditionalFormatting>
  <conditionalFormatting sqref="P183">
    <cfRule type="cellIs" dxfId="637" priority="85" operator="greaterThan">
      <formula>0.03</formula>
    </cfRule>
    <cfRule type="cellIs" dxfId="636" priority="86" stopIfTrue="1" operator="lessThan">
      <formula>-0.03</formula>
    </cfRule>
  </conditionalFormatting>
  <conditionalFormatting sqref="P187">
    <cfRule type="cellIs" dxfId="635" priority="83" operator="lessThan">
      <formula>-0.03</formula>
    </cfRule>
    <cfRule type="cellIs" dxfId="634" priority="84" stopIfTrue="1" operator="greaterThan">
      <formula>0.03</formula>
    </cfRule>
  </conditionalFormatting>
  <conditionalFormatting sqref="J183:J187">
    <cfRule type="cellIs" dxfId="633" priority="81" operator="greaterThan">
      <formula>0.03</formula>
    </cfRule>
    <cfRule type="cellIs" dxfId="632" priority="82" stopIfTrue="1" operator="lessThan">
      <formula>-0.03</formula>
    </cfRule>
  </conditionalFormatting>
  <conditionalFormatting sqref="N200">
    <cfRule type="cellIs" dxfId="631" priority="79" stopIfTrue="1" operator="lessThan">
      <formula>-0.01</formula>
    </cfRule>
    <cfRule type="cellIs" dxfId="630" priority="80" stopIfTrue="1" operator="greaterThan">
      <formula>0.01</formula>
    </cfRule>
  </conditionalFormatting>
  <conditionalFormatting sqref="N199">
    <cfRule type="cellIs" dxfId="629" priority="77" stopIfTrue="1" operator="lessThan">
      <formula>-0.01</formula>
    </cfRule>
    <cfRule type="cellIs" dxfId="628" priority="78" stopIfTrue="1" operator="greaterThan">
      <formula>0.01</formula>
    </cfRule>
  </conditionalFormatting>
  <conditionalFormatting sqref="N194">
    <cfRule type="cellIs" dxfId="627" priority="75" stopIfTrue="1" operator="lessThan">
      <formula>-0.01</formula>
    </cfRule>
    <cfRule type="cellIs" dxfId="626" priority="76" stopIfTrue="1" operator="greaterThan">
      <formula>0.01</formula>
    </cfRule>
  </conditionalFormatting>
  <conditionalFormatting sqref="N195">
    <cfRule type="cellIs" dxfId="625" priority="73" stopIfTrue="1" operator="lessThan">
      <formula>-0.01</formula>
    </cfRule>
    <cfRule type="cellIs" dxfId="624" priority="74" stopIfTrue="1" operator="greaterThan">
      <formula>0.01</formula>
    </cfRule>
  </conditionalFormatting>
  <conditionalFormatting sqref="N196:N198">
    <cfRule type="cellIs" dxfId="623" priority="71" stopIfTrue="1" operator="lessThan">
      <formula>-0.01</formula>
    </cfRule>
    <cfRule type="cellIs" dxfId="622" priority="72" stopIfTrue="1" operator="greaterThan">
      <formula>0.01</formula>
    </cfRule>
  </conditionalFormatting>
  <conditionalFormatting sqref="P194">
    <cfRule type="cellIs" dxfId="621" priority="69" operator="greaterThan">
      <formula>0.03</formula>
    </cfRule>
    <cfRule type="cellIs" dxfId="620" priority="70" stopIfTrue="1" operator="lessThan">
      <formula>-0.03</formula>
    </cfRule>
  </conditionalFormatting>
  <conditionalFormatting sqref="P198">
    <cfRule type="cellIs" dxfId="619" priority="67" operator="lessThan">
      <formula>-0.03</formula>
    </cfRule>
    <cfRule type="cellIs" dxfId="618" priority="68" stopIfTrue="1" operator="greaterThan">
      <formula>0.03</formula>
    </cfRule>
  </conditionalFormatting>
  <conditionalFormatting sqref="J194:J198">
    <cfRule type="cellIs" dxfId="617" priority="65" operator="greaterThan">
      <formula>0.03</formula>
    </cfRule>
    <cfRule type="cellIs" dxfId="616" priority="66" stopIfTrue="1" operator="lessThan">
      <formula>-0.03</formula>
    </cfRule>
  </conditionalFormatting>
  <conditionalFormatting sqref="N211">
    <cfRule type="cellIs" dxfId="615" priority="63" stopIfTrue="1" operator="lessThan">
      <formula>-0.01</formula>
    </cfRule>
    <cfRule type="cellIs" dxfId="614" priority="64" stopIfTrue="1" operator="greaterThan">
      <formula>0.01</formula>
    </cfRule>
  </conditionalFormatting>
  <conditionalFormatting sqref="N210">
    <cfRule type="cellIs" dxfId="613" priority="61" stopIfTrue="1" operator="lessThan">
      <formula>-0.01</formula>
    </cfRule>
    <cfRule type="cellIs" dxfId="612" priority="62" stopIfTrue="1" operator="greaterThan">
      <formula>0.01</formula>
    </cfRule>
  </conditionalFormatting>
  <conditionalFormatting sqref="N205">
    <cfRule type="cellIs" dxfId="611" priority="59" stopIfTrue="1" operator="lessThan">
      <formula>-0.01</formula>
    </cfRule>
    <cfRule type="cellIs" dxfId="610" priority="60" stopIfTrue="1" operator="greaterThan">
      <formula>0.01</formula>
    </cfRule>
  </conditionalFormatting>
  <conditionalFormatting sqref="N206">
    <cfRule type="cellIs" dxfId="609" priority="57" stopIfTrue="1" operator="lessThan">
      <formula>-0.01</formula>
    </cfRule>
    <cfRule type="cellIs" dxfId="608" priority="58" stopIfTrue="1" operator="greaterThan">
      <formula>0.01</formula>
    </cfRule>
  </conditionalFormatting>
  <conditionalFormatting sqref="N207:N209">
    <cfRule type="cellIs" dxfId="607" priority="55" stopIfTrue="1" operator="lessThan">
      <formula>-0.01</formula>
    </cfRule>
    <cfRule type="cellIs" dxfId="606" priority="56" stopIfTrue="1" operator="greaterThan">
      <formula>0.01</formula>
    </cfRule>
  </conditionalFormatting>
  <conditionalFormatting sqref="P205">
    <cfRule type="cellIs" dxfId="605" priority="53" operator="greaterThan">
      <formula>0.03</formula>
    </cfRule>
    <cfRule type="cellIs" dxfId="604" priority="54" stopIfTrue="1" operator="lessThan">
      <formula>-0.03</formula>
    </cfRule>
  </conditionalFormatting>
  <conditionalFormatting sqref="P209">
    <cfRule type="cellIs" dxfId="603" priority="51" operator="lessThan">
      <formula>-0.03</formula>
    </cfRule>
    <cfRule type="cellIs" dxfId="602" priority="52" stopIfTrue="1" operator="greaterThan">
      <formula>0.03</formula>
    </cfRule>
  </conditionalFormatting>
  <conditionalFormatting sqref="J205:J209">
    <cfRule type="cellIs" dxfId="601" priority="49" operator="greaterThan">
      <formula>0.03</formula>
    </cfRule>
    <cfRule type="cellIs" dxfId="600" priority="50" stopIfTrue="1" operator="lessThan">
      <formula>-0.03</formula>
    </cfRule>
  </conditionalFormatting>
  <conditionalFormatting sqref="N222">
    <cfRule type="cellIs" dxfId="599" priority="47" stopIfTrue="1" operator="lessThan">
      <formula>-0.01</formula>
    </cfRule>
    <cfRule type="cellIs" dxfId="598" priority="48" stopIfTrue="1" operator="greaterThan">
      <formula>0.01</formula>
    </cfRule>
  </conditionalFormatting>
  <conditionalFormatting sqref="N221">
    <cfRule type="cellIs" dxfId="597" priority="45" stopIfTrue="1" operator="lessThan">
      <formula>-0.01</formula>
    </cfRule>
    <cfRule type="cellIs" dxfId="596" priority="46" stopIfTrue="1" operator="greaterThan">
      <formula>0.01</formula>
    </cfRule>
  </conditionalFormatting>
  <conditionalFormatting sqref="N216">
    <cfRule type="cellIs" dxfId="595" priority="43" stopIfTrue="1" operator="lessThan">
      <formula>-0.01</formula>
    </cfRule>
    <cfRule type="cellIs" dxfId="594" priority="44" stopIfTrue="1" operator="greaterThan">
      <formula>0.01</formula>
    </cfRule>
  </conditionalFormatting>
  <conditionalFormatting sqref="N217">
    <cfRule type="cellIs" dxfId="593" priority="41" stopIfTrue="1" operator="lessThan">
      <formula>-0.01</formula>
    </cfRule>
    <cfRule type="cellIs" dxfId="592" priority="42" stopIfTrue="1" operator="greaterThan">
      <formula>0.01</formula>
    </cfRule>
  </conditionalFormatting>
  <conditionalFormatting sqref="N218:N220">
    <cfRule type="cellIs" dxfId="591" priority="39" stopIfTrue="1" operator="lessThan">
      <formula>-0.01</formula>
    </cfRule>
    <cfRule type="cellIs" dxfId="590" priority="40" stopIfTrue="1" operator="greaterThan">
      <formula>0.01</formula>
    </cfRule>
  </conditionalFormatting>
  <conditionalFormatting sqref="P216">
    <cfRule type="cellIs" dxfId="589" priority="37" operator="greaterThan">
      <formula>0.03</formula>
    </cfRule>
    <cfRule type="cellIs" dxfId="588" priority="38" stopIfTrue="1" operator="lessThan">
      <formula>-0.03</formula>
    </cfRule>
  </conditionalFormatting>
  <conditionalFormatting sqref="P220">
    <cfRule type="cellIs" dxfId="587" priority="35" operator="lessThan">
      <formula>-0.03</formula>
    </cfRule>
    <cfRule type="cellIs" dxfId="586" priority="36" stopIfTrue="1" operator="greaterThan">
      <formula>0.03</formula>
    </cfRule>
  </conditionalFormatting>
  <conditionalFormatting sqref="J216:J220">
    <cfRule type="cellIs" dxfId="585" priority="33" operator="greaterThan">
      <formula>0.03</formula>
    </cfRule>
    <cfRule type="cellIs" dxfId="584" priority="34" stopIfTrue="1" operator="lessThan">
      <formula>-0.03</formula>
    </cfRule>
  </conditionalFormatting>
  <conditionalFormatting sqref="N233">
    <cfRule type="cellIs" dxfId="583" priority="31" stopIfTrue="1" operator="lessThan">
      <formula>-0.01</formula>
    </cfRule>
    <cfRule type="cellIs" dxfId="582" priority="32" stopIfTrue="1" operator="greaterThan">
      <formula>0.01</formula>
    </cfRule>
  </conditionalFormatting>
  <conditionalFormatting sqref="N232">
    <cfRule type="cellIs" dxfId="581" priority="29" stopIfTrue="1" operator="lessThan">
      <formula>-0.01</formula>
    </cfRule>
    <cfRule type="cellIs" dxfId="580" priority="30" stopIfTrue="1" operator="greaterThan">
      <formula>0.01</formula>
    </cfRule>
  </conditionalFormatting>
  <conditionalFormatting sqref="N227">
    <cfRule type="cellIs" dxfId="579" priority="27" stopIfTrue="1" operator="lessThan">
      <formula>-0.01</formula>
    </cfRule>
    <cfRule type="cellIs" dxfId="578" priority="28" stopIfTrue="1" operator="greaterThan">
      <formula>0.01</formula>
    </cfRule>
  </conditionalFormatting>
  <conditionalFormatting sqref="N228">
    <cfRule type="cellIs" dxfId="577" priority="25" stopIfTrue="1" operator="lessThan">
      <formula>-0.01</formula>
    </cfRule>
    <cfRule type="cellIs" dxfId="576" priority="26" stopIfTrue="1" operator="greaterThan">
      <formula>0.01</formula>
    </cfRule>
  </conditionalFormatting>
  <conditionalFormatting sqref="N229:N231">
    <cfRule type="cellIs" dxfId="575" priority="23" stopIfTrue="1" operator="lessThan">
      <formula>-0.01</formula>
    </cfRule>
    <cfRule type="cellIs" dxfId="574" priority="24" stopIfTrue="1" operator="greaterThan">
      <formula>0.01</formula>
    </cfRule>
  </conditionalFormatting>
  <conditionalFormatting sqref="P227">
    <cfRule type="cellIs" dxfId="573" priority="21" operator="greaterThan">
      <formula>0.03</formula>
    </cfRule>
    <cfRule type="cellIs" dxfId="572" priority="22" stopIfTrue="1" operator="lessThan">
      <formula>-0.03</formula>
    </cfRule>
  </conditionalFormatting>
  <conditionalFormatting sqref="P231">
    <cfRule type="cellIs" dxfId="571" priority="19" operator="lessThan">
      <formula>-0.03</formula>
    </cfRule>
    <cfRule type="cellIs" dxfId="570" priority="20" stopIfTrue="1" operator="greaterThan">
      <formula>0.03</formula>
    </cfRule>
  </conditionalFormatting>
  <conditionalFormatting sqref="J227:J231">
    <cfRule type="cellIs" dxfId="569" priority="17" operator="greaterThan">
      <formula>0.03</formula>
    </cfRule>
    <cfRule type="cellIs" dxfId="568" priority="18" stopIfTrue="1" operator="lessThan">
      <formula>-0.03</formula>
    </cfRule>
  </conditionalFormatting>
  <conditionalFormatting sqref="N134">
    <cfRule type="cellIs" dxfId="567" priority="15" stopIfTrue="1" operator="lessThan">
      <formula>-0.01</formula>
    </cfRule>
    <cfRule type="cellIs" dxfId="566" priority="16" stopIfTrue="1" operator="greaterThan">
      <formula>0.01</formula>
    </cfRule>
  </conditionalFormatting>
  <conditionalFormatting sqref="N133">
    <cfRule type="cellIs" dxfId="565" priority="13" stopIfTrue="1" operator="lessThan">
      <formula>-0.01</formula>
    </cfRule>
    <cfRule type="cellIs" dxfId="564" priority="14" stopIfTrue="1" operator="greaterThan">
      <formula>0.01</formula>
    </cfRule>
  </conditionalFormatting>
  <conditionalFormatting sqref="N128">
    <cfRule type="cellIs" dxfId="563" priority="11" stopIfTrue="1" operator="lessThan">
      <formula>-0.01</formula>
    </cfRule>
    <cfRule type="cellIs" dxfId="562" priority="12" stopIfTrue="1" operator="greaterThan">
      <formula>0.01</formula>
    </cfRule>
  </conditionalFormatting>
  <conditionalFormatting sqref="N129">
    <cfRule type="cellIs" dxfId="561" priority="9" stopIfTrue="1" operator="lessThan">
      <formula>-0.01</formula>
    </cfRule>
    <cfRule type="cellIs" dxfId="560" priority="10" stopIfTrue="1" operator="greaterThan">
      <formula>0.01</formula>
    </cfRule>
  </conditionalFormatting>
  <conditionalFormatting sqref="N130:N132">
    <cfRule type="cellIs" dxfId="559" priority="7" stopIfTrue="1" operator="lessThan">
      <formula>-0.01</formula>
    </cfRule>
    <cfRule type="cellIs" dxfId="558" priority="8" stopIfTrue="1" operator="greaterThan">
      <formula>0.01</formula>
    </cfRule>
  </conditionalFormatting>
  <conditionalFormatting sqref="P128">
    <cfRule type="cellIs" dxfId="557" priority="5" operator="greaterThan">
      <formula>0.03</formula>
    </cfRule>
    <cfRule type="cellIs" dxfId="556" priority="6" stopIfTrue="1" operator="lessThan">
      <formula>-0.03</formula>
    </cfRule>
  </conditionalFormatting>
  <conditionalFormatting sqref="P132">
    <cfRule type="cellIs" dxfId="555" priority="3" operator="lessThan">
      <formula>-0.03</formula>
    </cfRule>
    <cfRule type="cellIs" dxfId="554" priority="4" stopIfTrue="1" operator="greaterThan">
      <formula>0.03</formula>
    </cfRule>
  </conditionalFormatting>
  <conditionalFormatting sqref="J128:J132">
    <cfRule type="cellIs" dxfId="553" priority="1" operator="greaterThan">
      <formula>0.03</formula>
    </cfRule>
    <cfRule type="cellIs" dxfId="552" priority="2" stopIfTrue="1" operator="lessThan">
      <formula>-0.03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6FD6-44A5-47A2-A31F-C105C33BB37E}">
  <sheetPr codeName="Sheet25"/>
  <dimension ref="A1:AF233"/>
  <sheetViews>
    <sheetView workbookViewId="0">
      <selection activeCell="BE10" sqref="BE10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8" bestFit="1" customWidth="1"/>
    <col min="15" max="15" width="4.59765625" customWidth="1"/>
    <col min="16" max="16" width="9.6992187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12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0" t="s">
        <v>46</v>
      </c>
      <c r="AF1" s="10" t="s">
        <v>46</v>
      </c>
    </row>
    <row r="2" spans="1:32" x14ac:dyDescent="0.25">
      <c r="B2" s="271" t="str">
        <f>'Summary (auto)'!C3</f>
        <v>G-PCC v1 Anchor</v>
      </c>
      <c r="C2" s="272"/>
      <c r="D2" s="272"/>
      <c r="E2" s="114"/>
      <c r="F2" s="271" t="str">
        <f>'Summary (auto)'!C4</f>
        <v>G-PCC v1 Proposal</v>
      </c>
      <c r="G2" s="272"/>
      <c r="H2" s="272"/>
      <c r="I2" s="112"/>
      <c r="J2" s="113" t="s">
        <v>47</v>
      </c>
      <c r="K2" s="112"/>
      <c r="L2" s="261" t="s">
        <v>48</v>
      </c>
      <c r="M2" s="268"/>
      <c r="N2" s="268"/>
      <c r="O2" s="112"/>
      <c r="P2" s="113" t="s">
        <v>49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76</v>
      </c>
      <c r="M3" s="105" t="s">
        <v>77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57" t="s">
        <v>23</v>
      </c>
      <c r="C4" s="258"/>
      <c r="D4" s="259"/>
      <c r="E4" s="2"/>
      <c r="F4" s="257" t="str">
        <f>B4</f>
        <v>bartender_track</v>
      </c>
      <c r="G4" s="258"/>
      <c r="H4" s="259"/>
      <c r="I4" s="2"/>
      <c r="J4" s="115"/>
      <c r="L4" s="254" t="str">
        <f>F4</f>
        <v>bartender_track</v>
      </c>
      <c r="M4" s="255"/>
      <c r="N4" s="256"/>
      <c r="O4" s="195"/>
      <c r="P4" s="115"/>
      <c r="Q4" s="195"/>
      <c r="R4" s="195"/>
      <c r="S4" s="195"/>
      <c r="T4" s="195"/>
      <c r="U4" s="112"/>
      <c r="V4" s="112"/>
      <c r="X4" s="268"/>
      <c r="Y4" s="270"/>
      <c r="Z4" s="270"/>
    </row>
    <row r="5" spans="1:32" x14ac:dyDescent="0.25">
      <c r="B5" s="263" t="s">
        <v>52</v>
      </c>
      <c r="C5" s="266"/>
      <c r="D5" s="87" t="s">
        <v>53</v>
      </c>
      <c r="E5" s="21"/>
      <c r="F5" s="263" t="s">
        <v>52</v>
      </c>
      <c r="G5" s="266"/>
      <c r="H5" s="87" t="s">
        <v>53</v>
      </c>
      <c r="I5" s="9"/>
      <c r="J5" s="116" t="s">
        <v>54</v>
      </c>
      <c r="L5" s="260" t="s">
        <v>78</v>
      </c>
      <c r="M5" s="261"/>
      <c r="N5" s="262"/>
      <c r="O5" s="85"/>
      <c r="P5" s="3"/>
      <c r="Q5" s="85"/>
      <c r="R5" s="261"/>
      <c r="S5" s="261"/>
      <c r="T5" s="261"/>
      <c r="U5" s="113"/>
      <c r="V5" s="113"/>
      <c r="X5" s="261"/>
      <c r="Y5" s="270"/>
      <c r="Z5" s="270"/>
    </row>
    <row r="6" spans="1:32" x14ac:dyDescent="0.25">
      <c r="B6" s="191" t="s">
        <v>3</v>
      </c>
      <c r="C6" s="130" t="s">
        <v>56</v>
      </c>
      <c r="D6" s="86" t="s">
        <v>57</v>
      </c>
      <c r="E6" s="21"/>
      <c r="F6" s="191" t="s">
        <v>3</v>
      </c>
      <c r="G6" s="130" t="s">
        <v>56</v>
      </c>
      <c r="H6" s="86" t="s">
        <v>57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Proposal bartender_track</v>
      </c>
      <c r="N6" s="194" t="s">
        <v>58</v>
      </c>
      <c r="O6" s="2"/>
      <c r="P6" s="3" t="s">
        <v>49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59</v>
      </c>
      <c r="D7" s="88" t="e">
        <f ca="1">0.001*INDIRECT($B7&amp;"!E5")</f>
        <v>#VALUE!</v>
      </c>
      <c r="E7" s="21"/>
      <c r="F7" s="122" t="str">
        <f>F4</f>
        <v>bartender_track</v>
      </c>
      <c r="G7" s="130" t="s">
        <v>59</v>
      </c>
      <c r="H7" s="88" t="e">
        <f ca="1">0.001*INDIRECT($B7&amp;"!AC5")</f>
        <v>#VALUE!</v>
      </c>
      <c r="I7" s="9"/>
      <c r="J7" s="22" t="e">
        <f ca="1">H7/D7-1</f>
        <v>#VALUE!</v>
      </c>
      <c r="L7" s="94" t="str">
        <f ca="1">INDIRECT($B7&amp;"!"&amp;L$3&amp;"5")</f>
        <v/>
      </c>
      <c r="M7" s="95" t="str">
        <f ca="1">INDIRECT($B7&amp;"!"&amp;M$3&amp;"5")</f>
        <v/>
      </c>
      <c r="N7" s="96" t="e">
        <f ca="1">M7-L7</f>
        <v>#VALUE!</v>
      </c>
      <c r="O7" s="21"/>
      <c r="P7" s="22" t="e">
        <f ca="1">bdRateExtend(D7:D11,L7:L11,H7:H11,M7:M11)</f>
        <v>#VALUE!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60</v>
      </c>
      <c r="D8" s="88" t="e">
        <f ca="1">0.001*INDIRECT($B8&amp;"!E6")</f>
        <v>#VALUE!</v>
      </c>
      <c r="E8" s="21"/>
      <c r="F8" s="122" t="str">
        <f>F7</f>
        <v>bartender_track</v>
      </c>
      <c r="G8" s="130" t="s">
        <v>60</v>
      </c>
      <c r="H8" s="88" t="e">
        <f ca="1">0.001*INDIRECT($B8&amp;"!AC6")</f>
        <v>#VALUE!</v>
      </c>
      <c r="I8" s="9"/>
      <c r="J8" s="22" t="e">
        <f ca="1">H8/D8-1</f>
        <v>#VALUE!</v>
      </c>
      <c r="L8" s="94" t="str">
        <f ca="1">INDIRECT($B8&amp;"!"&amp;L$3&amp;"6")</f>
        <v/>
      </c>
      <c r="M8" s="95" t="str">
        <f ca="1">INDIRECT($B8&amp;"!"&amp;M$3&amp;"6")</f>
        <v/>
      </c>
      <c r="N8" s="96" t="e">
        <f ca="1">M8-L8</f>
        <v>#VALUE!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61</v>
      </c>
      <c r="D9" s="88" t="e">
        <f ca="1">0.001*INDIRECT($B9&amp;"!E7")</f>
        <v>#VALUE!</v>
      </c>
      <c r="E9" s="21"/>
      <c r="F9" s="122" t="str">
        <f>F8</f>
        <v>bartender_track</v>
      </c>
      <c r="G9" s="130" t="s">
        <v>61</v>
      </c>
      <c r="H9" s="88" t="e">
        <f ca="1">0.001*INDIRECT($B9&amp;"!AC7")</f>
        <v>#VALUE!</v>
      </c>
      <c r="I9" s="9"/>
      <c r="J9" s="22" t="e">
        <f ca="1">H9/D9-1</f>
        <v>#VALUE!</v>
      </c>
      <c r="L9" s="94" t="str">
        <f ca="1">INDIRECT($B9&amp;"!"&amp;L$3&amp;"7")</f>
        <v/>
      </c>
      <c r="M9" s="95" t="str">
        <f ca="1">INDIRECT($B9&amp;"!"&amp;M$3&amp;"7")</f>
        <v/>
      </c>
      <c r="N9" s="96" t="e">
        <f ca="1">M9-L9</f>
        <v>#VALUE!</v>
      </c>
      <c r="O9" s="21"/>
      <c r="P9" s="217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62</v>
      </c>
      <c r="D10" s="88" t="e">
        <f ca="1">0.001*INDIRECT($B10&amp;"!E8")</f>
        <v>#VALUE!</v>
      </c>
      <c r="E10" s="21"/>
      <c r="F10" s="122" t="str">
        <f>F9</f>
        <v>bartender_track</v>
      </c>
      <c r="G10" s="130" t="s">
        <v>62</v>
      </c>
      <c r="H10" s="88" t="e">
        <f ca="1">0.001*INDIRECT($B10&amp;"!AC8")</f>
        <v>#VALUE!</v>
      </c>
      <c r="I10" s="9"/>
      <c r="J10" s="22" t="e">
        <f ca="1">H10/D10-1</f>
        <v>#VALUE!</v>
      </c>
      <c r="L10" s="94" t="str">
        <f ca="1">INDIRECT($B10&amp;"!"&amp;L$3&amp;"8")</f>
        <v/>
      </c>
      <c r="M10" s="95" t="str">
        <f ca="1">INDIRECT($B10&amp;"!"&amp;M$3&amp;"8")</f>
        <v/>
      </c>
      <c r="N10" s="96" t="e">
        <f ca="1">M10-L10</f>
        <v>#VALUE!</v>
      </c>
      <c r="O10" s="21"/>
      <c r="P10" s="18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63</v>
      </c>
      <c r="D11" s="88" t="e">
        <f ca="1">0.001*INDIRECT($B11&amp;"!E9")</f>
        <v>#VALUE!</v>
      </c>
      <c r="E11" s="21"/>
      <c r="F11" s="122" t="str">
        <f>F10</f>
        <v>bartender_track</v>
      </c>
      <c r="G11" s="130" t="s">
        <v>63</v>
      </c>
      <c r="H11" s="88" t="e">
        <f ca="1">0.001*INDIRECT($B11&amp;"!AC9")</f>
        <v>#VALUE!</v>
      </c>
      <c r="I11" s="9"/>
      <c r="J11" s="22" t="e">
        <f ca="1">H11/D11-1</f>
        <v>#VALUE!</v>
      </c>
      <c r="L11" s="94" t="str">
        <f ca="1">INDIRECT($B11&amp;"!"&amp;L$3&amp;"9")</f>
        <v/>
      </c>
      <c r="M11" s="95" t="str">
        <f ca="1">INDIRECT($B11&amp;"!"&amp;M$3&amp;"9")</f>
        <v/>
      </c>
      <c r="N11" s="96" t="e">
        <f ca="1">M11-L11</f>
        <v>#VALUE!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 t="e">
        <f ca="1">MIN(D7:D11,H7:H11)</f>
        <v>#VALUE!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 t="e">
        <f ca="1">MAX(D7:D11,H7:H11)</f>
        <v>#VALUE!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</row>
    <row r="15" spans="1:32" x14ac:dyDescent="0.25">
      <c r="B15" s="257" t="s">
        <v>24</v>
      </c>
      <c r="C15" s="258"/>
      <c r="D15" s="259"/>
      <c r="E15" s="2"/>
      <c r="F15" s="257" t="str">
        <f>B15</f>
        <v>breakfast_track</v>
      </c>
      <c r="G15" s="258"/>
      <c r="H15" s="259"/>
      <c r="I15" s="2"/>
      <c r="J15" s="115"/>
      <c r="L15" s="254" t="str">
        <f>F15</f>
        <v>breakfast_track</v>
      </c>
      <c r="M15" s="255"/>
      <c r="N15" s="256"/>
      <c r="O15" s="195"/>
      <c r="P15" s="115"/>
      <c r="Q15" s="195"/>
      <c r="R15" s="195"/>
      <c r="S15" s="195"/>
      <c r="T15" s="195"/>
      <c r="U15" s="112"/>
      <c r="V15" s="112"/>
      <c r="X15" s="268"/>
      <c r="Y15" s="270"/>
      <c r="Z15" s="270"/>
    </row>
    <row r="16" spans="1:32" x14ac:dyDescent="0.25">
      <c r="B16" s="263" t="s">
        <v>52</v>
      </c>
      <c r="C16" s="266"/>
      <c r="D16" s="87" t="s">
        <v>53</v>
      </c>
      <c r="E16" s="21"/>
      <c r="F16" s="263" t="s">
        <v>52</v>
      </c>
      <c r="G16" s="266"/>
      <c r="H16" s="87" t="s">
        <v>53</v>
      </c>
      <c r="I16" s="9"/>
      <c r="J16" s="116" t="s">
        <v>54</v>
      </c>
      <c r="L16" s="260" t="s">
        <v>78</v>
      </c>
      <c r="M16" s="261"/>
      <c r="N16" s="262"/>
      <c r="O16" s="85"/>
      <c r="P16" s="3"/>
      <c r="Q16" s="85"/>
      <c r="R16" s="261"/>
      <c r="S16" s="261"/>
      <c r="T16" s="261"/>
      <c r="U16" s="113"/>
      <c r="V16" s="113"/>
      <c r="X16" s="261"/>
      <c r="Y16" s="270"/>
      <c r="Z16" s="270"/>
    </row>
    <row r="17" spans="2:28" x14ac:dyDescent="0.25">
      <c r="B17" s="191" t="s">
        <v>3</v>
      </c>
      <c r="C17" s="130" t="s">
        <v>56</v>
      </c>
      <c r="D17" s="86" t="s">
        <v>57</v>
      </c>
      <c r="E17" s="21"/>
      <c r="F17" s="191" t="s">
        <v>3</v>
      </c>
      <c r="G17" s="130" t="s">
        <v>56</v>
      </c>
      <c r="H17" s="86" t="s">
        <v>57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Proposal breakfast_track</v>
      </c>
      <c r="N17" s="194" t="s">
        <v>58</v>
      </c>
      <c r="O17" s="2"/>
      <c r="P17" s="3" t="s">
        <v>49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59</v>
      </c>
      <c r="D18" s="88" t="e">
        <f ca="1">0.001*INDIRECT($B18&amp;"!E5")</f>
        <v>#VALUE!</v>
      </c>
      <c r="E18" s="21"/>
      <c r="F18" s="122" t="str">
        <f>F15</f>
        <v>breakfast_track</v>
      </c>
      <c r="G18" s="130" t="s">
        <v>59</v>
      </c>
      <c r="H18" s="88" t="e">
        <f ca="1">0.001*INDIRECT($B18&amp;"!AC5")</f>
        <v>#VALUE!</v>
      </c>
      <c r="I18" s="9"/>
      <c r="J18" s="22" t="e">
        <f ca="1">H18/D18-1</f>
        <v>#VALUE!</v>
      </c>
      <c r="L18" s="94" t="str">
        <f ca="1">INDIRECT($B18&amp;"!"&amp;L$3&amp;"5")</f>
        <v/>
      </c>
      <c r="M18" s="95" t="str">
        <f ca="1">INDIRECT($B18&amp;"!"&amp;M$3&amp;"5")</f>
        <v/>
      </c>
      <c r="N18" s="96" t="e">
        <f ca="1">M18-L18</f>
        <v>#VALUE!</v>
      </c>
      <c r="O18" s="21"/>
      <c r="P18" s="22" t="e">
        <f ca="1">bdRateExtend(D18:D22,L18:L22,H18:H22,M18:M22)</f>
        <v>#VALUE!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60</v>
      </c>
      <c r="D19" s="88" t="e">
        <f ca="1">0.001*INDIRECT($B19&amp;"!E6")</f>
        <v>#VALUE!</v>
      </c>
      <c r="E19" s="21"/>
      <c r="F19" s="122" t="str">
        <f>F18</f>
        <v>breakfast_track</v>
      </c>
      <c r="G19" s="130" t="s">
        <v>60</v>
      </c>
      <c r="H19" s="88" t="e">
        <f ca="1">0.001*INDIRECT($B19&amp;"!AC6")</f>
        <v>#VALUE!</v>
      </c>
      <c r="I19" s="9"/>
      <c r="J19" s="22" t="e">
        <f ca="1">H19/D19-1</f>
        <v>#VALUE!</v>
      </c>
      <c r="L19" s="94" t="str">
        <f ca="1">INDIRECT($B19&amp;"!"&amp;L$3&amp;"6")</f>
        <v/>
      </c>
      <c r="M19" s="95" t="str">
        <f ca="1">INDIRECT($B19&amp;"!"&amp;M$3&amp;"6")</f>
        <v/>
      </c>
      <c r="N19" s="96" t="e">
        <f ca="1">M19-L19</f>
        <v>#VALUE!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61</v>
      </c>
      <c r="D20" s="88" t="e">
        <f ca="1">0.001*INDIRECT($B20&amp;"!E7")</f>
        <v>#VALUE!</v>
      </c>
      <c r="E20" s="21"/>
      <c r="F20" s="122" t="str">
        <f>F19</f>
        <v>breakfast_track</v>
      </c>
      <c r="G20" s="130" t="s">
        <v>61</v>
      </c>
      <c r="H20" s="88" t="e">
        <f ca="1">0.001*INDIRECT($B20&amp;"!AC7")</f>
        <v>#VALUE!</v>
      </c>
      <c r="I20" s="9"/>
      <c r="J20" s="22" t="e">
        <f ca="1">H20/D20-1</f>
        <v>#VALUE!</v>
      </c>
      <c r="L20" s="94" t="str">
        <f ca="1">INDIRECT($B20&amp;"!"&amp;L$3&amp;"7")</f>
        <v/>
      </c>
      <c r="M20" s="95" t="str">
        <f ca="1">INDIRECT($B20&amp;"!"&amp;M$3&amp;"7")</f>
        <v/>
      </c>
      <c r="N20" s="96" t="e">
        <f ca="1">M20-L20</f>
        <v>#VALUE!</v>
      </c>
      <c r="O20" s="21"/>
      <c r="P20" s="217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62</v>
      </c>
      <c r="D21" s="88" t="e">
        <f ca="1">0.001*INDIRECT($B21&amp;"!E8")</f>
        <v>#VALUE!</v>
      </c>
      <c r="E21" s="21"/>
      <c r="F21" s="122" t="str">
        <f>F20</f>
        <v>breakfast_track</v>
      </c>
      <c r="G21" s="130" t="s">
        <v>62</v>
      </c>
      <c r="H21" s="88" t="e">
        <f ca="1">0.001*INDIRECT($B21&amp;"!AC8")</f>
        <v>#VALUE!</v>
      </c>
      <c r="I21" s="9"/>
      <c r="J21" s="22" t="e">
        <f ca="1">H21/D21-1</f>
        <v>#VALUE!</v>
      </c>
      <c r="L21" s="94" t="str">
        <f ca="1">INDIRECT($B21&amp;"!"&amp;L$3&amp;"8")</f>
        <v/>
      </c>
      <c r="M21" s="95" t="str">
        <f ca="1">INDIRECT($B21&amp;"!"&amp;M$3&amp;"8")</f>
        <v/>
      </c>
      <c r="N21" s="96" t="e">
        <f ca="1">M21-L21</f>
        <v>#VALUE!</v>
      </c>
      <c r="O21" s="21"/>
      <c r="P21" s="18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63</v>
      </c>
      <c r="D22" s="88" t="e">
        <f ca="1">0.001*INDIRECT($B22&amp;"!E9")</f>
        <v>#VALUE!</v>
      </c>
      <c r="E22" s="21"/>
      <c r="F22" s="122" t="str">
        <f>F21</f>
        <v>breakfast_track</v>
      </c>
      <c r="G22" s="130" t="s">
        <v>63</v>
      </c>
      <c r="H22" s="88" t="e">
        <f ca="1">0.001*INDIRECT($B22&amp;"!AC9")</f>
        <v>#VALUE!</v>
      </c>
      <c r="I22" s="9"/>
      <c r="J22" s="22" t="e">
        <f ca="1">H22/D22-1</f>
        <v>#VALUE!</v>
      </c>
      <c r="L22" s="94" t="str">
        <f ca="1">INDIRECT($B22&amp;"!"&amp;L$3&amp;"9")</f>
        <v/>
      </c>
      <c r="M22" s="95" t="str">
        <f ca="1">INDIRECT($B22&amp;"!"&amp;M$3&amp;"9")</f>
        <v/>
      </c>
      <c r="N22" s="96" t="e">
        <f ca="1">M22-L22</f>
        <v>#VALUE!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 t="e">
        <f ca="1">MIN(D18:D22,H18:H22)</f>
        <v>#VALUE!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 t="e">
        <f ca="1">MAX(D18:D22,H18:H22)</f>
        <v>#VALUE!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57" t="s">
        <v>25</v>
      </c>
      <c r="C26" s="258"/>
      <c r="D26" s="259"/>
      <c r="E26" s="2"/>
      <c r="F26" s="257" t="str">
        <f>B26</f>
        <v>cinema_track</v>
      </c>
      <c r="G26" s="258"/>
      <c r="H26" s="259"/>
      <c r="I26" s="2"/>
      <c r="J26" s="115"/>
      <c r="L26" s="254" t="str">
        <f>F26</f>
        <v>cinema_track</v>
      </c>
      <c r="M26" s="255"/>
      <c r="N26" s="256"/>
      <c r="O26" s="195"/>
      <c r="P26" s="115"/>
      <c r="U26" s="112"/>
      <c r="V26" s="112"/>
      <c r="X26" s="268"/>
      <c r="Y26" s="270"/>
      <c r="Z26" s="270"/>
    </row>
    <row r="27" spans="2:28" x14ac:dyDescent="0.25">
      <c r="B27" s="263" t="s">
        <v>52</v>
      </c>
      <c r="C27" s="266"/>
      <c r="D27" s="87" t="s">
        <v>53</v>
      </c>
      <c r="E27" s="21"/>
      <c r="F27" s="263" t="s">
        <v>52</v>
      </c>
      <c r="G27" s="266"/>
      <c r="H27" s="87" t="s">
        <v>53</v>
      </c>
      <c r="I27" s="9"/>
      <c r="J27" s="116" t="s">
        <v>54</v>
      </c>
      <c r="L27" s="260" t="s">
        <v>78</v>
      </c>
      <c r="M27" s="261"/>
      <c r="N27" s="262"/>
      <c r="O27" s="85"/>
      <c r="P27" s="3"/>
      <c r="R27" s="261"/>
      <c r="S27" s="270"/>
      <c r="T27" s="270"/>
      <c r="U27" s="113"/>
      <c r="V27" s="113"/>
      <c r="X27" s="261"/>
      <c r="Y27" s="270"/>
      <c r="Z27" s="270"/>
    </row>
    <row r="28" spans="2:28" x14ac:dyDescent="0.25">
      <c r="B28" s="191" t="s">
        <v>3</v>
      </c>
      <c r="C28" s="130" t="s">
        <v>56</v>
      </c>
      <c r="D28" s="86" t="s">
        <v>57</v>
      </c>
      <c r="E28" s="21"/>
      <c r="F28" s="191" t="s">
        <v>3</v>
      </c>
      <c r="G28" s="130" t="s">
        <v>56</v>
      </c>
      <c r="H28" s="86" t="s">
        <v>57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Proposal cinema_track</v>
      </c>
      <c r="N28" s="194" t="s">
        <v>58</v>
      </c>
      <c r="O28" s="2"/>
      <c r="P28" s="3" t="s">
        <v>49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59</v>
      </c>
      <c r="D29" s="88" t="e">
        <f ca="1">0.001*INDIRECT($B29&amp;"!E5")</f>
        <v>#VALUE!</v>
      </c>
      <c r="E29" s="21"/>
      <c r="F29" s="122" t="str">
        <f>F26</f>
        <v>cinema_track</v>
      </c>
      <c r="G29" s="130" t="s">
        <v>59</v>
      </c>
      <c r="H29" s="88" t="e">
        <f ca="1">0.001*INDIRECT($B29&amp;"!AC5")</f>
        <v>#VALUE!</v>
      </c>
      <c r="I29" s="9"/>
      <c r="J29" s="22" t="e">
        <f ca="1">H29/D29-1</f>
        <v>#VALUE!</v>
      </c>
      <c r="L29" s="94" t="str">
        <f ca="1">INDIRECT($B29&amp;"!"&amp;L$3&amp;"5")</f>
        <v/>
      </c>
      <c r="M29" s="95" t="str">
        <f ca="1">INDIRECT($B29&amp;"!"&amp;M$3&amp;"5")</f>
        <v/>
      </c>
      <c r="N29" s="96" t="e">
        <f ca="1">M29-L29</f>
        <v>#VALUE!</v>
      </c>
      <c r="O29" s="21"/>
      <c r="P29" s="22" t="e">
        <f ca="1">bdRateExtend(D29:D33,L29:L33,H29:H33,M29:M33)</f>
        <v>#VALUE!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60</v>
      </c>
      <c r="D30" s="88" t="e">
        <f ca="1">0.001*INDIRECT($B30&amp;"!E6")</f>
        <v>#VALUE!</v>
      </c>
      <c r="E30" s="21"/>
      <c r="F30" s="122" t="str">
        <f>F29</f>
        <v>cinema_track</v>
      </c>
      <c r="G30" s="130" t="s">
        <v>60</v>
      </c>
      <c r="H30" s="88" t="e">
        <f ca="1">0.001*INDIRECT($B30&amp;"!AC6")</f>
        <v>#VALUE!</v>
      </c>
      <c r="I30" s="9"/>
      <c r="J30" s="22" t="e">
        <f ca="1">H30/D30-1</f>
        <v>#VALUE!</v>
      </c>
      <c r="L30" s="94" t="str">
        <f ca="1">INDIRECT($B30&amp;"!"&amp;L$3&amp;"6")</f>
        <v/>
      </c>
      <c r="M30" s="95" t="str">
        <f ca="1">INDIRECT($B30&amp;"!"&amp;M$3&amp;"6")</f>
        <v/>
      </c>
      <c r="N30" s="96" t="e">
        <f ca="1">M30-L30</f>
        <v>#VALUE!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61</v>
      </c>
      <c r="D31" s="88" t="e">
        <f ca="1">0.001*INDIRECT($B31&amp;"!E7")</f>
        <v>#VALUE!</v>
      </c>
      <c r="E31" s="21"/>
      <c r="F31" s="122" t="str">
        <f>F30</f>
        <v>cinema_track</v>
      </c>
      <c r="G31" s="130" t="s">
        <v>61</v>
      </c>
      <c r="H31" s="88" t="e">
        <f ca="1">0.001*INDIRECT($B31&amp;"!AC7")</f>
        <v>#VALUE!</v>
      </c>
      <c r="I31" s="9"/>
      <c r="J31" s="22" t="e">
        <f ca="1">H31/D31-1</f>
        <v>#VALUE!</v>
      </c>
      <c r="L31" s="94" t="str">
        <f ca="1">INDIRECT($B31&amp;"!"&amp;L$3&amp;"7")</f>
        <v/>
      </c>
      <c r="M31" s="95" t="str">
        <f ca="1">INDIRECT($B31&amp;"!"&amp;M$3&amp;"7")</f>
        <v/>
      </c>
      <c r="N31" s="96" t="e">
        <f ca="1">M31-L31</f>
        <v>#VALUE!</v>
      </c>
      <c r="O31" s="21"/>
      <c r="P31" s="217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62</v>
      </c>
      <c r="D32" s="88" t="e">
        <f ca="1">0.001*INDIRECT($B32&amp;"!E8")</f>
        <v>#VALUE!</v>
      </c>
      <c r="E32" s="21"/>
      <c r="F32" s="122" t="str">
        <f>F31</f>
        <v>cinema_track</v>
      </c>
      <c r="G32" s="130" t="s">
        <v>62</v>
      </c>
      <c r="H32" s="88" t="e">
        <f ca="1">0.001*INDIRECT($B32&amp;"!AC8")</f>
        <v>#VALUE!</v>
      </c>
      <c r="I32" s="9"/>
      <c r="J32" s="22" t="e">
        <f ca="1">H32/D32-1</f>
        <v>#VALUE!</v>
      </c>
      <c r="L32" s="94" t="str">
        <f ca="1">INDIRECT($B32&amp;"!"&amp;L$3&amp;"8")</f>
        <v/>
      </c>
      <c r="M32" s="95" t="str">
        <f ca="1">INDIRECT($B32&amp;"!"&amp;M$3&amp;"8")</f>
        <v/>
      </c>
      <c r="N32" s="96" t="e">
        <f ca="1">M32-L32</f>
        <v>#VALUE!</v>
      </c>
      <c r="O32" s="21"/>
      <c r="P32" s="18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63</v>
      </c>
      <c r="D33" s="88" t="e">
        <f ca="1">0.001*INDIRECT($B33&amp;"!E9")</f>
        <v>#VALUE!</v>
      </c>
      <c r="E33" s="21"/>
      <c r="F33" s="122" t="str">
        <f>F32</f>
        <v>cinema_track</v>
      </c>
      <c r="G33" s="130" t="s">
        <v>63</v>
      </c>
      <c r="H33" s="88" t="e">
        <f ca="1">0.001*INDIRECT($B33&amp;"!AC9")</f>
        <v>#VALUE!</v>
      </c>
      <c r="I33" s="9"/>
      <c r="J33" s="22" t="e">
        <f ca="1">H33/D33-1</f>
        <v>#VALUE!</v>
      </c>
      <c r="L33" s="94" t="str">
        <f ca="1">INDIRECT($B33&amp;"!"&amp;L$3&amp;"9")</f>
        <v/>
      </c>
      <c r="M33" s="95" t="str">
        <f ca="1">INDIRECT($B33&amp;"!"&amp;M$3&amp;"9")</f>
        <v/>
      </c>
      <c r="N33" s="96" t="e">
        <f ca="1">M33-L33</f>
        <v>#VALUE!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 t="e">
        <f ca="1">MIN(D29:D33,H29:H33)</f>
        <v>#VALUE!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 t="e">
        <f ca="1">MAX(D29:D33,H29:H33)</f>
        <v>#VALUE!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57" t="s">
        <v>28</v>
      </c>
      <c r="C37" s="258"/>
      <c r="D37" s="259"/>
      <c r="E37" s="2"/>
      <c r="F37" s="257" t="str">
        <f>B37</f>
        <v>ManWithFruit</v>
      </c>
      <c r="G37" s="258"/>
      <c r="H37" s="259"/>
      <c r="I37" s="2"/>
      <c r="J37" s="115"/>
      <c r="L37" s="254" t="str">
        <f>F37</f>
        <v>ManWithFruit</v>
      </c>
      <c r="M37" s="255"/>
      <c r="N37" s="256"/>
      <c r="O37" s="195"/>
      <c r="P37" s="115"/>
      <c r="U37" s="112"/>
      <c r="V37" s="112"/>
      <c r="X37" s="268"/>
      <c r="Y37" s="270"/>
      <c r="Z37" s="270"/>
    </row>
    <row r="38" spans="2:28" x14ac:dyDescent="0.25">
      <c r="B38" s="263" t="s">
        <v>52</v>
      </c>
      <c r="C38" s="266"/>
      <c r="D38" s="87" t="s">
        <v>53</v>
      </c>
      <c r="E38" s="21"/>
      <c r="F38" s="263" t="s">
        <v>52</v>
      </c>
      <c r="G38" s="266"/>
      <c r="H38" s="87" t="s">
        <v>53</v>
      </c>
      <c r="I38" s="9"/>
      <c r="J38" s="116" t="s">
        <v>54</v>
      </c>
      <c r="L38" s="260" t="s">
        <v>78</v>
      </c>
      <c r="M38" s="261"/>
      <c r="N38" s="262"/>
      <c r="O38" s="85"/>
      <c r="P38" s="3"/>
      <c r="R38" s="261"/>
      <c r="S38" s="270"/>
      <c r="T38" s="270"/>
      <c r="U38" s="113"/>
      <c r="V38" s="113"/>
      <c r="X38" s="261"/>
      <c r="Y38" s="270"/>
      <c r="Z38" s="270"/>
    </row>
    <row r="39" spans="2:28" x14ac:dyDescent="0.25">
      <c r="B39" s="191" t="s">
        <v>3</v>
      </c>
      <c r="C39" s="130" t="s">
        <v>56</v>
      </c>
      <c r="D39" s="86" t="s">
        <v>57</v>
      </c>
      <c r="E39" s="21"/>
      <c r="F39" s="191" t="s">
        <v>3</v>
      </c>
      <c r="G39" s="130" t="s">
        <v>56</v>
      </c>
      <c r="H39" s="86" t="s">
        <v>57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Proposal ManWithFruit</v>
      </c>
      <c r="N39" s="194" t="s">
        <v>58</v>
      </c>
      <c r="O39" s="2"/>
      <c r="P39" s="3" t="s">
        <v>49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59</v>
      </c>
      <c r="D40" s="88" t="e">
        <f ca="1">0.001*INDIRECT($B40&amp;"!E5")</f>
        <v>#VALUE!</v>
      </c>
      <c r="E40" s="21"/>
      <c r="F40" s="122" t="str">
        <f>F37</f>
        <v>ManWithFruit</v>
      </c>
      <c r="G40" s="130" t="s">
        <v>59</v>
      </c>
      <c r="H40" s="88" t="e">
        <f ca="1">0.001*INDIRECT($B40&amp;"!AC5")</f>
        <v>#VALUE!</v>
      </c>
      <c r="I40" s="9"/>
      <c r="J40" s="22" t="e">
        <f ca="1">H40/D40-1</f>
        <v>#VALUE!</v>
      </c>
      <c r="L40" s="94" t="str">
        <f ca="1">INDIRECT($B40&amp;"!"&amp;L$3&amp;"5")</f>
        <v/>
      </c>
      <c r="M40" s="95" t="str">
        <f ca="1">INDIRECT($B40&amp;"!"&amp;M$3&amp;"5")</f>
        <v/>
      </c>
      <c r="N40" s="96" t="e">
        <f ca="1">M40-L40</f>
        <v>#VALUE!</v>
      </c>
      <c r="O40" s="21"/>
      <c r="P40" s="22" t="e">
        <f ca="1">bdRateExtend(D40:D44,L40:L44,H40:H44,M40:M44)</f>
        <v>#VALUE!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60</v>
      </c>
      <c r="D41" s="88" t="e">
        <f ca="1">0.001*INDIRECT($B41&amp;"!E6")</f>
        <v>#VALUE!</v>
      </c>
      <c r="E41" s="21"/>
      <c r="F41" s="122" t="str">
        <f>F40</f>
        <v>ManWithFruit</v>
      </c>
      <c r="G41" s="130" t="s">
        <v>60</v>
      </c>
      <c r="H41" s="88" t="e">
        <f ca="1">0.001*INDIRECT($B41&amp;"!AC6")</f>
        <v>#VALUE!</v>
      </c>
      <c r="I41" s="9"/>
      <c r="J41" s="22" t="e">
        <f ca="1">H41/D41-1</f>
        <v>#VALUE!</v>
      </c>
      <c r="L41" s="94" t="str">
        <f ca="1">INDIRECT($B41&amp;"!"&amp;L$3&amp;"6")</f>
        <v/>
      </c>
      <c r="M41" s="95" t="str">
        <f ca="1">INDIRECT($B41&amp;"!"&amp;M$3&amp;"6")</f>
        <v/>
      </c>
      <c r="N41" s="96" t="e">
        <f ca="1">M41-L41</f>
        <v>#VALUE!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61</v>
      </c>
      <c r="D42" s="88" t="e">
        <f ca="1">0.001*INDIRECT($B42&amp;"!E7")</f>
        <v>#VALUE!</v>
      </c>
      <c r="E42" s="21"/>
      <c r="F42" s="122" t="str">
        <f>F41</f>
        <v>ManWithFruit</v>
      </c>
      <c r="G42" s="130" t="s">
        <v>61</v>
      </c>
      <c r="H42" s="88" t="e">
        <f ca="1">0.001*INDIRECT($B42&amp;"!AC7")</f>
        <v>#VALUE!</v>
      </c>
      <c r="I42" s="9"/>
      <c r="J42" s="22" t="e">
        <f ca="1">H42/D42-1</f>
        <v>#VALUE!</v>
      </c>
      <c r="L42" s="94" t="str">
        <f ca="1">INDIRECT($B42&amp;"!"&amp;L$3&amp;"7")</f>
        <v/>
      </c>
      <c r="M42" s="95" t="str">
        <f ca="1">INDIRECT($B42&amp;"!"&amp;M$3&amp;"7")</f>
        <v/>
      </c>
      <c r="N42" s="96" t="e">
        <f ca="1">M42-L42</f>
        <v>#VALUE!</v>
      </c>
      <c r="O42" s="21"/>
      <c r="P42" s="217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62</v>
      </c>
      <c r="D43" s="88" t="e">
        <f ca="1">0.001*INDIRECT($B43&amp;"!E8")</f>
        <v>#VALUE!</v>
      </c>
      <c r="E43" s="21"/>
      <c r="F43" s="122" t="str">
        <f>F42</f>
        <v>ManWithFruit</v>
      </c>
      <c r="G43" s="130" t="s">
        <v>62</v>
      </c>
      <c r="H43" s="88" t="e">
        <f ca="1">0.001*INDIRECT($B43&amp;"!AC8")</f>
        <v>#VALUE!</v>
      </c>
      <c r="I43" s="9"/>
      <c r="J43" s="22" t="e">
        <f ca="1">H43/D43-1</f>
        <v>#VALUE!</v>
      </c>
      <c r="L43" s="94" t="str">
        <f ca="1">INDIRECT($B43&amp;"!"&amp;L$3&amp;"8")</f>
        <v/>
      </c>
      <c r="M43" s="95" t="str">
        <f ca="1">INDIRECT($B43&amp;"!"&amp;M$3&amp;"8")</f>
        <v/>
      </c>
      <c r="N43" s="96" t="e">
        <f ca="1">M43-L43</f>
        <v>#VALUE!</v>
      </c>
      <c r="O43" s="21"/>
      <c r="P43" s="18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63</v>
      </c>
      <c r="D44" s="88" t="e">
        <f ca="1">0.001*INDIRECT($B44&amp;"!E9")</f>
        <v>#VALUE!</v>
      </c>
      <c r="E44" s="21"/>
      <c r="F44" s="122" t="str">
        <f>F43</f>
        <v>ManWithFruit</v>
      </c>
      <c r="G44" s="130" t="s">
        <v>63</v>
      </c>
      <c r="H44" s="88" t="e">
        <f ca="1">0.001*INDIRECT($B44&amp;"!AC9")</f>
        <v>#VALUE!</v>
      </c>
      <c r="I44" s="9"/>
      <c r="J44" s="22" t="e">
        <f ca="1">H44/D44-1</f>
        <v>#VALUE!</v>
      </c>
      <c r="L44" s="94" t="str">
        <f ca="1">INDIRECT($B44&amp;"!"&amp;L$3&amp;"9")</f>
        <v/>
      </c>
      <c r="M44" s="95" t="str">
        <f ca="1">INDIRECT($B44&amp;"!"&amp;M$3&amp;"9")</f>
        <v/>
      </c>
      <c r="N44" s="96" t="e">
        <f ca="1">M44-L44</f>
        <v>#VALUE!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 t="e">
        <f ca="1">MIN(D40:D44,H40:H44)</f>
        <v>#VALUE!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 t="e">
        <f ca="1">MAX(D40:D44,H40:H44)</f>
        <v>#VALUE!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57" t="s">
        <v>29</v>
      </c>
      <c r="C48" s="258"/>
      <c r="D48" s="259"/>
      <c r="E48" s="2"/>
      <c r="F48" s="257" t="str">
        <f>B48</f>
        <v>LEGO_Ferrari</v>
      </c>
      <c r="G48" s="258"/>
      <c r="H48" s="259"/>
      <c r="I48" s="2"/>
      <c r="J48" s="115"/>
      <c r="L48" s="254" t="str">
        <f>F48</f>
        <v>LEGO_Ferrari</v>
      </c>
      <c r="M48" s="255"/>
      <c r="N48" s="256"/>
      <c r="O48" s="195"/>
      <c r="P48" s="115"/>
      <c r="U48" s="112"/>
      <c r="V48" s="112"/>
      <c r="X48" s="268"/>
      <c r="Y48" s="270"/>
      <c r="Z48" s="270"/>
    </row>
    <row r="49" spans="2:28" x14ac:dyDescent="0.25">
      <c r="B49" s="263" t="s">
        <v>52</v>
      </c>
      <c r="C49" s="266"/>
      <c r="D49" s="87" t="s">
        <v>53</v>
      </c>
      <c r="E49" s="21"/>
      <c r="F49" s="263" t="s">
        <v>52</v>
      </c>
      <c r="G49" s="266"/>
      <c r="H49" s="87" t="s">
        <v>53</v>
      </c>
      <c r="I49" s="9"/>
      <c r="J49" s="116" t="s">
        <v>54</v>
      </c>
      <c r="L49" s="260" t="s">
        <v>78</v>
      </c>
      <c r="M49" s="261"/>
      <c r="N49" s="262"/>
      <c r="O49" s="85"/>
      <c r="P49" s="3"/>
      <c r="R49" s="261"/>
      <c r="S49" s="270"/>
      <c r="T49" s="270"/>
      <c r="U49" s="113"/>
      <c r="V49" s="113"/>
      <c r="X49" s="261"/>
      <c r="Y49" s="270"/>
      <c r="Z49" s="270"/>
    </row>
    <row r="50" spans="2:28" x14ac:dyDescent="0.25">
      <c r="B50" s="191" t="s">
        <v>3</v>
      </c>
      <c r="C50" s="130" t="s">
        <v>56</v>
      </c>
      <c r="D50" s="86" t="s">
        <v>57</v>
      </c>
      <c r="E50" s="21"/>
      <c r="F50" s="191" t="s">
        <v>3</v>
      </c>
      <c r="G50" s="130" t="s">
        <v>56</v>
      </c>
      <c r="H50" s="86" t="s">
        <v>57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Proposal LEGO_Ferrari</v>
      </c>
      <c r="N50" s="194" t="s">
        <v>58</v>
      </c>
      <c r="O50" s="2"/>
      <c r="P50" s="3" t="s">
        <v>49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59</v>
      </c>
      <c r="D51" s="88" t="e">
        <f ca="1">0.001*INDIRECT($B51&amp;"!E5")</f>
        <v>#VALUE!</v>
      </c>
      <c r="E51" s="21"/>
      <c r="F51" s="122" t="str">
        <f>F48</f>
        <v>LEGO_Ferrari</v>
      </c>
      <c r="G51" s="130" t="s">
        <v>59</v>
      </c>
      <c r="H51" s="88" t="e">
        <f ca="1">0.001*INDIRECT($B51&amp;"!AC5")</f>
        <v>#VALUE!</v>
      </c>
      <c r="I51" s="9"/>
      <c r="J51" s="22" t="e">
        <f ca="1">H51/D51-1</f>
        <v>#VALUE!</v>
      </c>
      <c r="L51" s="94" t="str">
        <f ca="1">INDIRECT($B51&amp;"!"&amp;L$3&amp;"5")</f>
        <v/>
      </c>
      <c r="M51" s="95" t="str">
        <f ca="1">INDIRECT($B51&amp;"!"&amp;M$3&amp;"5")</f>
        <v/>
      </c>
      <c r="N51" s="96" t="e">
        <f ca="1">M51-L51</f>
        <v>#VALUE!</v>
      </c>
      <c r="O51" s="21"/>
      <c r="P51" s="22" t="e">
        <f ca="1">bdRateExtend(D51:D55,L51:L55,H51:H55,M51:M55)</f>
        <v>#VALUE!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60</v>
      </c>
      <c r="D52" s="88" t="e">
        <f ca="1">0.001*INDIRECT($B52&amp;"!E6")</f>
        <v>#VALUE!</v>
      </c>
      <c r="E52" s="21"/>
      <c r="F52" s="122" t="str">
        <f>F51</f>
        <v>LEGO_Ferrari</v>
      </c>
      <c r="G52" s="130" t="s">
        <v>60</v>
      </c>
      <c r="H52" s="88" t="e">
        <f ca="1">0.001*INDIRECT($B52&amp;"!AC6")</f>
        <v>#VALUE!</v>
      </c>
      <c r="I52" s="9"/>
      <c r="J52" s="22" t="e">
        <f ca="1">H52/D52-1</f>
        <v>#VALUE!</v>
      </c>
      <c r="L52" s="94" t="str">
        <f ca="1">INDIRECT($B52&amp;"!"&amp;L$3&amp;"6")</f>
        <v/>
      </c>
      <c r="M52" s="95" t="str">
        <f ca="1">INDIRECT($B52&amp;"!"&amp;M$3&amp;"6")</f>
        <v/>
      </c>
      <c r="N52" s="96" t="e">
        <f ca="1">M52-L52</f>
        <v>#VALUE!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61</v>
      </c>
      <c r="D53" s="88" t="e">
        <f ca="1">0.001*INDIRECT($B53&amp;"!E7")</f>
        <v>#VALUE!</v>
      </c>
      <c r="E53" s="21"/>
      <c r="F53" s="122" t="str">
        <f>F52</f>
        <v>LEGO_Ferrari</v>
      </c>
      <c r="G53" s="130" t="s">
        <v>61</v>
      </c>
      <c r="H53" s="88" t="e">
        <f ca="1">0.001*INDIRECT($B53&amp;"!AC7")</f>
        <v>#VALUE!</v>
      </c>
      <c r="I53" s="9"/>
      <c r="J53" s="22" t="e">
        <f ca="1">H53/D53-1</f>
        <v>#VALUE!</v>
      </c>
      <c r="L53" s="94" t="str">
        <f ca="1">INDIRECT($B53&amp;"!"&amp;L$3&amp;"7")</f>
        <v/>
      </c>
      <c r="M53" s="95" t="str">
        <f ca="1">INDIRECT($B53&amp;"!"&amp;M$3&amp;"7")</f>
        <v/>
      </c>
      <c r="N53" s="96" t="e">
        <f ca="1">M53-L53</f>
        <v>#VALUE!</v>
      </c>
      <c r="O53" s="21"/>
      <c r="P53" s="217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62</v>
      </c>
      <c r="D54" s="88" t="e">
        <f ca="1">0.001*INDIRECT($B54&amp;"!E8")</f>
        <v>#VALUE!</v>
      </c>
      <c r="E54" s="21"/>
      <c r="F54" s="122" t="str">
        <f>F53</f>
        <v>LEGO_Ferrari</v>
      </c>
      <c r="G54" s="130" t="s">
        <v>62</v>
      </c>
      <c r="H54" s="88" t="e">
        <f ca="1">0.001*INDIRECT($B54&amp;"!AC8")</f>
        <v>#VALUE!</v>
      </c>
      <c r="I54" s="9"/>
      <c r="J54" s="22" t="e">
        <f ca="1">H54/D54-1</f>
        <v>#VALUE!</v>
      </c>
      <c r="L54" s="94" t="str">
        <f ca="1">INDIRECT($B54&amp;"!"&amp;L$3&amp;"8")</f>
        <v/>
      </c>
      <c r="M54" s="95" t="str">
        <f ca="1">INDIRECT($B54&amp;"!"&amp;M$3&amp;"8")</f>
        <v/>
      </c>
      <c r="N54" s="96" t="e">
        <f ca="1">M54-L54</f>
        <v>#VALUE!</v>
      </c>
      <c r="O54" s="21"/>
      <c r="P54" s="18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63</v>
      </c>
      <c r="D55" s="88" t="e">
        <f ca="1">0.001*INDIRECT($B55&amp;"!E9")</f>
        <v>#VALUE!</v>
      </c>
      <c r="E55" s="21"/>
      <c r="F55" s="122" t="str">
        <f>F54</f>
        <v>LEGO_Ferrari</v>
      </c>
      <c r="G55" s="130" t="s">
        <v>63</v>
      </c>
      <c r="H55" s="88" t="e">
        <f ca="1">0.001*INDIRECT($B55&amp;"!AC9")</f>
        <v>#VALUE!</v>
      </c>
      <c r="I55" s="9"/>
      <c r="J55" s="22" t="e">
        <f ca="1">H55/D55-1</f>
        <v>#VALUE!</v>
      </c>
      <c r="L55" s="94" t="str">
        <f ca="1">INDIRECT($B55&amp;"!"&amp;L$3&amp;"9")</f>
        <v/>
      </c>
      <c r="M55" s="95" t="str">
        <f ca="1">INDIRECT($B55&amp;"!"&amp;M$3&amp;"9")</f>
        <v/>
      </c>
      <c r="N55" s="96" t="e">
        <f ca="1">M55-L55</f>
        <v>#VALUE!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 t="e">
        <f ca="1">MIN(D51:D55,H51:H55)</f>
        <v>#VALUE!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 t="e">
        <f ca="1">MAX(D51:D55,H51:H55)</f>
        <v>#VALUE!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57" t="s">
        <v>30</v>
      </c>
      <c r="C59" s="258"/>
      <c r="D59" s="259"/>
      <c r="E59" s="2"/>
      <c r="F59" s="257" t="str">
        <f>B59</f>
        <v>LEGO_Bugatti</v>
      </c>
      <c r="G59" s="258"/>
      <c r="H59" s="259"/>
      <c r="I59" s="2"/>
      <c r="J59" s="115"/>
      <c r="L59" s="254" t="str">
        <f>F59</f>
        <v>LEGO_Bugatti</v>
      </c>
      <c r="M59" s="255"/>
      <c r="N59" s="256"/>
      <c r="O59" s="195"/>
      <c r="P59" s="115"/>
      <c r="U59" s="112"/>
      <c r="V59" s="112"/>
      <c r="X59" s="268"/>
      <c r="Y59" s="270"/>
      <c r="Z59" s="270"/>
    </row>
    <row r="60" spans="2:28" x14ac:dyDescent="0.25">
      <c r="B60" s="263" t="s">
        <v>52</v>
      </c>
      <c r="C60" s="266"/>
      <c r="D60" s="87" t="s">
        <v>53</v>
      </c>
      <c r="E60" s="21"/>
      <c r="F60" s="263" t="s">
        <v>52</v>
      </c>
      <c r="G60" s="266"/>
      <c r="H60" s="87" t="s">
        <v>53</v>
      </c>
      <c r="I60" s="9"/>
      <c r="J60" s="116" t="s">
        <v>54</v>
      </c>
      <c r="L60" s="260" t="s">
        <v>78</v>
      </c>
      <c r="M60" s="261"/>
      <c r="N60" s="262"/>
      <c r="O60" s="85"/>
      <c r="P60" s="3"/>
      <c r="R60" s="261"/>
      <c r="S60" s="270"/>
      <c r="T60" s="270"/>
      <c r="U60" s="113"/>
      <c r="V60" s="113"/>
      <c r="X60" s="261"/>
      <c r="Y60" s="270"/>
      <c r="Z60" s="270"/>
    </row>
    <row r="61" spans="2:28" x14ac:dyDescent="0.25">
      <c r="B61" s="191" t="s">
        <v>3</v>
      </c>
      <c r="C61" s="130" t="s">
        <v>56</v>
      </c>
      <c r="D61" s="86" t="s">
        <v>57</v>
      </c>
      <c r="E61" s="21"/>
      <c r="F61" s="191" t="s">
        <v>3</v>
      </c>
      <c r="G61" s="130" t="s">
        <v>56</v>
      </c>
      <c r="H61" s="86" t="s">
        <v>57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Proposal LEGO_Bugatti</v>
      </c>
      <c r="N61" s="194" t="s">
        <v>58</v>
      </c>
      <c r="O61" s="2"/>
      <c r="P61" s="3" t="s">
        <v>49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59</v>
      </c>
      <c r="D62" s="88" t="e">
        <f ca="1">0.001*INDIRECT($B62&amp;"!E5")</f>
        <v>#VALUE!</v>
      </c>
      <c r="E62" s="21"/>
      <c r="F62" s="122" t="str">
        <f>F59</f>
        <v>LEGO_Bugatti</v>
      </c>
      <c r="G62" s="130" t="s">
        <v>59</v>
      </c>
      <c r="H62" s="88" t="e">
        <f ca="1">0.001*INDIRECT($B62&amp;"!AC5")</f>
        <v>#VALUE!</v>
      </c>
      <c r="I62" s="9"/>
      <c r="J62" s="22" t="e">
        <f ca="1">H62/D62-1</f>
        <v>#VALUE!</v>
      </c>
      <c r="L62" s="94" t="str">
        <f ca="1">INDIRECT($B62&amp;"!"&amp;L$3&amp;"5")</f>
        <v/>
      </c>
      <c r="M62" s="95" t="str">
        <f ca="1">INDIRECT($B62&amp;"!"&amp;M$3&amp;"5")</f>
        <v/>
      </c>
      <c r="N62" s="96" t="e">
        <f ca="1">M62-L62</f>
        <v>#VALUE!</v>
      </c>
      <c r="O62" s="21"/>
      <c r="P62" s="22" t="e">
        <f ca="1">bdRateExtend(D62:D66,L62:L66,H62:H66,M62:M66)</f>
        <v>#VALUE!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60</v>
      </c>
      <c r="D63" s="88" t="e">
        <f ca="1">0.001*INDIRECT($B63&amp;"!E6")</f>
        <v>#VALUE!</v>
      </c>
      <c r="E63" s="21"/>
      <c r="F63" s="122" t="str">
        <f>F62</f>
        <v>LEGO_Bugatti</v>
      </c>
      <c r="G63" s="130" t="s">
        <v>60</v>
      </c>
      <c r="H63" s="88" t="e">
        <f ca="1">0.001*INDIRECT($B63&amp;"!AC6")</f>
        <v>#VALUE!</v>
      </c>
      <c r="I63" s="9"/>
      <c r="J63" s="22" t="e">
        <f ca="1">H63/D63-1</f>
        <v>#VALUE!</v>
      </c>
      <c r="L63" s="94" t="str">
        <f ca="1">INDIRECT($B63&amp;"!"&amp;L$3&amp;"6")</f>
        <v/>
      </c>
      <c r="M63" s="95" t="str">
        <f ca="1">INDIRECT($B63&amp;"!"&amp;M$3&amp;"6")</f>
        <v/>
      </c>
      <c r="N63" s="96" t="e">
        <f ca="1">M63-L63</f>
        <v>#VALUE!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61</v>
      </c>
      <c r="D64" s="88" t="e">
        <f ca="1">0.001*INDIRECT($B64&amp;"!E7")</f>
        <v>#VALUE!</v>
      </c>
      <c r="E64" s="21"/>
      <c r="F64" s="122" t="str">
        <f>F63</f>
        <v>LEGO_Bugatti</v>
      </c>
      <c r="G64" s="130" t="s">
        <v>61</v>
      </c>
      <c r="H64" s="88" t="e">
        <f ca="1">0.001*INDIRECT($B64&amp;"!AC7")</f>
        <v>#VALUE!</v>
      </c>
      <c r="I64" s="9"/>
      <c r="J64" s="22" t="e">
        <f ca="1">H64/D64-1</f>
        <v>#VALUE!</v>
      </c>
      <c r="L64" s="94" t="str">
        <f ca="1">INDIRECT($B64&amp;"!"&amp;L$3&amp;"7")</f>
        <v/>
      </c>
      <c r="M64" s="95" t="str">
        <f ca="1">INDIRECT($B64&amp;"!"&amp;M$3&amp;"7")</f>
        <v/>
      </c>
      <c r="N64" s="96" t="e">
        <f ca="1">M64-L64</f>
        <v>#VALUE!</v>
      </c>
      <c r="O64" s="21"/>
      <c r="P64" s="217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62</v>
      </c>
      <c r="D65" s="88" t="e">
        <f ca="1">0.001*INDIRECT($B65&amp;"!E8")</f>
        <v>#VALUE!</v>
      </c>
      <c r="E65" s="21"/>
      <c r="F65" s="122" t="str">
        <f>F64</f>
        <v>LEGO_Bugatti</v>
      </c>
      <c r="G65" s="130" t="s">
        <v>62</v>
      </c>
      <c r="H65" s="88" t="e">
        <f ca="1">0.001*INDIRECT($B65&amp;"!AC8")</f>
        <v>#VALUE!</v>
      </c>
      <c r="I65" s="9"/>
      <c r="J65" s="22" t="e">
        <f ca="1">H65/D65-1</f>
        <v>#VALUE!</v>
      </c>
      <c r="L65" s="94" t="str">
        <f ca="1">INDIRECT($B65&amp;"!"&amp;L$3&amp;"8")</f>
        <v/>
      </c>
      <c r="M65" s="95" t="str">
        <f ca="1">INDIRECT($B65&amp;"!"&amp;M$3&amp;"8")</f>
        <v/>
      </c>
      <c r="N65" s="96" t="e">
        <f ca="1">M65-L65</f>
        <v>#VALUE!</v>
      </c>
      <c r="O65" s="21"/>
      <c r="P65" s="18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63</v>
      </c>
      <c r="D66" s="88" t="e">
        <f ca="1">0.001*INDIRECT($B66&amp;"!E9")</f>
        <v>#VALUE!</v>
      </c>
      <c r="E66" s="21"/>
      <c r="F66" s="122" t="str">
        <f>F65</f>
        <v>LEGO_Bugatti</v>
      </c>
      <c r="G66" s="130" t="s">
        <v>63</v>
      </c>
      <c r="H66" s="88" t="e">
        <f ca="1">0.001*INDIRECT($B66&amp;"!AC9")</f>
        <v>#VALUE!</v>
      </c>
      <c r="I66" s="9"/>
      <c r="J66" s="22" t="e">
        <f ca="1">H66/D66-1</f>
        <v>#VALUE!</v>
      </c>
      <c r="L66" s="94" t="str">
        <f ca="1">INDIRECT($B66&amp;"!"&amp;L$3&amp;"9")</f>
        <v/>
      </c>
      <c r="M66" s="95" t="str">
        <f ca="1">INDIRECT($B66&amp;"!"&amp;M$3&amp;"9")</f>
        <v/>
      </c>
      <c r="N66" s="96" t="e">
        <f ca="1">M66-L66</f>
        <v>#VALUE!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 t="e">
        <f ca="1">MIN(D62:D66,H62:H66)</f>
        <v>#VALUE!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 t="e">
        <f ca="1">MAX(D62:D66,H62:H66)</f>
        <v>#VALUE!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57" t="s">
        <v>31</v>
      </c>
      <c r="C70" s="258"/>
      <c r="D70" s="259"/>
      <c r="E70" s="2"/>
      <c r="F70" s="257" t="str">
        <f>B70</f>
        <v>Plant</v>
      </c>
      <c r="G70" s="258"/>
      <c r="H70" s="259"/>
      <c r="I70" s="2"/>
      <c r="J70" s="115"/>
      <c r="L70" s="254" t="str">
        <f>F70</f>
        <v>Plant</v>
      </c>
      <c r="M70" s="255"/>
      <c r="N70" s="256"/>
      <c r="O70" s="195"/>
      <c r="P70" s="115"/>
      <c r="U70" s="112"/>
      <c r="V70" s="112"/>
      <c r="X70" s="268"/>
      <c r="Y70" s="270"/>
      <c r="Z70" s="270"/>
    </row>
    <row r="71" spans="2:28" x14ac:dyDescent="0.25">
      <c r="B71" s="263" t="s">
        <v>52</v>
      </c>
      <c r="C71" s="266"/>
      <c r="D71" s="87" t="s">
        <v>53</v>
      </c>
      <c r="E71" s="21"/>
      <c r="F71" s="263" t="s">
        <v>52</v>
      </c>
      <c r="G71" s="266"/>
      <c r="H71" s="87" t="s">
        <v>53</v>
      </c>
      <c r="I71" s="9"/>
      <c r="J71" s="116" t="s">
        <v>54</v>
      </c>
      <c r="L71" s="260" t="s">
        <v>78</v>
      </c>
      <c r="M71" s="261"/>
      <c r="N71" s="262"/>
      <c r="O71" s="85"/>
      <c r="P71" s="3"/>
      <c r="R71" s="261"/>
      <c r="S71" s="270"/>
      <c r="T71" s="270"/>
      <c r="U71" s="113"/>
      <c r="V71" s="113"/>
      <c r="X71" s="261"/>
      <c r="Y71" s="270"/>
      <c r="Z71" s="270"/>
    </row>
    <row r="72" spans="2:28" x14ac:dyDescent="0.25">
      <c r="B72" s="191" t="s">
        <v>3</v>
      </c>
      <c r="C72" s="130" t="s">
        <v>56</v>
      </c>
      <c r="D72" s="86" t="s">
        <v>57</v>
      </c>
      <c r="E72" s="21"/>
      <c r="F72" s="191" t="s">
        <v>3</v>
      </c>
      <c r="G72" s="130" t="s">
        <v>56</v>
      </c>
      <c r="H72" s="86" t="s">
        <v>57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Proposal Plant</v>
      </c>
      <c r="N72" s="194" t="s">
        <v>58</v>
      </c>
      <c r="O72" s="2"/>
      <c r="P72" s="3" t="s">
        <v>49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59</v>
      </c>
      <c r="D73" s="88" t="e">
        <f ca="1">0.001*INDIRECT($B73&amp;"!E5")</f>
        <v>#VALUE!</v>
      </c>
      <c r="E73" s="21"/>
      <c r="F73" s="122" t="str">
        <f>F70</f>
        <v>Plant</v>
      </c>
      <c r="G73" s="130" t="s">
        <v>59</v>
      </c>
      <c r="H73" s="88" t="e">
        <f ca="1">0.001*INDIRECT($B73&amp;"!AC5")</f>
        <v>#VALUE!</v>
      </c>
      <c r="I73" s="9"/>
      <c r="J73" s="22" t="e">
        <f ca="1">H73/D73-1</f>
        <v>#VALUE!</v>
      </c>
      <c r="L73" s="94" t="str">
        <f ca="1">INDIRECT($B73&amp;"!"&amp;L$3&amp;"5")</f>
        <v/>
      </c>
      <c r="M73" s="95" t="str">
        <f ca="1">INDIRECT($B73&amp;"!"&amp;M$3&amp;"5")</f>
        <v/>
      </c>
      <c r="N73" s="96" t="e">
        <f ca="1">M73-L73</f>
        <v>#VALUE!</v>
      </c>
      <c r="O73" s="21"/>
      <c r="P73" s="22" t="e">
        <f ca="1">bdRateExtend(D73:D77,L73:L77,H73:H77,M73:M77)</f>
        <v>#VALUE!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60</v>
      </c>
      <c r="D74" s="88" t="e">
        <f ca="1">0.001*INDIRECT($B74&amp;"!E6")</f>
        <v>#VALUE!</v>
      </c>
      <c r="E74" s="21"/>
      <c r="F74" s="122" t="str">
        <f>F73</f>
        <v>Plant</v>
      </c>
      <c r="G74" s="130" t="s">
        <v>60</v>
      </c>
      <c r="H74" s="88" t="e">
        <f ca="1">0.001*INDIRECT($B74&amp;"!AC6")</f>
        <v>#VALUE!</v>
      </c>
      <c r="I74" s="9"/>
      <c r="J74" s="22" t="e">
        <f ca="1">H74/D74-1</f>
        <v>#VALUE!</v>
      </c>
      <c r="L74" s="94" t="str">
        <f ca="1">INDIRECT($B74&amp;"!"&amp;L$3&amp;"6")</f>
        <v/>
      </c>
      <c r="M74" s="95" t="str">
        <f ca="1">INDIRECT($B74&amp;"!"&amp;M$3&amp;"6")</f>
        <v/>
      </c>
      <c r="N74" s="96" t="e">
        <f ca="1">M74-L74</f>
        <v>#VALUE!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61</v>
      </c>
      <c r="D75" s="88" t="e">
        <f ca="1">0.001*INDIRECT($B75&amp;"!E7")</f>
        <v>#VALUE!</v>
      </c>
      <c r="E75" s="21"/>
      <c r="F75" s="122" t="str">
        <f>F74</f>
        <v>Plant</v>
      </c>
      <c r="G75" s="130" t="s">
        <v>61</v>
      </c>
      <c r="H75" s="88" t="e">
        <f ca="1">0.001*INDIRECT($B75&amp;"!AC7")</f>
        <v>#VALUE!</v>
      </c>
      <c r="I75" s="9"/>
      <c r="J75" s="22" t="e">
        <f ca="1">H75/D75-1</f>
        <v>#VALUE!</v>
      </c>
      <c r="L75" s="94" t="str">
        <f ca="1">INDIRECT($B75&amp;"!"&amp;L$3&amp;"7")</f>
        <v/>
      </c>
      <c r="M75" s="95" t="str">
        <f ca="1">INDIRECT($B75&amp;"!"&amp;M$3&amp;"7")</f>
        <v/>
      </c>
      <c r="N75" s="96" t="e">
        <f ca="1">M75-L75</f>
        <v>#VALUE!</v>
      </c>
      <c r="O75" s="21"/>
      <c r="P75" s="217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62</v>
      </c>
      <c r="D76" s="88" t="e">
        <f ca="1">0.001*INDIRECT($B76&amp;"!E8")</f>
        <v>#VALUE!</v>
      </c>
      <c r="E76" s="21"/>
      <c r="F76" s="122" t="str">
        <f>F75</f>
        <v>Plant</v>
      </c>
      <c r="G76" s="130" t="s">
        <v>62</v>
      </c>
      <c r="H76" s="88" t="e">
        <f ca="1">0.001*INDIRECT($B76&amp;"!AC8")</f>
        <v>#VALUE!</v>
      </c>
      <c r="I76" s="9"/>
      <c r="J76" s="22" t="e">
        <f ca="1">H76/D76-1</f>
        <v>#VALUE!</v>
      </c>
      <c r="L76" s="94" t="str">
        <f ca="1">INDIRECT($B76&amp;"!"&amp;L$3&amp;"8")</f>
        <v/>
      </c>
      <c r="M76" s="95" t="str">
        <f ca="1">INDIRECT($B76&amp;"!"&amp;M$3&amp;"8")</f>
        <v/>
      </c>
      <c r="N76" s="96" t="e">
        <f ca="1">M76-L76</f>
        <v>#VALUE!</v>
      </c>
      <c r="O76" s="21"/>
      <c r="P76" s="18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63</v>
      </c>
      <c r="D77" s="88" t="e">
        <f ca="1">0.001*INDIRECT($B77&amp;"!E9")</f>
        <v>#VALUE!</v>
      </c>
      <c r="E77" s="21"/>
      <c r="F77" s="122" t="str">
        <f>F76</f>
        <v>Plant</v>
      </c>
      <c r="G77" s="130" t="s">
        <v>63</v>
      </c>
      <c r="H77" s="88" t="e">
        <f ca="1">0.001*INDIRECT($B77&amp;"!AC9")</f>
        <v>#VALUE!</v>
      </c>
      <c r="I77" s="9"/>
      <c r="J77" s="22" t="e">
        <f ca="1">H77/D77-1</f>
        <v>#VALUE!</v>
      </c>
      <c r="L77" s="94" t="str">
        <f ca="1">INDIRECT($B77&amp;"!"&amp;L$3&amp;"9")</f>
        <v/>
      </c>
      <c r="M77" s="95" t="str">
        <f ca="1">INDIRECT($B77&amp;"!"&amp;M$3&amp;"9")</f>
        <v/>
      </c>
      <c r="N77" s="96" t="e">
        <f ca="1">M77-L77</f>
        <v>#VALUE!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 t="e">
        <f ca="1">MIN(D73:D77,H73:H77)</f>
        <v>#VALUE!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 t="e">
        <f ca="1">MAX(D73:D77,H73:H77)</f>
        <v>#VALUE!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5" customHeight="1" thickBot="1" x14ac:dyDescent="0.3"/>
    <row r="81" spans="2:28" x14ac:dyDescent="0.25">
      <c r="B81" s="257" t="s">
        <v>32</v>
      </c>
      <c r="C81" s="258"/>
      <c r="D81" s="259"/>
      <c r="E81" s="2"/>
      <c r="F81" s="257" t="str">
        <f>B81</f>
        <v>Tennis_Player</v>
      </c>
      <c r="G81" s="258"/>
      <c r="H81" s="259"/>
      <c r="I81" s="2"/>
      <c r="J81" s="115"/>
      <c r="L81" s="254" t="str">
        <f>F81</f>
        <v>Tennis_Player</v>
      </c>
      <c r="M81" s="255"/>
      <c r="N81" s="256"/>
      <c r="O81" s="195"/>
      <c r="P81" s="115"/>
      <c r="U81" s="112"/>
      <c r="V81" s="112"/>
      <c r="X81" s="268"/>
      <c r="Y81" s="270"/>
      <c r="Z81" s="270"/>
    </row>
    <row r="82" spans="2:28" x14ac:dyDescent="0.25">
      <c r="B82" s="263" t="s">
        <v>52</v>
      </c>
      <c r="C82" s="266"/>
      <c r="D82" s="87" t="s">
        <v>53</v>
      </c>
      <c r="E82" s="21"/>
      <c r="F82" s="263" t="s">
        <v>52</v>
      </c>
      <c r="G82" s="266"/>
      <c r="H82" s="87" t="s">
        <v>53</v>
      </c>
      <c r="I82" s="9"/>
      <c r="J82" s="116" t="s">
        <v>54</v>
      </c>
      <c r="L82" s="260" t="s">
        <v>78</v>
      </c>
      <c r="M82" s="261"/>
      <c r="N82" s="262"/>
      <c r="O82" s="85"/>
      <c r="P82" s="3"/>
      <c r="R82" s="261"/>
      <c r="S82" s="270"/>
      <c r="T82" s="270"/>
      <c r="U82" s="113"/>
      <c r="V82" s="113"/>
      <c r="X82" s="261"/>
      <c r="Y82" s="270"/>
      <c r="Z82" s="270"/>
    </row>
    <row r="83" spans="2:28" x14ac:dyDescent="0.25">
      <c r="B83" s="191" t="s">
        <v>3</v>
      </c>
      <c r="C83" s="130" t="s">
        <v>56</v>
      </c>
      <c r="D83" s="86" t="s">
        <v>57</v>
      </c>
      <c r="E83" s="21"/>
      <c r="F83" s="191" t="s">
        <v>3</v>
      </c>
      <c r="G83" s="130" t="s">
        <v>56</v>
      </c>
      <c r="H83" s="86" t="s">
        <v>57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Proposal Tennis_Player</v>
      </c>
      <c r="N83" s="194" t="s">
        <v>58</v>
      </c>
      <c r="O83" s="2"/>
      <c r="P83" s="3" t="s">
        <v>49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59</v>
      </c>
      <c r="D84" s="88" t="e">
        <f ca="1">0.001*INDIRECT($B84&amp;"!E5")</f>
        <v>#VALUE!</v>
      </c>
      <c r="E84" s="21"/>
      <c r="F84" s="122" t="str">
        <f>F81</f>
        <v>Tennis_Player</v>
      </c>
      <c r="G84" s="130" t="s">
        <v>59</v>
      </c>
      <c r="H84" s="88" t="e">
        <f ca="1">0.001*INDIRECT($B84&amp;"!AC5")</f>
        <v>#VALUE!</v>
      </c>
      <c r="I84" s="9"/>
      <c r="J84" s="22" t="e">
        <f ca="1">H84/D84-1</f>
        <v>#VALUE!</v>
      </c>
      <c r="L84" s="94" t="str">
        <f ca="1">INDIRECT($B84&amp;"!"&amp;L$3&amp;"5")</f>
        <v/>
      </c>
      <c r="M84" s="95" t="str">
        <f ca="1">INDIRECT($B84&amp;"!"&amp;M$3&amp;"5")</f>
        <v/>
      </c>
      <c r="N84" s="96" t="e">
        <f ca="1">M84-L84</f>
        <v>#VALUE!</v>
      </c>
      <c r="O84" s="21"/>
      <c r="P84" s="22" t="e">
        <f ca="1">bdRateExtend(D84:D88,L84:L88,H84:H88,M84:M88)</f>
        <v>#VALUE!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60</v>
      </c>
      <c r="D85" s="88" t="e">
        <f ca="1">0.001*INDIRECT($B85&amp;"!E6")</f>
        <v>#VALUE!</v>
      </c>
      <c r="E85" s="21"/>
      <c r="F85" s="122" t="str">
        <f>F84</f>
        <v>Tennis_Player</v>
      </c>
      <c r="G85" s="130" t="s">
        <v>60</v>
      </c>
      <c r="H85" s="88" t="e">
        <f ca="1">0.001*INDIRECT($B85&amp;"!AC6")</f>
        <v>#VALUE!</v>
      </c>
      <c r="I85" s="9"/>
      <c r="J85" s="22" t="e">
        <f ca="1">H85/D85-1</f>
        <v>#VALUE!</v>
      </c>
      <c r="L85" s="94" t="str">
        <f ca="1">INDIRECT($B85&amp;"!"&amp;L$3&amp;"6")</f>
        <v/>
      </c>
      <c r="M85" s="95" t="str">
        <f ca="1">INDIRECT($B85&amp;"!"&amp;M$3&amp;"6")</f>
        <v/>
      </c>
      <c r="N85" s="96" t="e">
        <f ca="1">M85-L85</f>
        <v>#VALUE!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61</v>
      </c>
      <c r="D86" s="88" t="e">
        <f ca="1">0.001*INDIRECT($B86&amp;"!E7")</f>
        <v>#VALUE!</v>
      </c>
      <c r="E86" s="21"/>
      <c r="F86" s="122" t="str">
        <f>F85</f>
        <v>Tennis_Player</v>
      </c>
      <c r="G86" s="130" t="s">
        <v>61</v>
      </c>
      <c r="H86" s="88" t="e">
        <f ca="1">0.001*INDIRECT($B86&amp;"!AC7")</f>
        <v>#VALUE!</v>
      </c>
      <c r="I86" s="9"/>
      <c r="J86" s="22" t="e">
        <f ca="1">H86/D86-1</f>
        <v>#VALUE!</v>
      </c>
      <c r="L86" s="94" t="str">
        <f ca="1">INDIRECT($B86&amp;"!"&amp;L$3&amp;"7")</f>
        <v/>
      </c>
      <c r="M86" s="95" t="str">
        <f ca="1">INDIRECT($B86&amp;"!"&amp;M$3&amp;"7")</f>
        <v/>
      </c>
      <c r="N86" s="96" t="e">
        <f ca="1">M86-L86</f>
        <v>#VALUE!</v>
      </c>
      <c r="O86" s="21"/>
      <c r="P86" s="217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62</v>
      </c>
      <c r="D87" s="88" t="e">
        <f ca="1">0.001*INDIRECT($B87&amp;"!E8")</f>
        <v>#VALUE!</v>
      </c>
      <c r="E87" s="21"/>
      <c r="F87" s="122" t="str">
        <f>F86</f>
        <v>Tennis_Player</v>
      </c>
      <c r="G87" s="130" t="s">
        <v>62</v>
      </c>
      <c r="H87" s="88" t="e">
        <f ca="1">0.001*INDIRECT($B87&amp;"!AC8")</f>
        <v>#VALUE!</v>
      </c>
      <c r="I87" s="9"/>
      <c r="J87" s="22" t="e">
        <f ca="1">H87/D87-1</f>
        <v>#VALUE!</v>
      </c>
      <c r="L87" s="94" t="str">
        <f ca="1">INDIRECT($B87&amp;"!"&amp;L$3&amp;"8")</f>
        <v/>
      </c>
      <c r="M87" s="95" t="str">
        <f ca="1">INDIRECT($B87&amp;"!"&amp;M$3&amp;"8")</f>
        <v/>
      </c>
      <c r="N87" s="96" t="e">
        <f ca="1">M87-L87</f>
        <v>#VALUE!</v>
      </c>
      <c r="O87" s="21"/>
      <c r="P87" s="18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63</v>
      </c>
      <c r="D88" s="88" t="e">
        <f ca="1">0.001*INDIRECT($B88&amp;"!E9")</f>
        <v>#VALUE!</v>
      </c>
      <c r="E88" s="21"/>
      <c r="F88" s="122" t="str">
        <f>F87</f>
        <v>Tennis_Player</v>
      </c>
      <c r="G88" s="130" t="s">
        <v>63</v>
      </c>
      <c r="H88" s="88" t="e">
        <f ca="1">0.001*INDIRECT($B88&amp;"!AC9")</f>
        <v>#VALUE!</v>
      </c>
      <c r="I88" s="9"/>
      <c r="J88" s="22" t="e">
        <f ca="1">H88/D88-1</f>
        <v>#VALUE!</v>
      </c>
      <c r="L88" s="94" t="str">
        <f ca="1">INDIRECT($B88&amp;"!"&amp;L$3&amp;"9")</f>
        <v/>
      </c>
      <c r="M88" s="95" t="str">
        <f ca="1">INDIRECT($B88&amp;"!"&amp;M$3&amp;"9")</f>
        <v/>
      </c>
      <c r="N88" s="96" t="e">
        <f ca="1">M88-L88</f>
        <v>#VALUE!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 t="e">
        <f ca="1">MIN(D84:D88,H84:H88)</f>
        <v>#VALUE!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 t="e">
        <f ca="1">MAX(D84:D88,H84:H88)</f>
        <v>#VALUE!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2" thickBot="1" x14ac:dyDescent="0.3"/>
    <row r="92" spans="2:28" x14ac:dyDescent="0.25">
      <c r="B92" s="257" t="s">
        <v>33</v>
      </c>
      <c r="C92" s="258"/>
      <c r="D92" s="259"/>
      <c r="E92" s="2"/>
      <c r="F92" s="257" t="str">
        <f>B92</f>
        <v>Cricket_Player</v>
      </c>
      <c r="G92" s="258"/>
      <c r="H92" s="259"/>
      <c r="I92" s="2"/>
      <c r="J92" s="115"/>
      <c r="L92" s="254" t="str">
        <f>F92</f>
        <v>Cricket_Player</v>
      </c>
      <c r="M92" s="255"/>
      <c r="N92" s="256"/>
      <c r="O92" s="195"/>
      <c r="P92" s="115"/>
      <c r="U92" s="112"/>
      <c r="V92" s="112"/>
      <c r="X92" s="268"/>
      <c r="Y92" s="270"/>
      <c r="Z92" s="270"/>
    </row>
    <row r="93" spans="2:28" x14ac:dyDescent="0.25">
      <c r="B93" s="263" t="s">
        <v>52</v>
      </c>
      <c r="C93" s="266"/>
      <c r="D93" s="87" t="s">
        <v>53</v>
      </c>
      <c r="E93" s="21"/>
      <c r="F93" s="263" t="s">
        <v>52</v>
      </c>
      <c r="G93" s="266"/>
      <c r="H93" s="87" t="s">
        <v>53</v>
      </c>
      <c r="I93" s="9"/>
      <c r="J93" s="116" t="s">
        <v>54</v>
      </c>
      <c r="L93" s="260" t="s">
        <v>78</v>
      </c>
      <c r="M93" s="261"/>
      <c r="N93" s="262"/>
      <c r="O93" s="85"/>
      <c r="P93" s="3"/>
      <c r="R93" s="261"/>
      <c r="S93" s="270"/>
      <c r="T93" s="270"/>
      <c r="U93" s="113"/>
      <c r="V93" s="113"/>
      <c r="X93" s="261"/>
      <c r="Y93" s="270"/>
      <c r="Z93" s="270"/>
    </row>
    <row r="94" spans="2:28" x14ac:dyDescent="0.25">
      <c r="B94" s="191" t="s">
        <v>3</v>
      </c>
      <c r="C94" s="130" t="s">
        <v>56</v>
      </c>
      <c r="D94" s="86" t="s">
        <v>57</v>
      </c>
      <c r="E94" s="21"/>
      <c r="F94" s="191" t="s">
        <v>3</v>
      </c>
      <c r="G94" s="130" t="s">
        <v>56</v>
      </c>
      <c r="H94" s="86" t="s">
        <v>57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Proposal Cricket_Player</v>
      </c>
      <c r="N94" s="194" t="s">
        <v>58</v>
      </c>
      <c r="O94" s="2"/>
      <c r="P94" s="3" t="s">
        <v>49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59</v>
      </c>
      <c r="D95" s="88" t="e">
        <f ca="1">0.001*INDIRECT($B95&amp;"!E5")</f>
        <v>#VALUE!</v>
      </c>
      <c r="E95" s="21"/>
      <c r="F95" s="122" t="str">
        <f>F92</f>
        <v>Cricket_Player</v>
      </c>
      <c r="G95" s="130" t="s">
        <v>59</v>
      </c>
      <c r="H95" s="88" t="e">
        <f ca="1">0.001*INDIRECT($B95&amp;"!AC5")</f>
        <v>#VALUE!</v>
      </c>
      <c r="I95" s="9"/>
      <c r="J95" s="22" t="e">
        <f ca="1">H95/D95-1</f>
        <v>#VALUE!</v>
      </c>
      <c r="L95" s="94" t="str">
        <f ca="1">INDIRECT($B95&amp;"!"&amp;L$3&amp;"5")</f>
        <v/>
      </c>
      <c r="M95" s="95" t="str">
        <f ca="1">INDIRECT($B95&amp;"!"&amp;M$3&amp;"5")</f>
        <v/>
      </c>
      <c r="N95" s="96" t="e">
        <f ca="1">M95-L95</f>
        <v>#VALUE!</v>
      </c>
      <c r="O95" s="21"/>
      <c r="P95" s="22" t="e">
        <f ca="1">bdRateExtend(D95:D99,L95:L99,H95:H99,M95:M99)</f>
        <v>#VALUE!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60</v>
      </c>
      <c r="D96" s="88" t="e">
        <f ca="1">0.001*INDIRECT($B96&amp;"!E6")</f>
        <v>#VALUE!</v>
      </c>
      <c r="E96" s="21"/>
      <c r="F96" s="122" t="str">
        <f>F95</f>
        <v>Cricket_Player</v>
      </c>
      <c r="G96" s="130" t="s">
        <v>60</v>
      </c>
      <c r="H96" s="88" t="e">
        <f ca="1">0.001*INDIRECT($B96&amp;"!AC6")</f>
        <v>#VALUE!</v>
      </c>
      <c r="I96" s="9"/>
      <c r="J96" s="22" t="e">
        <f ca="1">H96/D96-1</f>
        <v>#VALUE!</v>
      </c>
      <c r="L96" s="94" t="str">
        <f ca="1">INDIRECT($B96&amp;"!"&amp;L$3&amp;"6")</f>
        <v/>
      </c>
      <c r="M96" s="95" t="str">
        <f ca="1">INDIRECT($B96&amp;"!"&amp;M$3&amp;"6")</f>
        <v/>
      </c>
      <c r="N96" s="96" t="e">
        <f ca="1">M96-L96</f>
        <v>#VALUE!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61</v>
      </c>
      <c r="D97" s="88" t="e">
        <f ca="1">0.001*INDIRECT($B97&amp;"!E7")</f>
        <v>#VALUE!</v>
      </c>
      <c r="E97" s="21"/>
      <c r="F97" s="122" t="str">
        <f>F96</f>
        <v>Cricket_Player</v>
      </c>
      <c r="G97" s="130" t="s">
        <v>61</v>
      </c>
      <c r="H97" s="88" t="e">
        <f ca="1">0.001*INDIRECT($B97&amp;"!AC7")</f>
        <v>#VALUE!</v>
      </c>
      <c r="I97" s="9"/>
      <c r="J97" s="22" t="e">
        <f ca="1">H97/D97-1</f>
        <v>#VALUE!</v>
      </c>
      <c r="L97" s="94" t="str">
        <f ca="1">INDIRECT($B97&amp;"!"&amp;L$3&amp;"7")</f>
        <v/>
      </c>
      <c r="M97" s="95" t="str">
        <f ca="1">INDIRECT($B97&amp;"!"&amp;M$3&amp;"7")</f>
        <v/>
      </c>
      <c r="N97" s="96" t="e">
        <f ca="1">M97-L97</f>
        <v>#VALUE!</v>
      </c>
      <c r="O97" s="21"/>
      <c r="P97" s="217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62</v>
      </c>
      <c r="D98" s="88" t="e">
        <f ca="1">0.001*INDIRECT($B98&amp;"!E8")</f>
        <v>#VALUE!</v>
      </c>
      <c r="E98" s="21"/>
      <c r="F98" s="122" t="str">
        <f>F97</f>
        <v>Cricket_Player</v>
      </c>
      <c r="G98" s="130" t="s">
        <v>62</v>
      </c>
      <c r="H98" s="88" t="e">
        <f ca="1">0.001*INDIRECT($B98&amp;"!AC8")</f>
        <v>#VALUE!</v>
      </c>
      <c r="I98" s="9"/>
      <c r="J98" s="22" t="e">
        <f ca="1">H98/D98-1</f>
        <v>#VALUE!</v>
      </c>
      <c r="L98" s="94" t="str">
        <f ca="1">INDIRECT($B98&amp;"!"&amp;L$3&amp;"8")</f>
        <v/>
      </c>
      <c r="M98" s="95" t="str">
        <f ca="1">INDIRECT($B98&amp;"!"&amp;M$3&amp;"8")</f>
        <v/>
      </c>
      <c r="N98" s="96" t="e">
        <f ca="1">M98-L98</f>
        <v>#VALUE!</v>
      </c>
      <c r="O98" s="21"/>
      <c r="P98" s="18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63</v>
      </c>
      <c r="D99" s="88" t="e">
        <f ca="1">0.001*INDIRECT($B99&amp;"!E9")</f>
        <v>#VALUE!</v>
      </c>
      <c r="E99" s="21"/>
      <c r="F99" s="122" t="str">
        <f>F98</f>
        <v>Cricket_Player</v>
      </c>
      <c r="G99" s="130" t="s">
        <v>63</v>
      </c>
      <c r="H99" s="88" t="e">
        <f ca="1">0.001*INDIRECT($B99&amp;"!AC9")</f>
        <v>#VALUE!</v>
      </c>
      <c r="I99" s="9"/>
      <c r="J99" s="22" t="e">
        <f ca="1">H99/D99-1</f>
        <v>#VALUE!</v>
      </c>
      <c r="L99" s="94" t="str">
        <f ca="1">INDIRECT($B99&amp;"!"&amp;L$3&amp;"9")</f>
        <v/>
      </c>
      <c r="M99" s="95" t="str">
        <f ca="1">INDIRECT($B99&amp;"!"&amp;M$3&amp;"9")</f>
        <v/>
      </c>
      <c r="N99" s="96" t="e">
        <f ca="1">M99-L99</f>
        <v>#VALUE!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 t="e">
        <f ca="1">MIN(D95:D99,H95:H99)</f>
        <v>#VALUE!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 t="e">
        <f ca="1">MAX(D95:D99,H95:H99)</f>
        <v>#VALUE!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2" thickBot="1" x14ac:dyDescent="0.3"/>
    <row r="103" spans="2:28" x14ac:dyDescent="0.25">
      <c r="B103" s="257" t="s">
        <v>34</v>
      </c>
      <c r="C103" s="258"/>
      <c r="D103" s="259"/>
      <c r="E103" s="2"/>
      <c r="F103" s="257" t="str">
        <f>B103</f>
        <v>Tango_Duo</v>
      </c>
      <c r="G103" s="258"/>
      <c r="H103" s="259"/>
      <c r="I103" s="2"/>
      <c r="J103" s="115"/>
      <c r="L103" s="254" t="str">
        <f>F103</f>
        <v>Tango_Duo</v>
      </c>
      <c r="M103" s="255"/>
      <c r="N103" s="256"/>
      <c r="O103" s="195"/>
      <c r="P103" s="115"/>
      <c r="U103" s="112"/>
      <c r="V103" s="112"/>
      <c r="X103" s="268"/>
      <c r="Y103" s="270"/>
      <c r="Z103" s="270"/>
    </row>
    <row r="104" spans="2:28" x14ac:dyDescent="0.25">
      <c r="B104" s="263" t="s">
        <v>52</v>
      </c>
      <c r="C104" s="266"/>
      <c r="D104" s="87" t="s">
        <v>53</v>
      </c>
      <c r="E104" s="21"/>
      <c r="F104" s="263" t="s">
        <v>52</v>
      </c>
      <c r="G104" s="266"/>
      <c r="H104" s="87" t="s">
        <v>53</v>
      </c>
      <c r="I104" s="9"/>
      <c r="J104" s="116" t="s">
        <v>54</v>
      </c>
      <c r="L104" s="260" t="s">
        <v>78</v>
      </c>
      <c r="M104" s="261"/>
      <c r="N104" s="262"/>
      <c r="O104" s="85"/>
      <c r="P104" s="3"/>
      <c r="R104" s="261"/>
      <c r="S104" s="270"/>
      <c r="T104" s="270"/>
      <c r="U104" s="113"/>
      <c r="V104" s="113"/>
      <c r="X104" s="261"/>
      <c r="Y104" s="270"/>
      <c r="Z104" s="270"/>
    </row>
    <row r="105" spans="2:28" x14ac:dyDescent="0.25">
      <c r="B105" s="191" t="s">
        <v>3</v>
      </c>
      <c r="C105" s="130" t="s">
        <v>56</v>
      </c>
      <c r="D105" s="86" t="s">
        <v>57</v>
      </c>
      <c r="E105" s="21"/>
      <c r="F105" s="191" t="s">
        <v>3</v>
      </c>
      <c r="G105" s="130" t="s">
        <v>56</v>
      </c>
      <c r="H105" s="86" t="s">
        <v>57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Proposal Tango_Duo</v>
      </c>
      <c r="N105" s="194" t="s">
        <v>58</v>
      </c>
      <c r="O105" s="2"/>
      <c r="P105" s="3" t="s">
        <v>49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59</v>
      </c>
      <c r="D106" s="88" t="e">
        <f ca="1">0.001*INDIRECT($B106&amp;"!E5")</f>
        <v>#VALUE!</v>
      </c>
      <c r="E106" s="21"/>
      <c r="F106" s="122" t="str">
        <f>F103</f>
        <v>Tango_Duo</v>
      </c>
      <c r="G106" s="130" t="s">
        <v>59</v>
      </c>
      <c r="H106" s="88" t="e">
        <f ca="1">0.001*INDIRECT($B106&amp;"!AC5")</f>
        <v>#VALUE!</v>
      </c>
      <c r="I106" s="9"/>
      <c r="J106" s="22" t="e">
        <f ca="1">H106/D106-1</f>
        <v>#VALUE!</v>
      </c>
      <c r="L106" s="94" t="str">
        <f ca="1">INDIRECT($B106&amp;"!"&amp;L$3&amp;"5")</f>
        <v/>
      </c>
      <c r="M106" s="95" t="str">
        <f ca="1">INDIRECT($B106&amp;"!"&amp;M$3&amp;"5")</f>
        <v/>
      </c>
      <c r="N106" s="96" t="e">
        <f ca="1">M106-L106</f>
        <v>#VALUE!</v>
      </c>
      <c r="O106" s="21"/>
      <c r="P106" s="22" t="e">
        <f ca="1">bdRateExtend(D106:D110,L106:L110,H106:H110,M106:M110)</f>
        <v>#VALUE!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60</v>
      </c>
      <c r="D107" s="88" t="e">
        <f ca="1">0.001*INDIRECT($B107&amp;"!E6")</f>
        <v>#VALUE!</v>
      </c>
      <c r="E107" s="21"/>
      <c r="F107" s="122" t="str">
        <f>F106</f>
        <v>Tango_Duo</v>
      </c>
      <c r="G107" s="130" t="s">
        <v>60</v>
      </c>
      <c r="H107" s="88" t="e">
        <f ca="1">0.001*INDIRECT($B107&amp;"!AC6")</f>
        <v>#VALUE!</v>
      </c>
      <c r="I107" s="9"/>
      <c r="J107" s="22" t="e">
        <f ca="1">H107/D107-1</f>
        <v>#VALUE!</v>
      </c>
      <c r="L107" s="94" t="str">
        <f ca="1">INDIRECT($B107&amp;"!"&amp;L$3&amp;"6")</f>
        <v/>
      </c>
      <c r="M107" s="95" t="str">
        <f ca="1">INDIRECT($B107&amp;"!"&amp;M$3&amp;"6")</f>
        <v/>
      </c>
      <c r="N107" s="96" t="e">
        <f ca="1">M107-L107</f>
        <v>#VALUE!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61</v>
      </c>
      <c r="D108" s="88" t="e">
        <f ca="1">0.001*INDIRECT($B108&amp;"!E7")</f>
        <v>#VALUE!</v>
      </c>
      <c r="E108" s="21"/>
      <c r="F108" s="122" t="str">
        <f>F107</f>
        <v>Tango_Duo</v>
      </c>
      <c r="G108" s="130" t="s">
        <v>61</v>
      </c>
      <c r="H108" s="88" t="e">
        <f ca="1">0.001*INDIRECT($B108&amp;"!AC7")</f>
        <v>#VALUE!</v>
      </c>
      <c r="I108" s="9"/>
      <c r="J108" s="22" t="e">
        <f ca="1">H108/D108-1</f>
        <v>#VALUE!</v>
      </c>
      <c r="L108" s="94" t="str">
        <f ca="1">INDIRECT($B108&amp;"!"&amp;L$3&amp;"7")</f>
        <v/>
      </c>
      <c r="M108" s="95" t="str">
        <f ca="1">INDIRECT($B108&amp;"!"&amp;M$3&amp;"7")</f>
        <v/>
      </c>
      <c r="N108" s="96" t="e">
        <f ca="1">M108-L108</f>
        <v>#VALUE!</v>
      </c>
      <c r="O108" s="21"/>
      <c r="P108" s="217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62</v>
      </c>
      <c r="D109" s="88" t="e">
        <f ca="1">0.001*INDIRECT($B109&amp;"!E8")</f>
        <v>#VALUE!</v>
      </c>
      <c r="E109" s="21"/>
      <c r="F109" s="122" t="str">
        <f>F108</f>
        <v>Tango_Duo</v>
      </c>
      <c r="G109" s="130" t="s">
        <v>62</v>
      </c>
      <c r="H109" s="88" t="e">
        <f ca="1">0.001*INDIRECT($B109&amp;"!AC8")</f>
        <v>#VALUE!</v>
      </c>
      <c r="I109" s="9"/>
      <c r="J109" s="22" t="e">
        <f ca="1">H109/D109-1</f>
        <v>#VALUE!</v>
      </c>
      <c r="L109" s="94" t="str">
        <f ca="1">INDIRECT($B109&amp;"!"&amp;L$3&amp;"8")</f>
        <v/>
      </c>
      <c r="M109" s="95" t="str">
        <f ca="1">INDIRECT($B109&amp;"!"&amp;M$3&amp;"8")</f>
        <v/>
      </c>
      <c r="N109" s="96" t="e">
        <f ca="1">M109-L109</f>
        <v>#VALUE!</v>
      </c>
      <c r="O109" s="21"/>
      <c r="P109" s="18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63</v>
      </c>
      <c r="D110" s="88" t="e">
        <f ca="1">0.001*INDIRECT($B110&amp;"!E9")</f>
        <v>#VALUE!</v>
      </c>
      <c r="E110" s="21"/>
      <c r="F110" s="122" t="str">
        <f>F109</f>
        <v>Tango_Duo</v>
      </c>
      <c r="G110" s="130" t="s">
        <v>63</v>
      </c>
      <c r="H110" s="88" t="e">
        <f ca="1">0.001*INDIRECT($B110&amp;"!AC9")</f>
        <v>#VALUE!</v>
      </c>
      <c r="I110" s="9"/>
      <c r="J110" s="22" t="e">
        <f ca="1">H110/D110-1</f>
        <v>#VALUE!</v>
      </c>
      <c r="L110" s="94" t="str">
        <f ca="1">INDIRECT($B110&amp;"!"&amp;L$3&amp;"9")</f>
        <v/>
      </c>
      <c r="M110" s="95" t="str">
        <f ca="1">INDIRECT($B110&amp;"!"&amp;M$3&amp;"9")</f>
        <v/>
      </c>
      <c r="N110" s="96" t="e">
        <f ca="1">M110-L110</f>
        <v>#VALUE!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 t="e">
        <f ca="1">MIN(D106:D110,H106:H110)</f>
        <v>#VALUE!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 t="e">
        <f ca="1">MAX(D106:D110,H106:H110)</f>
        <v>#VALUE!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6.2" thickBot="1" x14ac:dyDescent="0.3"/>
    <row r="114" spans="2:28" x14ac:dyDescent="0.25">
      <c r="B114" s="257" t="s">
        <v>35</v>
      </c>
      <c r="C114" s="258"/>
      <c r="D114" s="259"/>
      <c r="E114" s="2"/>
      <c r="F114" s="257" t="str">
        <f>B114</f>
        <v>Solo_Tango_Female</v>
      </c>
      <c r="G114" s="258"/>
      <c r="H114" s="259"/>
      <c r="J114" s="115"/>
      <c r="L114" s="254" t="str">
        <f>F114</f>
        <v>Solo_Tango_Female</v>
      </c>
      <c r="M114" s="255"/>
      <c r="N114" s="256"/>
      <c r="O114" s="195"/>
      <c r="P114" s="115"/>
    </row>
    <row r="115" spans="2:28" x14ac:dyDescent="0.25">
      <c r="B115" s="263" t="s">
        <v>52</v>
      </c>
      <c r="C115" s="266"/>
      <c r="D115" s="87" t="s">
        <v>53</v>
      </c>
      <c r="E115" s="21"/>
      <c r="F115" s="263" t="s">
        <v>52</v>
      </c>
      <c r="G115" s="266"/>
      <c r="H115" s="87" t="s">
        <v>53</v>
      </c>
      <c r="J115" s="116" t="s">
        <v>54</v>
      </c>
      <c r="L115" s="260" t="s">
        <v>78</v>
      </c>
      <c r="M115" s="261"/>
      <c r="N115" s="262"/>
      <c r="O115" s="85"/>
      <c r="P115" s="3"/>
    </row>
    <row r="116" spans="2:28" x14ac:dyDescent="0.25">
      <c r="B116" s="191" t="s">
        <v>3</v>
      </c>
      <c r="C116" s="130" t="s">
        <v>56</v>
      </c>
      <c r="D116" s="86" t="s">
        <v>57</v>
      </c>
      <c r="E116" s="21"/>
      <c r="F116" s="191" t="s">
        <v>3</v>
      </c>
      <c r="G116" s="130" t="s">
        <v>56</v>
      </c>
      <c r="H116" s="86" t="s">
        <v>57</v>
      </c>
      <c r="J116" s="93"/>
      <c r="L116" s="192" t="str">
        <f>CONCATENATE(B$2," ",L114)</f>
        <v>G-PCC v1 Anchor Solo_Tango_Female</v>
      </c>
      <c r="M116" s="193" t="str">
        <f>CONCATENATE(F$2," ",L114)</f>
        <v>G-PCC v1 Proposal Solo_Tango_Female</v>
      </c>
      <c r="N116" s="194" t="s">
        <v>58</v>
      </c>
      <c r="O116" s="2"/>
      <c r="P116" s="3" t="s">
        <v>49</v>
      </c>
      <c r="AB116" s="82"/>
    </row>
    <row r="117" spans="2:28" x14ac:dyDescent="0.25">
      <c r="B117" s="122" t="str">
        <f>B114</f>
        <v>Solo_Tango_Female</v>
      </c>
      <c r="C117" s="130" t="s">
        <v>59</v>
      </c>
      <c r="D117" s="88" t="e">
        <f ca="1">0.001*INDIRECT($B117&amp;"!E5")</f>
        <v>#VALUE!</v>
      </c>
      <c r="E117" s="21"/>
      <c r="F117" s="122" t="str">
        <f>F114</f>
        <v>Solo_Tango_Female</v>
      </c>
      <c r="G117" s="130" t="s">
        <v>59</v>
      </c>
      <c r="H117" s="88" t="e">
        <f ca="1">0.001*INDIRECT($B117&amp;"!AC5")</f>
        <v>#VALUE!</v>
      </c>
      <c r="J117" s="22" t="e">
        <f ca="1">H117/D117-1</f>
        <v>#VALUE!</v>
      </c>
      <c r="L117" s="94" t="str">
        <f ca="1">INDIRECT($B117&amp;"!"&amp;L$3&amp;"5")</f>
        <v/>
      </c>
      <c r="M117" s="95" t="str">
        <f ca="1">INDIRECT($B117&amp;"!"&amp;M$3&amp;"5")</f>
        <v/>
      </c>
      <c r="N117" s="96" t="e">
        <f ca="1">M117-L117</f>
        <v>#VALUE!</v>
      </c>
      <c r="O117" s="21"/>
      <c r="P117" s="22" t="e">
        <f ca="1">bdRateExtend(D117:D121,L117:L121,H117:H121,M117:M121)</f>
        <v>#VALUE!</v>
      </c>
    </row>
    <row r="118" spans="2:28" x14ac:dyDescent="0.25">
      <c r="B118" s="122" t="str">
        <f>B117</f>
        <v>Solo_Tango_Female</v>
      </c>
      <c r="C118" s="130" t="s">
        <v>60</v>
      </c>
      <c r="D118" s="88" t="e">
        <f ca="1">0.001*INDIRECT($B118&amp;"!E6")</f>
        <v>#VALUE!</v>
      </c>
      <c r="E118" s="21"/>
      <c r="F118" s="122" t="str">
        <f>F117</f>
        <v>Solo_Tango_Female</v>
      </c>
      <c r="G118" s="130" t="s">
        <v>60</v>
      </c>
      <c r="H118" s="88" t="e">
        <f ca="1">0.001*INDIRECT($B118&amp;"!AC6")</f>
        <v>#VALUE!</v>
      </c>
      <c r="J118" s="22" t="e">
        <f ca="1">H118/D118-1</f>
        <v>#VALUE!</v>
      </c>
      <c r="L118" s="94" t="str">
        <f ca="1">INDIRECT($B118&amp;"!"&amp;L$3&amp;"6")</f>
        <v/>
      </c>
      <c r="M118" s="95" t="str">
        <f ca="1">INDIRECT($B118&amp;"!"&amp;M$3&amp;"6")</f>
        <v/>
      </c>
      <c r="N118" s="96" t="e">
        <f ca="1">M118-L118</f>
        <v>#VALUE!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61</v>
      </c>
      <c r="D119" s="88" t="e">
        <f ca="1">0.001*INDIRECT($B119&amp;"!E7")</f>
        <v>#VALUE!</v>
      </c>
      <c r="E119" s="21"/>
      <c r="F119" s="122" t="str">
        <f>F118</f>
        <v>Solo_Tango_Female</v>
      </c>
      <c r="G119" s="130" t="s">
        <v>61</v>
      </c>
      <c r="H119" s="88" t="e">
        <f ca="1">0.001*INDIRECT($B119&amp;"!AC7")</f>
        <v>#VALUE!</v>
      </c>
      <c r="J119" s="22" t="e">
        <f ca="1">H119/D119-1</f>
        <v>#VALUE!</v>
      </c>
      <c r="L119" s="94" t="str">
        <f ca="1">INDIRECT($B119&amp;"!"&amp;L$3&amp;"7")</f>
        <v/>
      </c>
      <c r="M119" s="95" t="str">
        <f ca="1">INDIRECT($B119&amp;"!"&amp;M$3&amp;"7")</f>
        <v/>
      </c>
      <c r="N119" s="96" t="e">
        <f ca="1">M119-L119</f>
        <v>#VALUE!</v>
      </c>
      <c r="O119" s="21"/>
      <c r="P119" s="217"/>
      <c r="AB119" s="82"/>
    </row>
    <row r="120" spans="2:28" x14ac:dyDescent="0.25">
      <c r="B120" s="122" t="str">
        <f>B119</f>
        <v>Solo_Tango_Female</v>
      </c>
      <c r="C120" s="130" t="s">
        <v>62</v>
      </c>
      <c r="D120" s="88" t="e">
        <f ca="1">0.001*INDIRECT($B120&amp;"!E8")</f>
        <v>#VALUE!</v>
      </c>
      <c r="E120" s="21"/>
      <c r="F120" s="122" t="str">
        <f>F119</f>
        <v>Solo_Tango_Female</v>
      </c>
      <c r="G120" s="130" t="s">
        <v>62</v>
      </c>
      <c r="H120" s="88" t="e">
        <f ca="1">0.001*INDIRECT($B120&amp;"!AC8")</f>
        <v>#VALUE!</v>
      </c>
      <c r="J120" s="22" t="e">
        <f ca="1">H120/D120-1</f>
        <v>#VALUE!</v>
      </c>
      <c r="L120" s="94" t="str">
        <f ca="1">INDIRECT($B120&amp;"!"&amp;L$3&amp;"8")</f>
        <v/>
      </c>
      <c r="M120" s="95" t="str">
        <f ca="1">INDIRECT($B120&amp;"!"&amp;M$3&amp;"8")</f>
        <v/>
      </c>
      <c r="N120" s="96" t="e">
        <f ca="1">M120-L120</f>
        <v>#VALUE!</v>
      </c>
      <c r="O120" s="21"/>
      <c r="P120" s="182"/>
    </row>
    <row r="121" spans="2:28" ht="16.5" customHeight="1" thickBot="1" x14ac:dyDescent="0.3">
      <c r="B121" s="122" t="str">
        <f>B120</f>
        <v>Solo_Tango_Female</v>
      </c>
      <c r="C121" s="130" t="s">
        <v>63</v>
      </c>
      <c r="D121" s="88" t="e">
        <f ca="1">0.001*INDIRECT($B121&amp;"!E9")</f>
        <v>#VALUE!</v>
      </c>
      <c r="E121" s="21"/>
      <c r="F121" s="122" t="str">
        <f>F120</f>
        <v>Solo_Tango_Female</v>
      </c>
      <c r="G121" s="130" t="s">
        <v>63</v>
      </c>
      <c r="H121" s="88" t="e">
        <f ca="1">0.001*INDIRECT($B121&amp;"!AC9")</f>
        <v>#VALUE!</v>
      </c>
      <c r="J121" s="22" t="e">
        <f ca="1">H121/D121-1</f>
        <v>#VALUE!</v>
      </c>
      <c r="L121" s="94" t="str">
        <f ca="1">INDIRECT($B121&amp;"!"&amp;L$3&amp;"9")</f>
        <v/>
      </c>
      <c r="M121" s="95" t="str">
        <f ca="1">INDIRECT($B121&amp;"!"&amp;M$3&amp;"9")</f>
        <v/>
      </c>
      <c r="N121" s="96" t="e">
        <f ca="1">M121-L121</f>
        <v>#VALUE!</v>
      </c>
      <c r="O121" s="21"/>
      <c r="P121" s="26"/>
    </row>
    <row r="122" spans="2:28" ht="16.5" customHeight="1" x14ac:dyDescent="0.25">
      <c r="B122" s="109"/>
      <c r="C122" s="110"/>
      <c r="D122" s="91"/>
      <c r="F122" s="109"/>
      <c r="G122" s="110"/>
      <c r="H122" s="91"/>
      <c r="J122" s="98" t="e">
        <f ca="1">MIN(D117:D121,H117:H121)</f>
        <v>#VALUE!</v>
      </c>
      <c r="L122" s="99"/>
      <c r="M122" s="100"/>
      <c r="N122" s="101"/>
      <c r="O122" s="21"/>
      <c r="P122" s="115"/>
    </row>
    <row r="123" spans="2:28" ht="16.2" thickBot="1" x14ac:dyDescent="0.3">
      <c r="B123" s="89"/>
      <c r="C123" s="92"/>
      <c r="D123" s="90"/>
      <c r="E123" s="21"/>
      <c r="F123" s="89"/>
      <c r="G123" s="92"/>
      <c r="H123" s="90"/>
      <c r="J123" s="102" t="e">
        <f ca="1">MAX(D117:D121,H117:H121)</f>
        <v>#VALUE!</v>
      </c>
      <c r="L123" s="103">
        <f>L122</f>
        <v>0</v>
      </c>
      <c r="M123" s="104">
        <f>M122</f>
        <v>0</v>
      </c>
      <c r="N123" s="97"/>
      <c r="O123" s="21"/>
      <c r="P123" s="5"/>
    </row>
    <row r="124" spans="2:28" ht="16.2" thickBot="1" x14ac:dyDescent="0.3"/>
    <row r="125" spans="2:28" x14ac:dyDescent="0.25">
      <c r="B125" s="257" t="s">
        <v>36</v>
      </c>
      <c r="C125" s="258"/>
      <c r="D125" s="259"/>
      <c r="E125" s="2"/>
      <c r="F125" s="257" t="str">
        <f>B125</f>
        <v>Solo_Tango_Male</v>
      </c>
      <c r="G125" s="258"/>
      <c r="H125" s="259"/>
      <c r="J125" s="115"/>
      <c r="L125" s="254" t="str">
        <f>F125</f>
        <v>Solo_Tango_Male</v>
      </c>
      <c r="M125" s="255"/>
      <c r="N125" s="256"/>
      <c r="O125" s="195"/>
      <c r="P125" s="115"/>
    </row>
    <row r="126" spans="2:28" x14ac:dyDescent="0.25">
      <c r="B126" s="263" t="s">
        <v>52</v>
      </c>
      <c r="C126" s="266"/>
      <c r="D126" s="87" t="s">
        <v>53</v>
      </c>
      <c r="E126" s="21"/>
      <c r="F126" s="263" t="s">
        <v>52</v>
      </c>
      <c r="G126" s="266"/>
      <c r="H126" s="87" t="s">
        <v>53</v>
      </c>
      <c r="J126" s="116" t="s">
        <v>54</v>
      </c>
      <c r="L126" s="260" t="s">
        <v>78</v>
      </c>
      <c r="M126" s="261"/>
      <c r="N126" s="262"/>
      <c r="O126" s="85"/>
      <c r="P126" s="3"/>
      <c r="AB126" s="82"/>
    </row>
    <row r="127" spans="2:28" x14ac:dyDescent="0.25">
      <c r="B127" s="191" t="s">
        <v>3</v>
      </c>
      <c r="C127" s="130" t="s">
        <v>56</v>
      </c>
      <c r="D127" s="86" t="s">
        <v>57</v>
      </c>
      <c r="E127" s="21"/>
      <c r="F127" s="191" t="s">
        <v>3</v>
      </c>
      <c r="G127" s="130" t="s">
        <v>56</v>
      </c>
      <c r="H127" s="86" t="s">
        <v>57</v>
      </c>
      <c r="J127" s="93"/>
      <c r="L127" s="192" t="str">
        <f>CONCATENATE(B$2," ",L125)</f>
        <v>G-PCC v1 Anchor Solo_Tango_Male</v>
      </c>
      <c r="M127" s="193" t="str">
        <f>CONCATENATE(F$2," ",L125)</f>
        <v>G-PCC v1 Proposal Solo_Tango_Male</v>
      </c>
      <c r="N127" s="194" t="s">
        <v>58</v>
      </c>
      <c r="O127" s="2"/>
      <c r="P127" s="3" t="s">
        <v>49</v>
      </c>
    </row>
    <row r="128" spans="2:28" x14ac:dyDescent="0.25">
      <c r="B128" s="122" t="str">
        <f>B125</f>
        <v>Solo_Tango_Male</v>
      </c>
      <c r="C128" s="130" t="s">
        <v>59</v>
      </c>
      <c r="D128" s="88" t="e">
        <f ca="1">0.001*INDIRECT($B128&amp;"!E5")</f>
        <v>#VALUE!</v>
      </c>
      <c r="E128" s="21"/>
      <c r="F128" s="122" t="str">
        <f>F125</f>
        <v>Solo_Tango_Male</v>
      </c>
      <c r="G128" s="130" t="s">
        <v>59</v>
      </c>
      <c r="H128" s="88" t="e">
        <f ca="1">0.001*INDIRECT($B128&amp;"!AC5")</f>
        <v>#VALUE!</v>
      </c>
      <c r="J128" s="22" t="e">
        <f ca="1">H128/D128-1</f>
        <v>#VALUE!</v>
      </c>
      <c r="L128" s="94" t="str">
        <f ca="1">INDIRECT($B128&amp;"!"&amp;L$3&amp;"5")</f>
        <v/>
      </c>
      <c r="M128" s="95" t="str">
        <f ca="1">INDIRECT($B128&amp;"!"&amp;M$3&amp;"5")</f>
        <v/>
      </c>
      <c r="N128" s="96" t="e">
        <f ca="1">M128-L128</f>
        <v>#VALUE!</v>
      </c>
      <c r="O128" s="21"/>
      <c r="P128" s="22" t="e">
        <f ca="1">bdRateExtend(D128:D132,L128:L132,H128:H132,M128:M132)</f>
        <v>#VALUE!</v>
      </c>
    </row>
    <row r="129" spans="2:28" ht="16.5" customHeight="1" x14ac:dyDescent="0.25">
      <c r="B129" s="122" t="str">
        <f>B128</f>
        <v>Solo_Tango_Male</v>
      </c>
      <c r="C129" s="130" t="s">
        <v>60</v>
      </c>
      <c r="D129" s="88" t="e">
        <f ca="1">0.001*INDIRECT($B129&amp;"!E6")</f>
        <v>#VALUE!</v>
      </c>
      <c r="E129" s="21"/>
      <c r="F129" s="122" t="str">
        <f>F128</f>
        <v>Solo_Tango_Male</v>
      </c>
      <c r="G129" s="130" t="s">
        <v>60</v>
      </c>
      <c r="H129" s="88" t="e">
        <f ca="1">0.001*INDIRECT($B129&amp;"!AC6")</f>
        <v>#VALUE!</v>
      </c>
      <c r="J129" s="22" t="e">
        <f ca="1">H129/D129-1</f>
        <v>#VALUE!</v>
      </c>
      <c r="L129" s="94" t="str">
        <f ca="1">INDIRECT($B129&amp;"!"&amp;L$3&amp;"6")</f>
        <v/>
      </c>
      <c r="M129" s="95" t="str">
        <f ca="1">INDIRECT($B129&amp;"!"&amp;M$3&amp;"6")</f>
        <v/>
      </c>
      <c r="N129" s="96" t="e">
        <f ca="1">M129-L129</f>
        <v>#VALUE!</v>
      </c>
      <c r="O129" s="21"/>
      <c r="P129" s="3"/>
      <c r="AB129" s="82"/>
    </row>
    <row r="130" spans="2:28" x14ac:dyDescent="0.25">
      <c r="B130" s="122" t="str">
        <f>B129</f>
        <v>Solo_Tango_Male</v>
      </c>
      <c r="C130" s="130" t="s">
        <v>61</v>
      </c>
      <c r="D130" s="88" t="e">
        <f ca="1">0.001*INDIRECT($B130&amp;"!E7")</f>
        <v>#VALUE!</v>
      </c>
      <c r="E130" s="21"/>
      <c r="F130" s="122" t="str">
        <f>F129</f>
        <v>Solo_Tango_Male</v>
      </c>
      <c r="G130" s="130" t="s">
        <v>61</v>
      </c>
      <c r="H130" s="88" t="e">
        <f ca="1">0.001*INDIRECT($B130&amp;"!AC7")</f>
        <v>#VALUE!</v>
      </c>
      <c r="J130" s="22" t="e">
        <f ca="1">H130/D130-1</f>
        <v>#VALUE!</v>
      </c>
      <c r="L130" s="94" t="str">
        <f ca="1">INDIRECT($B130&amp;"!"&amp;L$3&amp;"7")</f>
        <v/>
      </c>
      <c r="M130" s="95" t="str">
        <f ca="1">INDIRECT($B130&amp;"!"&amp;M$3&amp;"7")</f>
        <v/>
      </c>
      <c r="N130" s="96" t="e">
        <f ca="1">M130-L130</f>
        <v>#VALUE!</v>
      </c>
      <c r="O130" s="21"/>
      <c r="P130" s="217"/>
    </row>
    <row r="131" spans="2:28" ht="16.5" customHeight="1" x14ac:dyDescent="0.25">
      <c r="B131" s="122" t="str">
        <f>B130</f>
        <v>Solo_Tango_Male</v>
      </c>
      <c r="C131" s="130" t="s">
        <v>62</v>
      </c>
      <c r="D131" s="88" t="e">
        <f ca="1">0.001*INDIRECT($B131&amp;"!E8")</f>
        <v>#VALUE!</v>
      </c>
      <c r="E131" s="21"/>
      <c r="F131" s="122" t="str">
        <f>F130</f>
        <v>Solo_Tango_Male</v>
      </c>
      <c r="G131" s="130" t="s">
        <v>62</v>
      </c>
      <c r="H131" s="88" t="e">
        <f ca="1">0.001*INDIRECT($B131&amp;"!AC8")</f>
        <v>#VALUE!</v>
      </c>
      <c r="J131" s="22" t="e">
        <f ca="1">H131/D131-1</f>
        <v>#VALUE!</v>
      </c>
      <c r="L131" s="94" t="str">
        <f ca="1">INDIRECT($B131&amp;"!"&amp;L$3&amp;"8")</f>
        <v/>
      </c>
      <c r="M131" s="95" t="str">
        <f ca="1">INDIRECT($B131&amp;"!"&amp;M$3&amp;"8")</f>
        <v/>
      </c>
      <c r="N131" s="96" t="e">
        <f ca="1">M131-L131</f>
        <v>#VALUE!</v>
      </c>
      <c r="O131" s="21"/>
      <c r="P131" s="182"/>
    </row>
    <row r="132" spans="2:28" ht="16.5" customHeight="1" thickBot="1" x14ac:dyDescent="0.3">
      <c r="B132" s="122" t="str">
        <f>B131</f>
        <v>Solo_Tango_Male</v>
      </c>
      <c r="C132" s="130" t="s">
        <v>63</v>
      </c>
      <c r="D132" s="88" t="e">
        <f ca="1">0.001*INDIRECT($B132&amp;"!E9")</f>
        <v>#VALUE!</v>
      </c>
      <c r="E132" s="21"/>
      <c r="F132" s="122" t="str">
        <f>F131</f>
        <v>Solo_Tango_Male</v>
      </c>
      <c r="G132" s="130" t="s">
        <v>63</v>
      </c>
      <c r="H132" s="88" t="e">
        <f ca="1">0.001*INDIRECT($B132&amp;"!AC9")</f>
        <v>#VALUE!</v>
      </c>
      <c r="J132" s="22" t="e">
        <f ca="1">H132/D132-1</f>
        <v>#VALUE!</v>
      </c>
      <c r="L132" s="94" t="str">
        <f ca="1">INDIRECT($B132&amp;"!"&amp;L$3&amp;"9")</f>
        <v/>
      </c>
      <c r="M132" s="95" t="str">
        <f ca="1">INDIRECT($B132&amp;"!"&amp;M$3&amp;"9")</f>
        <v/>
      </c>
      <c r="N132" s="96" t="e">
        <f ca="1">M132-L132</f>
        <v>#VALUE!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 t="e">
        <f ca="1">MIN(D128:D132,H128:H132)</f>
        <v>#VALUE!</v>
      </c>
      <c r="L133" s="99"/>
      <c r="M133" s="100"/>
      <c r="N133" s="101"/>
      <c r="O133" s="21"/>
      <c r="P133" s="115"/>
    </row>
    <row r="134" spans="2:28" ht="16.2" thickBot="1" x14ac:dyDescent="0.3">
      <c r="B134" s="89"/>
      <c r="C134" s="92"/>
      <c r="D134" s="90"/>
      <c r="E134" s="21"/>
      <c r="F134" s="89"/>
      <c r="G134" s="92"/>
      <c r="H134" s="90"/>
      <c r="J134" s="102" t="e">
        <f ca="1">MAX(D128:D132,H128:H132)</f>
        <v>#VALUE!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6.2" thickBot="1" x14ac:dyDescent="0.3"/>
    <row r="136" spans="2:28" x14ac:dyDescent="0.25">
      <c r="B136" s="257" t="s">
        <v>64</v>
      </c>
      <c r="C136" s="258"/>
      <c r="D136" s="259"/>
      <c r="E136" s="2"/>
      <c r="F136" s="257" t="str">
        <f>B136</f>
        <v>BlueBackpack_UVGgs_0100</v>
      </c>
      <c r="G136" s="258"/>
      <c r="H136" s="259"/>
      <c r="J136" s="115"/>
      <c r="L136" s="254" t="str">
        <f>F136</f>
        <v>BlueBackpack_UVGgs_0100</v>
      </c>
      <c r="M136" s="255"/>
      <c r="N136" s="256"/>
      <c r="O136" s="195"/>
      <c r="P136" s="115"/>
      <c r="AB136" s="82"/>
    </row>
    <row r="137" spans="2:28" x14ac:dyDescent="0.25">
      <c r="B137" s="263" t="s">
        <v>52</v>
      </c>
      <c r="C137" s="264"/>
      <c r="D137" s="87" t="s">
        <v>53</v>
      </c>
      <c r="E137" s="21"/>
      <c r="F137" s="263" t="s">
        <v>52</v>
      </c>
      <c r="G137" s="264"/>
      <c r="H137" s="87" t="s">
        <v>53</v>
      </c>
      <c r="J137" s="116" t="s">
        <v>54</v>
      </c>
      <c r="L137" s="260" t="s">
        <v>78</v>
      </c>
      <c r="M137" s="261"/>
      <c r="N137" s="262"/>
      <c r="O137" s="85"/>
      <c r="P137" s="3"/>
    </row>
    <row r="138" spans="2:28" x14ac:dyDescent="0.25">
      <c r="B138" s="191" t="s">
        <v>3</v>
      </c>
      <c r="C138" s="130" t="s">
        <v>56</v>
      </c>
      <c r="D138" s="86" t="s">
        <v>57</v>
      </c>
      <c r="E138" s="21"/>
      <c r="F138" s="191" t="s">
        <v>3</v>
      </c>
      <c r="G138" s="130" t="s">
        <v>56</v>
      </c>
      <c r="H138" s="86" t="s">
        <v>57</v>
      </c>
      <c r="J138" s="93"/>
      <c r="L138" s="192" t="str">
        <f>CONCATENATE(B$2," ",L136)</f>
        <v>G-PCC v1 Anchor BlueBackpack_UVGgs_0100</v>
      </c>
      <c r="M138" s="193" t="str">
        <f>CONCATENATE(F$2," ",L136)</f>
        <v>G-PCC v1 Proposal BlueBackpack_UVGgs_0100</v>
      </c>
      <c r="N138" s="194" t="s">
        <v>58</v>
      </c>
      <c r="O138" s="2"/>
      <c r="P138" s="3" t="s">
        <v>49</v>
      </c>
    </row>
    <row r="139" spans="2:28" ht="16.5" customHeight="1" x14ac:dyDescent="0.25">
      <c r="B139" s="122" t="str">
        <f>B136</f>
        <v>BlueBackpack_UVGgs_0100</v>
      </c>
      <c r="C139" s="130" t="s">
        <v>59</v>
      </c>
      <c r="D139" s="88" t="e">
        <f ca="1">0.001*INDIRECT($B139&amp;"!E5")</f>
        <v>#VALUE!</v>
      </c>
      <c r="E139" s="21"/>
      <c r="F139" s="122" t="str">
        <f>F136</f>
        <v>BlueBackpack_UVGgs_0100</v>
      </c>
      <c r="G139" s="130" t="s">
        <v>59</v>
      </c>
      <c r="H139" s="88" t="e">
        <f ca="1">0.001*INDIRECT($B139&amp;"!AC5")</f>
        <v>#VALUE!</v>
      </c>
      <c r="J139" s="22" t="e">
        <f ca="1">H139/D139-1</f>
        <v>#VALUE!</v>
      </c>
      <c r="L139" s="94" t="str">
        <f ca="1">INDIRECT($B139&amp;"!"&amp;L$3&amp;"5")</f>
        <v/>
      </c>
      <c r="M139" s="95" t="str">
        <f ca="1">INDIRECT($B139&amp;"!"&amp;M$3&amp;"5")</f>
        <v/>
      </c>
      <c r="N139" s="96" t="e">
        <f ca="1">M139-L139</f>
        <v>#VALUE!</v>
      </c>
      <c r="O139" s="21"/>
      <c r="P139" s="22" t="e">
        <f ca="1">bdRateExtend(D139:D143,L139:L143,H139:H143,M139:M143)</f>
        <v>#VALUE!</v>
      </c>
      <c r="AB139" s="82"/>
    </row>
    <row r="140" spans="2:28" x14ac:dyDescent="0.25">
      <c r="B140" s="122" t="str">
        <f>B139</f>
        <v>BlueBackpack_UVGgs_0100</v>
      </c>
      <c r="C140" s="130" t="s">
        <v>60</v>
      </c>
      <c r="D140" s="88" t="e">
        <f ca="1">0.001*INDIRECT($B140&amp;"!E6")</f>
        <v>#VALUE!</v>
      </c>
      <c r="E140" s="21"/>
      <c r="F140" s="122" t="str">
        <f>F139</f>
        <v>BlueBackpack_UVGgs_0100</v>
      </c>
      <c r="G140" s="130" t="s">
        <v>60</v>
      </c>
      <c r="H140" s="88" t="e">
        <f ca="1">0.001*INDIRECT($B140&amp;"!AC6")</f>
        <v>#VALUE!</v>
      </c>
      <c r="J140" s="22" t="e">
        <f ca="1">H140/D140-1</f>
        <v>#VALUE!</v>
      </c>
      <c r="L140" s="94" t="str">
        <f ca="1">INDIRECT($B140&amp;"!"&amp;L$3&amp;"6")</f>
        <v/>
      </c>
      <c r="M140" s="95" t="str">
        <f ca="1">INDIRECT($B140&amp;"!"&amp;M$3&amp;"6")</f>
        <v/>
      </c>
      <c r="N140" s="96" t="e">
        <f ca="1">M140-L140</f>
        <v>#VALUE!</v>
      </c>
      <c r="O140" s="21"/>
      <c r="P140" s="3"/>
    </row>
    <row r="141" spans="2:28" ht="16.5" customHeight="1" x14ac:dyDescent="0.25">
      <c r="B141" s="122" t="str">
        <f>B140</f>
        <v>BlueBackpack_UVGgs_0100</v>
      </c>
      <c r="C141" s="130" t="s">
        <v>61</v>
      </c>
      <c r="D141" s="88" t="e">
        <f ca="1">0.001*INDIRECT($B141&amp;"!E7")</f>
        <v>#VALUE!</v>
      </c>
      <c r="E141" s="21"/>
      <c r="F141" s="122" t="str">
        <f>F140</f>
        <v>BlueBackpack_UVGgs_0100</v>
      </c>
      <c r="G141" s="130" t="s">
        <v>61</v>
      </c>
      <c r="H141" s="88" t="e">
        <f ca="1">0.001*INDIRECT($B141&amp;"!AC7")</f>
        <v>#VALUE!</v>
      </c>
      <c r="J141" s="22" t="e">
        <f ca="1">H141/D141-1</f>
        <v>#VALUE!</v>
      </c>
      <c r="L141" s="94" t="str">
        <f ca="1">INDIRECT($B141&amp;"!"&amp;L$3&amp;"7")</f>
        <v/>
      </c>
      <c r="M141" s="95" t="str">
        <f ca="1">INDIRECT($B141&amp;"!"&amp;M$3&amp;"7")</f>
        <v/>
      </c>
      <c r="N141" s="96" t="e">
        <f ca="1">M141-L141</f>
        <v>#VALUE!</v>
      </c>
      <c r="O141" s="21"/>
      <c r="P141" s="217"/>
    </row>
    <row r="142" spans="2:28" ht="16.5" customHeight="1" x14ac:dyDescent="0.25">
      <c r="B142" s="122" t="str">
        <f>B141</f>
        <v>BlueBackpack_UVGgs_0100</v>
      </c>
      <c r="C142" s="130" t="s">
        <v>62</v>
      </c>
      <c r="D142" s="88" t="e">
        <f ca="1">0.001*INDIRECT($B142&amp;"!E8")</f>
        <v>#VALUE!</v>
      </c>
      <c r="E142" s="21"/>
      <c r="F142" s="122" t="str">
        <f>F141</f>
        <v>BlueBackpack_UVGgs_0100</v>
      </c>
      <c r="G142" s="130" t="s">
        <v>62</v>
      </c>
      <c r="H142" s="88" t="e">
        <f ca="1">0.001*INDIRECT($B142&amp;"!AC8")</f>
        <v>#VALUE!</v>
      </c>
      <c r="J142" s="22" t="e">
        <f ca="1">H142/D142-1</f>
        <v>#VALUE!</v>
      </c>
      <c r="L142" s="94" t="str">
        <f ca="1">INDIRECT($B142&amp;"!"&amp;L$3&amp;"8")</f>
        <v/>
      </c>
      <c r="M142" s="95" t="str">
        <f ca="1">INDIRECT($B142&amp;"!"&amp;M$3&amp;"8")</f>
        <v/>
      </c>
      <c r="N142" s="96" t="e">
        <f ca="1">M142-L142</f>
        <v>#VALUE!</v>
      </c>
      <c r="O142" s="21"/>
      <c r="P142" s="182"/>
    </row>
    <row r="143" spans="2:28" ht="16.2" thickBot="1" x14ac:dyDescent="0.3">
      <c r="B143" s="122" t="str">
        <f>B142</f>
        <v>BlueBackpack_UVGgs_0100</v>
      </c>
      <c r="C143" s="130" t="s">
        <v>63</v>
      </c>
      <c r="D143" s="88" t="e">
        <f ca="1">0.001*INDIRECT($B143&amp;"!E9")</f>
        <v>#VALUE!</v>
      </c>
      <c r="E143" s="21"/>
      <c r="F143" s="122" t="str">
        <f>F142</f>
        <v>BlueBackpack_UVGgs_0100</v>
      </c>
      <c r="G143" s="130" t="s">
        <v>63</v>
      </c>
      <c r="H143" s="88" t="e">
        <f ca="1">0.001*INDIRECT($B143&amp;"!AC9")</f>
        <v>#VALUE!</v>
      </c>
      <c r="J143" s="22" t="e">
        <f ca="1">H143/D143-1</f>
        <v>#VALUE!</v>
      </c>
      <c r="L143" s="94" t="str">
        <f ca="1">INDIRECT($B143&amp;"!"&amp;L$3&amp;"9")</f>
        <v/>
      </c>
      <c r="M143" s="95" t="str">
        <f ca="1">INDIRECT($B143&amp;"!"&amp;M$3&amp;"9")</f>
        <v/>
      </c>
      <c r="N143" s="96" t="e">
        <f ca="1">M143-L143</f>
        <v>#VALUE!</v>
      </c>
      <c r="O143" s="21"/>
      <c r="P143" s="26"/>
    </row>
    <row r="144" spans="2:28" x14ac:dyDescent="0.25">
      <c r="B144" s="109"/>
      <c r="C144" s="110"/>
      <c r="D144" s="91"/>
      <c r="F144" s="109"/>
      <c r="G144" s="110"/>
      <c r="H144" s="91"/>
      <c r="J144" s="98" t="e">
        <f ca="1">MIN(D139:D143,H139:H143)</f>
        <v>#VALUE!</v>
      </c>
      <c r="L144" s="99"/>
      <c r="M144" s="100"/>
      <c r="N144" s="101"/>
      <c r="O144" s="21"/>
      <c r="P144" s="115"/>
    </row>
    <row r="145" spans="2:28" ht="16.2" thickBot="1" x14ac:dyDescent="0.3">
      <c r="B145" s="89"/>
      <c r="C145" s="92"/>
      <c r="D145" s="90"/>
      <c r="E145" s="21"/>
      <c r="F145" s="89"/>
      <c r="G145" s="92"/>
      <c r="H145" s="90"/>
      <c r="J145" s="102" t="e">
        <f ca="1">MAX(D139:D143,H139:H143)</f>
        <v>#VALUE!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2" thickBot="1" x14ac:dyDescent="0.3">
      <c r="B146" s="114"/>
      <c r="C146" s="114"/>
      <c r="D146" s="211"/>
      <c r="E146" s="21"/>
      <c r="F146" s="114"/>
      <c r="G146" s="114"/>
      <c r="H146" s="211"/>
      <c r="AB146" s="82"/>
    </row>
    <row r="147" spans="2:28" x14ac:dyDescent="0.25">
      <c r="B147" s="257" t="s">
        <v>65</v>
      </c>
      <c r="C147" s="258"/>
      <c r="D147" s="259"/>
      <c r="E147" s="2"/>
      <c r="F147" s="257" t="str">
        <f>B147</f>
        <v>BlueBackpack_UVGgs_0200</v>
      </c>
      <c r="G147" s="258"/>
      <c r="H147" s="259"/>
      <c r="J147" s="115"/>
      <c r="L147" s="254" t="str">
        <f>F147</f>
        <v>BlueBackpack_UVGgs_0200</v>
      </c>
      <c r="M147" s="255"/>
      <c r="N147" s="256"/>
      <c r="O147" s="195"/>
      <c r="P147" s="115"/>
    </row>
    <row r="148" spans="2:28" x14ac:dyDescent="0.25">
      <c r="B148" s="263" t="s">
        <v>52</v>
      </c>
      <c r="C148" s="264"/>
      <c r="D148" s="87" t="s">
        <v>53</v>
      </c>
      <c r="E148" s="21"/>
      <c r="F148" s="263" t="s">
        <v>52</v>
      </c>
      <c r="G148" s="264"/>
      <c r="H148" s="87" t="s">
        <v>53</v>
      </c>
      <c r="J148" s="116" t="s">
        <v>54</v>
      </c>
      <c r="L148" s="260" t="s">
        <v>78</v>
      </c>
      <c r="M148" s="261"/>
      <c r="N148" s="262"/>
      <c r="O148" s="85"/>
      <c r="P148" s="3"/>
    </row>
    <row r="149" spans="2:28" ht="16.5" customHeight="1" x14ac:dyDescent="0.25">
      <c r="B149" s="191" t="s">
        <v>3</v>
      </c>
      <c r="C149" s="130" t="s">
        <v>56</v>
      </c>
      <c r="D149" s="86" t="s">
        <v>57</v>
      </c>
      <c r="E149" s="21"/>
      <c r="F149" s="191" t="s">
        <v>3</v>
      </c>
      <c r="G149" s="130" t="s">
        <v>56</v>
      </c>
      <c r="H149" s="86" t="s">
        <v>57</v>
      </c>
      <c r="J149" s="93"/>
      <c r="L149" s="192" t="str">
        <f>CONCATENATE(B$2," ",L147)</f>
        <v>G-PCC v1 Anchor BlueBackpack_UVGgs_0200</v>
      </c>
      <c r="M149" s="193" t="str">
        <f>CONCATENATE(F$2," ",L147)</f>
        <v>G-PCC v1 Proposal BlueBackpack_UVGgs_0200</v>
      </c>
      <c r="N149" s="194" t="s">
        <v>58</v>
      </c>
      <c r="O149" s="2"/>
      <c r="P149" s="3" t="s">
        <v>49</v>
      </c>
      <c r="AB149" s="82"/>
    </row>
    <row r="150" spans="2:28" x14ac:dyDescent="0.25">
      <c r="B150" s="122" t="str">
        <f>B147</f>
        <v>BlueBackpack_UVGgs_0200</v>
      </c>
      <c r="C150" s="130" t="s">
        <v>59</v>
      </c>
      <c r="D150" s="88" t="e">
        <f ca="1">0.001*INDIRECT($B150&amp;"!E5")</f>
        <v>#VALUE!</v>
      </c>
      <c r="E150" s="21"/>
      <c r="F150" s="122" t="str">
        <f>F147</f>
        <v>BlueBackpack_UVGgs_0200</v>
      </c>
      <c r="G150" s="130" t="s">
        <v>59</v>
      </c>
      <c r="H150" s="88" t="e">
        <f ca="1">0.001*INDIRECT($B150&amp;"!AC5")</f>
        <v>#VALUE!</v>
      </c>
      <c r="J150" s="22" t="e">
        <f ca="1">H150/D150-1</f>
        <v>#VALUE!</v>
      </c>
      <c r="L150" s="94" t="str">
        <f ca="1">INDIRECT($B150&amp;"!"&amp;L$3&amp;"5")</f>
        <v/>
      </c>
      <c r="M150" s="95" t="str">
        <f ca="1">INDIRECT($B150&amp;"!"&amp;M$3&amp;"5")</f>
        <v/>
      </c>
      <c r="N150" s="96" t="e">
        <f ca="1">M150-L150</f>
        <v>#VALUE!</v>
      </c>
      <c r="O150" s="21"/>
      <c r="P150" s="22" t="e">
        <f ca="1">bdRateExtend(D150:D154,L150:L154,H150:H154,M150:M154)</f>
        <v>#VALUE!</v>
      </c>
    </row>
    <row r="151" spans="2:28" ht="16.5" customHeight="1" x14ac:dyDescent="0.25">
      <c r="B151" s="122" t="str">
        <f>B150</f>
        <v>BlueBackpack_UVGgs_0200</v>
      </c>
      <c r="C151" s="130" t="s">
        <v>60</v>
      </c>
      <c r="D151" s="88" t="e">
        <f ca="1">0.001*INDIRECT($B151&amp;"!E6")</f>
        <v>#VALUE!</v>
      </c>
      <c r="E151" s="21"/>
      <c r="F151" s="122" t="str">
        <f>F150</f>
        <v>BlueBackpack_UVGgs_0200</v>
      </c>
      <c r="G151" s="130" t="s">
        <v>60</v>
      </c>
      <c r="H151" s="88" t="e">
        <f ca="1">0.001*INDIRECT($B151&amp;"!AC6")</f>
        <v>#VALUE!</v>
      </c>
      <c r="J151" s="22" t="e">
        <f ca="1">H151/D151-1</f>
        <v>#VALUE!</v>
      </c>
      <c r="L151" s="94" t="str">
        <f ca="1">INDIRECT($B151&amp;"!"&amp;L$3&amp;"6")</f>
        <v/>
      </c>
      <c r="M151" s="95" t="str">
        <f ca="1">INDIRECT($B151&amp;"!"&amp;M$3&amp;"6")</f>
        <v/>
      </c>
      <c r="N151" s="96" t="e">
        <f ca="1">M151-L151</f>
        <v>#VALUE!</v>
      </c>
      <c r="O151" s="21"/>
      <c r="P151" s="3"/>
    </row>
    <row r="152" spans="2:28" ht="16.5" customHeight="1" x14ac:dyDescent="0.25">
      <c r="B152" s="122" t="str">
        <f>B151</f>
        <v>BlueBackpack_UVGgs_0200</v>
      </c>
      <c r="C152" s="130" t="s">
        <v>61</v>
      </c>
      <c r="D152" s="88" t="e">
        <f ca="1">0.001*INDIRECT($B152&amp;"!E7")</f>
        <v>#VALUE!</v>
      </c>
      <c r="E152" s="21"/>
      <c r="F152" s="122" t="str">
        <f>F151</f>
        <v>BlueBackpack_UVGgs_0200</v>
      </c>
      <c r="G152" s="130" t="s">
        <v>61</v>
      </c>
      <c r="H152" s="88" t="e">
        <f ca="1">0.001*INDIRECT($B152&amp;"!AC7")</f>
        <v>#VALUE!</v>
      </c>
      <c r="J152" s="22" t="e">
        <f ca="1">H152/D152-1</f>
        <v>#VALUE!</v>
      </c>
      <c r="L152" s="94" t="str">
        <f ca="1">INDIRECT($B152&amp;"!"&amp;L$3&amp;"7")</f>
        <v/>
      </c>
      <c r="M152" s="95" t="str">
        <f ca="1">INDIRECT($B152&amp;"!"&amp;M$3&amp;"7")</f>
        <v/>
      </c>
      <c r="N152" s="96" t="e">
        <f ca="1">M152-L152</f>
        <v>#VALUE!</v>
      </c>
      <c r="O152" s="21"/>
      <c r="P152" s="217"/>
    </row>
    <row r="153" spans="2:28" x14ac:dyDescent="0.25">
      <c r="B153" s="122" t="str">
        <f>B152</f>
        <v>BlueBackpack_UVGgs_0200</v>
      </c>
      <c r="C153" s="130" t="s">
        <v>62</v>
      </c>
      <c r="D153" s="88" t="e">
        <f ca="1">0.001*INDIRECT($B153&amp;"!E8")</f>
        <v>#VALUE!</v>
      </c>
      <c r="E153" s="21"/>
      <c r="F153" s="122" t="str">
        <f>F152</f>
        <v>BlueBackpack_UVGgs_0200</v>
      </c>
      <c r="G153" s="130" t="s">
        <v>62</v>
      </c>
      <c r="H153" s="88" t="e">
        <f ca="1">0.001*INDIRECT($B153&amp;"!AC8")</f>
        <v>#VALUE!</v>
      </c>
      <c r="J153" s="22" t="e">
        <f ca="1">H153/D153-1</f>
        <v>#VALUE!</v>
      </c>
      <c r="L153" s="94" t="str">
        <f ca="1">INDIRECT($B153&amp;"!"&amp;L$3&amp;"8")</f>
        <v/>
      </c>
      <c r="M153" s="95" t="str">
        <f ca="1">INDIRECT($B153&amp;"!"&amp;M$3&amp;"8")</f>
        <v/>
      </c>
      <c r="N153" s="96" t="e">
        <f ca="1">M153-L153</f>
        <v>#VALUE!</v>
      </c>
      <c r="O153" s="21"/>
      <c r="P153" s="182"/>
    </row>
    <row r="154" spans="2:28" ht="16.2" thickBot="1" x14ac:dyDescent="0.3">
      <c r="B154" s="122" t="str">
        <f>B153</f>
        <v>BlueBackpack_UVGgs_0200</v>
      </c>
      <c r="C154" s="130" t="s">
        <v>63</v>
      </c>
      <c r="D154" s="88" t="e">
        <f ca="1">0.001*INDIRECT($B154&amp;"!E9")</f>
        <v>#VALUE!</v>
      </c>
      <c r="E154" s="21"/>
      <c r="F154" s="122" t="str">
        <f>F153</f>
        <v>BlueBackpack_UVGgs_0200</v>
      </c>
      <c r="G154" s="130" t="s">
        <v>63</v>
      </c>
      <c r="H154" s="88" t="e">
        <f ca="1">0.001*INDIRECT($B154&amp;"!AC9")</f>
        <v>#VALUE!</v>
      </c>
      <c r="J154" s="22" t="e">
        <f ca="1">H154/D154-1</f>
        <v>#VALUE!</v>
      </c>
      <c r="L154" s="94" t="str">
        <f ca="1">INDIRECT($B154&amp;"!"&amp;L$3&amp;"9")</f>
        <v/>
      </c>
      <c r="M154" s="95" t="str">
        <f ca="1">INDIRECT($B154&amp;"!"&amp;M$3&amp;"9")</f>
        <v/>
      </c>
      <c r="N154" s="96" t="e">
        <f ca="1">M154-L154</f>
        <v>#VALUE!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 t="e">
        <f ca="1">MIN(D150:D154,H150:H154)</f>
        <v>#VALUE!</v>
      </c>
      <c r="L155" s="99"/>
      <c r="M155" s="100"/>
      <c r="N155" s="101"/>
      <c r="O155" s="21"/>
      <c r="P155" s="115"/>
    </row>
    <row r="156" spans="2:28" ht="16.2" thickBot="1" x14ac:dyDescent="0.3">
      <c r="B156" s="89"/>
      <c r="C156" s="92"/>
      <c r="D156" s="90"/>
      <c r="E156" s="21"/>
      <c r="F156" s="89"/>
      <c r="G156" s="92"/>
      <c r="H156" s="90"/>
      <c r="J156" s="102" t="e">
        <f ca="1">MAX(D150:D154,H150:H154)</f>
        <v>#VALUE!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6.2" thickBot="1" x14ac:dyDescent="0.3"/>
    <row r="158" spans="2:28" x14ac:dyDescent="0.25">
      <c r="B158" s="257" t="s">
        <v>66</v>
      </c>
      <c r="C158" s="258"/>
      <c r="D158" s="259"/>
      <c r="E158" s="2"/>
      <c r="F158" s="257" t="str">
        <f>B158</f>
        <v>FlowerDance_UVGgs_0000</v>
      </c>
      <c r="G158" s="258"/>
      <c r="H158" s="259"/>
      <c r="J158" s="115"/>
      <c r="L158" s="254" t="str">
        <f>F158</f>
        <v>FlowerDance_UVGgs_0000</v>
      </c>
      <c r="M158" s="255"/>
      <c r="N158" s="256"/>
      <c r="O158" s="195"/>
      <c r="P158" s="115"/>
    </row>
    <row r="159" spans="2:28" ht="16.5" customHeight="1" x14ac:dyDescent="0.25">
      <c r="B159" s="263" t="s">
        <v>52</v>
      </c>
      <c r="C159" s="264"/>
      <c r="D159" s="87" t="s">
        <v>53</v>
      </c>
      <c r="E159" s="21"/>
      <c r="F159" s="263" t="s">
        <v>52</v>
      </c>
      <c r="G159" s="264"/>
      <c r="H159" s="87" t="s">
        <v>53</v>
      </c>
      <c r="J159" s="116" t="s">
        <v>54</v>
      </c>
      <c r="L159" s="260" t="s">
        <v>78</v>
      </c>
      <c r="M159" s="261"/>
      <c r="N159" s="262"/>
      <c r="O159" s="85"/>
      <c r="P159" s="3"/>
      <c r="AB159" s="82"/>
    </row>
    <row r="160" spans="2:28" x14ac:dyDescent="0.25">
      <c r="B160" s="191" t="s">
        <v>3</v>
      </c>
      <c r="C160" s="130" t="s">
        <v>56</v>
      </c>
      <c r="D160" s="86" t="s">
        <v>57</v>
      </c>
      <c r="E160" s="21"/>
      <c r="F160" s="191" t="s">
        <v>3</v>
      </c>
      <c r="G160" s="130" t="s">
        <v>56</v>
      </c>
      <c r="H160" s="86" t="s">
        <v>57</v>
      </c>
      <c r="J160" s="93"/>
      <c r="L160" s="192" t="str">
        <f>CONCATENATE(B$2," ",L158)</f>
        <v>G-PCC v1 Anchor FlowerDance_UVGgs_0000</v>
      </c>
      <c r="M160" s="193" t="str">
        <f>CONCATENATE(F$2," ",L158)</f>
        <v>G-PCC v1 Proposal FlowerDance_UVGgs_0000</v>
      </c>
      <c r="N160" s="194" t="s">
        <v>58</v>
      </c>
      <c r="O160" s="2"/>
      <c r="P160" s="3" t="s">
        <v>49</v>
      </c>
    </row>
    <row r="161" spans="2:28" ht="16.5" customHeight="1" x14ac:dyDescent="0.25">
      <c r="B161" s="122" t="str">
        <f>B158</f>
        <v>FlowerDance_UVGgs_0000</v>
      </c>
      <c r="C161" s="130" t="s">
        <v>59</v>
      </c>
      <c r="D161" s="88" t="e">
        <f ca="1">0.001*INDIRECT($B161&amp;"!E5")</f>
        <v>#VALUE!</v>
      </c>
      <c r="E161" s="21"/>
      <c r="F161" s="122" t="str">
        <f>F158</f>
        <v>FlowerDance_UVGgs_0000</v>
      </c>
      <c r="G161" s="130" t="s">
        <v>59</v>
      </c>
      <c r="H161" s="88" t="e">
        <f ca="1">0.001*INDIRECT($B161&amp;"!AC5")</f>
        <v>#VALUE!</v>
      </c>
      <c r="J161" s="22" t="e">
        <f ca="1">H161/D161-1</f>
        <v>#VALUE!</v>
      </c>
      <c r="L161" s="94" t="str">
        <f ca="1">INDIRECT($B161&amp;"!"&amp;L$3&amp;"5")</f>
        <v/>
      </c>
      <c r="M161" s="95" t="str">
        <f ca="1">INDIRECT($B161&amp;"!"&amp;M$3&amp;"5")</f>
        <v/>
      </c>
      <c r="N161" s="96" t="e">
        <f ca="1">M161-L161</f>
        <v>#VALUE!</v>
      </c>
      <c r="O161" s="21"/>
      <c r="P161" s="22" t="e">
        <f ca="1">bdRateExtend(D161:D165,L161:L165,H161:H165,M161:M165)</f>
        <v>#VALUE!</v>
      </c>
    </row>
    <row r="162" spans="2:28" ht="16.5" customHeight="1" x14ac:dyDescent="0.25">
      <c r="B162" s="122" t="str">
        <f>B161</f>
        <v>FlowerDance_UVGgs_0000</v>
      </c>
      <c r="C162" s="130" t="s">
        <v>60</v>
      </c>
      <c r="D162" s="88" t="e">
        <f ca="1">0.001*INDIRECT($B162&amp;"!E6")</f>
        <v>#VALUE!</v>
      </c>
      <c r="E162" s="21"/>
      <c r="F162" s="122" t="str">
        <f>F161</f>
        <v>FlowerDance_UVGgs_0000</v>
      </c>
      <c r="G162" s="130" t="s">
        <v>60</v>
      </c>
      <c r="H162" s="88" t="e">
        <f ca="1">0.001*INDIRECT($B162&amp;"!AC6")</f>
        <v>#VALUE!</v>
      </c>
      <c r="J162" s="22" t="e">
        <f ca="1">H162/D162-1</f>
        <v>#VALUE!</v>
      </c>
      <c r="L162" s="94" t="str">
        <f ca="1">INDIRECT($B162&amp;"!"&amp;L$3&amp;"6")</f>
        <v/>
      </c>
      <c r="M162" s="95" t="str">
        <f ca="1">INDIRECT($B162&amp;"!"&amp;M$3&amp;"6")</f>
        <v/>
      </c>
      <c r="N162" s="96" t="e">
        <f ca="1">M162-L162</f>
        <v>#VALUE!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61</v>
      </c>
      <c r="D163" s="88" t="e">
        <f ca="1">0.001*INDIRECT($B163&amp;"!E7")</f>
        <v>#VALUE!</v>
      </c>
      <c r="E163" s="21"/>
      <c r="F163" s="122" t="str">
        <f>F162</f>
        <v>FlowerDance_UVGgs_0000</v>
      </c>
      <c r="G163" s="130" t="s">
        <v>61</v>
      </c>
      <c r="H163" s="88" t="e">
        <f ca="1">0.001*INDIRECT($B163&amp;"!AC7")</f>
        <v>#VALUE!</v>
      </c>
      <c r="J163" s="22" t="e">
        <f ca="1">H163/D163-1</f>
        <v>#VALUE!</v>
      </c>
      <c r="L163" s="94" t="str">
        <f ca="1">INDIRECT($B163&amp;"!"&amp;L$3&amp;"7")</f>
        <v/>
      </c>
      <c r="M163" s="95" t="str">
        <f ca="1">INDIRECT($B163&amp;"!"&amp;M$3&amp;"7")</f>
        <v/>
      </c>
      <c r="N163" s="96" t="e">
        <f ca="1">M163-L163</f>
        <v>#VALUE!</v>
      </c>
      <c r="O163" s="21"/>
      <c r="P163" s="217"/>
    </row>
    <row r="164" spans="2:28" x14ac:dyDescent="0.25">
      <c r="B164" s="122" t="str">
        <f>B163</f>
        <v>FlowerDance_UVGgs_0000</v>
      </c>
      <c r="C164" s="130" t="s">
        <v>62</v>
      </c>
      <c r="D164" s="88" t="e">
        <f ca="1">0.001*INDIRECT($B164&amp;"!E8")</f>
        <v>#VALUE!</v>
      </c>
      <c r="E164" s="21"/>
      <c r="F164" s="122" t="str">
        <f>F163</f>
        <v>FlowerDance_UVGgs_0000</v>
      </c>
      <c r="G164" s="130" t="s">
        <v>62</v>
      </c>
      <c r="H164" s="88" t="e">
        <f ca="1">0.001*INDIRECT($B164&amp;"!AC8")</f>
        <v>#VALUE!</v>
      </c>
      <c r="J164" s="22" t="e">
        <f ca="1">H164/D164-1</f>
        <v>#VALUE!</v>
      </c>
      <c r="L164" s="94" t="str">
        <f ca="1">INDIRECT($B164&amp;"!"&amp;L$3&amp;"8")</f>
        <v/>
      </c>
      <c r="M164" s="95" t="str">
        <f ca="1">INDIRECT($B164&amp;"!"&amp;M$3&amp;"8")</f>
        <v/>
      </c>
      <c r="N164" s="96" t="e">
        <f ca="1">M164-L164</f>
        <v>#VALUE!</v>
      </c>
      <c r="O164" s="21"/>
      <c r="P164" s="182"/>
    </row>
    <row r="165" spans="2:28" ht="16.2" thickBot="1" x14ac:dyDescent="0.3">
      <c r="B165" s="122" t="str">
        <f>B164</f>
        <v>FlowerDance_UVGgs_0000</v>
      </c>
      <c r="C165" s="130" t="s">
        <v>63</v>
      </c>
      <c r="D165" s="88" t="e">
        <f ca="1">0.001*INDIRECT($B165&amp;"!E9")</f>
        <v>#VALUE!</v>
      </c>
      <c r="E165" s="21"/>
      <c r="F165" s="122" t="str">
        <f>F164</f>
        <v>FlowerDance_UVGgs_0000</v>
      </c>
      <c r="G165" s="130" t="s">
        <v>63</v>
      </c>
      <c r="H165" s="88" t="e">
        <f ca="1">0.001*INDIRECT($B165&amp;"!AC9")</f>
        <v>#VALUE!</v>
      </c>
      <c r="J165" s="22" t="e">
        <f ca="1">H165/D165-1</f>
        <v>#VALUE!</v>
      </c>
      <c r="L165" s="94" t="str">
        <f ca="1">INDIRECT($B165&amp;"!"&amp;L$3&amp;"9")</f>
        <v/>
      </c>
      <c r="M165" s="95" t="str">
        <f ca="1">INDIRECT($B165&amp;"!"&amp;M$3&amp;"9")</f>
        <v/>
      </c>
      <c r="N165" s="96" t="e">
        <f ca="1">M165-L165</f>
        <v>#VALUE!</v>
      </c>
      <c r="O165" s="21"/>
      <c r="P165" s="26"/>
    </row>
    <row r="166" spans="2:28" x14ac:dyDescent="0.25">
      <c r="B166" s="109"/>
      <c r="C166" s="110"/>
      <c r="D166" s="91"/>
      <c r="F166" s="109"/>
      <c r="G166" s="110"/>
      <c r="H166" s="91"/>
      <c r="J166" s="98" t="e">
        <f ca="1">MIN(D161:D165,H161:H165)</f>
        <v>#VALUE!</v>
      </c>
      <c r="L166" s="99"/>
      <c r="M166" s="100"/>
      <c r="N166" s="101"/>
      <c r="O166" s="21"/>
      <c r="P166" s="115"/>
      <c r="AB166" s="82"/>
    </row>
    <row r="167" spans="2:28" ht="16.2" thickBot="1" x14ac:dyDescent="0.3">
      <c r="B167" s="89"/>
      <c r="C167" s="92"/>
      <c r="D167" s="90"/>
      <c r="E167" s="21"/>
      <c r="F167" s="89"/>
      <c r="G167" s="92"/>
      <c r="H167" s="90"/>
      <c r="J167" s="102" t="e">
        <f ca="1">MAX(D161:D165,H161:H165)</f>
        <v>#VALUE!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2" thickBot="1" x14ac:dyDescent="0.3"/>
    <row r="169" spans="2:28" ht="16.5" customHeight="1" x14ac:dyDescent="0.25">
      <c r="B169" s="257" t="s">
        <v>67</v>
      </c>
      <c r="C169" s="258"/>
      <c r="D169" s="259"/>
      <c r="E169" s="2"/>
      <c r="F169" s="257" t="str">
        <f>B169</f>
        <v>FlowerDance_UVGgs_0200</v>
      </c>
      <c r="G169" s="258"/>
      <c r="H169" s="259"/>
      <c r="J169" s="115"/>
      <c r="L169" s="254" t="str">
        <f>F169</f>
        <v>FlowerDance_UVGgs_0200</v>
      </c>
      <c r="M169" s="255"/>
      <c r="N169" s="256"/>
      <c r="O169" s="195"/>
      <c r="P169" s="115"/>
      <c r="AB169" s="82"/>
    </row>
    <row r="170" spans="2:28" x14ac:dyDescent="0.25">
      <c r="B170" s="263" t="s">
        <v>52</v>
      </c>
      <c r="C170" s="264"/>
      <c r="D170" s="87" t="s">
        <v>53</v>
      </c>
      <c r="E170" s="21"/>
      <c r="F170" s="263" t="s">
        <v>52</v>
      </c>
      <c r="G170" s="264"/>
      <c r="H170" s="87" t="s">
        <v>53</v>
      </c>
      <c r="J170" s="116" t="s">
        <v>54</v>
      </c>
      <c r="L170" s="260" t="s">
        <v>78</v>
      </c>
      <c r="M170" s="261"/>
      <c r="N170" s="262"/>
      <c r="O170" s="85"/>
      <c r="P170" s="3"/>
    </row>
    <row r="171" spans="2:28" ht="16.5" customHeight="1" x14ac:dyDescent="0.25">
      <c r="B171" s="191" t="s">
        <v>3</v>
      </c>
      <c r="C171" s="130" t="s">
        <v>56</v>
      </c>
      <c r="D171" s="86" t="s">
        <v>57</v>
      </c>
      <c r="E171" s="21"/>
      <c r="F171" s="191" t="s">
        <v>3</v>
      </c>
      <c r="G171" s="130" t="s">
        <v>56</v>
      </c>
      <c r="H171" s="86" t="s">
        <v>57</v>
      </c>
      <c r="J171" s="93"/>
      <c r="L171" s="192" t="str">
        <f>CONCATENATE(B$2," ",L169)</f>
        <v>G-PCC v1 Anchor FlowerDance_UVGgs_0200</v>
      </c>
      <c r="M171" s="193" t="str">
        <f>CONCATENATE(F$2," ",L169)</f>
        <v>G-PCC v1 Proposal FlowerDance_UVGgs_0200</v>
      </c>
      <c r="N171" s="194" t="s">
        <v>58</v>
      </c>
      <c r="O171" s="2"/>
      <c r="P171" s="3" t="s">
        <v>49</v>
      </c>
    </row>
    <row r="172" spans="2:28" ht="16.5" customHeight="1" x14ac:dyDescent="0.25">
      <c r="B172" s="122" t="str">
        <f>B169</f>
        <v>FlowerDance_UVGgs_0200</v>
      </c>
      <c r="C172" s="130" t="s">
        <v>59</v>
      </c>
      <c r="D172" s="88" t="e">
        <f ca="1">0.001*INDIRECT($B172&amp;"!E5")</f>
        <v>#VALUE!</v>
      </c>
      <c r="E172" s="21"/>
      <c r="F172" s="122" t="str">
        <f>F169</f>
        <v>FlowerDance_UVGgs_0200</v>
      </c>
      <c r="G172" s="130" t="s">
        <v>59</v>
      </c>
      <c r="H172" s="88" t="e">
        <f ca="1">0.001*INDIRECT($B172&amp;"!AC5")</f>
        <v>#VALUE!</v>
      </c>
      <c r="J172" s="22" t="e">
        <f ca="1">H172/D172-1</f>
        <v>#VALUE!</v>
      </c>
      <c r="L172" s="94" t="str">
        <f ca="1">INDIRECT($B172&amp;"!"&amp;L$3&amp;"5")</f>
        <v/>
      </c>
      <c r="M172" s="95" t="str">
        <f ca="1">INDIRECT($B172&amp;"!"&amp;M$3&amp;"5")</f>
        <v/>
      </c>
      <c r="N172" s="96" t="e">
        <f ca="1">M172-L172</f>
        <v>#VALUE!</v>
      </c>
      <c r="O172" s="21"/>
      <c r="P172" s="22" t="e">
        <f ca="1">bdRateExtend(D172:D176,L172:L176,H172:H176,M172:M176)</f>
        <v>#VALUE!</v>
      </c>
    </row>
    <row r="173" spans="2:28" x14ac:dyDescent="0.25">
      <c r="B173" s="122" t="str">
        <f>B172</f>
        <v>FlowerDance_UVGgs_0200</v>
      </c>
      <c r="C173" s="130" t="s">
        <v>60</v>
      </c>
      <c r="D173" s="88" t="e">
        <f ca="1">0.001*INDIRECT($B173&amp;"!E6")</f>
        <v>#VALUE!</v>
      </c>
      <c r="E173" s="21"/>
      <c r="F173" s="122" t="str">
        <f>F172</f>
        <v>FlowerDance_UVGgs_0200</v>
      </c>
      <c r="G173" s="130" t="s">
        <v>60</v>
      </c>
      <c r="H173" s="88" t="e">
        <f ca="1">0.001*INDIRECT($B173&amp;"!AC6")</f>
        <v>#VALUE!</v>
      </c>
      <c r="J173" s="22" t="e">
        <f ca="1">H173/D173-1</f>
        <v>#VALUE!</v>
      </c>
      <c r="L173" s="94" t="str">
        <f ca="1">INDIRECT($B173&amp;"!"&amp;L$3&amp;"6")</f>
        <v/>
      </c>
      <c r="M173" s="95" t="str">
        <f ca="1">INDIRECT($B173&amp;"!"&amp;M$3&amp;"6")</f>
        <v/>
      </c>
      <c r="N173" s="96" t="e">
        <f ca="1">M173-L173</f>
        <v>#VALUE!</v>
      </c>
      <c r="O173" s="21"/>
      <c r="P173" s="3"/>
    </row>
    <row r="174" spans="2:28" x14ac:dyDescent="0.25">
      <c r="B174" s="122" t="str">
        <f>B173</f>
        <v>FlowerDance_UVGgs_0200</v>
      </c>
      <c r="C174" s="130" t="s">
        <v>61</v>
      </c>
      <c r="D174" s="88" t="e">
        <f ca="1">0.001*INDIRECT($B174&amp;"!E7")</f>
        <v>#VALUE!</v>
      </c>
      <c r="E174" s="21"/>
      <c r="F174" s="122" t="str">
        <f>F173</f>
        <v>FlowerDance_UVGgs_0200</v>
      </c>
      <c r="G174" s="130" t="s">
        <v>61</v>
      </c>
      <c r="H174" s="88" t="e">
        <f ca="1">0.001*INDIRECT($B174&amp;"!AC7")</f>
        <v>#VALUE!</v>
      </c>
      <c r="J174" s="22" t="e">
        <f ca="1">H174/D174-1</f>
        <v>#VALUE!</v>
      </c>
      <c r="L174" s="94" t="str">
        <f ca="1">INDIRECT($B174&amp;"!"&amp;L$3&amp;"7")</f>
        <v/>
      </c>
      <c r="M174" s="95" t="str">
        <f ca="1">INDIRECT($B174&amp;"!"&amp;M$3&amp;"7")</f>
        <v/>
      </c>
      <c r="N174" s="96" t="e">
        <f ca="1">M174-L174</f>
        <v>#VALUE!</v>
      </c>
      <c r="O174" s="21"/>
      <c r="P174" s="217"/>
    </row>
    <row r="175" spans="2:28" x14ac:dyDescent="0.25">
      <c r="B175" s="122" t="str">
        <f>B174</f>
        <v>FlowerDance_UVGgs_0200</v>
      </c>
      <c r="C175" s="130" t="s">
        <v>62</v>
      </c>
      <c r="D175" s="88" t="e">
        <f ca="1">0.001*INDIRECT($B175&amp;"!E8")</f>
        <v>#VALUE!</v>
      </c>
      <c r="E175" s="21"/>
      <c r="F175" s="122" t="str">
        <f>F174</f>
        <v>FlowerDance_UVGgs_0200</v>
      </c>
      <c r="G175" s="130" t="s">
        <v>62</v>
      </c>
      <c r="H175" s="88" t="e">
        <f ca="1">0.001*INDIRECT($B175&amp;"!AC8")</f>
        <v>#VALUE!</v>
      </c>
      <c r="J175" s="22" t="e">
        <f ca="1">H175/D175-1</f>
        <v>#VALUE!</v>
      </c>
      <c r="L175" s="94" t="str">
        <f ca="1">INDIRECT($B175&amp;"!"&amp;L$3&amp;"8")</f>
        <v/>
      </c>
      <c r="M175" s="95" t="str">
        <f ca="1">INDIRECT($B175&amp;"!"&amp;M$3&amp;"8")</f>
        <v/>
      </c>
      <c r="N175" s="96" t="e">
        <f ca="1">M175-L175</f>
        <v>#VALUE!</v>
      </c>
      <c r="O175" s="21"/>
      <c r="P175" s="182"/>
    </row>
    <row r="176" spans="2:28" ht="16.2" thickBot="1" x14ac:dyDescent="0.3">
      <c r="B176" s="122" t="str">
        <f>B175</f>
        <v>FlowerDance_UVGgs_0200</v>
      </c>
      <c r="C176" s="130" t="s">
        <v>63</v>
      </c>
      <c r="D176" s="88" t="e">
        <f ca="1">0.001*INDIRECT($B176&amp;"!E9")</f>
        <v>#VALUE!</v>
      </c>
      <c r="E176" s="21"/>
      <c r="F176" s="122" t="str">
        <f>F175</f>
        <v>FlowerDance_UVGgs_0200</v>
      </c>
      <c r="G176" s="130" t="s">
        <v>63</v>
      </c>
      <c r="H176" s="88" t="e">
        <f ca="1">0.001*INDIRECT($B176&amp;"!AC9")</f>
        <v>#VALUE!</v>
      </c>
      <c r="J176" s="22" t="e">
        <f ca="1">H176/D176-1</f>
        <v>#VALUE!</v>
      </c>
      <c r="L176" s="94" t="str">
        <f ca="1">INDIRECT($B176&amp;"!"&amp;L$3&amp;"9")</f>
        <v/>
      </c>
      <c r="M176" s="95" t="str">
        <f ca="1">INDIRECT($B176&amp;"!"&amp;M$3&amp;"9")</f>
        <v/>
      </c>
      <c r="N176" s="96" t="e">
        <f ca="1">M176-L176</f>
        <v>#VALUE!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 t="e">
        <f ca="1">MIN(D172:D176,H172:H176)</f>
        <v>#VALUE!</v>
      </c>
      <c r="L177" s="99"/>
      <c r="M177" s="100"/>
      <c r="N177" s="101"/>
      <c r="O177" s="21"/>
      <c r="P177" s="115"/>
    </row>
    <row r="178" spans="2:28" ht="16.2" thickBot="1" x14ac:dyDescent="0.3">
      <c r="B178" s="89"/>
      <c r="C178" s="92"/>
      <c r="D178" s="90"/>
      <c r="E178" s="21"/>
      <c r="F178" s="89"/>
      <c r="G178" s="92"/>
      <c r="H178" s="90"/>
      <c r="J178" s="102" t="e">
        <f ca="1">MAX(D172:D176,H172:H176)</f>
        <v>#VALUE!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>
      <c r="AB179" s="82"/>
    </row>
    <row r="180" spans="2:28" x14ac:dyDescent="0.25">
      <c r="B180" s="257" t="s">
        <v>68</v>
      </c>
      <c r="C180" s="258"/>
      <c r="D180" s="259"/>
      <c r="E180" s="2"/>
      <c r="F180" s="257" t="str">
        <f>B180</f>
        <v>Gymnast_UVGgs_0100</v>
      </c>
      <c r="G180" s="258"/>
      <c r="H180" s="259"/>
      <c r="J180" s="115"/>
      <c r="L180" s="254" t="str">
        <f>F180</f>
        <v>Gymnast_UVGgs_0100</v>
      </c>
      <c r="M180" s="255"/>
      <c r="N180" s="256"/>
      <c r="O180" s="195"/>
      <c r="P180" s="115"/>
    </row>
    <row r="181" spans="2:28" ht="16.5" customHeight="1" x14ac:dyDescent="0.25">
      <c r="B181" s="263" t="s">
        <v>52</v>
      </c>
      <c r="C181" s="264"/>
      <c r="D181" s="87" t="s">
        <v>53</v>
      </c>
      <c r="E181" s="21"/>
      <c r="F181" s="263" t="s">
        <v>52</v>
      </c>
      <c r="G181" s="264"/>
      <c r="H181" s="87" t="s">
        <v>53</v>
      </c>
      <c r="J181" s="116" t="s">
        <v>54</v>
      </c>
      <c r="L181" s="260" t="s">
        <v>78</v>
      </c>
      <c r="M181" s="261"/>
      <c r="N181" s="262"/>
      <c r="O181" s="85"/>
      <c r="P181" s="3"/>
    </row>
    <row r="182" spans="2:28" ht="16.5" customHeight="1" x14ac:dyDescent="0.25">
      <c r="B182" s="191" t="s">
        <v>3</v>
      </c>
      <c r="C182" s="130" t="s">
        <v>56</v>
      </c>
      <c r="D182" s="86" t="s">
        <v>57</v>
      </c>
      <c r="E182" s="21"/>
      <c r="F182" s="191" t="s">
        <v>3</v>
      </c>
      <c r="G182" s="130" t="s">
        <v>56</v>
      </c>
      <c r="H182" s="86" t="s">
        <v>57</v>
      </c>
      <c r="J182" s="93"/>
      <c r="L182" s="192" t="str">
        <f>CONCATENATE(B$2," ",L180)</f>
        <v>G-PCC v1 Anchor Gymnast_UVGgs_0100</v>
      </c>
      <c r="M182" s="193" t="str">
        <f>CONCATENATE(F$2," ",L180)</f>
        <v>G-PCC v1 Proposal Gymnast_UVGgs_0100</v>
      </c>
      <c r="N182" s="194" t="s">
        <v>58</v>
      </c>
      <c r="O182" s="2"/>
      <c r="P182" s="3" t="s">
        <v>49</v>
      </c>
    </row>
    <row r="183" spans="2:28" x14ac:dyDescent="0.25">
      <c r="B183" s="122" t="str">
        <f>B180</f>
        <v>Gymnast_UVGgs_0100</v>
      </c>
      <c r="C183" s="130" t="s">
        <v>59</v>
      </c>
      <c r="D183" s="88" t="e">
        <f ca="1">0.001*INDIRECT($B183&amp;"!E5")</f>
        <v>#VALUE!</v>
      </c>
      <c r="E183" s="21"/>
      <c r="F183" s="122" t="str">
        <f>F180</f>
        <v>Gymnast_UVGgs_0100</v>
      </c>
      <c r="G183" s="130" t="s">
        <v>59</v>
      </c>
      <c r="H183" s="88" t="e">
        <f ca="1">0.001*INDIRECT($B183&amp;"!AC5")</f>
        <v>#VALUE!</v>
      </c>
      <c r="J183" s="22" t="e">
        <f ca="1">H183/D183-1</f>
        <v>#VALUE!</v>
      </c>
      <c r="L183" s="94" t="str">
        <f ca="1">INDIRECT($B183&amp;"!"&amp;L$3&amp;"5")</f>
        <v/>
      </c>
      <c r="M183" s="95" t="str">
        <f ca="1">INDIRECT($B183&amp;"!"&amp;M$3&amp;"5")</f>
        <v/>
      </c>
      <c r="N183" s="96" t="e">
        <f ca="1">M183-L183</f>
        <v>#VALUE!</v>
      </c>
      <c r="O183" s="21"/>
      <c r="P183" s="22" t="e">
        <f ca="1">bdRateExtend(D183:D187,L183:L187,H183:H187,M183:M187)</f>
        <v>#VALUE!</v>
      </c>
    </row>
    <row r="184" spans="2:28" x14ac:dyDescent="0.25">
      <c r="B184" s="122" t="str">
        <f>B183</f>
        <v>Gymnast_UVGgs_0100</v>
      </c>
      <c r="C184" s="130" t="s">
        <v>60</v>
      </c>
      <c r="D184" s="88" t="e">
        <f ca="1">0.001*INDIRECT($B184&amp;"!E6")</f>
        <v>#VALUE!</v>
      </c>
      <c r="E184" s="21"/>
      <c r="F184" s="122" t="str">
        <f>F183</f>
        <v>Gymnast_UVGgs_0100</v>
      </c>
      <c r="G184" s="130" t="s">
        <v>60</v>
      </c>
      <c r="H184" s="88" t="e">
        <f ca="1">0.001*INDIRECT($B184&amp;"!AC6")</f>
        <v>#VALUE!</v>
      </c>
      <c r="J184" s="22" t="e">
        <f ca="1">H184/D184-1</f>
        <v>#VALUE!</v>
      </c>
      <c r="L184" s="94" t="str">
        <f ca="1">INDIRECT($B184&amp;"!"&amp;L$3&amp;"6")</f>
        <v/>
      </c>
      <c r="M184" s="95" t="str">
        <f ca="1">INDIRECT($B184&amp;"!"&amp;M$3&amp;"6")</f>
        <v/>
      </c>
      <c r="N184" s="96" t="e">
        <f ca="1">M184-L184</f>
        <v>#VALUE!</v>
      </c>
      <c r="O184" s="21"/>
      <c r="P184" s="3"/>
    </row>
    <row r="185" spans="2:28" x14ac:dyDescent="0.25">
      <c r="B185" s="122" t="str">
        <f>B184</f>
        <v>Gymnast_UVGgs_0100</v>
      </c>
      <c r="C185" s="130" t="s">
        <v>61</v>
      </c>
      <c r="D185" s="88" t="e">
        <f ca="1">0.001*INDIRECT($B185&amp;"!E7")</f>
        <v>#VALUE!</v>
      </c>
      <c r="E185" s="21"/>
      <c r="F185" s="122" t="str">
        <f>F184</f>
        <v>Gymnast_UVGgs_0100</v>
      </c>
      <c r="G185" s="130" t="s">
        <v>61</v>
      </c>
      <c r="H185" s="88" t="e">
        <f ca="1">0.001*INDIRECT($B185&amp;"!AC7")</f>
        <v>#VALUE!</v>
      </c>
      <c r="J185" s="22" t="e">
        <f ca="1">H185/D185-1</f>
        <v>#VALUE!</v>
      </c>
      <c r="L185" s="94" t="str">
        <f ca="1">INDIRECT($B185&amp;"!"&amp;L$3&amp;"7")</f>
        <v/>
      </c>
      <c r="M185" s="95" t="str">
        <f ca="1">INDIRECT($B185&amp;"!"&amp;M$3&amp;"7")</f>
        <v/>
      </c>
      <c r="N185" s="96" t="e">
        <f ca="1">M185-L185</f>
        <v>#VALUE!</v>
      </c>
      <c r="O185" s="21"/>
      <c r="P185" s="217"/>
    </row>
    <row r="186" spans="2:28" x14ac:dyDescent="0.25">
      <c r="B186" s="122" t="str">
        <f>B185</f>
        <v>Gymnast_UVGgs_0100</v>
      </c>
      <c r="C186" s="130" t="s">
        <v>62</v>
      </c>
      <c r="D186" s="88" t="e">
        <f ca="1">0.001*INDIRECT($B186&amp;"!E8")</f>
        <v>#VALUE!</v>
      </c>
      <c r="E186" s="21"/>
      <c r="F186" s="122" t="str">
        <f>F185</f>
        <v>Gymnast_UVGgs_0100</v>
      </c>
      <c r="G186" s="130" t="s">
        <v>62</v>
      </c>
      <c r="H186" s="88" t="e">
        <f ca="1">0.001*INDIRECT($B186&amp;"!AC8")</f>
        <v>#VALUE!</v>
      </c>
      <c r="J186" s="22" t="e">
        <f ca="1">H186/D186-1</f>
        <v>#VALUE!</v>
      </c>
      <c r="L186" s="94" t="str">
        <f ca="1">INDIRECT($B186&amp;"!"&amp;L$3&amp;"8")</f>
        <v/>
      </c>
      <c r="M186" s="95" t="str">
        <f ca="1">INDIRECT($B186&amp;"!"&amp;M$3&amp;"8")</f>
        <v/>
      </c>
      <c r="N186" s="96" t="e">
        <f ca="1">M186-L186</f>
        <v>#VALUE!</v>
      </c>
      <c r="O186" s="21"/>
      <c r="P186" s="182"/>
      <c r="AB186" s="82"/>
    </row>
    <row r="187" spans="2:28" ht="16.2" thickBot="1" x14ac:dyDescent="0.3">
      <c r="B187" s="122" t="str">
        <f>B186</f>
        <v>Gymnast_UVGgs_0100</v>
      </c>
      <c r="C187" s="130" t="s">
        <v>63</v>
      </c>
      <c r="D187" s="88" t="e">
        <f ca="1">0.001*INDIRECT($B187&amp;"!E9")</f>
        <v>#VALUE!</v>
      </c>
      <c r="E187" s="21"/>
      <c r="F187" s="122" t="str">
        <f>F186</f>
        <v>Gymnast_UVGgs_0100</v>
      </c>
      <c r="G187" s="130" t="s">
        <v>63</v>
      </c>
      <c r="H187" s="88" t="e">
        <f ca="1">0.001*INDIRECT($B187&amp;"!AC9")</f>
        <v>#VALUE!</v>
      </c>
      <c r="J187" s="22" t="e">
        <f ca="1">H187/D187-1</f>
        <v>#VALUE!</v>
      </c>
      <c r="L187" s="94" t="str">
        <f ca="1">INDIRECT($B187&amp;"!"&amp;L$3&amp;"9")</f>
        <v/>
      </c>
      <c r="M187" s="95" t="str">
        <f ca="1">INDIRECT($B187&amp;"!"&amp;M$3&amp;"9")</f>
        <v/>
      </c>
      <c r="N187" s="96" t="e">
        <f ca="1">M187-L187</f>
        <v>#VALUE!</v>
      </c>
      <c r="O187" s="21"/>
      <c r="P187" s="26"/>
    </row>
    <row r="188" spans="2:28" x14ac:dyDescent="0.25">
      <c r="B188" s="109"/>
      <c r="C188" s="110"/>
      <c r="D188" s="91"/>
      <c r="F188" s="109"/>
      <c r="G188" s="110"/>
      <c r="H188" s="91"/>
      <c r="J188" s="98" t="e">
        <f ca="1">MIN(D183:D187,H183:H187)</f>
        <v>#VALUE!</v>
      </c>
      <c r="L188" s="99"/>
      <c r="M188" s="100"/>
      <c r="N188" s="101"/>
      <c r="O188" s="21"/>
      <c r="P188" s="115"/>
    </row>
    <row r="189" spans="2:28" ht="16.5" customHeight="1" thickBot="1" x14ac:dyDescent="0.3">
      <c r="B189" s="89"/>
      <c r="C189" s="92"/>
      <c r="D189" s="90"/>
      <c r="E189" s="21"/>
      <c r="F189" s="89"/>
      <c r="G189" s="92"/>
      <c r="H189" s="90"/>
      <c r="J189" s="102" t="e">
        <f ca="1">MAX(D183:D187,H183:H187)</f>
        <v>#VALUE!</v>
      </c>
      <c r="L189" s="103">
        <f>L188</f>
        <v>0</v>
      </c>
      <c r="M189" s="104">
        <f>M188</f>
        <v>0</v>
      </c>
      <c r="N189" s="97"/>
      <c r="O189" s="21"/>
      <c r="P189" s="5"/>
      <c r="AB189" s="82"/>
    </row>
    <row r="190" spans="2:28" ht="16.2" thickBot="1" x14ac:dyDescent="0.3"/>
    <row r="191" spans="2:28" ht="16.5" customHeight="1" x14ac:dyDescent="0.25">
      <c r="B191" s="257" t="s">
        <v>69</v>
      </c>
      <c r="C191" s="258"/>
      <c r="D191" s="259"/>
      <c r="E191" s="2"/>
      <c r="F191" s="257" t="str">
        <f>B191</f>
        <v>Gymnast_UVGgs_0200</v>
      </c>
      <c r="G191" s="258"/>
      <c r="H191" s="259"/>
      <c r="J191" s="115"/>
      <c r="L191" s="254" t="str">
        <f>F191</f>
        <v>Gymnast_UVGgs_0200</v>
      </c>
      <c r="M191" s="255"/>
      <c r="N191" s="256"/>
      <c r="O191" s="195"/>
      <c r="P191" s="115"/>
    </row>
    <row r="192" spans="2:28" ht="16.5" customHeight="1" x14ac:dyDescent="0.25">
      <c r="B192" s="263" t="s">
        <v>52</v>
      </c>
      <c r="C192" s="264"/>
      <c r="D192" s="87" t="s">
        <v>53</v>
      </c>
      <c r="E192" s="21"/>
      <c r="F192" s="263" t="s">
        <v>52</v>
      </c>
      <c r="G192" s="264"/>
      <c r="H192" s="87" t="s">
        <v>53</v>
      </c>
      <c r="J192" s="116" t="s">
        <v>54</v>
      </c>
      <c r="L192" s="260" t="s">
        <v>78</v>
      </c>
      <c r="M192" s="261"/>
      <c r="N192" s="262"/>
      <c r="O192" s="85"/>
      <c r="P192" s="3"/>
    </row>
    <row r="193" spans="2:28" x14ac:dyDescent="0.25">
      <c r="B193" s="191" t="s">
        <v>3</v>
      </c>
      <c r="C193" s="130" t="s">
        <v>56</v>
      </c>
      <c r="D193" s="86" t="s">
        <v>57</v>
      </c>
      <c r="E193" s="21"/>
      <c r="F193" s="191" t="s">
        <v>3</v>
      </c>
      <c r="G193" s="130" t="s">
        <v>56</v>
      </c>
      <c r="H193" s="86" t="s">
        <v>57</v>
      </c>
      <c r="J193" s="93"/>
      <c r="L193" s="192" t="str">
        <f>CONCATENATE(B$2," ",L191)</f>
        <v>G-PCC v1 Anchor Gymnast_UVGgs_0200</v>
      </c>
      <c r="M193" s="193" t="str">
        <f>CONCATENATE(F$2," ",L191)</f>
        <v>G-PCC v1 Proposal Gymnast_UVGgs_0200</v>
      </c>
      <c r="N193" s="194" t="s">
        <v>58</v>
      </c>
      <c r="O193" s="2"/>
      <c r="P193" s="3" t="s">
        <v>49</v>
      </c>
    </row>
    <row r="194" spans="2:28" x14ac:dyDescent="0.25">
      <c r="B194" s="122" t="str">
        <f>B191</f>
        <v>Gymnast_UVGgs_0200</v>
      </c>
      <c r="C194" s="130" t="s">
        <v>59</v>
      </c>
      <c r="D194" s="88" t="e">
        <f ca="1">0.001*INDIRECT($B194&amp;"!E5")</f>
        <v>#VALUE!</v>
      </c>
      <c r="E194" s="21"/>
      <c r="F194" s="122" t="str">
        <f>F191</f>
        <v>Gymnast_UVGgs_0200</v>
      </c>
      <c r="G194" s="130" t="s">
        <v>59</v>
      </c>
      <c r="H194" s="88" t="e">
        <f ca="1">0.001*INDIRECT($B194&amp;"!AC5")</f>
        <v>#VALUE!</v>
      </c>
      <c r="J194" s="22" t="e">
        <f ca="1">H194/D194-1</f>
        <v>#VALUE!</v>
      </c>
      <c r="L194" s="94" t="str">
        <f ca="1">INDIRECT($B194&amp;"!"&amp;L$3&amp;"5")</f>
        <v/>
      </c>
      <c r="M194" s="95" t="str">
        <f ca="1">INDIRECT($B194&amp;"!"&amp;M$3&amp;"5")</f>
        <v/>
      </c>
      <c r="N194" s="96" t="e">
        <f ca="1">M194-L194</f>
        <v>#VALUE!</v>
      </c>
      <c r="O194" s="21"/>
      <c r="P194" s="22" t="e">
        <f ca="1">bdRateExtend(D194:D198,L194:L198,H194:H198,M194:M198)</f>
        <v>#VALUE!</v>
      </c>
    </row>
    <row r="195" spans="2:28" x14ac:dyDescent="0.25">
      <c r="B195" s="122" t="str">
        <f>B194</f>
        <v>Gymnast_UVGgs_0200</v>
      </c>
      <c r="C195" s="130" t="s">
        <v>60</v>
      </c>
      <c r="D195" s="88" t="e">
        <f ca="1">0.001*INDIRECT($B195&amp;"!E6")</f>
        <v>#VALUE!</v>
      </c>
      <c r="E195" s="21"/>
      <c r="F195" s="122" t="str">
        <f>F194</f>
        <v>Gymnast_UVGgs_0200</v>
      </c>
      <c r="G195" s="130" t="s">
        <v>60</v>
      </c>
      <c r="H195" s="88" t="e">
        <f ca="1">0.001*INDIRECT($B195&amp;"!AC6")</f>
        <v>#VALUE!</v>
      </c>
      <c r="J195" s="22" t="e">
        <f ca="1">H195/D195-1</f>
        <v>#VALUE!</v>
      </c>
      <c r="L195" s="94" t="str">
        <f ca="1">INDIRECT($B195&amp;"!"&amp;L$3&amp;"6")</f>
        <v/>
      </c>
      <c r="M195" s="95" t="str">
        <f ca="1">INDIRECT($B195&amp;"!"&amp;M$3&amp;"6")</f>
        <v/>
      </c>
      <c r="N195" s="96" t="e">
        <f ca="1">M195-L195</f>
        <v>#VALUE!</v>
      </c>
      <c r="O195" s="21"/>
      <c r="P195" s="3"/>
    </row>
    <row r="196" spans="2:28" x14ac:dyDescent="0.25">
      <c r="B196" s="122" t="str">
        <f>B195</f>
        <v>Gymnast_UVGgs_0200</v>
      </c>
      <c r="C196" s="130" t="s">
        <v>61</v>
      </c>
      <c r="D196" s="88" t="e">
        <f ca="1">0.001*INDIRECT($B196&amp;"!E7")</f>
        <v>#VALUE!</v>
      </c>
      <c r="E196" s="21"/>
      <c r="F196" s="122" t="str">
        <f>F195</f>
        <v>Gymnast_UVGgs_0200</v>
      </c>
      <c r="G196" s="130" t="s">
        <v>61</v>
      </c>
      <c r="H196" s="88" t="e">
        <f ca="1">0.001*INDIRECT($B196&amp;"!AC7")</f>
        <v>#VALUE!</v>
      </c>
      <c r="J196" s="22" t="e">
        <f ca="1">H196/D196-1</f>
        <v>#VALUE!</v>
      </c>
      <c r="L196" s="94" t="str">
        <f ca="1">INDIRECT($B196&amp;"!"&amp;L$3&amp;"7")</f>
        <v/>
      </c>
      <c r="M196" s="95" t="str">
        <f ca="1">INDIRECT($B196&amp;"!"&amp;M$3&amp;"7")</f>
        <v/>
      </c>
      <c r="N196" s="96" t="e">
        <f ca="1">M196-L196</f>
        <v>#VALUE!</v>
      </c>
      <c r="O196" s="21"/>
      <c r="P196" s="217"/>
      <c r="AB196" s="82"/>
    </row>
    <row r="197" spans="2:28" x14ac:dyDescent="0.25">
      <c r="B197" s="122" t="str">
        <f>B196</f>
        <v>Gymnast_UVGgs_0200</v>
      </c>
      <c r="C197" s="130" t="s">
        <v>62</v>
      </c>
      <c r="D197" s="88" t="e">
        <f ca="1">0.001*INDIRECT($B197&amp;"!E8")</f>
        <v>#VALUE!</v>
      </c>
      <c r="E197" s="21"/>
      <c r="F197" s="122" t="str">
        <f>F196</f>
        <v>Gymnast_UVGgs_0200</v>
      </c>
      <c r="G197" s="130" t="s">
        <v>62</v>
      </c>
      <c r="H197" s="88" t="e">
        <f ca="1">0.001*INDIRECT($B197&amp;"!AC8")</f>
        <v>#VALUE!</v>
      </c>
      <c r="J197" s="22" t="e">
        <f ca="1">H197/D197-1</f>
        <v>#VALUE!</v>
      </c>
      <c r="L197" s="94" t="str">
        <f ca="1">INDIRECT($B197&amp;"!"&amp;L$3&amp;"8")</f>
        <v/>
      </c>
      <c r="M197" s="95" t="str">
        <f ca="1">INDIRECT($B197&amp;"!"&amp;M$3&amp;"8")</f>
        <v/>
      </c>
      <c r="N197" s="96" t="e">
        <f ca="1">M197-L197</f>
        <v>#VALUE!</v>
      </c>
      <c r="O197" s="21"/>
      <c r="P197" s="182"/>
    </row>
    <row r="198" spans="2:28" ht="16.2" thickBot="1" x14ac:dyDescent="0.3">
      <c r="B198" s="122" t="str">
        <f>B197</f>
        <v>Gymnast_UVGgs_0200</v>
      </c>
      <c r="C198" s="130" t="s">
        <v>63</v>
      </c>
      <c r="D198" s="88" t="e">
        <f ca="1">0.001*INDIRECT($B198&amp;"!E9")</f>
        <v>#VALUE!</v>
      </c>
      <c r="E198" s="21"/>
      <c r="F198" s="122" t="str">
        <f>F197</f>
        <v>Gymnast_UVGgs_0200</v>
      </c>
      <c r="G198" s="130" t="s">
        <v>63</v>
      </c>
      <c r="H198" s="88" t="e">
        <f ca="1">0.001*INDIRECT($B198&amp;"!AC9")</f>
        <v>#VALUE!</v>
      </c>
      <c r="J198" s="22" t="e">
        <f ca="1">H198/D198-1</f>
        <v>#VALUE!</v>
      </c>
      <c r="L198" s="94" t="str">
        <f ca="1">INDIRECT($B198&amp;"!"&amp;L$3&amp;"9")</f>
        <v/>
      </c>
      <c r="M198" s="95" t="str">
        <f ca="1">INDIRECT($B198&amp;"!"&amp;M$3&amp;"9")</f>
        <v/>
      </c>
      <c r="N198" s="96" t="e">
        <f ca="1">M198-L198</f>
        <v>#VALUE!</v>
      </c>
      <c r="O198" s="21"/>
      <c r="P198" s="26"/>
    </row>
    <row r="199" spans="2:28" ht="16.5" customHeight="1" x14ac:dyDescent="0.25">
      <c r="B199" s="109"/>
      <c r="C199" s="110"/>
      <c r="D199" s="91"/>
      <c r="F199" s="109"/>
      <c r="G199" s="110"/>
      <c r="H199" s="91"/>
      <c r="J199" s="98" t="e">
        <f ca="1">MIN(D194:D198,H194:H198)</f>
        <v>#VALUE!</v>
      </c>
      <c r="L199" s="99"/>
      <c r="M199" s="100"/>
      <c r="N199" s="101"/>
      <c r="O199" s="21"/>
      <c r="P199" s="115"/>
      <c r="AB199" s="82"/>
    </row>
    <row r="200" spans="2:28" ht="16.2" thickBot="1" x14ac:dyDescent="0.3">
      <c r="B200" s="89"/>
      <c r="C200" s="92"/>
      <c r="D200" s="90"/>
      <c r="E200" s="21"/>
      <c r="F200" s="89"/>
      <c r="G200" s="92"/>
      <c r="H200" s="90"/>
      <c r="J200" s="102" t="e">
        <f ca="1">MAX(D194:D198,H194:H198)</f>
        <v>#VALUE!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28" ht="16.5" customHeight="1" thickBot="1" x14ac:dyDescent="0.3"/>
    <row r="202" spans="2:28" ht="16.5" customHeight="1" x14ac:dyDescent="0.25">
      <c r="B202" s="257" t="s">
        <v>70</v>
      </c>
      <c r="C202" s="258"/>
      <c r="D202" s="259"/>
      <c r="E202" s="2"/>
      <c r="F202" s="257" t="str">
        <f>B202</f>
        <v>artwork</v>
      </c>
      <c r="G202" s="258"/>
      <c r="H202" s="259"/>
      <c r="J202" s="115"/>
      <c r="L202" s="254" t="str">
        <f>F202</f>
        <v>artwork</v>
      </c>
      <c r="M202" s="255"/>
      <c r="N202" s="256"/>
      <c r="O202" s="195"/>
      <c r="P202" s="115"/>
    </row>
    <row r="203" spans="2:28" x14ac:dyDescent="0.25">
      <c r="B203" s="263" t="s">
        <v>52</v>
      </c>
      <c r="C203" s="264"/>
      <c r="D203" s="87" t="s">
        <v>53</v>
      </c>
      <c r="E203" s="21"/>
      <c r="F203" s="263" t="s">
        <v>52</v>
      </c>
      <c r="G203" s="264"/>
      <c r="H203" s="87" t="s">
        <v>53</v>
      </c>
      <c r="J203" s="116" t="s">
        <v>54</v>
      </c>
      <c r="L203" s="260" t="s">
        <v>78</v>
      </c>
      <c r="M203" s="261"/>
      <c r="N203" s="262"/>
      <c r="O203" s="85"/>
      <c r="P203" s="3"/>
    </row>
    <row r="204" spans="2:28" x14ac:dyDescent="0.25">
      <c r="B204" s="191" t="s">
        <v>3</v>
      </c>
      <c r="C204" s="130" t="s">
        <v>56</v>
      </c>
      <c r="D204" s="86" t="s">
        <v>57</v>
      </c>
      <c r="E204" s="21"/>
      <c r="F204" s="191" t="s">
        <v>3</v>
      </c>
      <c r="G204" s="130" t="s">
        <v>56</v>
      </c>
      <c r="H204" s="86" t="s">
        <v>57</v>
      </c>
      <c r="J204" s="93"/>
      <c r="L204" s="192" t="str">
        <f>CONCATENATE(B$2," ",L202)</f>
        <v>G-PCC v1 Anchor artwork</v>
      </c>
      <c r="M204" s="193" t="str">
        <f>CONCATENATE(F$2," ",L202)</f>
        <v>G-PCC v1 Proposal artwork</v>
      </c>
      <c r="N204" s="194" t="s">
        <v>58</v>
      </c>
      <c r="O204" s="2"/>
      <c r="P204" s="3" t="s">
        <v>49</v>
      </c>
    </row>
    <row r="205" spans="2:28" x14ac:dyDescent="0.25">
      <c r="B205" s="122" t="str">
        <f>B202</f>
        <v>artwork</v>
      </c>
      <c r="C205" s="130" t="s">
        <v>59</v>
      </c>
      <c r="D205" s="88" t="e">
        <f ca="1">0.001*INDIRECT($B205&amp;"!E5")</f>
        <v>#VALUE!</v>
      </c>
      <c r="E205" s="21"/>
      <c r="F205" s="122" t="str">
        <f>F202</f>
        <v>artwork</v>
      </c>
      <c r="G205" s="130" t="s">
        <v>59</v>
      </c>
      <c r="H205" s="88" t="e">
        <f ca="1">0.001*INDIRECT($B205&amp;"!AC5")</f>
        <v>#VALUE!</v>
      </c>
      <c r="J205" s="22" t="e">
        <f ca="1">H205/D205-1</f>
        <v>#VALUE!</v>
      </c>
      <c r="L205" s="94" t="str">
        <f ca="1">INDIRECT($B205&amp;"!"&amp;L$3&amp;"5")</f>
        <v/>
      </c>
      <c r="M205" s="95" t="str">
        <f ca="1">INDIRECT($B205&amp;"!"&amp;M$3&amp;"5")</f>
        <v/>
      </c>
      <c r="N205" s="96" t="e">
        <f ca="1">M205-L205</f>
        <v>#VALUE!</v>
      </c>
      <c r="O205" s="21"/>
      <c r="P205" s="22" t="e">
        <f ca="1">bdRateExtend(D205:D209,L205:L209,H205:H209,M205:M209)</f>
        <v>#VALUE!</v>
      </c>
    </row>
    <row r="206" spans="2:28" x14ac:dyDescent="0.25">
      <c r="B206" s="122" t="str">
        <f>B205</f>
        <v>artwork</v>
      </c>
      <c r="C206" s="130" t="s">
        <v>60</v>
      </c>
      <c r="D206" s="88" t="e">
        <f ca="1">0.001*INDIRECT($B206&amp;"!E6")</f>
        <v>#VALUE!</v>
      </c>
      <c r="E206" s="21"/>
      <c r="F206" s="122" t="str">
        <f>F205</f>
        <v>artwork</v>
      </c>
      <c r="G206" s="130" t="s">
        <v>60</v>
      </c>
      <c r="H206" s="88" t="e">
        <f ca="1">0.001*INDIRECT($B206&amp;"!AC6")</f>
        <v>#VALUE!</v>
      </c>
      <c r="J206" s="22" t="e">
        <f ca="1">H206/D206-1</f>
        <v>#VALUE!</v>
      </c>
      <c r="L206" s="94" t="str">
        <f ca="1">INDIRECT($B206&amp;"!"&amp;L$3&amp;"6")</f>
        <v/>
      </c>
      <c r="M206" s="95" t="str">
        <f ca="1">INDIRECT($B206&amp;"!"&amp;M$3&amp;"6")</f>
        <v/>
      </c>
      <c r="N206" s="96" t="e">
        <f ca="1">M206-L206</f>
        <v>#VALUE!</v>
      </c>
      <c r="O206" s="21"/>
      <c r="P206" s="3"/>
      <c r="AB206" s="82"/>
    </row>
    <row r="207" spans="2:28" x14ac:dyDescent="0.25">
      <c r="B207" s="122" t="str">
        <f>B206</f>
        <v>artwork</v>
      </c>
      <c r="C207" s="130" t="s">
        <v>61</v>
      </c>
      <c r="D207" s="88" t="e">
        <f ca="1">0.001*INDIRECT($B207&amp;"!E7")</f>
        <v>#VALUE!</v>
      </c>
      <c r="E207" s="21"/>
      <c r="F207" s="122" t="str">
        <f>F206</f>
        <v>artwork</v>
      </c>
      <c r="G207" s="130" t="s">
        <v>61</v>
      </c>
      <c r="H207" s="88" t="e">
        <f ca="1">0.001*INDIRECT($B207&amp;"!AC7")</f>
        <v>#VALUE!</v>
      </c>
      <c r="J207" s="22" t="e">
        <f ca="1">H207/D207-1</f>
        <v>#VALUE!</v>
      </c>
      <c r="L207" s="94" t="str">
        <f ca="1">INDIRECT($B207&amp;"!"&amp;L$3&amp;"7")</f>
        <v/>
      </c>
      <c r="M207" s="95" t="str">
        <f ca="1">INDIRECT($B207&amp;"!"&amp;M$3&amp;"7")</f>
        <v/>
      </c>
      <c r="N207" s="96" t="e">
        <f ca="1">M207-L207</f>
        <v>#VALUE!</v>
      </c>
      <c r="O207" s="21"/>
      <c r="P207" s="217"/>
    </row>
    <row r="208" spans="2:28" x14ac:dyDescent="0.25">
      <c r="B208" s="122" t="str">
        <f>B207</f>
        <v>artwork</v>
      </c>
      <c r="C208" s="130" t="s">
        <v>62</v>
      </c>
      <c r="D208" s="88" t="e">
        <f ca="1">0.001*INDIRECT($B208&amp;"!E8")</f>
        <v>#VALUE!</v>
      </c>
      <c r="E208" s="21"/>
      <c r="F208" s="122" t="str">
        <f>F207</f>
        <v>artwork</v>
      </c>
      <c r="G208" s="130" t="s">
        <v>62</v>
      </c>
      <c r="H208" s="88" t="e">
        <f ca="1">0.001*INDIRECT($B208&amp;"!AC8")</f>
        <v>#VALUE!</v>
      </c>
      <c r="J208" s="22" t="e">
        <f ca="1">H208/D208-1</f>
        <v>#VALUE!</v>
      </c>
      <c r="L208" s="94" t="str">
        <f ca="1">INDIRECT($B208&amp;"!"&amp;L$3&amp;"8")</f>
        <v/>
      </c>
      <c r="M208" s="95" t="str">
        <f ca="1">INDIRECT($B208&amp;"!"&amp;M$3&amp;"8")</f>
        <v/>
      </c>
      <c r="N208" s="96" t="e">
        <f ca="1">M208-L208</f>
        <v>#VALUE!</v>
      </c>
      <c r="O208" s="21"/>
      <c r="P208" s="182"/>
    </row>
    <row r="209" spans="2:28" ht="16.5" customHeight="1" thickBot="1" x14ac:dyDescent="0.3">
      <c r="B209" s="122" t="str">
        <f>B208</f>
        <v>artwork</v>
      </c>
      <c r="C209" s="130" t="s">
        <v>63</v>
      </c>
      <c r="D209" s="88" t="e">
        <f ca="1">0.001*INDIRECT($B209&amp;"!E9")</f>
        <v>#VALUE!</v>
      </c>
      <c r="E209" s="21"/>
      <c r="F209" s="122" t="str">
        <f>F208</f>
        <v>artwork</v>
      </c>
      <c r="G209" s="130" t="s">
        <v>63</v>
      </c>
      <c r="H209" s="88" t="e">
        <f ca="1">0.001*INDIRECT($B209&amp;"!AC9")</f>
        <v>#VALUE!</v>
      </c>
      <c r="J209" s="22" t="e">
        <f ca="1">H209/D209-1</f>
        <v>#VALUE!</v>
      </c>
      <c r="L209" s="94" t="str">
        <f ca="1">INDIRECT($B209&amp;"!"&amp;L$3&amp;"9")</f>
        <v/>
      </c>
      <c r="M209" s="95" t="str">
        <f ca="1">INDIRECT($B209&amp;"!"&amp;M$3&amp;"9")</f>
        <v/>
      </c>
      <c r="N209" s="96" t="e">
        <f ca="1">M209-L209</f>
        <v>#VALUE!</v>
      </c>
      <c r="O209" s="21"/>
      <c r="P209" s="26"/>
      <c r="AB209" s="82"/>
    </row>
    <row r="210" spans="2:28" x14ac:dyDescent="0.25">
      <c r="B210" s="109"/>
      <c r="C210" s="110"/>
      <c r="D210" s="91"/>
      <c r="F210" s="109"/>
      <c r="G210" s="110"/>
      <c r="H210" s="91"/>
      <c r="J210" s="98" t="e">
        <f ca="1">MIN(D205:D209,H205:H209)</f>
        <v>#VALUE!</v>
      </c>
      <c r="L210" s="99"/>
      <c r="M210" s="100"/>
      <c r="N210" s="101"/>
      <c r="O210" s="21"/>
      <c r="P210" s="115"/>
    </row>
    <row r="211" spans="2:28" ht="16.5" customHeight="1" thickBot="1" x14ac:dyDescent="0.3">
      <c r="B211" s="89"/>
      <c r="C211" s="92"/>
      <c r="D211" s="90"/>
      <c r="E211" s="21"/>
      <c r="F211" s="89"/>
      <c r="G211" s="92"/>
      <c r="H211" s="90"/>
      <c r="J211" s="102" t="e">
        <f ca="1">MAX(D205:D209,H205:H209)</f>
        <v>#VALUE!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28" ht="16.5" customHeight="1" thickBot="1" x14ac:dyDescent="0.3"/>
    <row r="213" spans="2:28" x14ac:dyDescent="0.25">
      <c r="B213" s="257" t="s">
        <v>71</v>
      </c>
      <c r="C213" s="258"/>
      <c r="D213" s="259"/>
      <c r="E213" s="2"/>
      <c r="F213" s="257" t="str">
        <f>B213</f>
        <v>panda</v>
      </c>
      <c r="G213" s="258"/>
      <c r="H213" s="259"/>
      <c r="J213" s="115"/>
      <c r="L213" s="254" t="str">
        <f>F213</f>
        <v>panda</v>
      </c>
      <c r="M213" s="255"/>
      <c r="N213" s="256"/>
      <c r="O213" s="195"/>
      <c r="P213" s="115"/>
    </row>
    <row r="214" spans="2:28" x14ac:dyDescent="0.25">
      <c r="B214" s="263" t="s">
        <v>52</v>
      </c>
      <c r="C214" s="264"/>
      <c r="D214" s="87" t="s">
        <v>53</v>
      </c>
      <c r="E214" s="21"/>
      <c r="F214" s="263" t="s">
        <v>52</v>
      </c>
      <c r="G214" s="264"/>
      <c r="H214" s="87" t="s">
        <v>53</v>
      </c>
      <c r="J214" s="116" t="s">
        <v>54</v>
      </c>
      <c r="L214" s="260" t="s">
        <v>78</v>
      </c>
      <c r="M214" s="261"/>
      <c r="N214" s="262"/>
      <c r="O214" s="85"/>
      <c r="P214" s="3"/>
    </row>
    <row r="215" spans="2:28" x14ac:dyDescent="0.25">
      <c r="B215" s="191" t="s">
        <v>3</v>
      </c>
      <c r="C215" s="130" t="s">
        <v>56</v>
      </c>
      <c r="D215" s="86" t="s">
        <v>57</v>
      </c>
      <c r="E215" s="21"/>
      <c r="F215" s="191" t="s">
        <v>3</v>
      </c>
      <c r="G215" s="130" t="s">
        <v>56</v>
      </c>
      <c r="H215" s="86" t="s">
        <v>57</v>
      </c>
      <c r="I215" s="2"/>
      <c r="J215" s="93"/>
      <c r="L215" s="192" t="str">
        <f>CONCATENATE(B$2," ",L213)</f>
        <v>G-PCC v1 Anchor panda</v>
      </c>
      <c r="M215" s="193" t="str">
        <f>CONCATENATE(F$2," ",L213)</f>
        <v>G-PCC v1 Proposal panda</v>
      </c>
      <c r="N215" s="194" t="s">
        <v>58</v>
      </c>
      <c r="O215" s="2"/>
      <c r="P215" s="3" t="s">
        <v>49</v>
      </c>
      <c r="Q215" s="2"/>
      <c r="R215" s="2"/>
      <c r="S215" s="2"/>
      <c r="T215" s="2"/>
      <c r="U215" s="2"/>
      <c r="V215" s="2"/>
      <c r="X215" s="195"/>
      <c r="Y215" s="195"/>
      <c r="Z215" s="195"/>
    </row>
    <row r="216" spans="2:28" x14ac:dyDescent="0.25">
      <c r="B216" s="122" t="str">
        <f>B213</f>
        <v>panda</v>
      </c>
      <c r="C216" s="130" t="s">
        <v>59</v>
      </c>
      <c r="D216" s="88" t="e">
        <f ca="1">0.001*INDIRECT($B216&amp;"!E5")</f>
        <v>#VALUE!</v>
      </c>
      <c r="E216" s="21"/>
      <c r="F216" s="122" t="str">
        <f>F213</f>
        <v>panda</v>
      </c>
      <c r="G216" s="130" t="s">
        <v>59</v>
      </c>
      <c r="H216" s="88" t="e">
        <f ca="1">0.001*INDIRECT($B216&amp;"!AC5")</f>
        <v>#VALUE!</v>
      </c>
      <c r="I216" s="9"/>
      <c r="J216" s="22" t="e">
        <f ca="1">H216/D216-1</f>
        <v>#VALUE!</v>
      </c>
      <c r="L216" s="94" t="str">
        <f ca="1">INDIRECT($B216&amp;"!"&amp;L$3&amp;"5")</f>
        <v/>
      </c>
      <c r="M216" s="95" t="str">
        <f ca="1">INDIRECT($B216&amp;"!"&amp;M$3&amp;"5")</f>
        <v/>
      </c>
      <c r="N216" s="96" t="e">
        <f ca="1">M216-L216</f>
        <v>#VALUE!</v>
      </c>
      <c r="O216" s="21"/>
      <c r="P216" s="22" t="e">
        <f ca="1">bdRateExtend(D216:D220,L216:L220,H216:H220,M216:M220)</f>
        <v>#VALUE!</v>
      </c>
      <c r="Q216" s="21"/>
      <c r="R216" s="9"/>
      <c r="S216" s="9"/>
      <c r="T216" s="9"/>
      <c r="U216" s="9"/>
      <c r="V216" s="80"/>
      <c r="X216" s="6"/>
      <c r="Y216" s="6"/>
      <c r="Z216" s="81"/>
      <c r="AB216" s="82"/>
    </row>
    <row r="217" spans="2:28" x14ac:dyDescent="0.25">
      <c r="B217" s="122" t="str">
        <f>B216</f>
        <v>panda</v>
      </c>
      <c r="C217" s="130" t="s">
        <v>60</v>
      </c>
      <c r="D217" s="88" t="e">
        <f ca="1">0.001*INDIRECT($B217&amp;"!E6")</f>
        <v>#VALUE!</v>
      </c>
      <c r="E217" s="21"/>
      <c r="F217" s="122" t="str">
        <f>F216</f>
        <v>panda</v>
      </c>
      <c r="G217" s="130" t="s">
        <v>60</v>
      </c>
      <c r="H217" s="88" t="e">
        <f ca="1">0.001*INDIRECT($B217&amp;"!AC6")</f>
        <v>#VALUE!</v>
      </c>
      <c r="I217" s="9"/>
      <c r="J217" s="22" t="e">
        <f ca="1">H217/D217-1</f>
        <v>#VALUE!</v>
      </c>
      <c r="L217" s="94" t="str">
        <f ca="1">INDIRECT($B217&amp;"!"&amp;L$3&amp;"6")</f>
        <v/>
      </c>
      <c r="M217" s="95" t="str">
        <f ca="1">INDIRECT($B217&amp;"!"&amp;M$3&amp;"6")</f>
        <v/>
      </c>
      <c r="N217" s="96" t="e">
        <f ca="1">M217-L217</f>
        <v>#VALUE!</v>
      </c>
      <c r="O217" s="21"/>
      <c r="P217" s="3"/>
      <c r="Q217" s="21"/>
      <c r="R217" s="9"/>
      <c r="S217" s="9"/>
      <c r="T217" s="9"/>
      <c r="U217" s="9"/>
      <c r="V217" s="80"/>
      <c r="X217" s="6"/>
      <c r="Y217" s="6"/>
      <c r="Z217" s="81"/>
    </row>
    <row r="218" spans="2:28" x14ac:dyDescent="0.25">
      <c r="B218" s="122" t="str">
        <f>B217</f>
        <v>panda</v>
      </c>
      <c r="C218" s="130" t="s">
        <v>61</v>
      </c>
      <c r="D218" s="88" t="e">
        <f ca="1">0.001*INDIRECT($B218&amp;"!E7")</f>
        <v>#VALUE!</v>
      </c>
      <c r="E218" s="21"/>
      <c r="F218" s="122" t="str">
        <f>F217</f>
        <v>panda</v>
      </c>
      <c r="G218" s="130" t="s">
        <v>61</v>
      </c>
      <c r="H218" s="88" t="e">
        <f ca="1">0.001*INDIRECT($B218&amp;"!AC7")</f>
        <v>#VALUE!</v>
      </c>
      <c r="I218" s="9"/>
      <c r="J218" s="22" t="e">
        <f ca="1">H218/D218-1</f>
        <v>#VALUE!</v>
      </c>
      <c r="L218" s="94" t="str">
        <f ca="1">INDIRECT($B218&amp;"!"&amp;L$3&amp;"7")</f>
        <v/>
      </c>
      <c r="M218" s="95" t="str">
        <f ca="1">INDIRECT($B218&amp;"!"&amp;M$3&amp;"7")</f>
        <v/>
      </c>
      <c r="N218" s="96" t="e">
        <f ca="1">M218-L218</f>
        <v>#VALUE!</v>
      </c>
      <c r="O218" s="21"/>
      <c r="P218" s="217"/>
      <c r="Q218" s="21"/>
      <c r="R218" s="9"/>
      <c r="S218" s="9"/>
      <c r="T218" s="9"/>
      <c r="U218" s="9"/>
      <c r="V218" s="80"/>
      <c r="X218" s="6"/>
      <c r="Y218" s="6"/>
      <c r="Z218" s="81"/>
    </row>
    <row r="219" spans="2:28" ht="16.5" customHeight="1" x14ac:dyDescent="0.25">
      <c r="B219" s="122" t="str">
        <f>B218</f>
        <v>panda</v>
      </c>
      <c r="C219" s="130" t="s">
        <v>62</v>
      </c>
      <c r="D219" s="88" t="e">
        <f ca="1">0.001*INDIRECT($B219&amp;"!E8")</f>
        <v>#VALUE!</v>
      </c>
      <c r="E219" s="21"/>
      <c r="F219" s="122" t="str">
        <f>F218</f>
        <v>panda</v>
      </c>
      <c r="G219" s="130" t="s">
        <v>62</v>
      </c>
      <c r="H219" s="88" t="e">
        <f ca="1">0.001*INDIRECT($B219&amp;"!AC8")</f>
        <v>#VALUE!</v>
      </c>
      <c r="I219" s="9"/>
      <c r="J219" s="22" t="e">
        <f ca="1">H219/D219-1</f>
        <v>#VALUE!</v>
      </c>
      <c r="L219" s="94" t="str">
        <f ca="1">INDIRECT($B219&amp;"!"&amp;L$3&amp;"8")</f>
        <v/>
      </c>
      <c r="M219" s="95" t="str">
        <f ca="1">INDIRECT($B219&amp;"!"&amp;M$3&amp;"8")</f>
        <v/>
      </c>
      <c r="N219" s="96" t="e">
        <f ca="1">M219-L219</f>
        <v>#VALUE!</v>
      </c>
      <c r="O219" s="21"/>
      <c r="P219" s="182"/>
      <c r="Q219" s="21"/>
      <c r="R219" s="9"/>
      <c r="S219" s="9"/>
      <c r="T219" s="9"/>
      <c r="U219" s="9"/>
      <c r="V219" s="80"/>
      <c r="X219" s="6"/>
      <c r="Y219" s="6"/>
      <c r="Z219" s="81"/>
      <c r="AB219" s="82"/>
    </row>
    <row r="220" spans="2:28" ht="16.2" thickBot="1" x14ac:dyDescent="0.3">
      <c r="B220" s="122" t="str">
        <f>B219</f>
        <v>panda</v>
      </c>
      <c r="C220" s="130" t="s">
        <v>63</v>
      </c>
      <c r="D220" s="88" t="e">
        <f ca="1">0.001*INDIRECT($B220&amp;"!E9")</f>
        <v>#VALUE!</v>
      </c>
      <c r="E220" s="21"/>
      <c r="F220" s="122" t="str">
        <f>F219</f>
        <v>panda</v>
      </c>
      <c r="G220" s="130" t="s">
        <v>63</v>
      </c>
      <c r="H220" s="88" t="e">
        <f ca="1">0.001*INDIRECT($B220&amp;"!AC9")</f>
        <v>#VALUE!</v>
      </c>
      <c r="I220" s="9"/>
      <c r="J220" s="22" t="e">
        <f ca="1">H220/D220-1</f>
        <v>#VALUE!</v>
      </c>
      <c r="L220" s="94" t="str">
        <f ca="1">INDIRECT($B220&amp;"!"&amp;L$3&amp;"9")</f>
        <v/>
      </c>
      <c r="M220" s="95" t="str">
        <f ca="1">INDIRECT($B220&amp;"!"&amp;M$3&amp;"9")</f>
        <v/>
      </c>
      <c r="N220" s="96" t="e">
        <f ca="1">M220-L220</f>
        <v>#VALUE!</v>
      </c>
      <c r="O220" s="21"/>
      <c r="P220" s="26"/>
      <c r="Q220" s="21"/>
      <c r="R220" s="9"/>
      <c r="S220" s="9"/>
      <c r="T220" s="9"/>
      <c r="U220" s="9"/>
      <c r="V220" s="83"/>
      <c r="X220" s="6"/>
      <c r="Y220" s="6"/>
      <c r="Z220" s="81"/>
    </row>
    <row r="221" spans="2:28" ht="16.5" customHeight="1" x14ac:dyDescent="0.25">
      <c r="B221" s="109"/>
      <c r="C221" s="110"/>
      <c r="D221" s="91"/>
      <c r="F221" s="109"/>
      <c r="G221" s="110"/>
      <c r="H221" s="91"/>
      <c r="I221" s="9"/>
      <c r="J221" s="98" t="e">
        <f ca="1">MIN(D216:D220,H216:H220)</f>
        <v>#VALUE!</v>
      </c>
      <c r="L221" s="99"/>
      <c r="M221" s="100"/>
      <c r="N221" s="101"/>
      <c r="O221" s="21"/>
      <c r="P221" s="115"/>
      <c r="Q221" s="21"/>
      <c r="R221" s="9"/>
      <c r="S221" s="9"/>
      <c r="T221" s="9"/>
      <c r="U221" s="9"/>
      <c r="V221" s="83"/>
      <c r="X221" s="84"/>
      <c r="Y221" s="84"/>
      <c r="Z221" s="81"/>
    </row>
    <row r="222" spans="2:28" ht="16.2" thickBot="1" x14ac:dyDescent="0.3">
      <c r="B222" s="89"/>
      <c r="C222" s="92"/>
      <c r="D222" s="90"/>
      <c r="E222" s="21"/>
      <c r="F222" s="89"/>
      <c r="G222" s="92"/>
      <c r="H222" s="90"/>
      <c r="J222" s="102" t="e">
        <f ca="1">MAX(D216:D220,H216:H220)</f>
        <v>#VALUE!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28" ht="16.2" thickBot="1" x14ac:dyDescent="0.3"/>
    <row r="224" spans="2:28" x14ac:dyDescent="0.25">
      <c r="B224" s="257" t="s">
        <v>72</v>
      </c>
      <c r="C224" s="258"/>
      <c r="D224" s="259"/>
      <c r="E224" s="2"/>
      <c r="F224" s="257" t="str">
        <f>B224</f>
        <v>wukong</v>
      </c>
      <c r="G224" s="258"/>
      <c r="H224" s="259"/>
      <c r="J224" s="115"/>
      <c r="L224" s="254" t="str">
        <f>F224</f>
        <v>wukong</v>
      </c>
      <c r="M224" s="255"/>
      <c r="N224" s="256"/>
      <c r="O224" s="195"/>
      <c r="P224" s="115"/>
    </row>
    <row r="225" spans="2:16" x14ac:dyDescent="0.25">
      <c r="B225" s="263" t="s">
        <v>52</v>
      </c>
      <c r="C225" s="264"/>
      <c r="D225" s="87" t="s">
        <v>53</v>
      </c>
      <c r="E225" s="21"/>
      <c r="F225" s="263" t="s">
        <v>52</v>
      </c>
      <c r="G225" s="264"/>
      <c r="H225" s="87" t="s">
        <v>53</v>
      </c>
      <c r="J225" s="116" t="s">
        <v>54</v>
      </c>
      <c r="L225" s="260" t="s">
        <v>78</v>
      </c>
      <c r="M225" s="261"/>
      <c r="N225" s="262"/>
      <c r="O225" s="85"/>
      <c r="P225" s="3"/>
    </row>
    <row r="226" spans="2:16" x14ac:dyDescent="0.25">
      <c r="B226" s="191" t="s">
        <v>3</v>
      </c>
      <c r="C226" s="130" t="s">
        <v>56</v>
      </c>
      <c r="D226" s="86" t="s">
        <v>57</v>
      </c>
      <c r="E226" s="21"/>
      <c r="F226" s="191" t="s">
        <v>3</v>
      </c>
      <c r="G226" s="130" t="s">
        <v>56</v>
      </c>
      <c r="H226" s="86" t="s">
        <v>57</v>
      </c>
      <c r="J226" s="93"/>
      <c r="L226" s="192" t="str">
        <f>CONCATENATE(B$2," ",L224)</f>
        <v>G-PCC v1 Anchor wukong</v>
      </c>
      <c r="M226" s="193" t="str">
        <f>CONCATENATE(F$2," ",L224)</f>
        <v>G-PCC v1 Proposal wukong</v>
      </c>
      <c r="N226" s="194" t="s">
        <v>58</v>
      </c>
      <c r="O226" s="2"/>
      <c r="P226" s="3" t="s">
        <v>49</v>
      </c>
    </row>
    <row r="227" spans="2:16" x14ac:dyDescent="0.25">
      <c r="B227" s="122" t="str">
        <f>B224</f>
        <v>wukong</v>
      </c>
      <c r="C227" s="130" t="s">
        <v>59</v>
      </c>
      <c r="D227" s="88" t="e">
        <f ca="1">0.001*INDIRECT($B227&amp;"!E5")</f>
        <v>#VALUE!</v>
      </c>
      <c r="E227" s="21"/>
      <c r="F227" s="122" t="str">
        <f>F224</f>
        <v>wukong</v>
      </c>
      <c r="G227" s="130" t="s">
        <v>59</v>
      </c>
      <c r="H227" s="88" t="e">
        <f ca="1">0.001*INDIRECT($B227&amp;"!AC5")</f>
        <v>#VALUE!</v>
      </c>
      <c r="J227" s="22" t="e">
        <f ca="1">H227/D227-1</f>
        <v>#VALUE!</v>
      </c>
      <c r="L227" s="94" t="str">
        <f ca="1">INDIRECT($B227&amp;"!"&amp;L$3&amp;"5")</f>
        <v/>
      </c>
      <c r="M227" s="95" t="str">
        <f ca="1">INDIRECT($B227&amp;"!"&amp;M$3&amp;"5")</f>
        <v/>
      </c>
      <c r="N227" s="96" t="e">
        <f ca="1">M227-L227</f>
        <v>#VALUE!</v>
      </c>
      <c r="O227" s="21"/>
      <c r="P227" s="22" t="e">
        <f ca="1">bdRateExtend(D227:D231,L227:L231,H227:H231,M227:M231)</f>
        <v>#VALUE!</v>
      </c>
    </row>
    <row r="228" spans="2:16" x14ac:dyDescent="0.25">
      <c r="B228" s="122" t="str">
        <f>B227</f>
        <v>wukong</v>
      </c>
      <c r="C228" s="130" t="s">
        <v>60</v>
      </c>
      <c r="D228" s="88" t="e">
        <f ca="1">0.001*INDIRECT($B228&amp;"!E6")</f>
        <v>#VALUE!</v>
      </c>
      <c r="E228" s="21"/>
      <c r="F228" s="122" t="str">
        <f>F227</f>
        <v>wukong</v>
      </c>
      <c r="G228" s="130" t="s">
        <v>60</v>
      </c>
      <c r="H228" s="88" t="e">
        <f ca="1">0.001*INDIRECT($B228&amp;"!AC6")</f>
        <v>#VALUE!</v>
      </c>
      <c r="J228" s="22" t="e">
        <f ca="1">H228/D228-1</f>
        <v>#VALUE!</v>
      </c>
      <c r="L228" s="94" t="str">
        <f ca="1">INDIRECT($B228&amp;"!"&amp;L$3&amp;"6")</f>
        <v/>
      </c>
      <c r="M228" s="95" t="str">
        <f ca="1">INDIRECT($B228&amp;"!"&amp;M$3&amp;"6")</f>
        <v/>
      </c>
      <c r="N228" s="96" t="e">
        <f ca="1">M228-L228</f>
        <v>#VALUE!</v>
      </c>
      <c r="O228" s="21"/>
      <c r="P228" s="3"/>
    </row>
    <row r="229" spans="2:16" x14ac:dyDescent="0.25">
      <c r="B229" s="122" t="str">
        <f>B228</f>
        <v>wukong</v>
      </c>
      <c r="C229" s="130" t="s">
        <v>61</v>
      </c>
      <c r="D229" s="88" t="e">
        <f ca="1">0.001*INDIRECT($B229&amp;"!E7")</f>
        <v>#VALUE!</v>
      </c>
      <c r="E229" s="21"/>
      <c r="F229" s="122" t="str">
        <f>F228</f>
        <v>wukong</v>
      </c>
      <c r="G229" s="130" t="s">
        <v>61</v>
      </c>
      <c r="H229" s="88" t="e">
        <f ca="1">0.001*INDIRECT($B229&amp;"!AC7")</f>
        <v>#VALUE!</v>
      </c>
      <c r="J229" s="22" t="e">
        <f ca="1">H229/D229-1</f>
        <v>#VALUE!</v>
      </c>
      <c r="L229" s="94" t="str">
        <f ca="1">INDIRECT($B229&amp;"!"&amp;L$3&amp;"7")</f>
        <v/>
      </c>
      <c r="M229" s="95" t="str">
        <f ca="1">INDIRECT($B229&amp;"!"&amp;M$3&amp;"7")</f>
        <v/>
      </c>
      <c r="N229" s="96" t="e">
        <f ca="1">M229-L229</f>
        <v>#VALUE!</v>
      </c>
      <c r="O229" s="21"/>
      <c r="P229" s="217"/>
    </row>
    <row r="230" spans="2:16" x14ac:dyDescent="0.25">
      <c r="B230" s="122" t="str">
        <f>B229</f>
        <v>wukong</v>
      </c>
      <c r="C230" s="130" t="s">
        <v>62</v>
      </c>
      <c r="D230" s="88" t="e">
        <f ca="1">0.001*INDIRECT($B230&amp;"!E8")</f>
        <v>#VALUE!</v>
      </c>
      <c r="E230" s="21"/>
      <c r="F230" s="122" t="str">
        <f>F229</f>
        <v>wukong</v>
      </c>
      <c r="G230" s="130" t="s">
        <v>62</v>
      </c>
      <c r="H230" s="88" t="e">
        <f ca="1">0.001*INDIRECT($B230&amp;"!AC8")</f>
        <v>#VALUE!</v>
      </c>
      <c r="J230" s="22" t="e">
        <f ca="1">H230/D230-1</f>
        <v>#VALUE!</v>
      </c>
      <c r="L230" s="94" t="str">
        <f ca="1">INDIRECT($B230&amp;"!"&amp;L$3&amp;"8")</f>
        <v/>
      </c>
      <c r="M230" s="95" t="str">
        <f ca="1">INDIRECT($B230&amp;"!"&amp;M$3&amp;"8")</f>
        <v/>
      </c>
      <c r="N230" s="96" t="e">
        <f ca="1">M230-L230</f>
        <v>#VALUE!</v>
      </c>
      <c r="O230" s="21"/>
      <c r="P230" s="182"/>
    </row>
    <row r="231" spans="2:16" ht="16.2" thickBot="1" x14ac:dyDescent="0.3">
      <c r="B231" s="122" t="str">
        <f>B230</f>
        <v>wukong</v>
      </c>
      <c r="C231" s="130" t="s">
        <v>63</v>
      </c>
      <c r="D231" s="88" t="e">
        <f ca="1">0.001*INDIRECT($B231&amp;"!E9")</f>
        <v>#VALUE!</v>
      </c>
      <c r="E231" s="21"/>
      <c r="F231" s="122" t="str">
        <f>F230</f>
        <v>wukong</v>
      </c>
      <c r="G231" s="130" t="s">
        <v>63</v>
      </c>
      <c r="H231" s="88" t="e">
        <f ca="1">0.001*INDIRECT($B231&amp;"!AC9")</f>
        <v>#VALUE!</v>
      </c>
      <c r="J231" s="22" t="e">
        <f ca="1">H231/D231-1</f>
        <v>#VALUE!</v>
      </c>
      <c r="L231" s="94" t="str">
        <f ca="1">INDIRECT($B231&amp;"!"&amp;L$3&amp;"9")</f>
        <v/>
      </c>
      <c r="M231" s="95" t="str">
        <f ca="1">INDIRECT($B231&amp;"!"&amp;M$3&amp;"9")</f>
        <v/>
      </c>
      <c r="N231" s="96" t="e">
        <f ca="1">M231-L231</f>
        <v>#VALUE!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 t="e">
        <f ca="1">MIN(D227:D231,H227:H231)</f>
        <v>#VALUE!</v>
      </c>
      <c r="L232" s="99"/>
      <c r="M232" s="100"/>
      <c r="N232" s="101"/>
      <c r="O232" s="21"/>
      <c r="P232" s="115"/>
    </row>
    <row r="233" spans="2:16" ht="16.2" thickBot="1" x14ac:dyDescent="0.3">
      <c r="B233" s="89"/>
      <c r="C233" s="92"/>
      <c r="D233" s="90"/>
      <c r="E233" s="21"/>
      <c r="F233" s="89"/>
      <c r="G233" s="92"/>
      <c r="H233" s="90"/>
      <c r="J233" s="102" t="e">
        <f ca="1">MAX(D227:D231,H227:H231)</f>
        <v>#VALUE!</v>
      </c>
      <c r="L233" s="103">
        <f>L232</f>
        <v>0</v>
      </c>
      <c r="M233" s="104">
        <f>M232</f>
        <v>0</v>
      </c>
      <c r="N233" s="97"/>
      <c r="O233" s="21"/>
      <c r="P233" s="5"/>
    </row>
  </sheetData>
  <mergeCells count="159">
    <mergeCell ref="B82:C82"/>
    <mergeCell ref="F82:G82"/>
    <mergeCell ref="L82:N82"/>
    <mergeCell ref="R82:T82"/>
    <mergeCell ref="X82:Z82"/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X103:Z103"/>
    <mergeCell ref="R104:T104"/>
    <mergeCell ref="X104:Z104"/>
    <mergeCell ref="X92:Z92"/>
    <mergeCell ref="R93:T93"/>
    <mergeCell ref="X93:Z93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L4:N4"/>
    <mergeCell ref="X4:Z4"/>
    <mergeCell ref="F4:H4"/>
    <mergeCell ref="B2:D2"/>
    <mergeCell ref="F2:H2"/>
    <mergeCell ref="L2:N2"/>
    <mergeCell ref="B4:D4"/>
    <mergeCell ref="B15:D15"/>
    <mergeCell ref="F15:H15"/>
    <mergeCell ref="L15:N15"/>
    <mergeCell ref="B5:C5"/>
    <mergeCell ref="F5:G5"/>
    <mergeCell ref="L5:N5"/>
    <mergeCell ref="X15:Z15"/>
    <mergeCell ref="R5:T5"/>
    <mergeCell ref="X5:Z5"/>
    <mergeCell ref="B126:C126"/>
    <mergeCell ref="F126:G126"/>
    <mergeCell ref="B136:D136"/>
    <mergeCell ref="F136:H136"/>
    <mergeCell ref="B137:C137"/>
    <mergeCell ref="F137:G137"/>
    <mergeCell ref="B114:D114"/>
    <mergeCell ref="F114:H114"/>
    <mergeCell ref="B115:C115"/>
    <mergeCell ref="F115:G115"/>
    <mergeCell ref="B125:D125"/>
    <mergeCell ref="F125:H125"/>
    <mergeCell ref="F169:H169"/>
    <mergeCell ref="B170:C170"/>
    <mergeCell ref="F170:G170"/>
    <mergeCell ref="B147:D147"/>
    <mergeCell ref="F147:H147"/>
    <mergeCell ref="B148:C148"/>
    <mergeCell ref="F148:G148"/>
    <mergeCell ref="B158:D158"/>
    <mergeCell ref="F158:H158"/>
    <mergeCell ref="L159:N159"/>
    <mergeCell ref="L169:N169"/>
    <mergeCell ref="L170:N170"/>
    <mergeCell ref="L180:N180"/>
    <mergeCell ref="L181:N181"/>
    <mergeCell ref="B213:D213"/>
    <mergeCell ref="F213:H213"/>
    <mergeCell ref="B214:C214"/>
    <mergeCell ref="F214:G214"/>
    <mergeCell ref="B192:C192"/>
    <mergeCell ref="F192:G192"/>
    <mergeCell ref="B202:D202"/>
    <mergeCell ref="F202:H202"/>
    <mergeCell ref="B203:C203"/>
    <mergeCell ref="F203:G203"/>
    <mergeCell ref="B180:D180"/>
    <mergeCell ref="F180:H180"/>
    <mergeCell ref="B181:C181"/>
    <mergeCell ref="F181:G181"/>
    <mergeCell ref="B191:D191"/>
    <mergeCell ref="F191:H191"/>
    <mergeCell ref="B159:C159"/>
    <mergeCell ref="F159:G159"/>
    <mergeCell ref="B169:D169"/>
    <mergeCell ref="L114:N114"/>
    <mergeCell ref="L115:N115"/>
    <mergeCell ref="L125:N125"/>
    <mergeCell ref="L126:N126"/>
    <mergeCell ref="L136:N136"/>
    <mergeCell ref="L137:N137"/>
    <mergeCell ref="L147:N147"/>
    <mergeCell ref="L148:N148"/>
    <mergeCell ref="L158:N158"/>
    <mergeCell ref="L213:N213"/>
    <mergeCell ref="L214:N214"/>
    <mergeCell ref="L224:N224"/>
    <mergeCell ref="L225:N225"/>
    <mergeCell ref="L191:N191"/>
    <mergeCell ref="L192:N192"/>
    <mergeCell ref="L203:N203"/>
    <mergeCell ref="L202:N202"/>
    <mergeCell ref="B225:C225"/>
    <mergeCell ref="F225:G225"/>
    <mergeCell ref="B224:D224"/>
    <mergeCell ref="F224:H224"/>
  </mergeCells>
  <phoneticPr fontId="26"/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dxfId="551" priority="1177" stopIfTrue="1" operator="lessThan">
      <formula>-0.01</formula>
    </cfRule>
    <cfRule type="cellIs" dxfId="550" priority="1178" stopIfTrue="1" operator="greaterThan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dxfId="549" priority="1172" operator="greaterThan">
      <formula>0.03</formula>
    </cfRule>
    <cfRule type="cellIs" dxfId="548" priority="1173" stopIfTrue="1" operator="lessThan">
      <formula>-0.03</formula>
    </cfRule>
  </conditionalFormatting>
  <conditionalFormatting sqref="AB22">
    <cfRule type="cellIs" dxfId="547" priority="1170" operator="lessThan">
      <formula>-0.03</formula>
    </cfRule>
    <cfRule type="cellIs" dxfId="546" priority="1171" stopIfTrue="1" operator="greaterThan">
      <formula>0.03</formula>
    </cfRule>
  </conditionalFormatting>
  <conditionalFormatting sqref="Z18">
    <cfRule type="cellIs" dxfId="545" priority="1168" stopIfTrue="1" operator="lessThan">
      <formula>-0.01</formula>
    </cfRule>
    <cfRule type="cellIs" dxfId="544" priority="1169" stopIfTrue="1" operator="greaterThan">
      <formula>0.01</formula>
    </cfRule>
  </conditionalFormatting>
  <conditionalFormatting sqref="Z19">
    <cfRule type="cellIs" dxfId="543" priority="1166" stopIfTrue="1" operator="lessThan">
      <formula>-0.01</formula>
    </cfRule>
    <cfRule type="cellIs" dxfId="542" priority="1167" stopIfTrue="1" operator="greaterThan">
      <formula>0.01</formula>
    </cfRule>
  </conditionalFormatting>
  <conditionalFormatting sqref="Z20:Z21">
    <cfRule type="cellIs" dxfId="541" priority="1164" stopIfTrue="1" operator="lessThan">
      <formula>-0.01</formula>
    </cfRule>
    <cfRule type="cellIs" dxfId="540" priority="1165" stopIfTrue="1" operator="greaterThan">
      <formula>0.01</formula>
    </cfRule>
  </conditionalFormatting>
  <conditionalFormatting sqref="Z22">
    <cfRule type="cellIs" dxfId="539" priority="1162" stopIfTrue="1" operator="lessThan">
      <formula>-0.01</formula>
    </cfRule>
    <cfRule type="cellIs" dxfId="538" priority="1163" stopIfTrue="1" operator="greaterThan">
      <formula>0.01</formula>
    </cfRule>
  </conditionalFormatting>
  <conditionalFormatting sqref="V18:V22">
    <cfRule type="cellIs" dxfId="537" priority="1160" operator="greaterThan">
      <formula>0.03</formula>
    </cfRule>
    <cfRule type="cellIs" dxfId="536" priority="1161" stopIfTrue="1" operator="lessThan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dxfId="535" priority="1154" stopIfTrue="1" operator="lessThan">
      <formula>-0.01</formula>
    </cfRule>
    <cfRule type="cellIs" dxfId="534" priority="1155" stopIfTrue="1" operator="greaterThan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dxfId="533" priority="1150" operator="greaterThan">
      <formula>0.03</formula>
    </cfRule>
    <cfRule type="cellIs" dxfId="532" priority="1151" stopIfTrue="1" operator="lessThan">
      <formula>-0.03</formula>
    </cfRule>
  </conditionalFormatting>
  <conditionalFormatting sqref="AB33">
    <cfRule type="cellIs" dxfId="531" priority="1148" operator="lessThan">
      <formula>-0.03</formula>
    </cfRule>
    <cfRule type="cellIs" dxfId="530" priority="1149" stopIfTrue="1" operator="greaterThan">
      <formula>0.03</formula>
    </cfRule>
  </conditionalFormatting>
  <conditionalFormatting sqref="Z29">
    <cfRule type="cellIs" dxfId="529" priority="1146" stopIfTrue="1" operator="lessThan">
      <formula>-0.01</formula>
    </cfRule>
    <cfRule type="cellIs" dxfId="528" priority="1147" stopIfTrue="1" operator="greaterThan">
      <formula>0.01</formula>
    </cfRule>
  </conditionalFormatting>
  <conditionalFormatting sqref="Z30">
    <cfRule type="cellIs" dxfId="527" priority="1144" stopIfTrue="1" operator="lessThan">
      <formula>-0.01</formula>
    </cfRule>
    <cfRule type="cellIs" dxfId="526" priority="1145" stopIfTrue="1" operator="greaterThan">
      <formula>0.01</formula>
    </cfRule>
  </conditionalFormatting>
  <conditionalFormatting sqref="Z31:Z32">
    <cfRule type="cellIs" dxfId="525" priority="1142" stopIfTrue="1" operator="lessThan">
      <formula>-0.01</formula>
    </cfRule>
    <cfRule type="cellIs" dxfId="524" priority="1143" stopIfTrue="1" operator="greaterThan">
      <formula>0.01</formula>
    </cfRule>
  </conditionalFormatting>
  <conditionalFormatting sqref="Z33">
    <cfRule type="cellIs" dxfId="523" priority="1140" stopIfTrue="1" operator="lessThan">
      <formula>-0.01</formula>
    </cfRule>
    <cfRule type="cellIs" dxfId="522" priority="1141" stopIfTrue="1" operator="greaterThan">
      <formula>0.01</formula>
    </cfRule>
  </conditionalFormatting>
  <conditionalFormatting sqref="V29:V33">
    <cfRule type="cellIs" dxfId="521" priority="1138" operator="greaterThan">
      <formula>0.03</formula>
    </cfRule>
    <cfRule type="cellIs" dxfId="520" priority="1139" stopIfTrue="1" operator="lessThan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dxfId="519" priority="1132" stopIfTrue="1" operator="lessThan">
      <formula>-0.01</formula>
    </cfRule>
    <cfRule type="cellIs" dxfId="518" priority="1133" stopIfTrue="1" operator="greaterThan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dxfId="517" priority="1128" operator="greaterThan">
      <formula>0.03</formula>
    </cfRule>
    <cfRule type="cellIs" dxfId="516" priority="1129" stopIfTrue="1" operator="lessThan">
      <formula>-0.03</formula>
    </cfRule>
  </conditionalFormatting>
  <conditionalFormatting sqref="AB44">
    <cfRule type="cellIs" dxfId="515" priority="1126" operator="lessThan">
      <formula>-0.03</formula>
    </cfRule>
    <cfRule type="cellIs" dxfId="514" priority="1127" stopIfTrue="1" operator="greaterThan">
      <formula>0.03</formula>
    </cfRule>
  </conditionalFormatting>
  <conditionalFormatting sqref="Z40">
    <cfRule type="cellIs" dxfId="513" priority="1124" stopIfTrue="1" operator="lessThan">
      <formula>-0.01</formula>
    </cfRule>
    <cfRule type="cellIs" dxfId="512" priority="1125" stopIfTrue="1" operator="greaterThan">
      <formula>0.01</formula>
    </cfRule>
  </conditionalFormatting>
  <conditionalFormatting sqref="Z41">
    <cfRule type="cellIs" dxfId="511" priority="1122" stopIfTrue="1" operator="lessThan">
      <formula>-0.01</formula>
    </cfRule>
    <cfRule type="cellIs" dxfId="510" priority="1123" stopIfTrue="1" operator="greaterThan">
      <formula>0.01</formula>
    </cfRule>
  </conditionalFormatting>
  <conditionalFormatting sqref="Z42:Z43">
    <cfRule type="cellIs" dxfId="509" priority="1120" stopIfTrue="1" operator="lessThan">
      <formula>-0.01</formula>
    </cfRule>
    <cfRule type="cellIs" dxfId="508" priority="1121" stopIfTrue="1" operator="greaterThan">
      <formula>0.01</formula>
    </cfRule>
  </conditionalFormatting>
  <conditionalFormatting sqref="Z44">
    <cfRule type="cellIs" dxfId="507" priority="1118" stopIfTrue="1" operator="lessThan">
      <formula>-0.01</formula>
    </cfRule>
    <cfRule type="cellIs" dxfId="506" priority="1119" stopIfTrue="1" operator="greaterThan">
      <formula>0.01</formula>
    </cfRule>
  </conditionalFormatting>
  <conditionalFormatting sqref="V40:V44">
    <cfRule type="cellIs" dxfId="505" priority="1116" operator="greaterThan">
      <formula>0.03</formula>
    </cfRule>
    <cfRule type="cellIs" dxfId="504" priority="1117" stopIfTrue="1" operator="lessThan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dxfId="503" priority="1110" stopIfTrue="1" operator="lessThan">
      <formula>-0.01</formula>
    </cfRule>
    <cfRule type="cellIs" dxfId="502" priority="1111" stopIfTrue="1" operator="greaterThan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dxfId="501" priority="1106" operator="greaterThan">
      <formula>0.03</formula>
    </cfRule>
    <cfRule type="cellIs" dxfId="500" priority="1107" stopIfTrue="1" operator="lessThan">
      <formula>-0.03</formula>
    </cfRule>
  </conditionalFormatting>
  <conditionalFormatting sqref="AB55">
    <cfRule type="cellIs" dxfId="499" priority="1104" operator="lessThan">
      <formula>-0.03</formula>
    </cfRule>
    <cfRule type="cellIs" dxfId="498" priority="1105" stopIfTrue="1" operator="greaterThan">
      <formula>0.03</formula>
    </cfRule>
  </conditionalFormatting>
  <conditionalFormatting sqref="Z51">
    <cfRule type="cellIs" dxfId="497" priority="1102" stopIfTrue="1" operator="lessThan">
      <formula>-0.01</formula>
    </cfRule>
    <cfRule type="cellIs" dxfId="496" priority="1103" stopIfTrue="1" operator="greaterThan">
      <formula>0.01</formula>
    </cfRule>
  </conditionalFormatting>
  <conditionalFormatting sqref="Z52">
    <cfRule type="cellIs" dxfId="495" priority="1100" stopIfTrue="1" operator="lessThan">
      <formula>-0.01</formula>
    </cfRule>
    <cfRule type="cellIs" dxfId="494" priority="1101" stopIfTrue="1" operator="greaterThan">
      <formula>0.01</formula>
    </cfRule>
  </conditionalFormatting>
  <conditionalFormatting sqref="Z53:Z54">
    <cfRule type="cellIs" dxfId="493" priority="1098" stopIfTrue="1" operator="lessThan">
      <formula>-0.01</formula>
    </cfRule>
    <cfRule type="cellIs" dxfId="492" priority="1099" stopIfTrue="1" operator="greaterThan">
      <formula>0.01</formula>
    </cfRule>
  </conditionalFormatting>
  <conditionalFormatting sqref="Z55">
    <cfRule type="cellIs" dxfId="491" priority="1096" stopIfTrue="1" operator="lessThan">
      <formula>-0.01</formula>
    </cfRule>
    <cfRule type="cellIs" dxfId="490" priority="1097" stopIfTrue="1" operator="greaterThan">
      <formula>0.01</formula>
    </cfRule>
  </conditionalFormatting>
  <conditionalFormatting sqref="V51:V55">
    <cfRule type="cellIs" dxfId="489" priority="1094" operator="greaterThan">
      <formula>0.03</formula>
    </cfRule>
    <cfRule type="cellIs" dxfId="488" priority="1095" stopIfTrue="1" operator="lessThan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dxfId="487" priority="1088" stopIfTrue="1" operator="lessThan">
      <formula>-0.01</formula>
    </cfRule>
    <cfRule type="cellIs" dxfId="486" priority="1089" stopIfTrue="1" operator="greaterThan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dxfId="485" priority="1084" operator="greaterThan">
      <formula>0.03</formula>
    </cfRule>
    <cfRule type="cellIs" dxfId="484" priority="1085" stopIfTrue="1" operator="lessThan">
      <formula>-0.03</formula>
    </cfRule>
  </conditionalFormatting>
  <conditionalFormatting sqref="AB66">
    <cfRule type="cellIs" dxfId="483" priority="1082" operator="lessThan">
      <formula>-0.03</formula>
    </cfRule>
    <cfRule type="cellIs" dxfId="482" priority="1083" stopIfTrue="1" operator="greaterThan">
      <formula>0.03</formula>
    </cfRule>
  </conditionalFormatting>
  <conditionalFormatting sqref="Z62">
    <cfRule type="cellIs" dxfId="481" priority="1080" stopIfTrue="1" operator="lessThan">
      <formula>-0.01</formula>
    </cfRule>
    <cfRule type="cellIs" dxfId="480" priority="1081" stopIfTrue="1" operator="greaterThan">
      <formula>0.01</formula>
    </cfRule>
  </conditionalFormatting>
  <conditionalFormatting sqref="Z63">
    <cfRule type="cellIs" dxfId="479" priority="1078" stopIfTrue="1" operator="lessThan">
      <formula>-0.01</formula>
    </cfRule>
    <cfRule type="cellIs" dxfId="478" priority="1079" stopIfTrue="1" operator="greaterThan">
      <formula>0.01</formula>
    </cfRule>
  </conditionalFormatting>
  <conditionalFormatting sqref="Z64:Z65">
    <cfRule type="cellIs" dxfId="477" priority="1076" stopIfTrue="1" operator="lessThan">
      <formula>-0.01</formula>
    </cfRule>
    <cfRule type="cellIs" dxfId="476" priority="1077" stopIfTrue="1" operator="greaterThan">
      <formula>0.01</formula>
    </cfRule>
  </conditionalFormatting>
  <conditionalFormatting sqref="Z66">
    <cfRule type="cellIs" dxfId="475" priority="1074" stopIfTrue="1" operator="lessThan">
      <formula>-0.01</formula>
    </cfRule>
    <cfRule type="cellIs" dxfId="474" priority="1075" stopIfTrue="1" operator="greaterThan">
      <formula>0.01</formula>
    </cfRule>
  </conditionalFormatting>
  <conditionalFormatting sqref="V62:V66">
    <cfRule type="cellIs" dxfId="473" priority="1072" operator="greaterThan">
      <formula>0.03</formula>
    </cfRule>
    <cfRule type="cellIs" dxfId="472" priority="1073" stopIfTrue="1" operator="lessThan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dxfId="471" priority="1066" stopIfTrue="1" operator="lessThan">
      <formula>-0.01</formula>
    </cfRule>
    <cfRule type="cellIs" dxfId="470" priority="1067" stopIfTrue="1" operator="greaterThan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dxfId="469" priority="1062" operator="greaterThan">
      <formula>0.03</formula>
    </cfRule>
    <cfRule type="cellIs" dxfId="468" priority="1063" stopIfTrue="1" operator="lessThan">
      <formula>-0.03</formula>
    </cfRule>
  </conditionalFormatting>
  <conditionalFormatting sqref="AB77">
    <cfRule type="cellIs" dxfId="467" priority="1060" operator="lessThan">
      <formula>-0.03</formula>
    </cfRule>
    <cfRule type="cellIs" dxfId="466" priority="1061" stopIfTrue="1" operator="greaterThan">
      <formula>0.03</formula>
    </cfRule>
  </conditionalFormatting>
  <conditionalFormatting sqref="Z73">
    <cfRule type="cellIs" dxfId="465" priority="1058" stopIfTrue="1" operator="lessThan">
      <formula>-0.01</formula>
    </cfRule>
    <cfRule type="cellIs" dxfId="464" priority="1059" stopIfTrue="1" operator="greaterThan">
      <formula>0.01</formula>
    </cfRule>
  </conditionalFormatting>
  <conditionalFormatting sqref="Z74">
    <cfRule type="cellIs" dxfId="463" priority="1056" stopIfTrue="1" operator="lessThan">
      <formula>-0.01</formula>
    </cfRule>
    <cfRule type="cellIs" dxfId="462" priority="1057" stopIfTrue="1" operator="greaterThan">
      <formula>0.01</formula>
    </cfRule>
  </conditionalFormatting>
  <conditionalFormatting sqref="Z75:Z76">
    <cfRule type="cellIs" dxfId="461" priority="1054" stopIfTrue="1" operator="lessThan">
      <formula>-0.01</formula>
    </cfRule>
    <cfRule type="cellIs" dxfId="460" priority="1055" stopIfTrue="1" operator="greaterThan">
      <formula>0.01</formula>
    </cfRule>
  </conditionalFormatting>
  <conditionalFormatting sqref="Z77">
    <cfRule type="cellIs" dxfId="459" priority="1052" stopIfTrue="1" operator="lessThan">
      <formula>-0.01</formula>
    </cfRule>
    <cfRule type="cellIs" dxfId="458" priority="1053" stopIfTrue="1" operator="greaterThan">
      <formula>0.01</formula>
    </cfRule>
  </conditionalFormatting>
  <conditionalFormatting sqref="V73:V77">
    <cfRule type="cellIs" dxfId="457" priority="1050" operator="greaterThan">
      <formula>0.03</formula>
    </cfRule>
    <cfRule type="cellIs" dxfId="456" priority="1051" stopIfTrue="1" operator="lessThan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dxfId="455" priority="987" operator="greaterThan">
      <formula>0.03</formula>
    </cfRule>
    <cfRule type="cellIs" dxfId="454" priority="988" stopIfTrue="1" operator="lessThan">
      <formula>-0.03</formula>
    </cfRule>
  </conditionalFormatting>
  <conditionalFormatting sqref="AB119">
    <cfRule type="cellIs" dxfId="453" priority="985" operator="lessThan">
      <formula>-0.03</formula>
    </cfRule>
    <cfRule type="cellIs" dxfId="452" priority="986" stopIfTrue="1" operator="greaterThan">
      <formula>0.03</formula>
    </cfRule>
  </conditionalFormatting>
  <conditionalFormatting sqref="AB126">
    <cfRule type="cellIs" dxfId="451" priority="983" operator="greaterThan">
      <formula>0.03</formula>
    </cfRule>
    <cfRule type="cellIs" dxfId="450" priority="984" stopIfTrue="1" operator="lessThan">
      <formula>-0.03</formula>
    </cfRule>
  </conditionalFormatting>
  <conditionalFormatting sqref="AB129">
    <cfRule type="cellIs" dxfId="449" priority="981" operator="lessThan">
      <formula>-0.03</formula>
    </cfRule>
    <cfRule type="cellIs" dxfId="448" priority="982" stopIfTrue="1" operator="greaterThan">
      <formula>0.03</formula>
    </cfRule>
  </conditionalFormatting>
  <conditionalFormatting sqref="AB136">
    <cfRule type="cellIs" dxfId="447" priority="979" operator="greaterThan">
      <formula>0.03</formula>
    </cfRule>
    <cfRule type="cellIs" dxfId="446" priority="980" stopIfTrue="1" operator="lessThan">
      <formula>-0.03</formula>
    </cfRule>
  </conditionalFormatting>
  <conditionalFormatting sqref="AB139">
    <cfRule type="cellIs" dxfId="445" priority="977" operator="lessThan">
      <formula>-0.03</formula>
    </cfRule>
    <cfRule type="cellIs" dxfId="444" priority="978" stopIfTrue="1" operator="greaterThan">
      <formula>0.03</formula>
    </cfRule>
  </conditionalFormatting>
  <conditionalFormatting sqref="AB146">
    <cfRule type="cellIs" dxfId="443" priority="975" operator="greaterThan">
      <formula>0.03</formula>
    </cfRule>
    <cfRule type="cellIs" dxfId="442" priority="976" stopIfTrue="1" operator="lessThan">
      <formula>-0.03</formula>
    </cfRule>
  </conditionalFormatting>
  <conditionalFormatting sqref="AB149">
    <cfRule type="cellIs" dxfId="441" priority="973" operator="lessThan">
      <formula>-0.03</formula>
    </cfRule>
    <cfRule type="cellIs" dxfId="440" priority="974" stopIfTrue="1" operator="greaterThan">
      <formula>0.03</formula>
    </cfRule>
  </conditionalFormatting>
  <conditionalFormatting sqref="AB156">
    <cfRule type="cellIs" dxfId="439" priority="971" operator="greaterThan">
      <formula>0.03</formula>
    </cfRule>
    <cfRule type="cellIs" dxfId="438" priority="972" stopIfTrue="1" operator="lessThan">
      <formula>-0.03</formula>
    </cfRule>
  </conditionalFormatting>
  <conditionalFormatting sqref="AB159">
    <cfRule type="cellIs" dxfId="437" priority="969" operator="lessThan">
      <formula>-0.03</formula>
    </cfRule>
    <cfRule type="cellIs" dxfId="436" priority="970" stopIfTrue="1" operator="greaterThan">
      <formula>0.03</formula>
    </cfRule>
  </conditionalFormatting>
  <conditionalFormatting sqref="AB166">
    <cfRule type="cellIs" dxfId="435" priority="967" operator="greaterThan">
      <formula>0.03</formula>
    </cfRule>
    <cfRule type="cellIs" dxfId="434" priority="968" stopIfTrue="1" operator="lessThan">
      <formula>-0.03</formula>
    </cfRule>
  </conditionalFormatting>
  <conditionalFormatting sqref="AB169">
    <cfRule type="cellIs" dxfId="433" priority="965" operator="lessThan">
      <formula>-0.03</formula>
    </cfRule>
    <cfRule type="cellIs" dxfId="432" priority="966" stopIfTrue="1" operator="greaterThan">
      <formula>0.03</formula>
    </cfRule>
  </conditionalFormatting>
  <conditionalFormatting sqref="AB176">
    <cfRule type="cellIs" dxfId="431" priority="963" operator="greaterThan">
      <formula>0.03</formula>
    </cfRule>
    <cfRule type="cellIs" dxfId="430" priority="964" stopIfTrue="1" operator="lessThan">
      <formula>-0.03</formula>
    </cfRule>
  </conditionalFormatting>
  <conditionalFormatting sqref="AB179">
    <cfRule type="cellIs" dxfId="429" priority="961" operator="lessThan">
      <formula>-0.03</formula>
    </cfRule>
    <cfRule type="cellIs" dxfId="428" priority="962" stopIfTrue="1" operator="greaterThan">
      <formula>0.03</formula>
    </cfRule>
  </conditionalFormatting>
  <conditionalFormatting sqref="AB186">
    <cfRule type="cellIs" dxfId="427" priority="959" operator="greaterThan">
      <formula>0.03</formula>
    </cfRule>
    <cfRule type="cellIs" dxfId="426" priority="960" stopIfTrue="1" operator="lessThan">
      <formula>-0.03</formula>
    </cfRule>
  </conditionalFormatting>
  <conditionalFormatting sqref="AB189">
    <cfRule type="cellIs" dxfId="425" priority="957" operator="lessThan">
      <formula>-0.03</formula>
    </cfRule>
    <cfRule type="cellIs" dxfId="424" priority="958" stopIfTrue="1" operator="greaterThan">
      <formula>0.03</formula>
    </cfRule>
  </conditionalFormatting>
  <conditionalFormatting sqref="AB196">
    <cfRule type="cellIs" dxfId="423" priority="955" operator="greaterThan">
      <formula>0.03</formula>
    </cfRule>
    <cfRule type="cellIs" dxfId="422" priority="956" stopIfTrue="1" operator="lessThan">
      <formula>-0.03</formula>
    </cfRule>
  </conditionalFormatting>
  <conditionalFormatting sqref="AB199">
    <cfRule type="cellIs" dxfId="421" priority="953" operator="lessThan">
      <formula>-0.03</formula>
    </cfRule>
    <cfRule type="cellIs" dxfId="420" priority="954" stopIfTrue="1" operator="greaterThan">
      <formula>0.03</formula>
    </cfRule>
  </conditionalFormatting>
  <conditionalFormatting sqref="AB206">
    <cfRule type="cellIs" dxfId="419" priority="951" operator="greaterThan">
      <formula>0.03</formula>
    </cfRule>
    <cfRule type="cellIs" dxfId="418" priority="952" stopIfTrue="1" operator="lessThan">
      <formula>-0.03</formula>
    </cfRule>
  </conditionalFormatting>
  <conditionalFormatting sqref="AB209">
    <cfRule type="cellIs" dxfId="417" priority="949" operator="lessThan">
      <formula>-0.03</formula>
    </cfRule>
    <cfRule type="cellIs" dxfId="416" priority="950" stopIfTrue="1" operator="greaterThan">
      <formula>0.03</formula>
    </cfRule>
  </conditionalFormatting>
  <conditionalFormatting sqref="Z220:Z221">
    <cfRule type="cellIs" dxfId="415" priority="946" stopIfTrue="1" operator="lessThan">
      <formula>-0.01</formula>
    </cfRule>
    <cfRule type="cellIs" dxfId="414" priority="947" stopIfTrue="1" operator="greaterThan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dxfId="413" priority="941" operator="greaterThan">
      <formula>0.03</formula>
    </cfRule>
    <cfRule type="cellIs" dxfId="412" priority="942" stopIfTrue="1" operator="lessThan">
      <formula>-0.03</formula>
    </cfRule>
  </conditionalFormatting>
  <conditionalFormatting sqref="AB219">
    <cfRule type="cellIs" dxfId="411" priority="939" operator="lessThan">
      <formula>-0.03</formula>
    </cfRule>
    <cfRule type="cellIs" dxfId="410" priority="940" stopIfTrue="1" operator="greaterThan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dxfId="409" priority="936" stopIfTrue="1" operator="lessThan">
      <formula>-0.01</formula>
    </cfRule>
    <cfRule type="cellIs" dxfId="408" priority="937" stopIfTrue="1" operator="greaterThan">
      <formula>0.01</formula>
    </cfRule>
  </conditionalFormatting>
  <conditionalFormatting sqref="Z217">
    <cfRule type="cellIs" dxfId="407" priority="934" stopIfTrue="1" operator="lessThan">
      <formula>-0.01</formula>
    </cfRule>
    <cfRule type="cellIs" dxfId="406" priority="935" stopIfTrue="1" operator="greaterThan">
      <formula>0.01</formula>
    </cfRule>
  </conditionalFormatting>
  <conditionalFormatting sqref="Z218">
    <cfRule type="cellIs" dxfId="405" priority="932" stopIfTrue="1" operator="lessThan">
      <formula>-0.01</formula>
    </cfRule>
    <cfRule type="cellIs" dxfId="404" priority="933" stopIfTrue="1" operator="greaterThan">
      <formula>0.01</formula>
    </cfRule>
  </conditionalFormatting>
  <conditionalFormatting sqref="Z219">
    <cfRule type="cellIs" dxfId="403" priority="930" stopIfTrue="1" operator="lessThan">
      <formula>-0.01</formula>
    </cfRule>
    <cfRule type="cellIs" dxfId="402" priority="931" stopIfTrue="1" operator="greaterThan">
      <formula>0.01</formula>
    </cfRule>
  </conditionalFormatting>
  <conditionalFormatting sqref="V216:V219">
    <cfRule type="cellIs" dxfId="401" priority="928" operator="greaterThan">
      <formula>0.03</formula>
    </cfRule>
    <cfRule type="cellIs" dxfId="400" priority="929" stopIfTrue="1" operator="lessThan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40"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893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51"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1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29"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3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62"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1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I73"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17">
      <dataBar>
        <cfvo type="min"/>
        <cfvo type="max"/>
        <color rgb="FF008AEF"/>
      </dataBar>
    </cfRule>
  </conditionalFormatting>
  <conditionalFormatting sqref="Z89:Z90">
    <cfRule type="cellIs" dxfId="399" priority="648" stopIfTrue="1" operator="lessThan">
      <formula>-0.01</formula>
    </cfRule>
    <cfRule type="cellIs" dxfId="398" priority="649" stopIfTrue="1" operator="greaterThan">
      <formula>0.01</formula>
    </cfRule>
  </conditionalFormatting>
  <conditionalFormatting sqref="AB84">
    <cfRule type="cellIs" dxfId="397" priority="645" operator="greaterThan">
      <formula>0.03</formula>
    </cfRule>
    <cfRule type="cellIs" dxfId="396" priority="646" stopIfTrue="1" operator="lessThan">
      <formula>-0.03</formula>
    </cfRule>
  </conditionalFormatting>
  <conditionalFormatting sqref="AB88">
    <cfRule type="cellIs" dxfId="395" priority="643" operator="lessThan">
      <formula>-0.03</formula>
    </cfRule>
    <cfRule type="cellIs" dxfId="394" priority="644" stopIfTrue="1" operator="greaterThan">
      <formula>0.03</formula>
    </cfRule>
  </conditionalFormatting>
  <conditionalFormatting sqref="Z84">
    <cfRule type="cellIs" dxfId="393" priority="641" stopIfTrue="1" operator="lessThan">
      <formula>-0.01</formula>
    </cfRule>
    <cfRule type="cellIs" dxfId="392" priority="642" stopIfTrue="1" operator="greaterThan">
      <formula>0.01</formula>
    </cfRule>
  </conditionalFormatting>
  <conditionalFormatting sqref="Z85">
    <cfRule type="cellIs" dxfId="391" priority="639" stopIfTrue="1" operator="lessThan">
      <formula>-0.01</formula>
    </cfRule>
    <cfRule type="cellIs" dxfId="390" priority="640" stopIfTrue="1" operator="greaterThan">
      <formula>0.01</formula>
    </cfRule>
  </conditionalFormatting>
  <conditionalFormatting sqref="Z86:Z87">
    <cfRule type="cellIs" dxfId="389" priority="637" stopIfTrue="1" operator="lessThan">
      <formula>-0.01</formula>
    </cfRule>
    <cfRule type="cellIs" dxfId="388" priority="638" stopIfTrue="1" operator="greaterThan">
      <formula>0.01</formula>
    </cfRule>
  </conditionalFormatting>
  <conditionalFormatting sqref="Z88">
    <cfRule type="cellIs" dxfId="387" priority="635" stopIfTrue="1" operator="lessThan">
      <formula>-0.01</formula>
    </cfRule>
    <cfRule type="cellIs" dxfId="386" priority="636" stopIfTrue="1" operator="greaterThan">
      <formula>0.01</formula>
    </cfRule>
  </conditionalFormatting>
  <conditionalFormatting sqref="V84:V88">
    <cfRule type="cellIs" dxfId="385" priority="633" operator="greaterThan">
      <formula>0.03</formula>
    </cfRule>
    <cfRule type="cellIs" dxfId="384" priority="634" stopIfTrue="1" operator="lessThan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dxfId="383" priority="597" stopIfTrue="1" operator="lessThan">
      <formula>-0.01</formula>
    </cfRule>
    <cfRule type="cellIs" dxfId="382" priority="598" stopIfTrue="1" operator="greaterThan">
      <formula>0.01</formula>
    </cfRule>
  </conditionalFormatting>
  <conditionalFormatting sqref="AB95">
    <cfRule type="cellIs" dxfId="381" priority="594" operator="greaterThan">
      <formula>0.03</formula>
    </cfRule>
    <cfRule type="cellIs" dxfId="380" priority="595" stopIfTrue="1" operator="lessThan">
      <formula>-0.03</formula>
    </cfRule>
  </conditionalFormatting>
  <conditionalFormatting sqref="AB99">
    <cfRule type="cellIs" dxfId="379" priority="592" operator="lessThan">
      <formula>-0.03</formula>
    </cfRule>
    <cfRule type="cellIs" dxfId="378" priority="593" stopIfTrue="1" operator="greaterThan">
      <formula>0.03</formula>
    </cfRule>
  </conditionalFormatting>
  <conditionalFormatting sqref="Z95">
    <cfRule type="cellIs" dxfId="377" priority="590" stopIfTrue="1" operator="lessThan">
      <formula>-0.01</formula>
    </cfRule>
    <cfRule type="cellIs" dxfId="376" priority="591" stopIfTrue="1" operator="greaterThan">
      <formula>0.01</formula>
    </cfRule>
  </conditionalFormatting>
  <conditionalFormatting sqref="Z96">
    <cfRule type="cellIs" dxfId="375" priority="588" stopIfTrue="1" operator="lessThan">
      <formula>-0.01</formula>
    </cfRule>
    <cfRule type="cellIs" dxfId="374" priority="589" stopIfTrue="1" operator="greaterThan">
      <formula>0.01</formula>
    </cfRule>
  </conditionalFormatting>
  <conditionalFormatting sqref="Z97:Z98">
    <cfRule type="cellIs" dxfId="373" priority="586" stopIfTrue="1" operator="lessThan">
      <formula>-0.01</formula>
    </cfRule>
    <cfRule type="cellIs" dxfId="372" priority="587" stopIfTrue="1" operator="greaterThan">
      <formula>0.01</formula>
    </cfRule>
  </conditionalFormatting>
  <conditionalFormatting sqref="Z99">
    <cfRule type="cellIs" dxfId="371" priority="584" stopIfTrue="1" operator="lessThan">
      <formula>-0.01</formula>
    </cfRule>
    <cfRule type="cellIs" dxfId="370" priority="585" stopIfTrue="1" operator="greaterThan">
      <formula>0.01</formula>
    </cfRule>
  </conditionalFormatting>
  <conditionalFormatting sqref="V95:V99">
    <cfRule type="cellIs" dxfId="369" priority="582" operator="greaterThan">
      <formula>0.03</formula>
    </cfRule>
    <cfRule type="cellIs" dxfId="368" priority="583" stopIfTrue="1" operator="lessThan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dxfId="367" priority="546" stopIfTrue="1" operator="lessThan">
      <formula>-0.01</formula>
    </cfRule>
    <cfRule type="cellIs" dxfId="366" priority="547" stopIfTrue="1" operator="greaterThan">
      <formula>0.01</formula>
    </cfRule>
  </conditionalFormatting>
  <conditionalFormatting sqref="AB106">
    <cfRule type="cellIs" dxfId="365" priority="543" operator="greaterThan">
      <formula>0.03</formula>
    </cfRule>
    <cfRule type="cellIs" dxfId="364" priority="544" stopIfTrue="1" operator="lessThan">
      <formula>-0.03</formula>
    </cfRule>
  </conditionalFormatting>
  <conditionalFormatting sqref="AB110">
    <cfRule type="cellIs" dxfId="363" priority="541" operator="lessThan">
      <formula>-0.03</formula>
    </cfRule>
    <cfRule type="cellIs" dxfId="362" priority="542" stopIfTrue="1" operator="greaterThan">
      <formula>0.03</formula>
    </cfRule>
  </conditionalFormatting>
  <conditionalFormatting sqref="Z106">
    <cfRule type="cellIs" dxfId="361" priority="539" stopIfTrue="1" operator="lessThan">
      <formula>-0.01</formula>
    </cfRule>
    <cfRule type="cellIs" dxfId="360" priority="540" stopIfTrue="1" operator="greaterThan">
      <formula>0.01</formula>
    </cfRule>
  </conditionalFormatting>
  <conditionalFormatting sqref="Z107">
    <cfRule type="cellIs" dxfId="359" priority="537" stopIfTrue="1" operator="lessThan">
      <formula>-0.01</formula>
    </cfRule>
    <cfRule type="cellIs" dxfId="358" priority="538" stopIfTrue="1" operator="greaterThan">
      <formula>0.01</formula>
    </cfRule>
  </conditionalFormatting>
  <conditionalFormatting sqref="Z108:Z109">
    <cfRule type="cellIs" dxfId="357" priority="535" stopIfTrue="1" operator="lessThan">
      <formula>-0.01</formula>
    </cfRule>
    <cfRule type="cellIs" dxfId="356" priority="536" stopIfTrue="1" operator="greaterThan">
      <formula>0.01</formula>
    </cfRule>
  </conditionalFormatting>
  <conditionalFormatting sqref="Z110">
    <cfRule type="cellIs" dxfId="355" priority="533" stopIfTrue="1" operator="lessThan">
      <formula>-0.01</formula>
    </cfRule>
    <cfRule type="cellIs" dxfId="354" priority="534" stopIfTrue="1" operator="greaterThan">
      <formula>0.01</formula>
    </cfRule>
  </conditionalFormatting>
  <conditionalFormatting sqref="V106:V110">
    <cfRule type="cellIs" dxfId="353" priority="531" operator="greaterThan">
      <formula>0.03</formula>
    </cfRule>
    <cfRule type="cellIs" dxfId="352" priority="532" stopIfTrue="1" operator="lessThan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84"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1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95"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68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I106"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45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dxfId="351" priority="427" stopIfTrue="1" operator="lessThan">
      <formula>-0.01</formula>
    </cfRule>
    <cfRule type="cellIs" dxfId="350" priority="428" stopIfTrue="1" operator="greaterThan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dxfId="349" priority="422" operator="greaterThan">
      <formula>0.03</formula>
    </cfRule>
    <cfRule type="cellIs" dxfId="348" priority="423" stopIfTrue="1" operator="lessThan">
      <formula>-0.03</formula>
    </cfRule>
  </conditionalFormatting>
  <conditionalFormatting sqref="AB11">
    <cfRule type="cellIs" dxfId="347" priority="420" operator="lessThan">
      <formula>-0.03</formula>
    </cfRule>
    <cfRule type="cellIs" dxfId="346" priority="421" stopIfTrue="1" operator="greaterThan">
      <formula>0.03</formula>
    </cfRule>
  </conditionalFormatting>
  <conditionalFormatting sqref="Z7">
    <cfRule type="cellIs" dxfId="345" priority="418" stopIfTrue="1" operator="lessThan">
      <formula>-0.01</formula>
    </cfRule>
    <cfRule type="cellIs" dxfId="344" priority="419" stopIfTrue="1" operator="greaterThan">
      <formula>0.01</formula>
    </cfRule>
  </conditionalFormatting>
  <conditionalFormatting sqref="Z8">
    <cfRule type="cellIs" dxfId="343" priority="416" stopIfTrue="1" operator="lessThan">
      <formula>-0.01</formula>
    </cfRule>
    <cfRule type="cellIs" dxfId="342" priority="417" stopIfTrue="1" operator="greaterThan">
      <formula>0.01</formula>
    </cfRule>
  </conditionalFormatting>
  <conditionalFormatting sqref="Z9:Z10">
    <cfRule type="cellIs" dxfId="341" priority="414" stopIfTrue="1" operator="lessThan">
      <formula>-0.01</formula>
    </cfRule>
    <cfRule type="cellIs" dxfId="340" priority="415" stopIfTrue="1" operator="greaterThan">
      <formula>0.01</formula>
    </cfRule>
  </conditionalFormatting>
  <conditionalFormatting sqref="Z11">
    <cfRule type="cellIs" dxfId="339" priority="412" stopIfTrue="1" operator="lessThan">
      <formula>-0.01</formula>
    </cfRule>
    <cfRule type="cellIs" dxfId="338" priority="413" stopIfTrue="1" operator="greaterThan">
      <formula>0.01</formula>
    </cfRule>
  </conditionalFormatting>
  <conditionalFormatting sqref="V7:V11">
    <cfRule type="cellIs" dxfId="337" priority="410" operator="greaterThan">
      <formula>0.03</formula>
    </cfRule>
    <cfRule type="cellIs" dxfId="336" priority="411" stopIfTrue="1" operator="lessThan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dxfId="335" priority="374" stopIfTrue="1" operator="lessThan">
      <formula>-0.01</formula>
    </cfRule>
    <cfRule type="cellIs" dxfId="334" priority="375" stopIfTrue="1" operator="greaterThan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I7"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66">
      <dataBar>
        <cfvo type="min"/>
        <cfvo type="max"/>
        <color rgb="FF008AEF"/>
      </dataBar>
    </cfRule>
  </conditionalFormatting>
  <conditionalFormatting sqref="J7:J11">
    <cfRule type="cellIs" dxfId="333" priority="364" operator="greaterThan">
      <formula>0.03</formula>
    </cfRule>
    <cfRule type="cellIs" dxfId="332" priority="365" stopIfTrue="1" operator="lessThan">
      <formula>-0.03</formula>
    </cfRule>
  </conditionalFormatting>
  <conditionalFormatting sqref="N12">
    <cfRule type="cellIs" dxfId="331" priority="362" stopIfTrue="1" operator="lessThan">
      <formula>-0.01</formula>
    </cfRule>
    <cfRule type="cellIs" dxfId="330" priority="363" stopIfTrue="1" operator="greaterThan">
      <formula>0.01</formula>
    </cfRule>
  </conditionalFormatting>
  <conditionalFormatting sqref="N7">
    <cfRule type="cellIs" dxfId="329" priority="360" stopIfTrue="1" operator="lessThan">
      <formula>-0.01</formula>
    </cfRule>
    <cfRule type="cellIs" dxfId="328" priority="361" stopIfTrue="1" operator="greaterThan">
      <formula>0.01</formula>
    </cfRule>
  </conditionalFormatting>
  <conditionalFormatting sqref="N8">
    <cfRule type="cellIs" dxfId="327" priority="358" stopIfTrue="1" operator="lessThan">
      <formula>-0.01</formula>
    </cfRule>
    <cfRule type="cellIs" dxfId="326" priority="359" stopIfTrue="1" operator="greaterThan">
      <formula>0.01</formula>
    </cfRule>
  </conditionalFormatting>
  <conditionalFormatting sqref="N9:N11">
    <cfRule type="cellIs" dxfId="325" priority="356" stopIfTrue="1" operator="lessThan">
      <formula>-0.01</formula>
    </cfRule>
    <cfRule type="cellIs" dxfId="324" priority="357" stopIfTrue="1" operator="greaterThan">
      <formula>0.01</formula>
    </cfRule>
  </conditionalFormatting>
  <conditionalFormatting sqref="P7">
    <cfRule type="cellIs" dxfId="323" priority="352" operator="greaterThan">
      <formula>0.03</formula>
    </cfRule>
    <cfRule type="cellIs" dxfId="322" priority="353" stopIfTrue="1" operator="lessThan">
      <formula>-0.03</formula>
    </cfRule>
  </conditionalFormatting>
  <conditionalFormatting sqref="P11">
    <cfRule type="cellIs" dxfId="321" priority="350" operator="lessThan">
      <formula>-0.03</formula>
    </cfRule>
    <cfRule type="cellIs" dxfId="320" priority="351" stopIfTrue="1" operator="greaterThan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I18"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37">
      <dataBar>
        <cfvo type="min"/>
        <cfvo type="max"/>
        <color rgb="FF008AEF"/>
      </dataBar>
    </cfRule>
  </conditionalFormatting>
  <conditionalFormatting sqref="N24">
    <cfRule type="cellIs" dxfId="319" priority="319" stopIfTrue="1" operator="lessThan">
      <formula>-0.01</formula>
    </cfRule>
    <cfRule type="cellIs" dxfId="318" priority="320" stopIfTrue="1" operator="greaterThan">
      <formula>0.01</formula>
    </cfRule>
  </conditionalFormatting>
  <conditionalFormatting sqref="J18:J22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N23">
    <cfRule type="cellIs" dxfId="315" priority="315" stopIfTrue="1" operator="lessThan">
      <formula>-0.01</formula>
    </cfRule>
    <cfRule type="cellIs" dxfId="314" priority="316" stopIfTrue="1" operator="greaterThan">
      <formula>0.01</formula>
    </cfRule>
  </conditionalFormatting>
  <conditionalFormatting sqref="N18">
    <cfRule type="cellIs" dxfId="313" priority="313" stopIfTrue="1" operator="lessThan">
      <formula>-0.01</formula>
    </cfRule>
    <cfRule type="cellIs" dxfId="312" priority="314" stopIfTrue="1" operator="greaterThan">
      <formula>0.01</formula>
    </cfRule>
  </conditionalFormatting>
  <conditionalFormatting sqref="N19">
    <cfRule type="cellIs" dxfId="311" priority="311" stopIfTrue="1" operator="lessThan">
      <formula>-0.01</formula>
    </cfRule>
    <cfRule type="cellIs" dxfId="310" priority="312" stopIfTrue="1" operator="greaterThan">
      <formula>0.01</formula>
    </cfRule>
  </conditionalFormatting>
  <conditionalFormatting sqref="N20:N22">
    <cfRule type="cellIs" dxfId="309" priority="309" stopIfTrue="1" operator="lessThan">
      <formula>-0.01</formula>
    </cfRule>
    <cfRule type="cellIs" dxfId="308" priority="310" stopIfTrue="1" operator="greaterThan">
      <formula>0.01</formula>
    </cfRule>
  </conditionalFormatting>
  <conditionalFormatting sqref="P1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P22">
    <cfRule type="cellIs" dxfId="305" priority="305" operator="lessThan">
      <formula>-0.03</formula>
    </cfRule>
    <cfRule type="cellIs" dxfId="304" priority="306" stopIfTrue="1" operator="greaterThan">
      <formula>0.03</formula>
    </cfRule>
  </conditionalFormatting>
  <conditionalFormatting sqref="N35">
    <cfRule type="cellIs" dxfId="303" priority="303" stopIfTrue="1" operator="lessThan">
      <formula>-0.01</formula>
    </cfRule>
    <cfRule type="cellIs" dxfId="302" priority="304" stopIfTrue="1" operator="greaterThan">
      <formula>0.01</formula>
    </cfRule>
  </conditionalFormatting>
  <conditionalFormatting sqref="J29:J3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N34">
    <cfRule type="cellIs" dxfId="299" priority="299" stopIfTrue="1" operator="lessThan">
      <formula>-0.01</formula>
    </cfRule>
    <cfRule type="cellIs" dxfId="298" priority="300" stopIfTrue="1" operator="greaterThan">
      <formula>0.01</formula>
    </cfRule>
  </conditionalFormatting>
  <conditionalFormatting sqref="N29">
    <cfRule type="cellIs" dxfId="297" priority="297" stopIfTrue="1" operator="lessThan">
      <formula>-0.01</formula>
    </cfRule>
    <cfRule type="cellIs" dxfId="296" priority="298" stopIfTrue="1" operator="greaterThan">
      <formula>0.01</formula>
    </cfRule>
  </conditionalFormatting>
  <conditionalFormatting sqref="N30">
    <cfRule type="cellIs" dxfId="295" priority="295" stopIfTrue="1" operator="lessThan">
      <formula>-0.01</formula>
    </cfRule>
    <cfRule type="cellIs" dxfId="294" priority="296" stopIfTrue="1" operator="greaterThan">
      <formula>0.01</formula>
    </cfRule>
  </conditionalFormatting>
  <conditionalFormatting sqref="N31:N33">
    <cfRule type="cellIs" dxfId="293" priority="293" stopIfTrue="1" operator="lessThan">
      <formula>-0.01</formula>
    </cfRule>
    <cfRule type="cellIs" dxfId="292" priority="294" stopIfTrue="1" operator="greaterThan">
      <formula>0.01</formula>
    </cfRule>
  </conditionalFormatting>
  <conditionalFormatting sqref="P29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P33">
    <cfRule type="cellIs" dxfId="289" priority="289" operator="lessThan">
      <formula>-0.03</formula>
    </cfRule>
    <cfRule type="cellIs" dxfId="288" priority="290" stopIfTrue="1" operator="greaterThan">
      <formula>0.03</formula>
    </cfRule>
  </conditionalFormatting>
  <conditionalFormatting sqref="N46">
    <cfRule type="cellIs" dxfId="287" priority="287" stopIfTrue="1" operator="lessThan">
      <formula>-0.01</formula>
    </cfRule>
    <cfRule type="cellIs" dxfId="286" priority="288" stopIfTrue="1" operator="greaterThan">
      <formula>0.01</formula>
    </cfRule>
  </conditionalFormatting>
  <conditionalFormatting sqref="J40:J44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N45">
    <cfRule type="cellIs" dxfId="283" priority="283" stopIfTrue="1" operator="lessThan">
      <formula>-0.01</formula>
    </cfRule>
    <cfRule type="cellIs" dxfId="282" priority="284" stopIfTrue="1" operator="greaterThan">
      <formula>0.01</formula>
    </cfRule>
  </conditionalFormatting>
  <conditionalFormatting sqref="N40">
    <cfRule type="cellIs" dxfId="281" priority="281" stopIfTrue="1" operator="lessThan">
      <formula>-0.01</formula>
    </cfRule>
    <cfRule type="cellIs" dxfId="280" priority="282" stopIfTrue="1" operator="greaterThan">
      <formula>0.01</formula>
    </cfRule>
  </conditionalFormatting>
  <conditionalFormatting sqref="N41">
    <cfRule type="cellIs" dxfId="279" priority="279" stopIfTrue="1" operator="lessThan">
      <formula>-0.01</formula>
    </cfRule>
    <cfRule type="cellIs" dxfId="278" priority="280" stopIfTrue="1" operator="greaterThan">
      <formula>0.01</formula>
    </cfRule>
  </conditionalFormatting>
  <conditionalFormatting sqref="N42:N44">
    <cfRule type="cellIs" dxfId="277" priority="277" stopIfTrue="1" operator="lessThan">
      <formula>-0.01</formula>
    </cfRule>
    <cfRule type="cellIs" dxfId="276" priority="278" stopIfTrue="1" operator="greaterThan">
      <formula>0.01</formula>
    </cfRule>
  </conditionalFormatting>
  <conditionalFormatting sqref="P40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P44">
    <cfRule type="cellIs" dxfId="273" priority="273" operator="lessThan">
      <formula>-0.03</formula>
    </cfRule>
    <cfRule type="cellIs" dxfId="272" priority="274" stopIfTrue="1" operator="greaterThan">
      <formula>0.03</formula>
    </cfRule>
  </conditionalFormatting>
  <conditionalFormatting sqref="N57">
    <cfRule type="cellIs" dxfId="271" priority="271" stopIfTrue="1" operator="lessThan">
      <formula>-0.01</formula>
    </cfRule>
    <cfRule type="cellIs" dxfId="270" priority="272" stopIfTrue="1" operator="greaterThan">
      <formula>0.01</formula>
    </cfRule>
  </conditionalFormatting>
  <conditionalFormatting sqref="J51:J55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N56">
    <cfRule type="cellIs" dxfId="267" priority="267" stopIfTrue="1" operator="lessThan">
      <formula>-0.01</formula>
    </cfRule>
    <cfRule type="cellIs" dxfId="266" priority="268" stopIfTrue="1" operator="greaterThan">
      <formula>0.01</formula>
    </cfRule>
  </conditionalFormatting>
  <conditionalFormatting sqref="N51">
    <cfRule type="cellIs" dxfId="265" priority="265" stopIfTrue="1" operator="lessThan">
      <formula>-0.01</formula>
    </cfRule>
    <cfRule type="cellIs" dxfId="264" priority="266" stopIfTrue="1" operator="greaterThan">
      <formula>0.01</formula>
    </cfRule>
  </conditionalFormatting>
  <conditionalFormatting sqref="N52">
    <cfRule type="cellIs" dxfId="263" priority="263" stopIfTrue="1" operator="lessThan">
      <formula>-0.01</formula>
    </cfRule>
    <cfRule type="cellIs" dxfId="262" priority="264" stopIfTrue="1" operator="greaterThan">
      <formula>0.01</formula>
    </cfRule>
  </conditionalFormatting>
  <conditionalFormatting sqref="N53:N55">
    <cfRule type="cellIs" dxfId="261" priority="261" stopIfTrue="1" operator="lessThan">
      <formula>-0.01</formula>
    </cfRule>
    <cfRule type="cellIs" dxfId="260" priority="262" stopIfTrue="1" operator="greaterThan">
      <formula>0.01</formula>
    </cfRule>
  </conditionalFormatting>
  <conditionalFormatting sqref="P51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P55">
    <cfRule type="cellIs" dxfId="257" priority="257" operator="lessThan">
      <formula>-0.03</formula>
    </cfRule>
    <cfRule type="cellIs" dxfId="256" priority="258" stopIfTrue="1" operator="greaterThan">
      <formula>0.03</formula>
    </cfRule>
  </conditionalFormatting>
  <conditionalFormatting sqref="N68">
    <cfRule type="cellIs" dxfId="255" priority="255" stopIfTrue="1" operator="lessThan">
      <formula>-0.01</formula>
    </cfRule>
    <cfRule type="cellIs" dxfId="254" priority="256" stopIfTrue="1" operator="greaterThan">
      <formula>0.01</formula>
    </cfRule>
  </conditionalFormatting>
  <conditionalFormatting sqref="J62:J66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N67">
    <cfRule type="cellIs" dxfId="251" priority="251" stopIfTrue="1" operator="lessThan">
      <formula>-0.01</formula>
    </cfRule>
    <cfRule type="cellIs" dxfId="250" priority="252" stopIfTrue="1" operator="greaterThan">
      <formula>0.01</formula>
    </cfRule>
  </conditionalFormatting>
  <conditionalFormatting sqref="N62">
    <cfRule type="cellIs" dxfId="249" priority="249" stopIfTrue="1" operator="lessThan">
      <formula>-0.01</formula>
    </cfRule>
    <cfRule type="cellIs" dxfId="248" priority="250" stopIfTrue="1" operator="greaterThan">
      <formula>0.01</formula>
    </cfRule>
  </conditionalFormatting>
  <conditionalFormatting sqref="N63">
    <cfRule type="cellIs" dxfId="247" priority="247" stopIfTrue="1" operator="lessThan">
      <formula>-0.01</formula>
    </cfRule>
    <cfRule type="cellIs" dxfId="246" priority="248" stopIfTrue="1" operator="greaterThan">
      <formula>0.01</formula>
    </cfRule>
  </conditionalFormatting>
  <conditionalFormatting sqref="N64:N66">
    <cfRule type="cellIs" dxfId="245" priority="245" stopIfTrue="1" operator="lessThan">
      <formula>-0.01</formula>
    </cfRule>
    <cfRule type="cellIs" dxfId="244" priority="246" stopIfTrue="1" operator="greaterThan">
      <formula>0.01</formula>
    </cfRule>
  </conditionalFormatting>
  <conditionalFormatting sqref="P62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P66">
    <cfRule type="cellIs" dxfId="241" priority="241" operator="lessThan">
      <formula>-0.03</formula>
    </cfRule>
    <cfRule type="cellIs" dxfId="240" priority="242" stopIfTrue="1" operator="greaterThan">
      <formula>0.03</formula>
    </cfRule>
  </conditionalFormatting>
  <conditionalFormatting sqref="N79">
    <cfRule type="cellIs" dxfId="239" priority="239" stopIfTrue="1" operator="lessThan">
      <formula>-0.01</formula>
    </cfRule>
    <cfRule type="cellIs" dxfId="238" priority="240" stopIfTrue="1" operator="greaterThan">
      <formula>0.01</formula>
    </cfRule>
  </conditionalFormatting>
  <conditionalFormatting sqref="J73:J77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N78">
    <cfRule type="cellIs" dxfId="235" priority="235" stopIfTrue="1" operator="lessThan">
      <formula>-0.01</formula>
    </cfRule>
    <cfRule type="cellIs" dxfId="234" priority="236" stopIfTrue="1" operator="greaterThan">
      <formula>0.01</formula>
    </cfRule>
  </conditionalFormatting>
  <conditionalFormatting sqref="N73">
    <cfRule type="cellIs" dxfId="233" priority="233" stopIfTrue="1" operator="lessThan">
      <formula>-0.01</formula>
    </cfRule>
    <cfRule type="cellIs" dxfId="232" priority="234" stopIfTrue="1" operator="greaterThan">
      <formula>0.01</formula>
    </cfRule>
  </conditionalFormatting>
  <conditionalFormatting sqref="N74">
    <cfRule type="cellIs" dxfId="231" priority="231" stopIfTrue="1" operator="lessThan">
      <formula>-0.01</formula>
    </cfRule>
    <cfRule type="cellIs" dxfId="230" priority="232" stopIfTrue="1" operator="greaterThan">
      <formula>0.01</formula>
    </cfRule>
  </conditionalFormatting>
  <conditionalFormatting sqref="N75:N77">
    <cfRule type="cellIs" dxfId="229" priority="229" stopIfTrue="1" operator="lessThan">
      <formula>-0.01</formula>
    </cfRule>
    <cfRule type="cellIs" dxfId="228" priority="230" stopIfTrue="1" operator="greaterThan">
      <formula>0.01</formula>
    </cfRule>
  </conditionalFormatting>
  <conditionalFormatting sqref="P73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P77">
    <cfRule type="cellIs" dxfId="225" priority="225" operator="lessThan">
      <formula>-0.03</formula>
    </cfRule>
    <cfRule type="cellIs" dxfId="224" priority="226" stopIfTrue="1" operator="greaterThan">
      <formula>0.03</formula>
    </cfRule>
  </conditionalFormatting>
  <conditionalFormatting sqref="N90">
    <cfRule type="cellIs" dxfId="223" priority="223" stopIfTrue="1" operator="lessThan">
      <formula>-0.01</formula>
    </cfRule>
    <cfRule type="cellIs" dxfId="222" priority="224" stopIfTrue="1" operator="greaterThan">
      <formula>0.01</formula>
    </cfRule>
  </conditionalFormatting>
  <conditionalFormatting sqref="J84:J88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N89">
    <cfRule type="cellIs" dxfId="219" priority="219" stopIfTrue="1" operator="lessThan">
      <formula>-0.01</formula>
    </cfRule>
    <cfRule type="cellIs" dxfId="218" priority="220" stopIfTrue="1" operator="greaterThan">
      <formula>0.01</formula>
    </cfRule>
  </conditionalFormatting>
  <conditionalFormatting sqref="N84">
    <cfRule type="cellIs" dxfId="217" priority="217" stopIfTrue="1" operator="lessThan">
      <formula>-0.01</formula>
    </cfRule>
    <cfRule type="cellIs" dxfId="216" priority="218" stopIfTrue="1" operator="greaterThan">
      <formula>0.01</formula>
    </cfRule>
  </conditionalFormatting>
  <conditionalFormatting sqref="N85">
    <cfRule type="cellIs" dxfId="215" priority="215" stopIfTrue="1" operator="lessThan">
      <formula>-0.01</formula>
    </cfRule>
    <cfRule type="cellIs" dxfId="214" priority="216" stopIfTrue="1" operator="greaterThan">
      <formula>0.01</formula>
    </cfRule>
  </conditionalFormatting>
  <conditionalFormatting sqref="N86:N88">
    <cfRule type="cellIs" dxfId="213" priority="213" stopIfTrue="1" operator="lessThan">
      <formula>-0.01</formula>
    </cfRule>
    <cfRule type="cellIs" dxfId="212" priority="214" stopIfTrue="1" operator="greaterThan">
      <formula>0.01</formula>
    </cfRule>
  </conditionalFormatting>
  <conditionalFormatting sqref="P84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P88">
    <cfRule type="cellIs" dxfId="209" priority="209" operator="lessThan">
      <formula>-0.03</formula>
    </cfRule>
    <cfRule type="cellIs" dxfId="208" priority="210" stopIfTrue="1" operator="greaterThan">
      <formula>0.03</formula>
    </cfRule>
  </conditionalFormatting>
  <conditionalFormatting sqref="N101">
    <cfRule type="cellIs" dxfId="207" priority="207" stopIfTrue="1" operator="lessThan">
      <formula>-0.01</formula>
    </cfRule>
    <cfRule type="cellIs" dxfId="206" priority="208" stopIfTrue="1" operator="greaterThan">
      <formula>0.01</formula>
    </cfRule>
  </conditionalFormatting>
  <conditionalFormatting sqref="J95:J99">
    <cfRule type="cellIs" dxfId="205" priority="205" operator="greaterThan">
      <formula>0.03</formula>
    </cfRule>
    <cfRule type="cellIs" dxfId="204" priority="206" stopIfTrue="1" operator="lessThan">
      <formula>-0.03</formula>
    </cfRule>
  </conditionalFormatting>
  <conditionalFormatting sqref="N100">
    <cfRule type="cellIs" dxfId="203" priority="203" stopIfTrue="1" operator="lessThan">
      <formula>-0.01</formula>
    </cfRule>
    <cfRule type="cellIs" dxfId="202" priority="204" stopIfTrue="1" operator="greaterThan">
      <formula>0.01</formula>
    </cfRule>
  </conditionalFormatting>
  <conditionalFormatting sqref="N95">
    <cfRule type="cellIs" dxfId="201" priority="201" stopIfTrue="1" operator="lessThan">
      <formula>-0.01</formula>
    </cfRule>
    <cfRule type="cellIs" dxfId="200" priority="202" stopIfTrue="1" operator="greaterThan">
      <formula>0.01</formula>
    </cfRule>
  </conditionalFormatting>
  <conditionalFormatting sqref="N96">
    <cfRule type="cellIs" dxfId="199" priority="199" stopIfTrue="1" operator="lessThan">
      <formula>-0.01</formula>
    </cfRule>
    <cfRule type="cellIs" dxfId="198" priority="200" stopIfTrue="1" operator="greaterThan">
      <formula>0.01</formula>
    </cfRule>
  </conditionalFormatting>
  <conditionalFormatting sqref="N97:N99">
    <cfRule type="cellIs" dxfId="197" priority="197" stopIfTrue="1" operator="lessThan">
      <formula>-0.01</formula>
    </cfRule>
    <cfRule type="cellIs" dxfId="196" priority="198" stopIfTrue="1" operator="greaterThan">
      <formula>0.01</formula>
    </cfRule>
  </conditionalFormatting>
  <conditionalFormatting sqref="P95">
    <cfRule type="cellIs" dxfId="195" priority="195" operator="greaterThan">
      <formula>0.03</formula>
    </cfRule>
    <cfRule type="cellIs" dxfId="194" priority="196" stopIfTrue="1" operator="lessThan">
      <formula>-0.03</formula>
    </cfRule>
  </conditionalFormatting>
  <conditionalFormatting sqref="P99">
    <cfRule type="cellIs" dxfId="193" priority="193" operator="lessThan">
      <formula>-0.03</formula>
    </cfRule>
    <cfRule type="cellIs" dxfId="192" priority="194" stopIfTrue="1" operator="greaterThan">
      <formula>0.03</formula>
    </cfRule>
  </conditionalFormatting>
  <conditionalFormatting sqref="N112">
    <cfRule type="cellIs" dxfId="191" priority="191" stopIfTrue="1" operator="lessThan">
      <formula>-0.01</formula>
    </cfRule>
    <cfRule type="cellIs" dxfId="190" priority="192" stopIfTrue="1" operator="greaterThan">
      <formula>0.01</formula>
    </cfRule>
  </conditionalFormatting>
  <conditionalFormatting sqref="J106:J110">
    <cfRule type="cellIs" dxfId="189" priority="189" operator="greaterThan">
      <formula>0.03</formula>
    </cfRule>
    <cfRule type="cellIs" dxfId="188" priority="190" stopIfTrue="1" operator="lessThan">
      <formula>-0.03</formula>
    </cfRule>
  </conditionalFormatting>
  <conditionalFormatting sqref="N111">
    <cfRule type="cellIs" dxfId="187" priority="187" stopIfTrue="1" operator="lessThan">
      <formula>-0.01</formula>
    </cfRule>
    <cfRule type="cellIs" dxfId="186" priority="188" stopIfTrue="1" operator="greaterThan">
      <formula>0.01</formula>
    </cfRule>
  </conditionalFormatting>
  <conditionalFormatting sqref="N106">
    <cfRule type="cellIs" dxfId="185" priority="185" stopIfTrue="1" operator="lessThan">
      <formula>-0.01</formula>
    </cfRule>
    <cfRule type="cellIs" dxfId="184" priority="186" stopIfTrue="1" operator="greaterThan">
      <formula>0.01</formula>
    </cfRule>
  </conditionalFormatting>
  <conditionalFormatting sqref="N107">
    <cfRule type="cellIs" dxfId="183" priority="183" stopIfTrue="1" operator="lessThan">
      <formula>-0.01</formula>
    </cfRule>
    <cfRule type="cellIs" dxfId="182" priority="184" stopIfTrue="1" operator="greaterThan">
      <formula>0.01</formula>
    </cfRule>
  </conditionalFormatting>
  <conditionalFormatting sqref="N108:N110">
    <cfRule type="cellIs" dxfId="181" priority="181" stopIfTrue="1" operator="lessThan">
      <formula>-0.01</formula>
    </cfRule>
    <cfRule type="cellIs" dxfId="180" priority="182" stopIfTrue="1" operator="greaterThan">
      <formula>0.01</formula>
    </cfRule>
  </conditionalFormatting>
  <conditionalFormatting sqref="P106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P110">
    <cfRule type="cellIs" dxfId="177" priority="177" operator="lessThan">
      <formula>-0.03</formula>
    </cfRule>
    <cfRule type="cellIs" dxfId="176" priority="178" stopIfTrue="1" operator="greaterThan">
      <formula>0.03</formula>
    </cfRule>
  </conditionalFormatting>
  <conditionalFormatting sqref="N123">
    <cfRule type="cellIs" dxfId="175" priority="175" stopIfTrue="1" operator="lessThan">
      <formula>-0.01</formula>
    </cfRule>
    <cfRule type="cellIs" dxfId="174" priority="176" stopIfTrue="1" operator="greaterThan">
      <formula>0.01</formula>
    </cfRule>
  </conditionalFormatting>
  <conditionalFormatting sqref="J117:J121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N122">
    <cfRule type="cellIs" dxfId="171" priority="171" stopIfTrue="1" operator="lessThan">
      <formula>-0.01</formula>
    </cfRule>
    <cfRule type="cellIs" dxfId="170" priority="172" stopIfTrue="1" operator="greaterThan">
      <formula>0.01</formula>
    </cfRule>
  </conditionalFormatting>
  <conditionalFormatting sqref="N117">
    <cfRule type="cellIs" dxfId="169" priority="169" stopIfTrue="1" operator="lessThan">
      <formula>-0.01</formula>
    </cfRule>
    <cfRule type="cellIs" dxfId="168" priority="170" stopIfTrue="1" operator="greaterThan">
      <formula>0.01</formula>
    </cfRule>
  </conditionalFormatting>
  <conditionalFormatting sqref="N118">
    <cfRule type="cellIs" dxfId="167" priority="167" stopIfTrue="1" operator="lessThan">
      <formula>-0.01</formula>
    </cfRule>
    <cfRule type="cellIs" dxfId="166" priority="168" stopIfTrue="1" operator="greaterThan">
      <formula>0.01</formula>
    </cfRule>
  </conditionalFormatting>
  <conditionalFormatting sqref="N119:N121">
    <cfRule type="cellIs" dxfId="165" priority="165" stopIfTrue="1" operator="lessThan">
      <formula>-0.01</formula>
    </cfRule>
    <cfRule type="cellIs" dxfId="164" priority="166" stopIfTrue="1" operator="greaterThan">
      <formula>0.01</formula>
    </cfRule>
  </conditionalFormatting>
  <conditionalFormatting sqref="P11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P121">
    <cfRule type="cellIs" dxfId="161" priority="161" operator="lessThan">
      <formula>-0.03</formula>
    </cfRule>
    <cfRule type="cellIs" dxfId="160" priority="162" stopIfTrue="1" operator="greaterThan">
      <formula>0.03</formula>
    </cfRule>
  </conditionalFormatting>
  <conditionalFormatting sqref="N134">
    <cfRule type="cellIs" dxfId="159" priority="159" stopIfTrue="1" operator="lessThan">
      <formula>-0.01</formula>
    </cfRule>
    <cfRule type="cellIs" dxfId="158" priority="160" stopIfTrue="1" operator="greaterThan">
      <formula>0.01</formula>
    </cfRule>
  </conditionalFormatting>
  <conditionalFormatting sqref="J128:J13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N133">
    <cfRule type="cellIs" dxfId="155" priority="155" stopIfTrue="1" operator="lessThan">
      <formula>-0.01</formula>
    </cfRule>
    <cfRule type="cellIs" dxfId="154" priority="156" stopIfTrue="1" operator="greaterThan">
      <formula>0.01</formula>
    </cfRule>
  </conditionalFormatting>
  <conditionalFormatting sqref="N128">
    <cfRule type="cellIs" dxfId="153" priority="153" stopIfTrue="1" operator="lessThan">
      <formula>-0.01</formula>
    </cfRule>
    <cfRule type="cellIs" dxfId="152" priority="154" stopIfTrue="1" operator="greaterThan">
      <formula>0.01</formula>
    </cfRule>
  </conditionalFormatting>
  <conditionalFormatting sqref="N129">
    <cfRule type="cellIs" dxfId="151" priority="151" stopIfTrue="1" operator="lessThan">
      <formula>-0.01</formula>
    </cfRule>
    <cfRule type="cellIs" dxfId="150" priority="152" stopIfTrue="1" operator="greaterThan">
      <formula>0.01</formula>
    </cfRule>
  </conditionalFormatting>
  <conditionalFormatting sqref="N130:N132">
    <cfRule type="cellIs" dxfId="149" priority="149" stopIfTrue="1" operator="lessThan">
      <formula>-0.01</formula>
    </cfRule>
    <cfRule type="cellIs" dxfId="148" priority="150" stopIfTrue="1" operator="greaterThan">
      <formula>0.01</formula>
    </cfRule>
  </conditionalFormatting>
  <conditionalFormatting sqref="P12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P132">
    <cfRule type="cellIs" dxfId="145" priority="145" operator="lessThan">
      <formula>-0.03</formula>
    </cfRule>
    <cfRule type="cellIs" dxfId="144" priority="146" stopIfTrue="1" operator="greaterThan">
      <formula>0.03</formula>
    </cfRule>
  </conditionalFormatting>
  <conditionalFormatting sqref="N145">
    <cfRule type="cellIs" dxfId="143" priority="143" stopIfTrue="1" operator="lessThan">
      <formula>-0.01</formula>
    </cfRule>
    <cfRule type="cellIs" dxfId="142" priority="144" stopIfTrue="1" operator="greaterThan">
      <formula>0.01</formula>
    </cfRule>
  </conditionalFormatting>
  <conditionalFormatting sqref="J139:J143">
    <cfRule type="cellIs" dxfId="141" priority="141" operator="greaterThan">
      <formula>0.03</formula>
    </cfRule>
    <cfRule type="cellIs" dxfId="140" priority="142" stopIfTrue="1" operator="lessThan">
      <formula>-0.03</formula>
    </cfRule>
  </conditionalFormatting>
  <conditionalFormatting sqref="N144">
    <cfRule type="cellIs" dxfId="139" priority="139" stopIfTrue="1" operator="lessThan">
      <formula>-0.01</formula>
    </cfRule>
    <cfRule type="cellIs" dxfId="138" priority="140" stopIfTrue="1" operator="greaterThan">
      <formula>0.01</formula>
    </cfRule>
  </conditionalFormatting>
  <conditionalFormatting sqref="N139">
    <cfRule type="cellIs" dxfId="137" priority="137" stopIfTrue="1" operator="lessThan">
      <formula>-0.01</formula>
    </cfRule>
    <cfRule type="cellIs" dxfId="136" priority="138" stopIfTrue="1" operator="greaterThan">
      <formula>0.01</formula>
    </cfRule>
  </conditionalFormatting>
  <conditionalFormatting sqref="N140">
    <cfRule type="cellIs" dxfId="135" priority="135" stopIfTrue="1" operator="lessThan">
      <formula>-0.01</formula>
    </cfRule>
    <cfRule type="cellIs" dxfId="134" priority="136" stopIfTrue="1" operator="greaterThan">
      <formula>0.01</formula>
    </cfRule>
  </conditionalFormatting>
  <conditionalFormatting sqref="N141:N143">
    <cfRule type="cellIs" dxfId="133" priority="133" stopIfTrue="1" operator="lessThan">
      <formula>-0.01</formula>
    </cfRule>
    <cfRule type="cellIs" dxfId="132" priority="134" stopIfTrue="1" operator="greaterThan">
      <formula>0.01</formula>
    </cfRule>
  </conditionalFormatting>
  <conditionalFormatting sqref="P139">
    <cfRule type="cellIs" dxfId="131" priority="131" operator="greaterThan">
      <formula>0.03</formula>
    </cfRule>
    <cfRule type="cellIs" dxfId="130" priority="132" stopIfTrue="1" operator="lessThan">
      <formula>-0.03</formula>
    </cfRule>
  </conditionalFormatting>
  <conditionalFormatting sqref="P143">
    <cfRule type="cellIs" dxfId="129" priority="129" operator="lessThan">
      <formula>-0.03</formula>
    </cfRule>
    <cfRule type="cellIs" dxfId="128" priority="130" stopIfTrue="1" operator="greaterThan">
      <formula>0.03</formula>
    </cfRule>
  </conditionalFormatting>
  <conditionalFormatting sqref="N156">
    <cfRule type="cellIs" dxfId="127" priority="127" stopIfTrue="1" operator="lessThan">
      <formula>-0.01</formula>
    </cfRule>
    <cfRule type="cellIs" dxfId="126" priority="128" stopIfTrue="1" operator="greaterThan">
      <formula>0.01</formula>
    </cfRule>
  </conditionalFormatting>
  <conditionalFormatting sqref="J150:J154">
    <cfRule type="cellIs" dxfId="125" priority="125" operator="greaterThan">
      <formula>0.03</formula>
    </cfRule>
    <cfRule type="cellIs" dxfId="124" priority="126" stopIfTrue="1" operator="lessThan">
      <formula>-0.03</formula>
    </cfRule>
  </conditionalFormatting>
  <conditionalFormatting sqref="N155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N150">
    <cfRule type="cellIs" dxfId="121" priority="121" stopIfTrue="1" operator="lessThan">
      <formula>-0.01</formula>
    </cfRule>
    <cfRule type="cellIs" dxfId="120" priority="122" stopIfTrue="1" operator="greaterThan">
      <formula>0.01</formula>
    </cfRule>
  </conditionalFormatting>
  <conditionalFormatting sqref="N151">
    <cfRule type="cellIs" dxfId="119" priority="119" stopIfTrue="1" operator="lessThan">
      <formula>-0.01</formula>
    </cfRule>
    <cfRule type="cellIs" dxfId="118" priority="120" stopIfTrue="1" operator="greaterThan">
      <formula>0.01</formula>
    </cfRule>
  </conditionalFormatting>
  <conditionalFormatting sqref="N152:N154">
    <cfRule type="cellIs" dxfId="117" priority="117" stopIfTrue="1" operator="lessThan">
      <formula>-0.01</formula>
    </cfRule>
    <cfRule type="cellIs" dxfId="116" priority="118" stopIfTrue="1" operator="greaterThan">
      <formula>0.01</formula>
    </cfRule>
  </conditionalFormatting>
  <conditionalFormatting sqref="P150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P154">
    <cfRule type="cellIs" dxfId="113" priority="113" operator="lessThan">
      <formula>-0.03</formula>
    </cfRule>
    <cfRule type="cellIs" dxfId="112" priority="114" stopIfTrue="1" operator="greaterThan">
      <formula>0.03</formula>
    </cfRule>
  </conditionalFormatting>
  <conditionalFormatting sqref="N167">
    <cfRule type="cellIs" dxfId="111" priority="111" stopIfTrue="1" operator="lessThan">
      <formula>-0.01</formula>
    </cfRule>
    <cfRule type="cellIs" dxfId="110" priority="112" stopIfTrue="1" operator="greaterThan">
      <formula>0.01</formula>
    </cfRule>
  </conditionalFormatting>
  <conditionalFormatting sqref="J161:J165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N166">
    <cfRule type="cellIs" dxfId="107" priority="107" stopIfTrue="1" operator="lessThan">
      <formula>-0.01</formula>
    </cfRule>
    <cfRule type="cellIs" dxfId="106" priority="108" stopIfTrue="1" operator="greaterThan">
      <formula>0.01</formula>
    </cfRule>
  </conditionalFormatting>
  <conditionalFormatting sqref="N161">
    <cfRule type="cellIs" dxfId="105" priority="105" stopIfTrue="1" operator="lessThan">
      <formula>-0.01</formula>
    </cfRule>
    <cfRule type="cellIs" dxfId="104" priority="106" stopIfTrue="1" operator="greaterThan">
      <formula>0.01</formula>
    </cfRule>
  </conditionalFormatting>
  <conditionalFormatting sqref="N162">
    <cfRule type="cellIs" dxfId="103" priority="103" stopIfTrue="1" operator="lessThan">
      <formula>-0.01</formula>
    </cfRule>
    <cfRule type="cellIs" dxfId="102" priority="104" stopIfTrue="1" operator="greaterThan">
      <formula>0.01</formula>
    </cfRule>
  </conditionalFormatting>
  <conditionalFormatting sqref="N163:N165">
    <cfRule type="cellIs" dxfId="101" priority="101" stopIfTrue="1" operator="lessThan">
      <formula>-0.01</formula>
    </cfRule>
    <cfRule type="cellIs" dxfId="100" priority="102" stopIfTrue="1" operator="greaterThan">
      <formula>0.01</formula>
    </cfRule>
  </conditionalFormatting>
  <conditionalFormatting sqref="P161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P165">
    <cfRule type="cellIs" dxfId="97" priority="97" operator="lessThan">
      <formula>-0.03</formula>
    </cfRule>
    <cfRule type="cellIs" dxfId="96" priority="98" stopIfTrue="1" operator="greaterThan">
      <formula>0.03</formula>
    </cfRule>
  </conditionalFormatting>
  <conditionalFormatting sqref="N178">
    <cfRule type="cellIs" dxfId="95" priority="95" stopIfTrue="1" operator="lessThan">
      <formula>-0.01</formula>
    </cfRule>
    <cfRule type="cellIs" dxfId="94" priority="96" stopIfTrue="1" operator="greaterThan">
      <formula>0.01</formula>
    </cfRule>
  </conditionalFormatting>
  <conditionalFormatting sqref="J172:J176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N177">
    <cfRule type="cellIs" dxfId="91" priority="91" stopIfTrue="1" operator="lessThan">
      <formula>-0.01</formula>
    </cfRule>
    <cfRule type="cellIs" dxfId="90" priority="92" stopIfTrue="1" operator="greaterThan">
      <formula>0.01</formula>
    </cfRule>
  </conditionalFormatting>
  <conditionalFormatting sqref="N172">
    <cfRule type="cellIs" dxfId="89" priority="89" stopIfTrue="1" operator="lessThan">
      <formula>-0.01</formula>
    </cfRule>
    <cfRule type="cellIs" dxfId="88" priority="90" stopIfTrue="1" operator="greaterThan">
      <formula>0.01</formula>
    </cfRule>
  </conditionalFormatting>
  <conditionalFormatting sqref="N173">
    <cfRule type="cellIs" dxfId="87" priority="87" stopIfTrue="1" operator="lessThan">
      <formula>-0.01</formula>
    </cfRule>
    <cfRule type="cellIs" dxfId="86" priority="88" stopIfTrue="1" operator="greaterThan">
      <formula>0.01</formula>
    </cfRule>
  </conditionalFormatting>
  <conditionalFormatting sqref="N174:N176">
    <cfRule type="cellIs" dxfId="85" priority="85" stopIfTrue="1" operator="lessThan">
      <formula>-0.01</formula>
    </cfRule>
    <cfRule type="cellIs" dxfId="84" priority="86" stopIfTrue="1" operator="greaterThan">
      <formula>0.01</formula>
    </cfRule>
  </conditionalFormatting>
  <conditionalFormatting sqref="P172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P176">
    <cfRule type="cellIs" dxfId="81" priority="81" operator="lessThan">
      <formula>-0.03</formula>
    </cfRule>
    <cfRule type="cellIs" dxfId="80" priority="82" stopIfTrue="1" operator="greaterThan">
      <formula>0.03</formula>
    </cfRule>
  </conditionalFormatting>
  <conditionalFormatting sqref="N189">
    <cfRule type="cellIs" dxfId="79" priority="79" stopIfTrue="1" operator="lessThan">
      <formula>-0.01</formula>
    </cfRule>
    <cfRule type="cellIs" dxfId="78" priority="80" stopIfTrue="1" operator="greaterThan">
      <formula>0.01</formula>
    </cfRule>
  </conditionalFormatting>
  <conditionalFormatting sqref="J183:J187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N188">
    <cfRule type="cellIs" dxfId="75" priority="75" stopIfTrue="1" operator="lessThan">
      <formula>-0.01</formula>
    </cfRule>
    <cfRule type="cellIs" dxfId="74" priority="76" stopIfTrue="1" operator="greaterThan">
      <formula>0.01</formula>
    </cfRule>
  </conditionalFormatting>
  <conditionalFormatting sqref="N183">
    <cfRule type="cellIs" dxfId="73" priority="73" stopIfTrue="1" operator="lessThan">
      <formula>-0.01</formula>
    </cfRule>
    <cfRule type="cellIs" dxfId="72" priority="74" stopIfTrue="1" operator="greaterThan">
      <formula>0.01</formula>
    </cfRule>
  </conditionalFormatting>
  <conditionalFormatting sqref="N184">
    <cfRule type="cellIs" dxfId="71" priority="71" stopIfTrue="1" operator="lessThan">
      <formula>-0.01</formula>
    </cfRule>
    <cfRule type="cellIs" dxfId="70" priority="72" stopIfTrue="1" operator="greaterThan">
      <formula>0.01</formula>
    </cfRule>
  </conditionalFormatting>
  <conditionalFormatting sqref="N185:N187">
    <cfRule type="cellIs" dxfId="69" priority="69" stopIfTrue="1" operator="lessThan">
      <formula>-0.01</formula>
    </cfRule>
    <cfRule type="cellIs" dxfId="68" priority="70" stopIfTrue="1" operator="greaterThan">
      <formula>0.01</formula>
    </cfRule>
  </conditionalFormatting>
  <conditionalFormatting sqref="P183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P187">
    <cfRule type="cellIs" dxfId="65" priority="65" operator="lessThan">
      <formula>-0.03</formula>
    </cfRule>
    <cfRule type="cellIs" dxfId="64" priority="66" stopIfTrue="1" operator="greaterThan">
      <formula>0.03</formula>
    </cfRule>
  </conditionalFormatting>
  <conditionalFormatting sqref="N200">
    <cfRule type="cellIs" dxfId="63" priority="63" stopIfTrue="1" operator="lessThan">
      <formula>-0.01</formula>
    </cfRule>
    <cfRule type="cellIs" dxfId="62" priority="64" stopIfTrue="1" operator="greaterThan">
      <formula>0.01</formula>
    </cfRule>
  </conditionalFormatting>
  <conditionalFormatting sqref="J194:J198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N199">
    <cfRule type="cellIs" dxfId="59" priority="59" stopIfTrue="1" operator="lessThan">
      <formula>-0.01</formula>
    </cfRule>
    <cfRule type="cellIs" dxfId="58" priority="60" stopIfTrue="1" operator="greaterThan">
      <formula>0.01</formula>
    </cfRule>
  </conditionalFormatting>
  <conditionalFormatting sqref="N194">
    <cfRule type="cellIs" dxfId="57" priority="57" stopIfTrue="1" operator="lessThan">
      <formula>-0.01</formula>
    </cfRule>
    <cfRule type="cellIs" dxfId="56" priority="58" stopIfTrue="1" operator="greaterThan">
      <formula>0.01</formula>
    </cfRule>
  </conditionalFormatting>
  <conditionalFormatting sqref="N195">
    <cfRule type="cellIs" dxfId="55" priority="55" stopIfTrue="1" operator="lessThan">
      <formula>-0.01</formula>
    </cfRule>
    <cfRule type="cellIs" dxfId="54" priority="56" stopIfTrue="1" operator="greaterThan">
      <formula>0.01</formula>
    </cfRule>
  </conditionalFormatting>
  <conditionalFormatting sqref="N196:N198">
    <cfRule type="cellIs" dxfId="53" priority="53" stopIfTrue="1" operator="lessThan">
      <formula>-0.01</formula>
    </cfRule>
    <cfRule type="cellIs" dxfId="52" priority="54" stopIfTrue="1" operator="greaterThan">
      <formula>0.01</formula>
    </cfRule>
  </conditionalFormatting>
  <conditionalFormatting sqref="P194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P198">
    <cfRule type="cellIs" dxfId="49" priority="49" operator="lessThan">
      <formula>-0.03</formula>
    </cfRule>
    <cfRule type="cellIs" dxfId="48" priority="50" stopIfTrue="1" operator="greaterThan">
      <formula>0.03</formula>
    </cfRule>
  </conditionalFormatting>
  <conditionalFormatting sqref="N211">
    <cfRule type="cellIs" dxfId="47" priority="47" stopIfTrue="1" operator="lessThan">
      <formula>-0.01</formula>
    </cfRule>
    <cfRule type="cellIs" dxfId="46" priority="48" stopIfTrue="1" operator="greaterThan">
      <formula>0.01</formula>
    </cfRule>
  </conditionalFormatting>
  <conditionalFormatting sqref="J205:J209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N210">
    <cfRule type="cellIs" dxfId="43" priority="43" stopIfTrue="1" operator="lessThan">
      <formula>-0.01</formula>
    </cfRule>
    <cfRule type="cellIs" dxfId="42" priority="44" stopIfTrue="1" operator="greaterThan">
      <formula>0.01</formula>
    </cfRule>
  </conditionalFormatting>
  <conditionalFormatting sqref="N205">
    <cfRule type="cellIs" dxfId="41" priority="41" stopIfTrue="1" operator="lessThan">
      <formula>-0.01</formula>
    </cfRule>
    <cfRule type="cellIs" dxfId="40" priority="42" stopIfTrue="1" operator="greaterThan">
      <formula>0.01</formula>
    </cfRule>
  </conditionalFormatting>
  <conditionalFormatting sqref="N206">
    <cfRule type="cellIs" dxfId="39" priority="39" stopIfTrue="1" operator="lessThan">
      <formula>-0.01</formula>
    </cfRule>
    <cfRule type="cellIs" dxfId="38" priority="40" stopIfTrue="1" operator="greaterThan">
      <formula>0.01</formula>
    </cfRule>
  </conditionalFormatting>
  <conditionalFormatting sqref="N207:N209">
    <cfRule type="cellIs" dxfId="37" priority="37" stopIfTrue="1" operator="lessThan">
      <formula>-0.01</formula>
    </cfRule>
    <cfRule type="cellIs" dxfId="36" priority="38" stopIfTrue="1" operator="greaterThan">
      <formula>0.01</formula>
    </cfRule>
  </conditionalFormatting>
  <conditionalFormatting sqref="P205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P209">
    <cfRule type="cellIs" dxfId="33" priority="33" operator="lessThan">
      <formula>-0.03</formula>
    </cfRule>
    <cfRule type="cellIs" dxfId="32" priority="34" stopIfTrue="1" operator="greaterThan">
      <formula>0.03</formula>
    </cfRule>
  </conditionalFormatting>
  <conditionalFormatting sqref="N222">
    <cfRule type="cellIs" dxfId="31" priority="31" stopIfTrue="1" operator="lessThan">
      <formula>-0.01</formula>
    </cfRule>
    <cfRule type="cellIs" dxfId="30" priority="32" stopIfTrue="1" operator="greaterThan">
      <formula>0.01</formula>
    </cfRule>
  </conditionalFormatting>
  <conditionalFormatting sqref="J216:J220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N221">
    <cfRule type="cellIs" dxfId="27" priority="27" stopIfTrue="1" operator="lessThan">
      <formula>-0.01</formula>
    </cfRule>
    <cfRule type="cellIs" dxfId="26" priority="28" stopIfTrue="1" operator="greaterThan">
      <formula>0.01</formula>
    </cfRule>
  </conditionalFormatting>
  <conditionalFormatting sqref="N216">
    <cfRule type="cellIs" dxfId="25" priority="25" stopIfTrue="1" operator="lessThan">
      <formula>-0.01</formula>
    </cfRule>
    <cfRule type="cellIs" dxfId="24" priority="26" stopIfTrue="1" operator="greaterThan">
      <formula>0.01</formula>
    </cfRule>
  </conditionalFormatting>
  <conditionalFormatting sqref="N217">
    <cfRule type="cellIs" dxfId="23" priority="23" stopIfTrue="1" operator="lessThan">
      <formula>-0.01</formula>
    </cfRule>
    <cfRule type="cellIs" dxfId="22" priority="24" stopIfTrue="1" operator="greaterThan">
      <formula>0.01</formula>
    </cfRule>
  </conditionalFormatting>
  <conditionalFormatting sqref="N218:N220">
    <cfRule type="cellIs" dxfId="21" priority="21" stopIfTrue="1" operator="lessThan">
      <formula>-0.01</formula>
    </cfRule>
    <cfRule type="cellIs" dxfId="20" priority="22" stopIfTrue="1" operator="greaterThan">
      <formula>0.01</formula>
    </cfRule>
  </conditionalFormatting>
  <conditionalFormatting sqref="P216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P220">
    <cfRule type="cellIs" dxfId="17" priority="17" operator="lessThan">
      <formula>-0.03</formula>
    </cfRule>
    <cfRule type="cellIs" dxfId="16" priority="18" stopIfTrue="1" operator="greaterThan">
      <formula>0.03</formula>
    </cfRule>
  </conditionalFormatting>
  <conditionalFormatting sqref="N233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227:J23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232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227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228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229:N23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22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23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233A5-BCDD-48AE-B59F-102BEA107850}">
  <sheetPr codeName="Sheet45"/>
  <dimension ref="A1:BR71"/>
  <sheetViews>
    <sheetView topLeftCell="R1" workbookViewId="0">
      <selection activeCell="AE35" sqref="AE35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80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bartender_track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bartender_track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>IF(ISBLANK(F33),"",F33)</f>
        <v/>
      </c>
      <c r="G5" s="119" t="str">
        <f t="shared" ref="G5:K5" si="0">IF(ISBLANK(G33),"",G33)</f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>IF(ISBLANK(P16),"",P16)</f>
        <v/>
      </c>
      <c r="Q5" s="168" t="str">
        <f t="shared" ref="Q5:W5" si="1">IF(ISBLANK(Q16),"",Q16)</f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5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5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ref="F6:K6" si="7">IF(ISBLANK(F34),"",F34)</f>
        <v/>
      </c>
      <c r="G6" s="119" t="str">
        <f t="shared" si="7"/>
        <v/>
      </c>
      <c r="H6" s="119" t="str">
        <f t="shared" si="7"/>
        <v/>
      </c>
      <c r="I6" s="119" t="str">
        <f t="shared" si="7"/>
        <v/>
      </c>
      <c r="J6" s="119" t="str">
        <f t="shared" si="7"/>
        <v/>
      </c>
      <c r="K6" s="119" t="str">
        <f t="shared" si="7"/>
        <v/>
      </c>
      <c r="L6" s="72"/>
      <c r="M6" s="72"/>
      <c r="N6" s="35"/>
      <c r="O6" s="72"/>
      <c r="P6" s="148" t="str">
        <f t="shared" ref="P6:W6" si="8">IF(ISBLANK(P17),"",P17)</f>
        <v/>
      </c>
      <c r="Q6" s="148" t="str">
        <f t="shared" si="8"/>
        <v/>
      </c>
      <c r="R6" s="148" t="str">
        <f t="shared" si="8"/>
        <v/>
      </c>
      <c r="S6" s="148" t="str">
        <f t="shared" si="8"/>
        <v/>
      </c>
      <c r="T6" s="148" t="str">
        <f t="shared" si="8"/>
        <v/>
      </c>
      <c r="U6" s="148" t="str">
        <f t="shared" si="8"/>
        <v/>
      </c>
      <c r="V6" s="148" t="str">
        <f t="shared" si="8"/>
        <v/>
      </c>
      <c r="W6" s="148" t="str">
        <f t="shared" si="8"/>
        <v/>
      </c>
      <c r="X6" s="150" t="str">
        <f t="shared" ref="X6" si="9">IF(ISBLANK(X34),"",X34)</f>
        <v/>
      </c>
      <c r="Y6" s="117"/>
      <c r="Z6" s="275"/>
      <c r="AA6" s="34" t="s">
        <v>60</v>
      </c>
      <c r="AB6" s="35"/>
      <c r="AC6" s="172" t="str">
        <f t="shared" ref="AC6:AC9" si="10">AC24</f>
        <v/>
      </c>
      <c r="AD6" s="119" t="str">
        <f t="shared" ref="AD6:AI6" si="11">IF(ISBLANK(AD34),"",AD34)</f>
        <v/>
      </c>
      <c r="AE6" s="119" t="str">
        <f t="shared" si="11"/>
        <v/>
      </c>
      <c r="AF6" s="119" t="str">
        <f t="shared" si="11"/>
        <v/>
      </c>
      <c r="AG6" s="119" t="str">
        <f t="shared" si="11"/>
        <v/>
      </c>
      <c r="AH6" s="119" t="str">
        <f t="shared" si="11"/>
        <v/>
      </c>
      <c r="AI6" s="119" t="str">
        <f t="shared" si="11"/>
        <v/>
      </c>
      <c r="AJ6" s="72"/>
      <c r="AK6" s="72"/>
      <c r="AL6" s="35"/>
      <c r="AM6" s="73"/>
      <c r="AN6" s="148" t="str">
        <f t="shared" ref="AN6:AU6" si="12">IF(ISBLANK(AN17),"",AN17)</f>
        <v/>
      </c>
      <c r="AO6" s="148" t="str">
        <f t="shared" si="12"/>
        <v/>
      </c>
      <c r="AP6" s="148" t="str">
        <f t="shared" si="12"/>
        <v/>
      </c>
      <c r="AQ6" s="148" t="str">
        <f t="shared" si="12"/>
        <v/>
      </c>
      <c r="AR6" s="148" t="str">
        <f t="shared" si="12"/>
        <v/>
      </c>
      <c r="AS6" s="148" t="str">
        <f t="shared" si="12"/>
        <v/>
      </c>
      <c r="AT6" s="148" t="str">
        <f t="shared" si="12"/>
        <v/>
      </c>
      <c r="AU6" s="148" t="str">
        <f t="shared" si="12"/>
        <v/>
      </c>
      <c r="AV6" s="150" t="str">
        <f t="shared" ref="AV6" si="13"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ref="F7:K7" si="14">IF(ISBLANK(F35),"",F35)</f>
        <v/>
      </c>
      <c r="G7" s="119" t="str">
        <f t="shared" si="14"/>
        <v/>
      </c>
      <c r="H7" s="119" t="str">
        <f t="shared" si="14"/>
        <v/>
      </c>
      <c r="I7" s="119" t="str">
        <f t="shared" si="14"/>
        <v/>
      </c>
      <c r="J7" s="119" t="str">
        <f t="shared" si="14"/>
        <v/>
      </c>
      <c r="K7" s="119" t="str">
        <f t="shared" si="14"/>
        <v/>
      </c>
      <c r="L7" s="72"/>
      <c r="M7" s="72"/>
      <c r="N7" s="35"/>
      <c r="O7" s="72"/>
      <c r="P7" s="148" t="str">
        <f t="shared" ref="P7:W7" si="15">IF(ISBLANK(P18),"",P18)</f>
        <v/>
      </c>
      <c r="Q7" s="148" t="str">
        <f t="shared" si="15"/>
        <v/>
      </c>
      <c r="R7" s="148" t="str">
        <f t="shared" si="15"/>
        <v/>
      </c>
      <c r="S7" s="148" t="str">
        <f t="shared" si="15"/>
        <v/>
      </c>
      <c r="T7" s="148" t="str">
        <f t="shared" si="15"/>
        <v/>
      </c>
      <c r="U7" s="148" t="str">
        <f t="shared" si="15"/>
        <v/>
      </c>
      <c r="V7" s="148" t="str">
        <f t="shared" si="15"/>
        <v/>
      </c>
      <c r="W7" s="148" t="str">
        <f t="shared" si="15"/>
        <v/>
      </c>
      <c r="X7" s="150" t="str">
        <f t="shared" ref="X7" si="16">IF(ISBLANK(X35),"",X35)</f>
        <v/>
      </c>
      <c r="Y7" s="117"/>
      <c r="Z7" s="275"/>
      <c r="AA7" s="34" t="s">
        <v>61</v>
      </c>
      <c r="AB7" s="35"/>
      <c r="AC7" s="172" t="str">
        <f t="shared" si="10"/>
        <v/>
      </c>
      <c r="AD7" s="119" t="str">
        <f t="shared" ref="AD7:AI7" si="17">IF(ISBLANK(AD35),"",AD35)</f>
        <v/>
      </c>
      <c r="AE7" s="119" t="str">
        <f t="shared" si="17"/>
        <v/>
      </c>
      <c r="AF7" s="119" t="str">
        <f t="shared" si="17"/>
        <v/>
      </c>
      <c r="AG7" s="119" t="str">
        <f t="shared" si="17"/>
        <v/>
      </c>
      <c r="AH7" s="119" t="str">
        <f t="shared" si="17"/>
        <v/>
      </c>
      <c r="AI7" s="119" t="str">
        <f t="shared" si="17"/>
        <v/>
      </c>
      <c r="AJ7" s="72"/>
      <c r="AK7" s="72"/>
      <c r="AL7" s="35"/>
      <c r="AM7" s="73"/>
      <c r="AN7" s="148" t="str">
        <f t="shared" ref="AN7:AU7" si="18">IF(ISBLANK(AN18),"",AN18)</f>
        <v/>
      </c>
      <c r="AO7" s="148" t="str">
        <f t="shared" si="18"/>
        <v/>
      </c>
      <c r="AP7" s="148" t="str">
        <f t="shared" si="18"/>
        <v/>
      </c>
      <c r="AQ7" s="148" t="str">
        <f t="shared" si="18"/>
        <v/>
      </c>
      <c r="AR7" s="148" t="str">
        <f t="shared" si="18"/>
        <v/>
      </c>
      <c r="AS7" s="148" t="str">
        <f t="shared" si="18"/>
        <v/>
      </c>
      <c r="AT7" s="148" t="str">
        <f t="shared" si="18"/>
        <v/>
      </c>
      <c r="AU7" s="148" t="str">
        <f t="shared" si="18"/>
        <v/>
      </c>
      <c r="AV7" s="150" t="str">
        <f t="shared" ref="AV7" si="19"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ref="F8:K8" si="20">IF(ISBLANK(F36),"",F36)</f>
        <v/>
      </c>
      <c r="G8" s="119" t="str">
        <f t="shared" si="20"/>
        <v/>
      </c>
      <c r="H8" s="119" t="str">
        <f t="shared" si="20"/>
        <v/>
      </c>
      <c r="I8" s="119" t="str">
        <f t="shared" si="20"/>
        <v/>
      </c>
      <c r="J8" s="119" t="str">
        <f t="shared" si="20"/>
        <v/>
      </c>
      <c r="K8" s="119" t="str">
        <f t="shared" si="20"/>
        <v/>
      </c>
      <c r="L8" s="72"/>
      <c r="M8" s="72"/>
      <c r="N8" s="35"/>
      <c r="O8" s="72"/>
      <c r="P8" s="148" t="str">
        <f t="shared" ref="P8:W8" si="21">IF(ISBLANK(P19),"",P19)</f>
        <v/>
      </c>
      <c r="Q8" s="148" t="str">
        <f t="shared" si="21"/>
        <v/>
      </c>
      <c r="R8" s="148" t="str">
        <f t="shared" si="21"/>
        <v/>
      </c>
      <c r="S8" s="148" t="str">
        <f t="shared" si="21"/>
        <v/>
      </c>
      <c r="T8" s="148" t="str">
        <f t="shared" si="21"/>
        <v/>
      </c>
      <c r="U8" s="148" t="str">
        <f t="shared" si="21"/>
        <v/>
      </c>
      <c r="V8" s="148" t="str">
        <f t="shared" si="21"/>
        <v/>
      </c>
      <c r="W8" s="148" t="str">
        <f t="shared" si="21"/>
        <v/>
      </c>
      <c r="X8" s="150" t="str">
        <f t="shared" ref="X8" si="22">IF(ISBLANK(X36),"",X36)</f>
        <v/>
      </c>
      <c r="Y8" s="117"/>
      <c r="Z8" s="275"/>
      <c r="AA8" s="34" t="s">
        <v>62</v>
      </c>
      <c r="AB8" s="35"/>
      <c r="AC8" s="172" t="str">
        <f t="shared" si="10"/>
        <v/>
      </c>
      <c r="AD8" s="119" t="str">
        <f t="shared" ref="AD8:AI8" si="23">IF(ISBLANK(AD36),"",AD36)</f>
        <v/>
      </c>
      <c r="AE8" s="119" t="str">
        <f t="shared" si="23"/>
        <v/>
      </c>
      <c r="AF8" s="119" t="str">
        <f t="shared" si="23"/>
        <v/>
      </c>
      <c r="AG8" s="119" t="str">
        <f t="shared" si="23"/>
        <v/>
      </c>
      <c r="AH8" s="119" t="str">
        <f t="shared" si="23"/>
        <v/>
      </c>
      <c r="AI8" s="119" t="str">
        <f t="shared" si="23"/>
        <v/>
      </c>
      <c r="AJ8" s="72"/>
      <c r="AK8" s="72"/>
      <c r="AL8" s="35"/>
      <c r="AM8" s="73"/>
      <c r="AN8" s="148" t="str">
        <f t="shared" ref="AN8:AU8" si="24">IF(ISBLANK(AN19),"",AN19)</f>
        <v/>
      </c>
      <c r="AO8" s="148" t="str">
        <f t="shared" si="24"/>
        <v/>
      </c>
      <c r="AP8" s="148" t="str">
        <f t="shared" si="24"/>
        <v/>
      </c>
      <c r="AQ8" s="148" t="str">
        <f t="shared" si="24"/>
        <v/>
      </c>
      <c r="AR8" s="148" t="str">
        <f t="shared" si="24"/>
        <v/>
      </c>
      <c r="AS8" s="148" t="str">
        <f t="shared" si="24"/>
        <v/>
      </c>
      <c r="AT8" s="148" t="str">
        <f t="shared" si="24"/>
        <v/>
      </c>
      <c r="AU8" s="148" t="str">
        <f t="shared" si="24"/>
        <v/>
      </c>
      <c r="AV8" s="150" t="str">
        <f t="shared" ref="AV8" si="25"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ref="F9:K9" si="26">IF(ISBLANK(F37),"",F37)</f>
        <v/>
      </c>
      <c r="G9" s="44" t="str">
        <f t="shared" si="26"/>
        <v/>
      </c>
      <c r="H9" s="44" t="str">
        <f t="shared" si="26"/>
        <v/>
      </c>
      <c r="I9" s="44" t="str">
        <f t="shared" si="26"/>
        <v/>
      </c>
      <c r="J9" s="44" t="str">
        <f t="shared" si="26"/>
        <v/>
      </c>
      <c r="K9" s="44" t="str">
        <f t="shared" si="26"/>
        <v/>
      </c>
      <c r="L9" s="72"/>
      <c r="M9" s="72"/>
      <c r="N9" s="35"/>
      <c r="O9" s="72"/>
      <c r="P9" s="148" t="str">
        <f t="shared" ref="P9:W9" si="27">IF(ISBLANK(P20),"",P20)</f>
        <v/>
      </c>
      <c r="Q9" s="148" t="str">
        <f t="shared" si="27"/>
        <v/>
      </c>
      <c r="R9" s="148" t="str">
        <f t="shared" si="27"/>
        <v/>
      </c>
      <c r="S9" s="148" t="str">
        <f t="shared" si="27"/>
        <v/>
      </c>
      <c r="T9" s="148" t="str">
        <f t="shared" si="27"/>
        <v/>
      </c>
      <c r="U9" s="148" t="str">
        <f t="shared" si="27"/>
        <v/>
      </c>
      <c r="V9" s="148" t="str">
        <f t="shared" si="27"/>
        <v/>
      </c>
      <c r="W9" s="148" t="str">
        <f t="shared" si="27"/>
        <v/>
      </c>
      <c r="X9" s="150" t="str">
        <f t="shared" ref="X9" si="28">IF(ISBLANK(X37),"",X37)</f>
        <v/>
      </c>
      <c r="Y9" s="117"/>
      <c r="Z9" s="275"/>
      <c r="AA9" s="34" t="s">
        <v>104</v>
      </c>
      <c r="AB9" s="35"/>
      <c r="AC9" s="172" t="str">
        <f t="shared" si="10"/>
        <v/>
      </c>
      <c r="AD9" s="119" t="str">
        <f t="shared" ref="AD9:AI9" si="29">IF(ISBLANK(AD37),"",AD37)</f>
        <v/>
      </c>
      <c r="AE9" s="119" t="str">
        <f t="shared" si="29"/>
        <v/>
      </c>
      <c r="AF9" s="119" t="str">
        <f t="shared" si="29"/>
        <v/>
      </c>
      <c r="AG9" s="119" t="str">
        <f t="shared" si="29"/>
        <v/>
      </c>
      <c r="AH9" s="119" t="str">
        <f t="shared" si="29"/>
        <v/>
      </c>
      <c r="AI9" s="119" t="str">
        <f t="shared" si="29"/>
        <v/>
      </c>
      <c r="AJ9" s="72"/>
      <c r="AK9" s="72"/>
      <c r="AL9" s="35"/>
      <c r="AM9" s="73"/>
      <c r="AN9" s="148" t="str">
        <f t="shared" ref="AN9:AU9" si="30">IF(ISBLANK(AN20),"",AN20)</f>
        <v/>
      </c>
      <c r="AO9" s="148" t="str">
        <f t="shared" si="30"/>
        <v/>
      </c>
      <c r="AP9" s="148" t="str">
        <f t="shared" si="30"/>
        <v/>
      </c>
      <c r="AQ9" s="148" t="str">
        <f t="shared" si="30"/>
        <v/>
      </c>
      <c r="AR9" s="148" t="str">
        <f t="shared" si="30"/>
        <v/>
      </c>
      <c r="AS9" s="148" t="str">
        <f t="shared" si="30"/>
        <v/>
      </c>
      <c r="AT9" s="148" t="str">
        <f t="shared" si="30"/>
        <v/>
      </c>
      <c r="AU9" s="148" t="str">
        <f t="shared" si="30"/>
        <v/>
      </c>
      <c r="AV9" s="150" t="str">
        <f t="shared" ref="AV9" si="31"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6" si="32">AN16/P16</f>
        <v>#DIV/0!</v>
      </c>
      <c r="AY16" s="245" t="e">
        <f t="shared" si="32"/>
        <v>#DIV/0!</v>
      </c>
      <c r="AZ16" s="202" t="e">
        <f t="shared" si="32"/>
        <v>#DIV/0!</v>
      </c>
      <c r="BA16" s="245" t="e">
        <f t="shared" si="32"/>
        <v>#DIV/0!</v>
      </c>
      <c r="BB16" s="202" t="e">
        <f t="shared" si="32"/>
        <v>#DIV/0!</v>
      </c>
      <c r="BC16" s="245" t="e">
        <f t="shared" ref="BC16:BE19" si="33">AS16/U16</f>
        <v>#DIV/0!</v>
      </c>
      <c r="BD16" s="202" t="e">
        <f t="shared" si="33"/>
        <v>#DIV/0!</v>
      </c>
      <c r="BE16" s="245" t="e">
        <f t="shared" si="33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ref="AY17:AY19" si="34">AO17/Q17</f>
        <v>#DIV/0!</v>
      </c>
      <c r="AZ17" s="203" t="e">
        <f>AP17/R17</f>
        <v>#DIV/0!</v>
      </c>
      <c r="BA17" s="204" t="e">
        <f t="shared" ref="BA17:BA19" si="35">AQ17/S17</f>
        <v>#DIV/0!</v>
      </c>
      <c r="BB17" s="203" t="e">
        <f>AR17/T17</f>
        <v>#DIV/0!</v>
      </c>
      <c r="BC17" s="204" t="e">
        <f t="shared" si="33"/>
        <v>#DIV/0!</v>
      </c>
      <c r="BD17" s="203" t="e">
        <f t="shared" si="33"/>
        <v>#DIV/0!</v>
      </c>
      <c r="BE17" s="204" t="e">
        <f t="shared" si="33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34"/>
        <v>#DIV/0!</v>
      </c>
      <c r="AZ18" s="203" t="e">
        <f>AP18/R18</f>
        <v>#DIV/0!</v>
      </c>
      <c r="BA18" s="204" t="e">
        <f t="shared" si="35"/>
        <v>#DIV/0!</v>
      </c>
      <c r="BB18" s="203" t="e">
        <f>AR18/T18</f>
        <v>#DIV/0!</v>
      </c>
      <c r="BC18" s="204" t="e">
        <f t="shared" si="33"/>
        <v>#DIV/0!</v>
      </c>
      <c r="BD18" s="203" t="e">
        <f t="shared" si="33"/>
        <v>#DIV/0!</v>
      </c>
      <c r="BE18" s="204" t="e">
        <f t="shared" si="33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34"/>
        <v>#DIV/0!</v>
      </c>
      <c r="AZ19" s="203" t="e">
        <f>AP19/R19</f>
        <v>#DIV/0!</v>
      </c>
      <c r="BA19" s="204" t="e">
        <f t="shared" si="35"/>
        <v>#DIV/0!</v>
      </c>
      <c r="BB19" s="203" t="e">
        <f>AR19/T19</f>
        <v>#DIV/0!</v>
      </c>
      <c r="BC19" s="204" t="e">
        <f t="shared" si="33"/>
        <v>#DIV/0!</v>
      </c>
      <c r="BD19" s="203" t="e">
        <f t="shared" si="33"/>
        <v>#DIV/0!</v>
      </c>
      <c r="BE19" s="204" t="e">
        <f t="shared" si="33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36">GEOMEAN(AX16:AX19)</f>
        <v>#DIV/0!</v>
      </c>
      <c r="AY21" s="208" t="e">
        <f t="shared" si="36"/>
        <v>#DIV/0!</v>
      </c>
      <c r="AZ21" s="207" t="e">
        <f t="shared" si="36"/>
        <v>#DIV/0!</v>
      </c>
      <c r="BA21" s="208" t="e">
        <f t="shared" si="36"/>
        <v>#DIV/0!</v>
      </c>
      <c r="BB21" s="207" t="e">
        <f t="shared" si="36"/>
        <v>#DIV/0!</v>
      </c>
      <c r="BC21" s="208" t="e">
        <f t="shared" si="36"/>
        <v>#DIV/0!</v>
      </c>
      <c r="BD21" s="207" t="e">
        <f t="shared" si="36"/>
        <v>#DIV/0!</v>
      </c>
      <c r="BE21" s="208" t="e">
        <f t="shared" si="36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 t="shared" ref="E24:E27" si="37"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 t="shared" ref="AC24:AC27" si="38"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 t="shared" si="37"/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 t="shared" si="38"/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 t="shared" si="37"/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 t="shared" si="38"/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 t="shared" si="37"/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 t="shared" si="38"/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AY37" si="39">IF(OR(AD33="",F33=""),"",AD33-F33)</f>
        <v/>
      </c>
      <c r="AZ33" s="126" t="str">
        <f t="shared" ref="AZ33:AZ37" si="40">IF(OR(AE33="",G33=""),"",AE33-G33)</f>
        <v/>
      </c>
      <c r="BA33" s="126" t="str">
        <f t="shared" ref="BA33:BA37" si="41">IF(OR(AF33="",H33=""),"",AF33-H33)</f>
        <v/>
      </c>
      <c r="BB33" s="126" t="str">
        <f t="shared" ref="BB33:BB37" si="42">IF(OR(AG33="",I33=""),"",AG33-I33)</f>
        <v/>
      </c>
      <c r="BC33" s="140" t="str">
        <f t="shared" ref="BC33:BC37" si="43">IF(OR(AH33="",J33=""),"",AH33-J33)</f>
        <v/>
      </c>
      <c r="BD33" s="52"/>
      <c r="BE33" s="52" t="str">
        <f t="shared" ref="BE33:BE37" si="44">IF(OR(AJ33="",L33=""),"",AJ33-L33)</f>
        <v/>
      </c>
      <c r="BF33" s="52" t="str">
        <f t="shared" ref="BF33:BF37" si="45">IF(OR(AK33="",M33=""),"",AK33-M33)</f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39"/>
        <v/>
      </c>
      <c r="AZ34" s="141" t="str">
        <f t="shared" si="40"/>
        <v/>
      </c>
      <c r="BA34" s="141" t="str">
        <f t="shared" si="41"/>
        <v/>
      </c>
      <c r="BB34" s="141" t="str">
        <f t="shared" si="42"/>
        <v/>
      </c>
      <c r="BC34" s="108" t="str">
        <f t="shared" si="43"/>
        <v/>
      </c>
      <c r="BD34" s="52"/>
      <c r="BE34" s="52" t="str">
        <f t="shared" si="44"/>
        <v/>
      </c>
      <c r="BF34" s="52" t="str">
        <f t="shared" si="45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39"/>
        <v/>
      </c>
      <c r="AZ35" s="141" t="str">
        <f t="shared" si="40"/>
        <v/>
      </c>
      <c r="BA35" s="141" t="str">
        <f t="shared" si="41"/>
        <v/>
      </c>
      <c r="BB35" s="141" t="str">
        <f t="shared" si="42"/>
        <v/>
      </c>
      <c r="BC35" s="108" t="str">
        <f t="shared" si="43"/>
        <v/>
      </c>
      <c r="BD35" s="52"/>
      <c r="BE35" s="52" t="str">
        <f t="shared" si="44"/>
        <v/>
      </c>
      <c r="BF35" s="52" t="str">
        <f t="shared" si="45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39"/>
        <v/>
      </c>
      <c r="AZ36" s="141" t="str">
        <f t="shared" si="40"/>
        <v/>
      </c>
      <c r="BA36" s="141" t="str">
        <f t="shared" si="41"/>
        <v/>
      </c>
      <c r="BB36" s="141" t="str">
        <f t="shared" si="42"/>
        <v/>
      </c>
      <c r="BC36" s="108" t="str">
        <f t="shared" si="43"/>
        <v/>
      </c>
      <c r="BD36" s="52"/>
      <c r="BE36" s="52" t="str">
        <f t="shared" si="44"/>
        <v/>
      </c>
      <c r="BF36" s="52" t="str">
        <f t="shared" si="45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39"/>
        <v/>
      </c>
      <c r="AZ37" s="143" t="str">
        <f t="shared" si="40"/>
        <v/>
      </c>
      <c r="BA37" s="143" t="str">
        <f t="shared" si="41"/>
        <v/>
      </c>
      <c r="BB37" s="143" t="str">
        <f t="shared" si="42"/>
        <v/>
      </c>
      <c r="BC37" s="144" t="str">
        <f t="shared" si="43"/>
        <v/>
      </c>
      <c r="BD37" s="52"/>
      <c r="BE37" s="52" t="str">
        <f t="shared" si="44"/>
        <v/>
      </c>
      <c r="BF37" s="52" t="str">
        <f t="shared" si="45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S3:S4"/>
    <mergeCell ref="X3:X4"/>
    <mergeCell ref="AN3:AN4"/>
    <mergeCell ref="AQ3:AQ4"/>
    <mergeCell ref="AV3:AV4"/>
    <mergeCell ref="Q3:Q4"/>
    <mergeCell ref="R3:R4"/>
    <mergeCell ref="T3:T4"/>
    <mergeCell ref="U3:U4"/>
    <mergeCell ref="V3:V4"/>
    <mergeCell ref="W3:W4"/>
    <mergeCell ref="AO3:AO4"/>
    <mergeCell ref="BH3:BN3"/>
    <mergeCell ref="BP3:BR3"/>
    <mergeCell ref="B5:B9"/>
    <mergeCell ref="Z5:Z9"/>
    <mergeCell ref="C13:X13"/>
    <mergeCell ref="AA13:AV13"/>
    <mergeCell ref="AP3:AP4"/>
    <mergeCell ref="AR3:AR4"/>
    <mergeCell ref="AS3:AS4"/>
    <mergeCell ref="AT3:AT4"/>
    <mergeCell ref="AU3:AU4"/>
    <mergeCell ref="BH14:BJ14"/>
    <mergeCell ref="B16:B20"/>
    <mergeCell ref="Z16:Z20"/>
    <mergeCell ref="B21:B22"/>
    <mergeCell ref="Z21:Z22"/>
    <mergeCell ref="BH21:BJ21"/>
    <mergeCell ref="AX14:AY14"/>
    <mergeCell ref="BD14:BE14"/>
    <mergeCell ref="AZ14:BA14"/>
    <mergeCell ref="BB14:BC14"/>
    <mergeCell ref="AA31:AV31"/>
    <mergeCell ref="AY31:BB31"/>
    <mergeCell ref="B33:B37"/>
    <mergeCell ref="Z33:Z37"/>
    <mergeCell ref="AX33:AX37"/>
    <mergeCell ref="B57:B61"/>
    <mergeCell ref="B62:B66"/>
    <mergeCell ref="B67:B71"/>
    <mergeCell ref="B23:B27"/>
    <mergeCell ref="Z23:Z27"/>
    <mergeCell ref="C31:X31"/>
  </mergeCells>
  <phoneticPr fontId="26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5DC22-02F7-4973-9210-BBCC9133656E}">
  <sheetPr codeName="Sheet46"/>
  <dimension ref="A1:BR71"/>
  <sheetViews>
    <sheetView topLeftCell="O1" workbookViewId="0">
      <selection activeCell="AE25" sqref="AE25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24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breakfast_track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breakfast_track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0DE9-9386-492B-AA3A-97C606F28C5D}">
  <sheetPr codeName="Sheet47"/>
  <dimension ref="A1:BR71"/>
  <sheetViews>
    <sheetView workbookViewId="0">
      <selection activeCell="H18" sqref="H18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25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cinema_track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cinema_track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37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77458-A337-499A-8577-2234B96E1075}">
  <sheetPr codeName="Sheet50"/>
  <dimension ref="A1:BR71"/>
  <sheetViews>
    <sheetView topLeftCell="X1" workbookViewId="0">
      <selection activeCell="AD33" sqref="AD33:AN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28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ManWithFruit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ManWithFruit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/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FA7E-850E-46D1-84FD-35D4011906CA}">
  <sheetPr codeName="Sheet51"/>
  <dimension ref="A1:BR71"/>
  <sheetViews>
    <sheetView workbookViewId="0">
      <selection activeCell="P17" sqref="P1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29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LEGO_Ferrari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LEGO_Ferrari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/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0A93-19E9-48F6-B98B-E0077195ABA8}">
  <sheetPr codeName="Sheet52"/>
  <dimension ref="A1:BR71"/>
  <sheetViews>
    <sheetView topLeftCell="V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30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LEGO_Bugatti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LEGO_Bugatti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9BD46-FB06-4C76-926D-1FA5CF0A1E17}">
  <sheetPr codeName="Sheet53"/>
  <dimension ref="A1:BR71"/>
  <sheetViews>
    <sheetView topLeftCell="U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31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Plant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Plant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20E56-36A6-4A9A-B1F7-4859ADB30886}">
  <sheetPr codeName="Sheet54"/>
  <dimension ref="A1:BR71"/>
  <sheetViews>
    <sheetView topLeftCell="X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32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Tennis_Player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Tennis_Player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1EFC-BD60-4294-BBAB-62A03DF22136}">
  <sheetPr codeName="Sheet49"/>
  <dimension ref="A1:BR71"/>
  <sheetViews>
    <sheetView topLeftCell="U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33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Cricket_Player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Cricket_Player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F1CC5-779D-4D84-BC94-50DB4961A41F}">
  <sheetPr codeName="Sheet48"/>
  <dimension ref="A1:BR71"/>
  <sheetViews>
    <sheetView topLeftCell="X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34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Tango_Duo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Tango_Duo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B3332-FE5F-4CE9-A746-8A07C480F856}">
  <sheetPr codeName="Sheet55"/>
  <dimension ref="A1:BR71"/>
  <sheetViews>
    <sheetView topLeftCell="U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35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Solo_Tango_Female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Solo_Tango_Female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5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ref="AD6:AI6" si="8">IF(ISBLANK(AD34),"",AD34)</f>
        <v/>
      </c>
      <c r="AE6" s="119" t="str">
        <f t="shared" si="8"/>
        <v/>
      </c>
      <c r="AF6" s="119" t="str">
        <f t="shared" si="8"/>
        <v/>
      </c>
      <c r="AG6" s="119" t="str">
        <f t="shared" si="8"/>
        <v/>
      </c>
      <c r="AH6" s="119" t="str">
        <f t="shared" si="8"/>
        <v/>
      </c>
      <c r="AI6" s="119" t="str">
        <f t="shared" si="8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ref="AV6" si="9"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ref="AD7:AI7" si="10">IF(ISBLANK(AD35),"",AD35)</f>
        <v/>
      </c>
      <c r="AE7" s="119" t="str">
        <f t="shared" si="10"/>
        <v/>
      </c>
      <c r="AF7" s="119" t="str">
        <f t="shared" si="10"/>
        <v/>
      </c>
      <c r="AG7" s="119" t="str">
        <f t="shared" si="10"/>
        <v/>
      </c>
      <c r="AH7" s="119" t="str">
        <f t="shared" si="10"/>
        <v/>
      </c>
      <c r="AI7" s="119" t="str">
        <f t="shared" si="10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ref="AV7" si="11"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ref="AD8:AI8" si="12">IF(ISBLANK(AD36),"",AD36)</f>
        <v/>
      </c>
      <c r="AE8" s="119" t="str">
        <f t="shared" si="12"/>
        <v/>
      </c>
      <c r="AF8" s="119" t="str">
        <f t="shared" si="12"/>
        <v/>
      </c>
      <c r="AG8" s="119" t="str">
        <f t="shared" si="12"/>
        <v/>
      </c>
      <c r="AH8" s="119" t="str">
        <f t="shared" si="12"/>
        <v/>
      </c>
      <c r="AI8" s="119" t="str">
        <f t="shared" si="12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ref="AV8" si="13"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ref="AD9:AI9" si="14">IF(ISBLANK(AD37),"",AD37)</f>
        <v/>
      </c>
      <c r="AE9" s="119" t="str">
        <f t="shared" si="14"/>
        <v/>
      </c>
      <c r="AF9" s="119" t="str">
        <f t="shared" si="14"/>
        <v/>
      </c>
      <c r="AG9" s="119" t="str">
        <f t="shared" si="14"/>
        <v/>
      </c>
      <c r="AH9" s="119" t="str">
        <f t="shared" si="14"/>
        <v/>
      </c>
      <c r="AI9" s="119" t="str">
        <f t="shared" si="14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ref="AV9" si="15"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16">AN16/P16</f>
        <v>#DIV/0!</v>
      </c>
      <c r="AY16" s="245" t="e">
        <f t="shared" si="16"/>
        <v>#DIV/0!</v>
      </c>
      <c r="AZ16" s="202" t="e">
        <f t="shared" si="16"/>
        <v>#DIV/0!</v>
      </c>
      <c r="BA16" s="245" t="e">
        <f t="shared" si="16"/>
        <v>#DIV/0!</v>
      </c>
      <c r="BB16" s="202" t="e">
        <f t="shared" si="16"/>
        <v>#DIV/0!</v>
      </c>
      <c r="BC16" s="245" t="e">
        <f t="shared" ref="BC16:BE19" si="17">AS16/U16</f>
        <v>#DIV/0!</v>
      </c>
      <c r="BD16" s="202" t="e">
        <f t="shared" si="17"/>
        <v>#DIV/0!</v>
      </c>
      <c r="BE16" s="245" t="e">
        <f t="shared" si="17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16"/>
        <v>#DIV/0!</v>
      </c>
      <c r="AZ17" s="203" t="e">
        <f>AP17/R17</f>
        <v>#DIV/0!</v>
      </c>
      <c r="BA17" s="204" t="e">
        <f t="shared" si="16"/>
        <v>#DIV/0!</v>
      </c>
      <c r="BB17" s="203" t="e">
        <f>AR17/T17</f>
        <v>#DIV/0!</v>
      </c>
      <c r="BC17" s="204" t="e">
        <f t="shared" si="17"/>
        <v>#DIV/0!</v>
      </c>
      <c r="BD17" s="203" t="e">
        <f t="shared" si="17"/>
        <v>#DIV/0!</v>
      </c>
      <c r="BE17" s="204" t="e">
        <f t="shared" si="17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16"/>
        <v>#DIV/0!</v>
      </c>
      <c r="AZ18" s="203" t="e">
        <f>AP18/R18</f>
        <v>#DIV/0!</v>
      </c>
      <c r="BA18" s="204" t="e">
        <f t="shared" si="16"/>
        <v>#DIV/0!</v>
      </c>
      <c r="BB18" s="203" t="e">
        <f>AR18/T18</f>
        <v>#DIV/0!</v>
      </c>
      <c r="BC18" s="204" t="e">
        <f t="shared" si="17"/>
        <v>#DIV/0!</v>
      </c>
      <c r="BD18" s="203" t="e">
        <f t="shared" si="17"/>
        <v>#DIV/0!</v>
      </c>
      <c r="BE18" s="204" t="e">
        <f t="shared" si="17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16"/>
        <v>#DIV/0!</v>
      </c>
      <c r="AZ19" s="203" t="e">
        <f>AP19/R19</f>
        <v>#DIV/0!</v>
      </c>
      <c r="BA19" s="204" t="e">
        <f t="shared" si="16"/>
        <v>#DIV/0!</v>
      </c>
      <c r="BB19" s="203" t="e">
        <f>AR19/T19</f>
        <v>#DIV/0!</v>
      </c>
      <c r="BC19" s="204" t="e">
        <f t="shared" si="17"/>
        <v>#DIV/0!</v>
      </c>
      <c r="BD19" s="203" t="e">
        <f t="shared" si="17"/>
        <v>#DIV/0!</v>
      </c>
      <c r="BE19" s="204" t="e">
        <f t="shared" si="17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8">GEOMEAN(AX16:AX19)</f>
        <v>#DIV/0!</v>
      </c>
      <c r="AY21" s="208" t="e">
        <f t="shared" si="18"/>
        <v>#DIV/0!</v>
      </c>
      <c r="AZ21" s="207" t="e">
        <f t="shared" si="18"/>
        <v>#DIV/0!</v>
      </c>
      <c r="BA21" s="208" t="e">
        <f t="shared" si="18"/>
        <v>#DIV/0!</v>
      </c>
      <c r="BB21" s="207" t="e">
        <f t="shared" si="18"/>
        <v>#DIV/0!</v>
      </c>
      <c r="BC21" s="208" t="e">
        <f t="shared" si="18"/>
        <v>#DIV/0!</v>
      </c>
      <c r="BD21" s="207" t="e">
        <f t="shared" si="18"/>
        <v>#DIV/0!</v>
      </c>
      <c r="BE21" s="208" t="e">
        <f t="shared" si="18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9">IF(OR(AD33="",F33=""),"",AD33-F33)</f>
        <v/>
      </c>
      <c r="AZ33" s="126" t="str">
        <f t="shared" si="19"/>
        <v/>
      </c>
      <c r="BA33" s="126" t="str">
        <f t="shared" si="19"/>
        <v/>
      </c>
      <c r="BB33" s="126" t="str">
        <f t="shared" si="19"/>
        <v/>
      </c>
      <c r="BC33" s="140" t="str">
        <f t="shared" si="19"/>
        <v/>
      </c>
      <c r="BD33" s="52"/>
      <c r="BE33" s="52" t="str">
        <f t="shared" ref="BE33:BF37" si="20">IF(OR(AJ33="",L33=""),"",AJ33-L33)</f>
        <v/>
      </c>
      <c r="BF33" s="52" t="str">
        <f t="shared" si="20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9"/>
        <v/>
      </c>
      <c r="AZ34" s="141" t="str">
        <f t="shared" si="19"/>
        <v/>
      </c>
      <c r="BA34" s="141" t="str">
        <f t="shared" si="19"/>
        <v/>
      </c>
      <c r="BB34" s="141" t="str">
        <f t="shared" si="19"/>
        <v/>
      </c>
      <c r="BC34" s="108" t="str">
        <f t="shared" si="19"/>
        <v/>
      </c>
      <c r="BD34" s="52"/>
      <c r="BE34" s="52" t="str">
        <f t="shared" si="20"/>
        <v/>
      </c>
      <c r="BF34" s="52" t="str">
        <f t="shared" si="20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9"/>
        <v/>
      </c>
      <c r="AZ35" s="141" t="str">
        <f t="shared" si="19"/>
        <v/>
      </c>
      <c r="BA35" s="141" t="str">
        <f t="shared" si="19"/>
        <v/>
      </c>
      <c r="BB35" s="141" t="str">
        <f t="shared" si="19"/>
        <v/>
      </c>
      <c r="BC35" s="108" t="str">
        <f t="shared" si="19"/>
        <v/>
      </c>
      <c r="BD35" s="52"/>
      <c r="BE35" s="52" t="str">
        <f t="shared" si="20"/>
        <v/>
      </c>
      <c r="BF35" s="52" t="str">
        <f t="shared" si="20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9"/>
        <v/>
      </c>
      <c r="AZ36" s="141" t="str">
        <f t="shared" si="19"/>
        <v/>
      </c>
      <c r="BA36" s="141" t="str">
        <f t="shared" si="19"/>
        <v/>
      </c>
      <c r="BB36" s="141" t="str">
        <f t="shared" si="19"/>
        <v/>
      </c>
      <c r="BC36" s="108" t="str">
        <f t="shared" si="19"/>
        <v/>
      </c>
      <c r="BD36" s="52"/>
      <c r="BE36" s="52" t="str">
        <f t="shared" si="20"/>
        <v/>
      </c>
      <c r="BF36" s="52" t="str">
        <f t="shared" si="20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9"/>
        <v/>
      </c>
      <c r="AZ37" s="143" t="str">
        <f t="shared" si="19"/>
        <v/>
      </c>
      <c r="BA37" s="143" t="str">
        <f t="shared" si="19"/>
        <v/>
      </c>
      <c r="BB37" s="143" t="str">
        <f t="shared" si="19"/>
        <v/>
      </c>
      <c r="BC37" s="144" t="str">
        <f t="shared" si="19"/>
        <v/>
      </c>
      <c r="BD37" s="52"/>
      <c r="BE37" s="52" t="str">
        <f t="shared" si="20"/>
        <v/>
      </c>
      <c r="BF37" s="52" t="str">
        <f t="shared" si="20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094A6-656D-453D-9BEE-260758358F1F}">
  <sheetPr codeName="Sheet56"/>
  <dimension ref="A1:BR71"/>
  <sheetViews>
    <sheetView topLeftCell="Y1" workbookViewId="0">
      <selection activeCell="AD33" sqref="AD33:AG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36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Solo_Tango_Male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Solo_Tango_Male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94E79-62C9-4F99-8D2A-52D513AE92DF}">
  <sheetPr codeName="Sheet57"/>
  <dimension ref="A1:BR71"/>
  <sheetViews>
    <sheetView topLeftCell="U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64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BlueBackpack_UVGgs_0100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BlueBackpack_UVGgs_0100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A739A-A1F7-4800-9953-AA7CA5D26128}">
  <sheetPr codeName="Sheet58"/>
  <dimension ref="A1:BR71"/>
  <sheetViews>
    <sheetView topLeftCell="W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65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BlueBackpack_UVGgs_0200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BlueBackpack_UVGgs_0200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4A41A-FE99-4AF7-BB95-8F8137F50B64}">
  <sheetPr codeName="Sheet59"/>
  <dimension ref="A1:BR71"/>
  <sheetViews>
    <sheetView topLeftCell="V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80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bartender_track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bartender_track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B832-5DAA-4565-90CE-DB72A917BF2D}">
  <sheetPr codeName="Sheet60"/>
  <dimension ref="A1:BR71"/>
  <sheetViews>
    <sheetView topLeftCell="R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67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FlowerDance_UVGgs_0200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FlowerDance_UVGgs_0200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8FF78-9DDF-4615-B950-03E799FBD854}">
  <sheetPr codeName="Sheet61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68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Gymnast_UVGgs_0100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Gymnast_UVGgs_0100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2FB72-D59D-43A9-AC2C-29E83F5AA78D}">
  <sheetPr codeName="Sheet62"/>
  <dimension ref="A1:BR71"/>
  <sheetViews>
    <sheetView topLeftCell="U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69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Gymnast_UVGgs_0200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Gymnast_UVGgs_0200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3448B-E6CD-4010-B4AF-AD3515AA4B3B}">
  <sheetPr codeName="Sheet63"/>
  <dimension ref="A1:BR71"/>
  <sheetViews>
    <sheetView topLeftCell="U1" workbookViewId="0">
      <selection activeCell="AU16" sqref="AU16:AU20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70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artwork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artwork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FB3C-877E-4A30-BD51-1354D5B721B4}">
  <sheetPr codeName="Sheet64"/>
  <dimension ref="A1:BR71"/>
  <sheetViews>
    <sheetView topLeftCell="W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71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panda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panda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A5895-3A75-4E34-BD1E-58FAFADFD1D8}">
  <sheetPr codeName="Sheet65"/>
  <dimension ref="A1:BR71"/>
  <sheetViews>
    <sheetView topLeftCell="U1" workbookViewId="0">
      <selection activeCell="AN16" sqref="AN16:AU20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72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wukong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wukong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F430E06F6A0F47B9C36EBFA05F847B" ma:contentTypeVersion="15" ma:contentTypeDescription="Crée un document." ma:contentTypeScope="" ma:versionID="b52e6f7528c158a214ebeb01e00651ec">
  <xsd:schema xmlns:xsd="http://www.w3.org/2001/XMLSchema" xmlns:xs="http://www.w3.org/2001/XMLSchema" xmlns:p="http://schemas.microsoft.com/office/2006/metadata/properties" xmlns:ns2="906c8664-b94a-46c6-8176-10cc82cf053a" xmlns:ns3="699c9f84-b649-4254-a6a1-367c4285fb97" targetNamespace="http://schemas.microsoft.com/office/2006/metadata/properties" ma:root="true" ma:fieldsID="af14ee7f0dfd9f4cfcca393ab027a81d" ns2:_="" ns3:_="">
    <xsd:import namespace="906c8664-b94a-46c6-8176-10cc82cf053a"/>
    <xsd:import namespace="699c9f84-b649-4254-a6a1-367c4285fb9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6c8664-b94a-46c6-8176-10cc82cf053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d049dfe-3525-43e5-8f81-1f102b2aa2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9c9f84-b649-4254-a6a1-367c4285fb9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d584e50f-e35f-4c1f-a098-14299f58aa02}" ma:internalName="TaxCatchAll" ma:showField="CatchAllData" ma:web="699c9f84-b649-4254-a6a1-367c4285fb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99c9f84-b649-4254-a6a1-367c4285fb97" xsi:nil="true"/>
    <lcf76f155ced4ddcb4097134ff3c332f xmlns="906c8664-b94a-46c6-8176-10cc82cf053a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BE1C97-AB1A-4D74-A366-FE58145A34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6c8664-b94a-46c6-8176-10cc82cf053a"/>
    <ds:schemaRef ds:uri="699c9f84-b649-4254-a6a1-367c4285fb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541E596-792A-40F0-82F3-87DB04D7E053}">
  <ds:schemaRefs>
    <ds:schemaRef ds:uri="http://schemas.microsoft.com/office/2006/metadata/properties"/>
    <ds:schemaRef ds:uri="http://schemas.microsoft.com/office/infopath/2007/PartnerControls"/>
    <ds:schemaRef ds:uri="699c9f84-b649-4254-a6a1-367c4285fb97"/>
    <ds:schemaRef ds:uri="906c8664-b94a-46c6-8176-10cc82cf053a"/>
  </ds:schemaRefs>
</ds:datastoreItem>
</file>

<file path=customXml/itemProps3.xml><?xml version="1.0" encoding="utf-8"?>
<ds:datastoreItem xmlns:ds="http://schemas.openxmlformats.org/officeDocument/2006/customXml" ds:itemID="{12525E79-8F66-4284-8E93-E8CDEE6BCE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Summary (auto)</vt:lpstr>
      <vt:lpstr>RGB-PSNR</vt:lpstr>
      <vt:lpstr>YUV-PSNR</vt:lpstr>
      <vt:lpstr>YUV-SSIM</vt:lpstr>
      <vt:lpstr>bartender_track</vt:lpstr>
      <vt:lpstr>breakfast_track</vt:lpstr>
      <vt:lpstr>cinema_track</vt:lpstr>
      <vt:lpstr>ManWithFruit</vt:lpstr>
      <vt:lpstr>LEGO_Ferrari</vt:lpstr>
      <vt:lpstr>LEGO_Bugatti</vt:lpstr>
      <vt:lpstr>Plant</vt:lpstr>
      <vt:lpstr>Tennis_Player</vt:lpstr>
      <vt:lpstr>Cricket_Player</vt:lpstr>
      <vt:lpstr>Tango_Duo</vt:lpstr>
      <vt:lpstr>Solo_Tango_Female</vt:lpstr>
      <vt:lpstr>Solo_Tango_Male</vt:lpstr>
      <vt:lpstr>BlueBackpack_UVGgs_0100</vt:lpstr>
      <vt:lpstr>BlueBackpack_UVGgs_0200</vt:lpstr>
      <vt:lpstr>FlowerDance_UVGgs_0000</vt:lpstr>
      <vt:lpstr>FlowerDance_UVGgs_0200</vt:lpstr>
      <vt:lpstr>Gymnast_UVGgs_0100</vt:lpstr>
      <vt:lpstr>Gymnast_UVGgs_0200</vt:lpstr>
      <vt:lpstr>artwork</vt:lpstr>
      <vt:lpstr>panda</vt:lpstr>
      <vt:lpstr>wukong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Salahieh, Basel</dc:creator>
  <cp:keywords>CTPClassification=CTP_NT</cp:keywords>
  <dc:description/>
  <cp:lastModifiedBy>呦呦鹿鸣</cp:lastModifiedBy>
  <cp:revision/>
  <dcterms:created xsi:type="dcterms:W3CDTF">2019-01-30T11:59:02Z</dcterms:created>
  <dcterms:modified xsi:type="dcterms:W3CDTF">2025-08-26T00:52:23Z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0x0101004FF430E06F6A0F47B9C36EBFA05F847B</vt:lpwstr>
  </property>
  <property fmtid="{D5CDD505-2E9C-101B-9397-08002B2CF9AE}" pid="10" name="MediaServiceImageTags">
    <vt:lpwstr/>
  </property>
</Properties>
</file>