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ittle_boy\vs_workspace\3dgs\GPCC_encoder_3dgs\ctc\"/>
    </mc:Choice>
  </mc:AlternateContent>
  <xr:revisionPtr revIDLastSave="0" documentId="13_ncr:1_{0462B7C1-443D-4EE3-A80C-B0179A4E07FA}" xr6:coauthVersionLast="47" xr6:coauthVersionMax="47" xr10:uidLastSave="{00000000-0000-0000-0000-000000000000}"/>
  <bookViews>
    <workbookView xWindow="-108" yWindow="-108" windowWidth="30936" windowHeight="16776" activeTab="1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breakfast_track" sheetId="7" r:id="rId7"/>
    <sheet name="breakfast_semitrack" sheetId="8" r:id="rId8"/>
    <sheet name="cinema_track" sheetId="9" r:id="rId9"/>
    <sheet name="cinema_semitrack" sheetId="10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654" i="10" l="1"/>
  <c r="H654" i="10"/>
  <c r="G653" i="10"/>
  <c r="F653" i="10"/>
  <c r="AB652" i="10"/>
  <c r="AA652" i="10"/>
  <c r="Y652" i="10"/>
  <c r="J652" i="10"/>
  <c r="AB651" i="10"/>
  <c r="J651" i="10"/>
  <c r="AB649" i="10"/>
  <c r="AA649" i="10"/>
  <c r="Z649" i="10"/>
  <c r="Y649" i="10"/>
  <c r="Y654" i="10" s="1"/>
  <c r="X649" i="10"/>
  <c r="X654" i="10" s="1"/>
  <c r="J649" i="10"/>
  <c r="J654" i="10" s="1"/>
  <c r="I649" i="10"/>
  <c r="I654" i="10" s="1"/>
  <c r="H649" i="10"/>
  <c r="G649" i="10"/>
  <c r="G654" i="10" s="1"/>
  <c r="F649" i="10"/>
  <c r="F654" i="10" s="1"/>
  <c r="AB648" i="10"/>
  <c r="AB653" i="10" s="1"/>
  <c r="AA648" i="10"/>
  <c r="AA653" i="10" s="1"/>
  <c r="Z648" i="10"/>
  <c r="Z653" i="10" s="1"/>
  <c r="Y648" i="10"/>
  <c r="Y653" i="10" s="1"/>
  <c r="X648" i="10"/>
  <c r="X653" i="10" s="1"/>
  <c r="J648" i="10"/>
  <c r="J653" i="10" s="1"/>
  <c r="I648" i="10"/>
  <c r="I653" i="10" s="1"/>
  <c r="H648" i="10"/>
  <c r="H653" i="10" s="1"/>
  <c r="G648" i="10"/>
  <c r="F648" i="10"/>
  <c r="AB647" i="10"/>
  <c r="AA647" i="10"/>
  <c r="Z647" i="10"/>
  <c r="Z652" i="10" s="1"/>
  <c r="Y647" i="10"/>
  <c r="X647" i="10"/>
  <c r="X652" i="10" s="1"/>
  <c r="J647" i="10"/>
  <c r="I647" i="10"/>
  <c r="I652" i="10" s="1"/>
  <c r="H647" i="10"/>
  <c r="G647" i="10"/>
  <c r="G652" i="10" s="1"/>
  <c r="F647" i="10"/>
  <c r="AB646" i="10"/>
  <c r="AA646" i="10"/>
  <c r="AA651" i="10" s="1"/>
  <c r="Z646" i="10"/>
  <c r="Z651" i="10" s="1"/>
  <c r="Y646" i="10"/>
  <c r="Y651" i="10" s="1"/>
  <c r="X646" i="10"/>
  <c r="X651" i="10" s="1"/>
  <c r="J646" i="10"/>
  <c r="I646" i="10"/>
  <c r="I651" i="10" s="1"/>
  <c r="H646" i="10"/>
  <c r="H651" i="10" s="1"/>
  <c r="G646" i="10"/>
  <c r="G651" i="10" s="1"/>
  <c r="F646" i="10"/>
  <c r="F651" i="10" s="1"/>
  <c r="AB644" i="10"/>
  <c r="AB654" i="10" s="1"/>
  <c r="AA644" i="10"/>
  <c r="AA654" i="10" s="1"/>
  <c r="Z644" i="10"/>
  <c r="Y644" i="10"/>
  <c r="X644" i="10"/>
  <c r="J644" i="10"/>
  <c r="I644" i="10"/>
  <c r="H644" i="10"/>
  <c r="G644" i="10"/>
  <c r="F644" i="10"/>
  <c r="AB643" i="10"/>
  <c r="AA643" i="10"/>
  <c r="Z643" i="10"/>
  <c r="Y643" i="10"/>
  <c r="X643" i="10"/>
  <c r="J643" i="10"/>
  <c r="I643" i="10"/>
  <c r="H643" i="10"/>
  <c r="G643" i="10"/>
  <c r="F643" i="10"/>
  <c r="AB642" i="10"/>
  <c r="AA642" i="10"/>
  <c r="Z642" i="10"/>
  <c r="Y642" i="10"/>
  <c r="X642" i="10"/>
  <c r="J642" i="10"/>
  <c r="I642" i="10"/>
  <c r="H642" i="10"/>
  <c r="H652" i="10" s="1"/>
  <c r="G642" i="10"/>
  <c r="F642" i="10"/>
  <c r="F652" i="10" s="1"/>
  <c r="AB641" i="10"/>
  <c r="AA641" i="10"/>
  <c r="Z641" i="10"/>
  <c r="Y641" i="10"/>
  <c r="X641" i="10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W25" i="10"/>
  <c r="E25" i="10"/>
  <c r="E7" i="10" s="1"/>
  <c r="W24" i="10"/>
  <c r="E24" i="10"/>
  <c r="W23" i="10"/>
  <c r="E23" i="10"/>
  <c r="U13" i="10"/>
  <c r="C13" i="10"/>
  <c r="AJ10" i="10"/>
  <c r="P10" i="10"/>
  <c r="AJ8" i="10"/>
  <c r="AI8" i="10"/>
  <c r="AH8" i="10"/>
  <c r="AB8" i="10"/>
  <c r="AA8" i="10"/>
  <c r="Z8" i="10"/>
  <c r="Y8" i="10"/>
  <c r="X8" i="10"/>
  <c r="W8" i="10"/>
  <c r="R8" i="10"/>
  <c r="Q8" i="10"/>
  <c r="Q10" i="10" s="1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W7" i="10"/>
  <c r="R7" i="10"/>
  <c r="Q7" i="10"/>
  <c r="P7" i="10"/>
  <c r="J7" i="10"/>
  <c r="I7" i="10"/>
  <c r="H7" i="10"/>
  <c r="G7" i="10"/>
  <c r="F7" i="10"/>
  <c r="AJ6" i="10"/>
  <c r="AI6" i="10"/>
  <c r="AI10" i="10" s="1"/>
  <c r="AH6" i="10"/>
  <c r="AH10" i="10" s="1"/>
  <c r="AB6" i="10"/>
  <c r="AA6" i="10"/>
  <c r="Z6" i="10"/>
  <c r="Y6" i="10"/>
  <c r="X6" i="10"/>
  <c r="W6" i="10"/>
  <c r="R6" i="10"/>
  <c r="Q6" i="10"/>
  <c r="P6" i="10"/>
  <c r="J6" i="10"/>
  <c r="I6" i="10"/>
  <c r="H6" i="10"/>
  <c r="G6" i="10"/>
  <c r="F6" i="10"/>
  <c r="E6" i="10"/>
  <c r="AJ5" i="10"/>
  <c r="AI5" i="10"/>
  <c r="AH5" i="10"/>
  <c r="AB5" i="10"/>
  <c r="AA5" i="10"/>
  <c r="Z5" i="10"/>
  <c r="Y5" i="10"/>
  <c r="X5" i="10"/>
  <c r="W5" i="10"/>
  <c r="R5" i="10"/>
  <c r="R10" i="10" s="1"/>
  <c r="Q5" i="10"/>
  <c r="P5" i="10"/>
  <c r="J5" i="10"/>
  <c r="I5" i="10"/>
  <c r="H5" i="10"/>
  <c r="G5" i="10"/>
  <c r="F5" i="10"/>
  <c r="E5" i="10"/>
  <c r="AL2" i="10"/>
  <c r="U2" i="10"/>
  <c r="T2" i="10"/>
  <c r="C2" i="10"/>
  <c r="AB653" i="9"/>
  <c r="Z653" i="9"/>
  <c r="Y653" i="9"/>
  <c r="F653" i="9"/>
  <c r="I652" i="9"/>
  <c r="G651" i="9"/>
  <c r="AB649" i="9"/>
  <c r="AB654" i="9" s="1"/>
  <c r="AA649" i="9"/>
  <c r="AA654" i="9" s="1"/>
  <c r="Z649" i="9"/>
  <c r="Y649" i="9"/>
  <c r="Y654" i="9" s="1"/>
  <c r="X649" i="9"/>
  <c r="J649" i="9"/>
  <c r="I649" i="9"/>
  <c r="I654" i="9" s="1"/>
  <c r="H649" i="9"/>
  <c r="H654" i="9" s="1"/>
  <c r="G649" i="9"/>
  <c r="G654" i="9" s="1"/>
  <c r="F649" i="9"/>
  <c r="AB648" i="9"/>
  <c r="AA648" i="9"/>
  <c r="AA653" i="9" s="1"/>
  <c r="Z648" i="9"/>
  <c r="Y648" i="9"/>
  <c r="X648" i="9"/>
  <c r="X653" i="9" s="1"/>
  <c r="J648" i="9"/>
  <c r="J653" i="9" s="1"/>
  <c r="I648" i="9"/>
  <c r="H648" i="9"/>
  <c r="H653" i="9" s="1"/>
  <c r="G648" i="9"/>
  <c r="G653" i="9" s="1"/>
  <c r="F648" i="9"/>
  <c r="AB647" i="9"/>
  <c r="AB652" i="9" s="1"/>
  <c r="AA647" i="9"/>
  <c r="AA652" i="9" s="1"/>
  <c r="Z647" i="9"/>
  <c r="Z652" i="9" s="1"/>
  <c r="Y647" i="9"/>
  <c r="X647" i="9"/>
  <c r="J647" i="9"/>
  <c r="J652" i="9" s="1"/>
  <c r="I647" i="9"/>
  <c r="H647" i="9"/>
  <c r="G647" i="9"/>
  <c r="G652" i="9" s="1"/>
  <c r="F647" i="9"/>
  <c r="F652" i="9" s="1"/>
  <c r="AB646" i="9"/>
  <c r="AA646" i="9"/>
  <c r="AA651" i="9" s="1"/>
  <c r="Z646" i="9"/>
  <c r="Y646" i="9"/>
  <c r="X646" i="9"/>
  <c r="X651" i="9" s="1"/>
  <c r="J646" i="9"/>
  <c r="J651" i="9" s="1"/>
  <c r="I646" i="9"/>
  <c r="I651" i="9" s="1"/>
  <c r="H646" i="9"/>
  <c r="G646" i="9"/>
  <c r="F646" i="9"/>
  <c r="F651" i="9" s="1"/>
  <c r="AB644" i="9"/>
  <c r="AA644" i="9"/>
  <c r="Z644" i="9"/>
  <c r="Z654" i="9" s="1"/>
  <c r="Y644" i="9"/>
  <c r="X644" i="9"/>
  <c r="X654" i="9" s="1"/>
  <c r="J644" i="9"/>
  <c r="J654" i="9" s="1"/>
  <c r="I644" i="9"/>
  <c r="H644" i="9"/>
  <c r="G644" i="9"/>
  <c r="F644" i="9"/>
  <c r="F654" i="9" s="1"/>
  <c r="AB643" i="9"/>
  <c r="AA643" i="9"/>
  <c r="Z643" i="9"/>
  <c r="Y643" i="9"/>
  <c r="X643" i="9"/>
  <c r="J643" i="9"/>
  <c r="I643" i="9"/>
  <c r="H643" i="9"/>
  <c r="G643" i="9"/>
  <c r="F643" i="9"/>
  <c r="AB642" i="9"/>
  <c r="AA642" i="9"/>
  <c r="Z642" i="9"/>
  <c r="Y642" i="9"/>
  <c r="Y652" i="9" s="1"/>
  <c r="X642" i="9"/>
  <c r="X652" i="9" s="1"/>
  <c r="J642" i="9"/>
  <c r="I642" i="9"/>
  <c r="H642" i="9"/>
  <c r="H652" i="9" s="1"/>
  <c r="G642" i="9"/>
  <c r="F642" i="9"/>
  <c r="AB641" i="9"/>
  <c r="AB651" i="9" s="1"/>
  <c r="AA641" i="9"/>
  <c r="Z641" i="9"/>
  <c r="Z651" i="9" s="1"/>
  <c r="Y641" i="9"/>
  <c r="Y651" i="9" s="1"/>
  <c r="X641" i="9"/>
  <c r="J641" i="9"/>
  <c r="I641" i="9"/>
  <c r="H641" i="9"/>
  <c r="H651" i="9" s="1"/>
  <c r="G641" i="9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E26" i="9"/>
  <c r="W25" i="9"/>
  <c r="E25" i="9"/>
  <c r="E7" i="9" s="1"/>
  <c r="W24" i="9"/>
  <c r="E24" i="9"/>
  <c r="E6" i="9" s="1"/>
  <c r="W23" i="9"/>
  <c r="E23" i="9"/>
  <c r="U13" i="9"/>
  <c r="C13" i="9"/>
  <c r="AJ10" i="9"/>
  <c r="AJ8" i="9"/>
  <c r="AI8" i="9"/>
  <c r="AH8" i="9"/>
  <c r="AB8" i="9"/>
  <c r="AA8" i="9"/>
  <c r="Z8" i="9"/>
  <c r="Y8" i="9"/>
  <c r="X8" i="9"/>
  <c r="W8" i="9"/>
  <c r="R8" i="9"/>
  <c r="Q8" i="9"/>
  <c r="P8" i="9"/>
  <c r="J8" i="9"/>
  <c r="I8" i="9"/>
  <c r="H8" i="9"/>
  <c r="G8" i="9"/>
  <c r="F8" i="9"/>
  <c r="E8" i="9"/>
  <c r="AJ7" i="9"/>
  <c r="AI7" i="9"/>
  <c r="AH7" i="9"/>
  <c r="AB7" i="9"/>
  <c r="AA7" i="9"/>
  <c r="Z7" i="9"/>
  <c r="Y7" i="9"/>
  <c r="X7" i="9"/>
  <c r="W7" i="9"/>
  <c r="R7" i="9"/>
  <c r="Q7" i="9"/>
  <c r="P7" i="9"/>
  <c r="J7" i="9"/>
  <c r="I7" i="9"/>
  <c r="H7" i="9"/>
  <c r="G7" i="9"/>
  <c r="F7" i="9"/>
  <c r="AJ6" i="9"/>
  <c r="AI6" i="9"/>
  <c r="AH6" i="9"/>
  <c r="AH10" i="9" s="1"/>
  <c r="AB6" i="9"/>
  <c r="AA6" i="9"/>
  <c r="Z6" i="9"/>
  <c r="Y6" i="9"/>
  <c r="X6" i="9"/>
  <c r="W6" i="9"/>
  <c r="R6" i="9"/>
  <c r="Q6" i="9"/>
  <c r="P6" i="9"/>
  <c r="J6" i="9"/>
  <c r="I6" i="9"/>
  <c r="H6" i="9"/>
  <c r="G6" i="9"/>
  <c r="F6" i="9"/>
  <c r="AJ5" i="9"/>
  <c r="AI5" i="9"/>
  <c r="AH5" i="9"/>
  <c r="AB5" i="9"/>
  <c r="AA5" i="9"/>
  <c r="Z5" i="9"/>
  <c r="Y5" i="9"/>
  <c r="X5" i="9"/>
  <c r="W5" i="9"/>
  <c r="R5" i="9"/>
  <c r="R10" i="9" s="1"/>
  <c r="Q5" i="9"/>
  <c r="P5" i="9"/>
  <c r="J5" i="9"/>
  <c r="I5" i="9"/>
  <c r="H5" i="9"/>
  <c r="G5" i="9"/>
  <c r="F5" i="9"/>
  <c r="E5" i="9"/>
  <c r="AL2" i="9"/>
  <c r="U2" i="9"/>
  <c r="T2" i="9"/>
  <c r="C2" i="9"/>
  <c r="X654" i="8"/>
  <c r="J654" i="8"/>
  <c r="I654" i="8"/>
  <c r="H654" i="8"/>
  <c r="Z653" i="8"/>
  <c r="Y653" i="8"/>
  <c r="AB652" i="8"/>
  <c r="X652" i="8"/>
  <c r="Z651" i="8"/>
  <c r="X651" i="8"/>
  <c r="J651" i="8"/>
  <c r="AB649" i="8"/>
  <c r="AA649" i="8"/>
  <c r="Z649" i="8"/>
  <c r="Z654" i="8" s="1"/>
  <c r="Y649" i="8"/>
  <c r="X649" i="8"/>
  <c r="J649" i="8"/>
  <c r="I649" i="8"/>
  <c r="H649" i="8"/>
  <c r="G649" i="8"/>
  <c r="G654" i="8" s="1"/>
  <c r="F649" i="8"/>
  <c r="F654" i="8" s="1"/>
  <c r="AB648" i="8"/>
  <c r="AB653" i="8" s="1"/>
  <c r="AA648" i="8"/>
  <c r="AA653" i="8" s="1"/>
  <c r="Z648" i="8"/>
  <c r="Y648" i="8"/>
  <c r="X648" i="8"/>
  <c r="X653" i="8" s="1"/>
  <c r="J648" i="8"/>
  <c r="J653" i="8" s="1"/>
  <c r="I648" i="8"/>
  <c r="H648" i="8"/>
  <c r="G648" i="8"/>
  <c r="G653" i="8" s="1"/>
  <c r="F648" i="8"/>
  <c r="F653" i="8" s="1"/>
  <c r="AB647" i="8"/>
  <c r="AA647" i="8"/>
  <c r="AA652" i="8" s="1"/>
  <c r="Z647" i="8"/>
  <c r="Z652" i="8" s="1"/>
  <c r="Y647" i="8"/>
  <c r="Y652" i="8" s="1"/>
  <c r="X647" i="8"/>
  <c r="J647" i="8"/>
  <c r="I647" i="8"/>
  <c r="H647" i="8"/>
  <c r="G647" i="8"/>
  <c r="F647" i="8"/>
  <c r="AB646" i="8"/>
  <c r="AB651" i="8" s="1"/>
  <c r="AA646" i="8"/>
  <c r="Z646" i="8"/>
  <c r="Y646" i="8"/>
  <c r="Y651" i="8" s="1"/>
  <c r="X646" i="8"/>
  <c r="J646" i="8"/>
  <c r="I646" i="8"/>
  <c r="I651" i="8" s="1"/>
  <c r="H646" i="8"/>
  <c r="G646" i="8"/>
  <c r="G651" i="8" s="1"/>
  <c r="F646" i="8"/>
  <c r="F651" i="8" s="1"/>
  <c r="AB644" i="8"/>
  <c r="AA644" i="8"/>
  <c r="Z644" i="8"/>
  <c r="Y644" i="8"/>
  <c r="Y654" i="8" s="1"/>
  <c r="X644" i="8"/>
  <c r="J644" i="8"/>
  <c r="I644" i="8"/>
  <c r="H644" i="8"/>
  <c r="G644" i="8"/>
  <c r="F644" i="8"/>
  <c r="AB643" i="8"/>
  <c r="AA643" i="8"/>
  <c r="Z643" i="8"/>
  <c r="Y643" i="8"/>
  <c r="X643" i="8"/>
  <c r="J643" i="8"/>
  <c r="I643" i="8"/>
  <c r="H643" i="8"/>
  <c r="H653" i="8" s="1"/>
  <c r="G643" i="8"/>
  <c r="F643" i="8"/>
  <c r="AB642" i="8"/>
  <c r="AA642" i="8"/>
  <c r="Z642" i="8"/>
  <c r="Y642" i="8"/>
  <c r="X642" i="8"/>
  <c r="J642" i="8"/>
  <c r="J652" i="8" s="1"/>
  <c r="I642" i="8"/>
  <c r="I652" i="8" s="1"/>
  <c r="H642" i="8"/>
  <c r="H652" i="8" s="1"/>
  <c r="G642" i="8"/>
  <c r="F642" i="8"/>
  <c r="AB641" i="8"/>
  <c r="AA641" i="8"/>
  <c r="AA651" i="8" s="1"/>
  <c r="Z641" i="8"/>
  <c r="Y641" i="8"/>
  <c r="X641" i="8"/>
  <c r="J641" i="8"/>
  <c r="I641" i="8"/>
  <c r="H641" i="8"/>
  <c r="H651" i="8" s="1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E26" i="8"/>
  <c r="E8" i="8" s="1"/>
  <c r="W25" i="8"/>
  <c r="E25" i="8"/>
  <c r="E7" i="8" s="1"/>
  <c r="W24" i="8"/>
  <c r="E24" i="8"/>
  <c r="E6" i="8" s="1"/>
  <c r="W23" i="8"/>
  <c r="E23" i="8"/>
  <c r="U13" i="8"/>
  <c r="C13" i="8"/>
  <c r="AH10" i="8"/>
  <c r="R10" i="8"/>
  <c r="AJ8" i="8"/>
  <c r="AI8" i="8"/>
  <c r="AH8" i="8"/>
  <c r="AB8" i="8"/>
  <c r="AA8" i="8"/>
  <c r="Z8" i="8"/>
  <c r="Y8" i="8"/>
  <c r="X8" i="8"/>
  <c r="W8" i="8"/>
  <c r="R8" i="8"/>
  <c r="Q8" i="8"/>
  <c r="P8" i="8"/>
  <c r="J8" i="8"/>
  <c r="I8" i="8"/>
  <c r="H8" i="8"/>
  <c r="G8" i="8"/>
  <c r="F8" i="8"/>
  <c r="AJ7" i="8"/>
  <c r="AI7" i="8"/>
  <c r="AH7" i="8"/>
  <c r="AB7" i="8"/>
  <c r="AA7" i="8"/>
  <c r="Z7" i="8"/>
  <c r="Y7" i="8"/>
  <c r="X7" i="8"/>
  <c r="W7" i="8"/>
  <c r="R7" i="8"/>
  <c r="Q7" i="8"/>
  <c r="P7" i="8"/>
  <c r="J7" i="8"/>
  <c r="I7" i="8"/>
  <c r="H7" i="8"/>
  <c r="G7" i="8"/>
  <c r="F7" i="8"/>
  <c r="AJ6" i="8"/>
  <c r="AI6" i="8"/>
  <c r="AH6" i="8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AJ5" i="8"/>
  <c r="AJ10" i="8" s="1"/>
  <c r="AI5" i="8"/>
  <c r="AI10" i="8" s="1"/>
  <c r="AH5" i="8"/>
  <c r="AB5" i="8"/>
  <c r="AA5" i="8"/>
  <c r="Z5" i="8"/>
  <c r="Y5" i="8"/>
  <c r="X5" i="8"/>
  <c r="W5" i="8"/>
  <c r="R5" i="8"/>
  <c r="Q5" i="8"/>
  <c r="Q10" i="8" s="1"/>
  <c r="P5" i="8"/>
  <c r="P10" i="8" s="1"/>
  <c r="J5" i="8"/>
  <c r="I5" i="8"/>
  <c r="H5" i="8"/>
  <c r="G5" i="8"/>
  <c r="F5" i="8"/>
  <c r="E5" i="8"/>
  <c r="AL2" i="8"/>
  <c r="U2" i="8"/>
  <c r="T2" i="8"/>
  <c r="C2" i="8"/>
  <c r="AB654" i="7"/>
  <c r="AA654" i="7"/>
  <c r="Y654" i="7"/>
  <c r="X653" i="7"/>
  <c r="I653" i="7"/>
  <c r="H653" i="7"/>
  <c r="G653" i="7"/>
  <c r="AB652" i="7"/>
  <c r="J652" i="7"/>
  <c r="I652" i="7"/>
  <c r="H652" i="7"/>
  <c r="G652" i="7"/>
  <c r="F652" i="7"/>
  <c r="AA651" i="7"/>
  <c r="AB649" i="7"/>
  <c r="AA649" i="7"/>
  <c r="Z649" i="7"/>
  <c r="Z654" i="7" s="1"/>
  <c r="Y649" i="7"/>
  <c r="X649" i="7"/>
  <c r="J649" i="7"/>
  <c r="J654" i="7" s="1"/>
  <c r="I649" i="7"/>
  <c r="I654" i="7" s="1"/>
  <c r="H649" i="7"/>
  <c r="G649" i="7"/>
  <c r="G654" i="7" s="1"/>
  <c r="F649" i="7"/>
  <c r="F654" i="7" s="1"/>
  <c r="AB648" i="7"/>
  <c r="AA648" i="7"/>
  <c r="AA653" i="7" s="1"/>
  <c r="Z648" i="7"/>
  <c r="Z653" i="7" s="1"/>
  <c r="Y648" i="7"/>
  <c r="Y653" i="7" s="1"/>
  <c r="X648" i="7"/>
  <c r="J648" i="7"/>
  <c r="I648" i="7"/>
  <c r="H648" i="7"/>
  <c r="G648" i="7"/>
  <c r="F648" i="7"/>
  <c r="F653" i="7" s="1"/>
  <c r="AB647" i="7"/>
  <c r="AA647" i="7"/>
  <c r="Z647" i="7"/>
  <c r="Z652" i="7" s="1"/>
  <c r="Y647" i="7"/>
  <c r="Y652" i="7" s="1"/>
  <c r="X647" i="7"/>
  <c r="X652" i="7" s="1"/>
  <c r="J647" i="7"/>
  <c r="I647" i="7"/>
  <c r="H647" i="7"/>
  <c r="G647" i="7"/>
  <c r="F647" i="7"/>
  <c r="AB646" i="7"/>
  <c r="AB651" i="7" s="1"/>
  <c r="AA646" i="7"/>
  <c r="Z646" i="7"/>
  <c r="Y646" i="7"/>
  <c r="Y651" i="7" s="1"/>
  <c r="X646" i="7"/>
  <c r="X651" i="7" s="1"/>
  <c r="J646" i="7"/>
  <c r="I646" i="7"/>
  <c r="I651" i="7" s="1"/>
  <c r="H646" i="7"/>
  <c r="H651" i="7" s="1"/>
  <c r="G646" i="7"/>
  <c r="F646" i="7"/>
  <c r="AB644" i="7"/>
  <c r="AA644" i="7"/>
  <c r="Z644" i="7"/>
  <c r="Y644" i="7"/>
  <c r="X644" i="7"/>
  <c r="J644" i="7"/>
  <c r="I644" i="7"/>
  <c r="H644" i="7"/>
  <c r="H654" i="7" s="1"/>
  <c r="G644" i="7"/>
  <c r="F644" i="7"/>
  <c r="AB643" i="7"/>
  <c r="AA643" i="7"/>
  <c r="Z643" i="7"/>
  <c r="Y643" i="7"/>
  <c r="X643" i="7"/>
  <c r="J643" i="7"/>
  <c r="J653" i="7" s="1"/>
  <c r="I643" i="7"/>
  <c r="H643" i="7"/>
  <c r="G643" i="7"/>
  <c r="F643" i="7"/>
  <c r="AB642" i="7"/>
  <c r="AA642" i="7"/>
  <c r="AA652" i="7" s="1"/>
  <c r="Z642" i="7"/>
  <c r="Y642" i="7"/>
  <c r="X642" i="7"/>
  <c r="J642" i="7"/>
  <c r="I642" i="7"/>
  <c r="H642" i="7"/>
  <c r="G642" i="7"/>
  <c r="F642" i="7"/>
  <c r="AB641" i="7"/>
  <c r="AA641" i="7"/>
  <c r="Z641" i="7"/>
  <c r="Y641" i="7"/>
  <c r="X641" i="7"/>
  <c r="J641" i="7"/>
  <c r="J651" i="7" s="1"/>
  <c r="I641" i="7"/>
  <c r="H641" i="7"/>
  <c r="G641" i="7"/>
  <c r="F641" i="7"/>
  <c r="F651" i="7" s="1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E26" i="7"/>
  <c r="W25" i="7"/>
  <c r="E25" i="7"/>
  <c r="W24" i="7"/>
  <c r="E24" i="7"/>
  <c r="W23" i="7"/>
  <c r="E23" i="7"/>
  <c r="E5" i="7" s="1"/>
  <c r="U13" i="7"/>
  <c r="C13" i="7"/>
  <c r="AJ10" i="7"/>
  <c r="AJ8" i="7"/>
  <c r="AI8" i="7"/>
  <c r="AH8" i="7"/>
  <c r="AB8" i="7"/>
  <c r="AA8" i="7"/>
  <c r="Z8" i="7"/>
  <c r="Y8" i="7"/>
  <c r="X8" i="7"/>
  <c r="W8" i="7"/>
  <c r="R8" i="7"/>
  <c r="Q8" i="7"/>
  <c r="P8" i="7"/>
  <c r="J8" i="7"/>
  <c r="I8" i="7"/>
  <c r="H8" i="7"/>
  <c r="G8" i="7"/>
  <c r="F8" i="7"/>
  <c r="E8" i="7"/>
  <c r="AJ7" i="7"/>
  <c r="AI7" i="7"/>
  <c r="AH7" i="7"/>
  <c r="AB7" i="7"/>
  <c r="AA7" i="7"/>
  <c r="Z7" i="7"/>
  <c r="Y7" i="7"/>
  <c r="X7" i="7"/>
  <c r="W7" i="7"/>
  <c r="R7" i="7"/>
  <c r="Q7" i="7"/>
  <c r="P7" i="7"/>
  <c r="J7" i="7"/>
  <c r="I7" i="7"/>
  <c r="H7" i="7"/>
  <c r="G7" i="7"/>
  <c r="F7" i="7"/>
  <c r="E7" i="7"/>
  <c r="AJ6" i="7"/>
  <c r="AI6" i="7"/>
  <c r="AH6" i="7"/>
  <c r="AB6" i="7"/>
  <c r="AA6" i="7"/>
  <c r="Z6" i="7"/>
  <c r="Y6" i="7"/>
  <c r="X6" i="7"/>
  <c r="W6" i="7"/>
  <c r="R6" i="7"/>
  <c r="Q6" i="7"/>
  <c r="P6" i="7"/>
  <c r="J6" i="7"/>
  <c r="I6" i="7"/>
  <c r="H6" i="7"/>
  <c r="G6" i="7"/>
  <c r="F6" i="7"/>
  <c r="E6" i="7"/>
  <c r="AJ5" i="7"/>
  <c r="AI5" i="7"/>
  <c r="AI10" i="7" s="1"/>
  <c r="AH5" i="7"/>
  <c r="AB5" i="7"/>
  <c r="AA5" i="7"/>
  <c r="Z5" i="7"/>
  <c r="Y5" i="7"/>
  <c r="X5" i="7"/>
  <c r="W5" i="7"/>
  <c r="R5" i="7"/>
  <c r="R10" i="7" s="1"/>
  <c r="Q5" i="7"/>
  <c r="P5" i="7"/>
  <c r="P10" i="7" s="1"/>
  <c r="J5" i="7"/>
  <c r="I5" i="7"/>
  <c r="H5" i="7"/>
  <c r="G5" i="7"/>
  <c r="F5" i="7"/>
  <c r="AL2" i="7"/>
  <c r="U2" i="7"/>
  <c r="T2" i="7"/>
  <c r="C2" i="7"/>
  <c r="M112" i="6"/>
  <c r="L112" i="6"/>
  <c r="B107" i="6"/>
  <c r="B106" i="6"/>
  <c r="F103" i="6"/>
  <c r="M101" i="6"/>
  <c r="L101" i="6"/>
  <c r="B96" i="6"/>
  <c r="B97" i="6" s="1"/>
  <c r="B98" i="6" s="1"/>
  <c r="F95" i="6"/>
  <c r="F96" i="6" s="1"/>
  <c r="F97" i="6" s="1"/>
  <c r="F98" i="6" s="1"/>
  <c r="B95" i="6"/>
  <c r="F92" i="6"/>
  <c r="L92" i="6" s="1"/>
  <c r="M90" i="6"/>
  <c r="L90" i="6"/>
  <c r="B84" i="6"/>
  <c r="F81" i="6"/>
  <c r="F84" i="6" s="1"/>
  <c r="F85" i="6" s="1"/>
  <c r="F86" i="6" s="1"/>
  <c r="F87" i="6" s="1"/>
  <c r="M79" i="6"/>
  <c r="L79" i="6"/>
  <c r="B74" i="6"/>
  <c r="F73" i="6"/>
  <c r="F74" i="6" s="1"/>
  <c r="F75" i="6" s="1"/>
  <c r="F76" i="6" s="1"/>
  <c r="B73" i="6"/>
  <c r="F70" i="6"/>
  <c r="L70" i="6" s="1"/>
  <c r="L72" i="6" s="1"/>
  <c r="M68" i="6"/>
  <c r="L68" i="6"/>
  <c r="B63" i="6"/>
  <c r="B62" i="6"/>
  <c r="L59" i="6"/>
  <c r="L61" i="6" s="1"/>
  <c r="F59" i="6"/>
  <c r="F62" i="6" s="1"/>
  <c r="F63" i="6" s="1"/>
  <c r="F64" i="6" s="1"/>
  <c r="F65" i="6" s="1"/>
  <c r="M57" i="6"/>
  <c r="L57" i="6"/>
  <c r="F52" i="6"/>
  <c r="F53" i="6" s="1"/>
  <c r="F54" i="6" s="1"/>
  <c r="F51" i="6"/>
  <c r="B51" i="6"/>
  <c r="F48" i="6"/>
  <c r="L48" i="6" s="1"/>
  <c r="L50" i="6" s="1"/>
  <c r="M46" i="6"/>
  <c r="L46" i="6"/>
  <c r="B41" i="6"/>
  <c r="B40" i="6"/>
  <c r="L37" i="6"/>
  <c r="L39" i="6" s="1"/>
  <c r="F37" i="6"/>
  <c r="F40" i="6" s="1"/>
  <c r="F41" i="6" s="1"/>
  <c r="F42" i="6" s="1"/>
  <c r="F43" i="6" s="1"/>
  <c r="M35" i="6"/>
  <c r="L35" i="6"/>
  <c r="F30" i="6"/>
  <c r="F31" i="6" s="1"/>
  <c r="F32" i="6" s="1"/>
  <c r="F29" i="6"/>
  <c r="B29" i="6"/>
  <c r="F26" i="6"/>
  <c r="L26" i="6" s="1"/>
  <c r="M24" i="6"/>
  <c r="L24" i="6"/>
  <c r="B18" i="6"/>
  <c r="F15" i="6"/>
  <c r="F18" i="6" s="1"/>
  <c r="F19" i="6" s="1"/>
  <c r="F20" i="6" s="1"/>
  <c r="F21" i="6" s="1"/>
  <c r="M13" i="6"/>
  <c r="L13" i="6"/>
  <c r="F7" i="6"/>
  <c r="F8" i="6" s="1"/>
  <c r="F9" i="6" s="1"/>
  <c r="F10" i="6" s="1"/>
  <c r="B7" i="6"/>
  <c r="L6" i="6"/>
  <c r="F4" i="6"/>
  <c r="L4" i="6" s="1"/>
  <c r="F2" i="6"/>
  <c r="M39" i="6" s="1"/>
  <c r="B2" i="6"/>
  <c r="M112" i="5"/>
  <c r="L112" i="5"/>
  <c r="F106" i="5"/>
  <c r="F107" i="5" s="1"/>
  <c r="F108" i="5" s="1"/>
  <c r="F109" i="5" s="1"/>
  <c r="B106" i="5"/>
  <c r="M105" i="5"/>
  <c r="F103" i="5"/>
  <c r="L103" i="5" s="1"/>
  <c r="M101" i="5"/>
  <c r="L101" i="5"/>
  <c r="F96" i="5"/>
  <c r="F97" i="5" s="1"/>
  <c r="F98" i="5" s="1"/>
  <c r="F95" i="5"/>
  <c r="B95" i="5"/>
  <c r="L92" i="5"/>
  <c r="F92" i="5"/>
  <c r="M90" i="5"/>
  <c r="L90" i="5"/>
  <c r="F85" i="5"/>
  <c r="F86" i="5" s="1"/>
  <c r="F87" i="5" s="1"/>
  <c r="F84" i="5"/>
  <c r="B84" i="5"/>
  <c r="F81" i="5"/>
  <c r="L81" i="5" s="1"/>
  <c r="M83" i="5" s="1"/>
  <c r="M79" i="5"/>
  <c r="L79" i="5"/>
  <c r="B73" i="5"/>
  <c r="F70" i="5"/>
  <c r="M68" i="5"/>
  <c r="L68" i="5"/>
  <c r="F62" i="5"/>
  <c r="F63" i="5" s="1"/>
  <c r="F64" i="5" s="1"/>
  <c r="F65" i="5" s="1"/>
  <c r="B62" i="5"/>
  <c r="L59" i="5"/>
  <c r="M61" i="5" s="1"/>
  <c r="F59" i="5"/>
  <c r="M57" i="5"/>
  <c r="L57" i="5"/>
  <c r="B51" i="5"/>
  <c r="F48" i="5"/>
  <c r="M46" i="5"/>
  <c r="L46" i="5"/>
  <c r="F40" i="5"/>
  <c r="F41" i="5" s="1"/>
  <c r="F42" i="5" s="1"/>
  <c r="F43" i="5" s="1"/>
  <c r="B40" i="5"/>
  <c r="F37" i="5"/>
  <c r="L37" i="5" s="1"/>
  <c r="M39" i="5" s="1"/>
  <c r="M35" i="5"/>
  <c r="L35" i="5"/>
  <c r="F30" i="5"/>
  <c r="F31" i="5" s="1"/>
  <c r="F32" i="5" s="1"/>
  <c r="B29" i="5"/>
  <c r="F26" i="5"/>
  <c r="F29" i="5" s="1"/>
  <c r="M24" i="5"/>
  <c r="L24" i="5"/>
  <c r="F19" i="5"/>
  <c r="F20" i="5" s="1"/>
  <c r="F21" i="5" s="1"/>
  <c r="F18" i="5"/>
  <c r="B18" i="5"/>
  <c r="F15" i="5"/>
  <c r="L15" i="5" s="1"/>
  <c r="M17" i="5" s="1"/>
  <c r="M13" i="5"/>
  <c r="L13" i="5"/>
  <c r="F7" i="5"/>
  <c r="F8" i="5" s="1"/>
  <c r="F9" i="5" s="1"/>
  <c r="F10" i="5" s="1"/>
  <c r="B7" i="5"/>
  <c r="L4" i="5"/>
  <c r="F4" i="5"/>
  <c r="F2" i="5"/>
  <c r="B2" i="5"/>
  <c r="M112" i="4"/>
  <c r="L112" i="4"/>
  <c r="F108" i="4"/>
  <c r="F109" i="4" s="1"/>
  <c r="F106" i="4"/>
  <c r="F107" i="4" s="1"/>
  <c r="B106" i="4"/>
  <c r="M105" i="4"/>
  <c r="F103" i="4"/>
  <c r="L103" i="4" s="1"/>
  <c r="M101" i="4"/>
  <c r="L101" i="4"/>
  <c r="F98" i="4"/>
  <c r="F97" i="4"/>
  <c r="B96" i="4"/>
  <c r="F95" i="4"/>
  <c r="F96" i="4" s="1"/>
  <c r="B95" i="4"/>
  <c r="F92" i="4"/>
  <c r="L92" i="4" s="1"/>
  <c r="M94" i="4" s="1"/>
  <c r="M90" i="4"/>
  <c r="L90" i="4"/>
  <c r="B84" i="4"/>
  <c r="B85" i="4" s="1"/>
  <c r="F81" i="4"/>
  <c r="M79" i="4"/>
  <c r="L79" i="4"/>
  <c r="B73" i="4"/>
  <c r="F70" i="4"/>
  <c r="M68" i="4"/>
  <c r="L68" i="4"/>
  <c r="B62" i="4"/>
  <c r="B63" i="4" s="1"/>
  <c r="F59" i="4"/>
  <c r="M57" i="4"/>
  <c r="L57" i="4"/>
  <c r="B51" i="4"/>
  <c r="F48" i="4"/>
  <c r="L48" i="4" s="1"/>
  <c r="M50" i="4" s="1"/>
  <c r="M46" i="4"/>
  <c r="L46" i="4"/>
  <c r="F42" i="4"/>
  <c r="F43" i="4" s="1"/>
  <c r="F40" i="4"/>
  <c r="F41" i="4" s="1"/>
  <c r="B40" i="4"/>
  <c r="F37" i="4"/>
  <c r="L37" i="4" s="1"/>
  <c r="M39" i="4" s="1"/>
  <c r="M35" i="4"/>
  <c r="L35" i="4"/>
  <c r="B30" i="4"/>
  <c r="B31" i="4" s="1"/>
  <c r="B29" i="4"/>
  <c r="F26" i="4"/>
  <c r="M24" i="4"/>
  <c r="L24" i="4"/>
  <c r="B18" i="4"/>
  <c r="B19" i="4" s="1"/>
  <c r="F15" i="4"/>
  <c r="L15" i="4" s="1"/>
  <c r="M17" i="4" s="1"/>
  <c r="M13" i="4"/>
  <c r="L13" i="4"/>
  <c r="B8" i="4"/>
  <c r="B7" i="4"/>
  <c r="M6" i="4"/>
  <c r="F4" i="4"/>
  <c r="L4" i="4" s="1"/>
  <c r="F2" i="4"/>
  <c r="B2" i="4"/>
  <c r="M112" i="3"/>
  <c r="L112" i="3"/>
  <c r="F106" i="3"/>
  <c r="F107" i="3" s="1"/>
  <c r="F108" i="3" s="1"/>
  <c r="F109" i="3" s="1"/>
  <c r="B106" i="3"/>
  <c r="F103" i="3"/>
  <c r="L103" i="3" s="1"/>
  <c r="M101" i="3"/>
  <c r="L101" i="3"/>
  <c r="B96" i="3"/>
  <c r="B97" i="3" s="1"/>
  <c r="B95" i="3"/>
  <c r="F92" i="3"/>
  <c r="L92" i="3" s="1"/>
  <c r="M94" i="3" s="1"/>
  <c r="M90" i="3"/>
  <c r="L90" i="3"/>
  <c r="F84" i="3"/>
  <c r="F85" i="3" s="1"/>
  <c r="F86" i="3" s="1"/>
  <c r="F87" i="3" s="1"/>
  <c r="B84" i="3"/>
  <c r="F81" i="3"/>
  <c r="L81" i="3" s="1"/>
  <c r="M79" i="3"/>
  <c r="L79" i="3"/>
  <c r="B74" i="3"/>
  <c r="F73" i="3"/>
  <c r="F74" i="3" s="1"/>
  <c r="F75" i="3" s="1"/>
  <c r="F76" i="3" s="1"/>
  <c r="B73" i="3"/>
  <c r="F70" i="3"/>
  <c r="L70" i="3" s="1"/>
  <c r="M72" i="3" s="1"/>
  <c r="M68" i="3"/>
  <c r="L68" i="3"/>
  <c r="B62" i="3"/>
  <c r="F59" i="3"/>
  <c r="F62" i="3" s="1"/>
  <c r="F63" i="3" s="1"/>
  <c r="F64" i="3" s="1"/>
  <c r="F65" i="3" s="1"/>
  <c r="M57" i="3"/>
  <c r="L57" i="3"/>
  <c r="B52" i="3"/>
  <c r="F51" i="3"/>
  <c r="F52" i="3" s="1"/>
  <c r="F53" i="3" s="1"/>
  <c r="F54" i="3" s="1"/>
  <c r="B51" i="3"/>
  <c r="F48" i="3"/>
  <c r="L48" i="3" s="1"/>
  <c r="M50" i="3" s="1"/>
  <c r="M46" i="3"/>
  <c r="L46" i="3"/>
  <c r="B43" i="3"/>
  <c r="B40" i="3"/>
  <c r="B41" i="3" s="1"/>
  <c r="B42" i="3" s="1"/>
  <c r="F37" i="3"/>
  <c r="F40" i="3" s="1"/>
  <c r="F41" i="3" s="1"/>
  <c r="F42" i="3" s="1"/>
  <c r="F43" i="3" s="1"/>
  <c r="M35" i="3"/>
  <c r="L35" i="3"/>
  <c r="F29" i="3"/>
  <c r="F30" i="3" s="1"/>
  <c r="F31" i="3" s="1"/>
  <c r="F32" i="3" s="1"/>
  <c r="B29" i="3"/>
  <c r="F26" i="3"/>
  <c r="L26" i="3" s="1"/>
  <c r="M28" i="3" s="1"/>
  <c r="M24" i="3"/>
  <c r="L24" i="3"/>
  <c r="B18" i="3"/>
  <c r="F15" i="3"/>
  <c r="M13" i="3"/>
  <c r="L13" i="3"/>
  <c r="B7" i="3"/>
  <c r="F4" i="3"/>
  <c r="L4" i="3" s="1"/>
  <c r="M6" i="3" s="1"/>
  <c r="F2" i="3"/>
  <c r="B2" i="3"/>
  <c r="L94" i="3" s="1"/>
  <c r="M112" i="2"/>
  <c r="L112" i="2"/>
  <c r="B108" i="2"/>
  <c r="B107" i="2"/>
  <c r="B106" i="2"/>
  <c r="F103" i="2"/>
  <c r="M101" i="2"/>
  <c r="L101" i="2"/>
  <c r="F95" i="2"/>
  <c r="F96" i="2" s="1"/>
  <c r="F97" i="2" s="1"/>
  <c r="F98" i="2" s="1"/>
  <c r="B95" i="2"/>
  <c r="F92" i="2"/>
  <c r="L92" i="2" s="1"/>
  <c r="M90" i="2"/>
  <c r="L90" i="2"/>
  <c r="F84" i="2"/>
  <c r="F85" i="2" s="1"/>
  <c r="F86" i="2" s="1"/>
  <c r="F87" i="2" s="1"/>
  <c r="B84" i="2"/>
  <c r="F81" i="2"/>
  <c r="L81" i="2" s="1"/>
  <c r="M83" i="2" s="1"/>
  <c r="M79" i="2"/>
  <c r="L79" i="2"/>
  <c r="B74" i="2"/>
  <c r="B73" i="2"/>
  <c r="F70" i="2"/>
  <c r="M68" i="2"/>
  <c r="L68" i="2"/>
  <c r="B62" i="2"/>
  <c r="F59" i="2"/>
  <c r="L59" i="2" s="1"/>
  <c r="M61" i="2" s="1"/>
  <c r="M57" i="2"/>
  <c r="L57" i="2"/>
  <c r="B53" i="2"/>
  <c r="F52" i="2"/>
  <c r="F53" i="2" s="1"/>
  <c r="F54" i="2" s="1"/>
  <c r="B52" i="2"/>
  <c r="F51" i="2"/>
  <c r="B51" i="2"/>
  <c r="F48" i="2"/>
  <c r="L48" i="2" s="1"/>
  <c r="M46" i="2"/>
  <c r="L46" i="2"/>
  <c r="F40" i="2"/>
  <c r="F41" i="2" s="1"/>
  <c r="F42" i="2" s="1"/>
  <c r="F43" i="2" s="1"/>
  <c r="B40" i="2"/>
  <c r="M39" i="2"/>
  <c r="F37" i="2"/>
  <c r="L37" i="2" s="1"/>
  <c r="M35" i="2"/>
  <c r="L35" i="2"/>
  <c r="F29" i="2"/>
  <c r="F30" i="2" s="1"/>
  <c r="F31" i="2" s="1"/>
  <c r="F32" i="2" s="1"/>
  <c r="B29" i="2"/>
  <c r="B30" i="2" s="1"/>
  <c r="F26" i="2"/>
  <c r="L26" i="2" s="1"/>
  <c r="M24" i="2"/>
  <c r="L24" i="2"/>
  <c r="B19" i="2"/>
  <c r="B18" i="2"/>
  <c r="L15" i="2"/>
  <c r="F15" i="2"/>
  <c r="F18" i="2" s="1"/>
  <c r="F19" i="2" s="1"/>
  <c r="F20" i="2" s="1"/>
  <c r="F21" i="2" s="1"/>
  <c r="M13" i="2"/>
  <c r="L13" i="2"/>
  <c r="F7" i="2"/>
  <c r="F8" i="2" s="1"/>
  <c r="F9" i="2" s="1"/>
  <c r="F10" i="2" s="1"/>
  <c r="B7" i="2"/>
  <c r="F4" i="2"/>
  <c r="L4" i="2" s="1"/>
  <c r="F2" i="2"/>
  <c r="B2" i="2"/>
  <c r="L17" i="2" s="1"/>
  <c r="AQ5" i="10"/>
  <c r="AP5" i="10"/>
  <c r="AO5" i="10"/>
  <c r="AO5" i="7"/>
  <c r="AQ5" i="8"/>
  <c r="AP5" i="8"/>
  <c r="AO5" i="8"/>
  <c r="AP5" i="9"/>
  <c r="AQ5" i="9"/>
  <c r="AO5" i="9"/>
  <c r="AN5" i="10"/>
  <c r="AM5" i="10"/>
  <c r="AN5" i="8"/>
  <c r="AP5" i="7"/>
  <c r="AN5" i="9"/>
  <c r="AM5" i="8"/>
  <c r="AM5" i="9"/>
  <c r="AM5" i="7"/>
  <c r="AQ5" i="7"/>
  <c r="AN5" i="7"/>
  <c r="B17" i="1"/>
  <c r="E12" i="1"/>
  <c r="E16" i="1"/>
  <c r="G11" i="1"/>
  <c r="B14" i="1"/>
  <c r="H13" i="1"/>
  <c r="D18" i="2"/>
  <c r="L7" i="4"/>
  <c r="H73" i="2"/>
  <c r="H12" i="1"/>
  <c r="M18" i="2"/>
  <c r="G13" i="1"/>
  <c r="F13" i="1"/>
  <c r="M96" i="6"/>
  <c r="D106" i="2"/>
  <c r="E13" i="1"/>
  <c r="D10" i="1"/>
  <c r="L84" i="2"/>
  <c r="H14" i="1"/>
  <c r="H106" i="3"/>
  <c r="H19" i="2"/>
  <c r="H106" i="5"/>
  <c r="H40" i="5"/>
  <c r="D74" i="2"/>
  <c r="F11" i="1"/>
  <c r="H98" i="6"/>
  <c r="L106" i="3"/>
  <c r="M62" i="6"/>
  <c r="D29" i="6"/>
  <c r="H9" i="1"/>
  <c r="D85" i="4"/>
  <c r="D18" i="1"/>
  <c r="H42" i="3"/>
  <c r="M96" i="3"/>
  <c r="L18" i="4"/>
  <c r="H84" i="5"/>
  <c r="M106" i="6"/>
  <c r="M29" i="3"/>
  <c r="M40" i="3"/>
  <c r="H11" i="1"/>
  <c r="M95" i="5"/>
  <c r="L40" i="4"/>
  <c r="D106" i="4"/>
  <c r="D15" i="1"/>
  <c r="L42" i="3"/>
  <c r="H40" i="4"/>
  <c r="D62" i="6"/>
  <c r="F9" i="1"/>
  <c r="H95" i="5"/>
  <c r="M19" i="2"/>
  <c r="L29" i="5"/>
  <c r="L40" i="3"/>
  <c r="H7" i="5"/>
  <c r="H62" i="4"/>
  <c r="E14" i="1"/>
  <c r="H29" i="5"/>
  <c r="H7" i="2"/>
  <c r="H10" i="1"/>
  <c r="G10" i="1"/>
  <c r="L107" i="6"/>
  <c r="B18" i="1"/>
  <c r="L106" i="2"/>
  <c r="M106" i="2"/>
  <c r="H85" i="4"/>
  <c r="B13" i="1"/>
  <c r="D84" i="3"/>
  <c r="M51" i="2"/>
  <c r="H18" i="1"/>
  <c r="M84" i="2"/>
  <c r="H41" i="6"/>
  <c r="F14" i="1"/>
  <c r="H52" i="3"/>
  <c r="M84" i="4"/>
  <c r="H43" i="3"/>
  <c r="B9" i="1"/>
  <c r="L19" i="4"/>
  <c r="H18" i="4"/>
  <c r="M7" i="2"/>
  <c r="M95" i="3"/>
  <c r="D106" i="3"/>
  <c r="M106" i="5"/>
  <c r="H96" i="6"/>
  <c r="H51" i="2"/>
  <c r="M40" i="4"/>
  <c r="H106" i="2"/>
  <c r="D84" i="5"/>
  <c r="F18" i="1"/>
  <c r="E9" i="1"/>
  <c r="D30" i="4"/>
  <c r="M42" i="3"/>
  <c r="D11" i="1"/>
  <c r="M107" i="6"/>
  <c r="H30" i="4"/>
  <c r="E15" i="1"/>
  <c r="H63" i="4"/>
  <c r="D62" i="5"/>
  <c r="L98" i="6"/>
  <c r="M84" i="5"/>
  <c r="F17" i="1"/>
  <c r="D42" i="3"/>
  <c r="D12" i="1"/>
  <c r="D16" i="1"/>
  <c r="L7" i="5"/>
  <c r="D96" i="6"/>
  <c r="H16" i="1"/>
  <c r="F16" i="1"/>
  <c r="L41" i="3"/>
  <c r="L96" i="6"/>
  <c r="L18" i="3"/>
  <c r="B10" i="1"/>
  <c r="D62" i="3"/>
  <c r="G14" i="1"/>
  <c r="M51" i="3"/>
  <c r="D13" i="1"/>
  <c r="H41" i="3"/>
  <c r="H15" i="1"/>
  <c r="L73" i="4"/>
  <c r="M73" i="3"/>
  <c r="B15" i="1"/>
  <c r="H62" i="5"/>
  <c r="D106" i="6"/>
  <c r="M30" i="4"/>
  <c r="M41" i="3"/>
  <c r="D9" i="1"/>
  <c r="D41" i="3"/>
  <c r="L18" i="2"/>
  <c r="D73" i="3"/>
  <c r="F10" i="1"/>
  <c r="G16" i="1"/>
  <c r="D63" i="4"/>
  <c r="B12" i="1"/>
  <c r="D19" i="2"/>
  <c r="L51" i="5"/>
  <c r="D17" i="1"/>
  <c r="H17" i="1"/>
  <c r="F12" i="1"/>
  <c r="M98" i="6"/>
  <c r="M7" i="4"/>
  <c r="M95" i="6"/>
  <c r="B16" i="1"/>
  <c r="E11" i="1"/>
  <c r="G15" i="1"/>
  <c r="M73" i="4"/>
  <c r="B11" i="1"/>
  <c r="L62" i="2"/>
  <c r="D95" i="6"/>
  <c r="M29" i="5"/>
  <c r="L30" i="4"/>
  <c r="G18" i="1"/>
  <c r="L85" i="4"/>
  <c r="E10" i="1"/>
  <c r="E17" i="1"/>
  <c r="G12" i="1"/>
  <c r="H18" i="2"/>
  <c r="G9" i="1"/>
  <c r="F15" i="1"/>
  <c r="G17" i="1"/>
  <c r="H106" i="4"/>
  <c r="D14" i="1"/>
  <c r="E18" i="1"/>
  <c r="L19" i="2"/>
  <c r="L28" i="6" l="1"/>
  <c r="L6" i="2"/>
  <c r="L28" i="2"/>
  <c r="L39" i="2"/>
  <c r="L94" i="2"/>
  <c r="L6" i="3"/>
  <c r="L50" i="3"/>
  <c r="J90" i="3"/>
  <c r="J89" i="3"/>
  <c r="J19" i="2"/>
  <c r="N18" i="2"/>
  <c r="J41" i="3"/>
  <c r="N29" i="5"/>
  <c r="N73" i="4"/>
  <c r="J106" i="4"/>
  <c r="F19" i="1"/>
  <c r="N107" i="6"/>
  <c r="N41" i="3"/>
  <c r="J106" i="3"/>
  <c r="J68" i="3"/>
  <c r="J67" i="3"/>
  <c r="J63" i="4"/>
  <c r="J79" i="3"/>
  <c r="J78" i="3"/>
  <c r="J30" i="4"/>
  <c r="N30" i="4"/>
  <c r="N40" i="4"/>
  <c r="J96" i="6"/>
  <c r="N84" i="2"/>
  <c r="J85" i="4"/>
  <c r="J68" i="5"/>
  <c r="J67" i="5"/>
  <c r="J106" i="2"/>
  <c r="J62" i="5"/>
  <c r="J112" i="3"/>
  <c r="J111" i="3"/>
  <c r="N106" i="2"/>
  <c r="J112" i="4"/>
  <c r="J111" i="4"/>
  <c r="J90" i="5"/>
  <c r="J89" i="5"/>
  <c r="N40" i="3"/>
  <c r="J84" i="5"/>
  <c r="D19" i="1"/>
  <c r="E19" i="1"/>
  <c r="J42" i="3"/>
  <c r="J101" i="6"/>
  <c r="J100" i="6"/>
  <c r="J68" i="6"/>
  <c r="J67" i="6"/>
  <c r="G19" i="1"/>
  <c r="J18" i="2"/>
  <c r="H19" i="1"/>
  <c r="N42" i="3"/>
  <c r="J112" i="6"/>
  <c r="J111" i="6"/>
  <c r="N7" i="4"/>
  <c r="N98" i="6"/>
  <c r="N19" i="2"/>
  <c r="J112" i="2"/>
  <c r="J111" i="2"/>
  <c r="N96" i="6"/>
  <c r="B31" i="2"/>
  <c r="B98" i="3"/>
  <c r="B9" i="4"/>
  <c r="B107" i="5"/>
  <c r="L28" i="3"/>
  <c r="B8" i="2"/>
  <c r="B107" i="3"/>
  <c r="L15" i="6"/>
  <c r="B19" i="5"/>
  <c r="L70" i="5"/>
  <c r="L72" i="5" s="1"/>
  <c r="F73" i="5"/>
  <c r="F74" i="5" s="1"/>
  <c r="F75" i="5" s="1"/>
  <c r="F76" i="5" s="1"/>
  <c r="B109" i="2"/>
  <c r="B64" i="6"/>
  <c r="B75" i="3"/>
  <c r="L26" i="4"/>
  <c r="F29" i="4"/>
  <c r="F30" i="4" s="1"/>
  <c r="F31" i="4" s="1"/>
  <c r="F32" i="4" s="1"/>
  <c r="L59" i="4"/>
  <c r="M61" i="4" s="1"/>
  <c r="F62" i="4"/>
  <c r="F63" i="4" s="1"/>
  <c r="F64" i="4" s="1"/>
  <c r="F65" i="4" s="1"/>
  <c r="B19" i="3"/>
  <c r="B96" i="2"/>
  <c r="B19" i="6"/>
  <c r="F18" i="3"/>
  <c r="F19" i="3" s="1"/>
  <c r="F20" i="3" s="1"/>
  <c r="F21" i="3" s="1"/>
  <c r="L15" i="3"/>
  <c r="M17" i="3" s="1"/>
  <c r="L59" i="3"/>
  <c r="L61" i="3" s="1"/>
  <c r="B85" i="2"/>
  <c r="B63" i="3"/>
  <c r="B32" i="4"/>
  <c r="Q10" i="7"/>
  <c r="B41" i="2"/>
  <c r="B97" i="4"/>
  <c r="L17" i="4"/>
  <c r="B54" i="2"/>
  <c r="L50" i="4"/>
  <c r="B30" i="6"/>
  <c r="B52" i="6"/>
  <c r="B8" i="3"/>
  <c r="B52" i="4"/>
  <c r="B8" i="6"/>
  <c r="B75" i="6"/>
  <c r="F7" i="3"/>
  <c r="F8" i="3" s="1"/>
  <c r="F9" i="3" s="1"/>
  <c r="F10" i="3" s="1"/>
  <c r="F106" i="2"/>
  <c r="F107" i="2" s="1"/>
  <c r="F108" i="2" s="1"/>
  <c r="F109" i="2" s="1"/>
  <c r="L103" i="2"/>
  <c r="L37" i="3"/>
  <c r="L39" i="3" s="1"/>
  <c r="F18" i="4"/>
  <c r="F19" i="4" s="1"/>
  <c r="F20" i="4" s="1"/>
  <c r="F21" i="4" s="1"/>
  <c r="L70" i="4"/>
  <c r="M72" i="4" s="1"/>
  <c r="F73" i="4"/>
  <c r="F74" i="4" s="1"/>
  <c r="F75" i="4" s="1"/>
  <c r="F76" i="4" s="1"/>
  <c r="L105" i="4"/>
  <c r="L81" i="4"/>
  <c r="F84" i="4"/>
  <c r="F85" i="4" s="1"/>
  <c r="F86" i="4" s="1"/>
  <c r="F87" i="4" s="1"/>
  <c r="L105" i="6"/>
  <c r="L70" i="2"/>
  <c r="L72" i="2" s="1"/>
  <c r="F73" i="2"/>
  <c r="F74" i="2" s="1"/>
  <c r="F75" i="2" s="1"/>
  <c r="F76" i="2" s="1"/>
  <c r="F51" i="4"/>
  <c r="F52" i="4" s="1"/>
  <c r="F53" i="4" s="1"/>
  <c r="F54" i="4" s="1"/>
  <c r="F106" i="6"/>
  <c r="F107" i="6" s="1"/>
  <c r="F108" i="6" s="1"/>
  <c r="F109" i="6" s="1"/>
  <c r="L103" i="6"/>
  <c r="B63" i="2"/>
  <c r="B53" i="3"/>
  <c r="M94" i="6"/>
  <c r="M72" i="6"/>
  <c r="M50" i="6"/>
  <c r="M28" i="6"/>
  <c r="M6" i="6"/>
  <c r="M105" i="6"/>
  <c r="M83" i="6"/>
  <c r="M61" i="6"/>
  <c r="L94" i="4"/>
  <c r="L39" i="4"/>
  <c r="L6" i="4"/>
  <c r="L50" i="2"/>
  <c r="L105" i="2"/>
  <c r="L83" i="2"/>
  <c r="L61" i="2"/>
  <c r="F62" i="2"/>
  <c r="F63" i="2" s="1"/>
  <c r="F64" i="2" s="1"/>
  <c r="F65" i="2" s="1"/>
  <c r="B75" i="2"/>
  <c r="B41" i="4"/>
  <c r="B107" i="4"/>
  <c r="F51" i="5"/>
  <c r="F52" i="5" s="1"/>
  <c r="F53" i="5" s="1"/>
  <c r="F54" i="5" s="1"/>
  <c r="L48" i="5"/>
  <c r="L94" i="5"/>
  <c r="L83" i="5"/>
  <c r="L17" i="5"/>
  <c r="L61" i="5"/>
  <c r="L6" i="5"/>
  <c r="L50" i="5"/>
  <c r="L105" i="5"/>
  <c r="L39" i="5"/>
  <c r="B41" i="5"/>
  <c r="B85" i="3"/>
  <c r="L81" i="6"/>
  <c r="L83" i="6" s="1"/>
  <c r="M94" i="2"/>
  <c r="M50" i="2"/>
  <c r="M28" i="2"/>
  <c r="M6" i="2"/>
  <c r="AH10" i="7"/>
  <c r="B96" i="5"/>
  <c r="M105" i="3"/>
  <c r="L105" i="3"/>
  <c r="I653" i="9"/>
  <c r="M17" i="2"/>
  <c r="L94" i="6"/>
  <c r="M94" i="5"/>
  <c r="B64" i="4"/>
  <c r="L72" i="3"/>
  <c r="Q10" i="9"/>
  <c r="B52" i="5"/>
  <c r="F7" i="4"/>
  <c r="F8" i="4" s="1"/>
  <c r="F9" i="4" s="1"/>
  <c r="F10" i="4" s="1"/>
  <c r="B8" i="5"/>
  <c r="F652" i="8"/>
  <c r="AA654" i="8"/>
  <c r="B42" i="6"/>
  <c r="G652" i="8"/>
  <c r="AB654" i="8"/>
  <c r="B85" i="6"/>
  <c r="B108" i="6"/>
  <c r="G651" i="7"/>
  <c r="AB653" i="7"/>
  <c r="P10" i="9"/>
  <c r="B20" i="4"/>
  <c r="L83" i="3"/>
  <c r="B63" i="5"/>
  <c r="B86" i="4"/>
  <c r="B74" i="5"/>
  <c r="Z651" i="7"/>
  <c r="X654" i="7"/>
  <c r="B30" i="3"/>
  <c r="B74" i="4"/>
  <c r="L26" i="5"/>
  <c r="L28" i="5" s="1"/>
  <c r="M105" i="2"/>
  <c r="B30" i="5"/>
  <c r="I653" i="8"/>
  <c r="B20" i="2"/>
  <c r="F95" i="3"/>
  <c r="F96" i="3" s="1"/>
  <c r="F97" i="3" s="1"/>
  <c r="F98" i="3" s="1"/>
  <c r="B85" i="5"/>
  <c r="AI10" i="9"/>
  <c r="M6" i="5"/>
  <c r="M28" i="5"/>
  <c r="M50" i="5"/>
  <c r="M72" i="5"/>
  <c r="M39" i="3"/>
  <c r="M83" i="3"/>
  <c r="P106" i="2"/>
  <c r="P109" i="6"/>
  <c r="P109" i="2"/>
  <c r="P65" i="5"/>
  <c r="P109" i="4"/>
  <c r="P65" i="6"/>
  <c r="P98" i="6"/>
  <c r="P51" i="5"/>
  <c r="P87" i="3"/>
  <c r="P109" i="3"/>
  <c r="P87" i="5"/>
  <c r="P76" i="3"/>
  <c r="P73" i="4"/>
  <c r="M19" i="4"/>
  <c r="H74" i="6"/>
  <c r="D62" i="2"/>
  <c r="L29" i="4"/>
  <c r="M31" i="4"/>
  <c r="D96" i="4"/>
  <c r="L29" i="2"/>
  <c r="H107" i="2"/>
  <c r="H73" i="3"/>
  <c r="L95" i="6"/>
  <c r="P95" i="6" s="1"/>
  <c r="D95" i="3"/>
  <c r="H29" i="4"/>
  <c r="D7" i="4"/>
  <c r="L73" i="3"/>
  <c r="P73" i="3" s="1"/>
  <c r="D73" i="2"/>
  <c r="L43" i="3"/>
  <c r="H107" i="6"/>
  <c r="H29" i="6"/>
  <c r="L41" i="6"/>
  <c r="L52" i="3"/>
  <c r="L40" i="2"/>
  <c r="L73" i="6"/>
  <c r="L84" i="3"/>
  <c r="L51" i="3"/>
  <c r="L30" i="2"/>
  <c r="D30" i="2"/>
  <c r="D95" i="5"/>
  <c r="P98" i="5" s="1"/>
  <c r="H106" i="6"/>
  <c r="M52" i="3"/>
  <c r="M29" i="2"/>
  <c r="D19" i="4"/>
  <c r="L62" i="3"/>
  <c r="M63" i="4"/>
  <c r="H18" i="5"/>
  <c r="D73" i="5"/>
  <c r="D63" i="6"/>
  <c r="D97" i="6"/>
  <c r="D40" i="2"/>
  <c r="L7" i="2"/>
  <c r="D18" i="3"/>
  <c r="M18" i="3"/>
  <c r="H108" i="2"/>
  <c r="D52" i="3"/>
  <c r="H18" i="6"/>
  <c r="M95" i="2"/>
  <c r="H7" i="3"/>
  <c r="H62" i="2"/>
  <c r="M18" i="4"/>
  <c r="D51" i="2"/>
  <c r="P54" i="2" s="1"/>
  <c r="M51" i="5"/>
  <c r="M43" i="3"/>
  <c r="D84" i="6"/>
  <c r="L62" i="5"/>
  <c r="H84" i="4"/>
  <c r="D7" i="5"/>
  <c r="D29" i="5"/>
  <c r="L62" i="4"/>
  <c r="L97" i="3"/>
  <c r="L95" i="2"/>
  <c r="H96" i="4"/>
  <c r="D108" i="2"/>
  <c r="D18" i="6"/>
  <c r="L7" i="6"/>
  <c r="H62" i="3"/>
  <c r="H51" i="3"/>
  <c r="H51" i="6"/>
  <c r="D51" i="3"/>
  <c r="D40" i="3"/>
  <c r="M96" i="4"/>
  <c r="L107" i="2"/>
  <c r="D40" i="6"/>
  <c r="M40" i="6"/>
  <c r="D73" i="4"/>
  <c r="D51" i="4"/>
  <c r="M51" i="4"/>
  <c r="H30" i="2"/>
  <c r="L40" i="6"/>
  <c r="H73" i="5"/>
  <c r="H97" i="3"/>
  <c r="M40" i="2"/>
  <c r="L106" i="5"/>
  <c r="P106" i="5" s="1"/>
  <c r="M30" i="2"/>
  <c r="L18" i="5"/>
  <c r="H73" i="6"/>
  <c r="L62" i="6"/>
  <c r="P62" i="6" s="1"/>
  <c r="L84" i="4"/>
  <c r="L51" i="4"/>
  <c r="M73" i="6"/>
  <c r="D106" i="5"/>
  <c r="P109" i="5" s="1"/>
  <c r="L95" i="4"/>
  <c r="H74" i="3"/>
  <c r="M8" i="4"/>
  <c r="H84" i="2"/>
  <c r="L96" i="3"/>
  <c r="M63" i="6"/>
  <c r="L53" i="2"/>
  <c r="D84" i="4"/>
  <c r="M7" i="3"/>
  <c r="D53" i="2"/>
  <c r="D74" i="6"/>
  <c r="M108" i="2"/>
  <c r="H74" i="2"/>
  <c r="H95" i="4"/>
  <c r="D41" i="6"/>
  <c r="D29" i="4"/>
  <c r="D107" i="2"/>
  <c r="H52" i="2"/>
  <c r="D95" i="4"/>
  <c r="M62" i="2"/>
  <c r="L73" i="5"/>
  <c r="D40" i="4"/>
  <c r="D84" i="2"/>
  <c r="L84" i="6"/>
  <c r="P87" i="6" s="1"/>
  <c r="M29" i="4"/>
  <c r="H95" i="3"/>
  <c r="M106" i="4"/>
  <c r="H95" i="6"/>
  <c r="M97" i="3"/>
  <c r="D29" i="2"/>
  <c r="D52" i="2"/>
  <c r="H62" i="6"/>
  <c r="L106" i="4"/>
  <c r="P106" i="4" s="1"/>
  <c r="M18" i="5"/>
  <c r="H63" i="6"/>
  <c r="H40" i="2"/>
  <c r="L51" i="2"/>
  <c r="P51" i="2" s="1"/>
  <c r="D7" i="6"/>
  <c r="D18" i="5"/>
  <c r="M74" i="3"/>
  <c r="D40" i="5"/>
  <c r="M62" i="5"/>
  <c r="P62" i="5" s="1"/>
  <c r="D95" i="2"/>
  <c r="M41" i="6"/>
  <c r="H97" i="6"/>
  <c r="M51" i="6"/>
  <c r="L96" i="4"/>
  <c r="H51" i="5"/>
  <c r="D31" i="4"/>
  <c r="H7" i="6"/>
  <c r="H8" i="4"/>
  <c r="D43" i="3"/>
  <c r="M62" i="3"/>
  <c r="D97" i="3"/>
  <c r="L63" i="6"/>
  <c r="M106" i="3"/>
  <c r="L108" i="2"/>
  <c r="M107" i="2"/>
  <c r="L97" i="6"/>
  <c r="L52" i="2"/>
  <c r="H18" i="3"/>
  <c r="L29" i="6"/>
  <c r="D107" i="6"/>
  <c r="L18" i="6"/>
  <c r="L84" i="5"/>
  <c r="P84" i="5" s="1"/>
  <c r="D96" i="3"/>
  <c r="H31" i="4"/>
  <c r="M52" i="2"/>
  <c r="M85" i="4"/>
  <c r="M73" i="5"/>
  <c r="L74" i="2"/>
  <c r="L74" i="6"/>
  <c r="H96" i="3"/>
  <c r="L95" i="3"/>
  <c r="H19" i="4"/>
  <c r="M95" i="4"/>
  <c r="D51" i="5"/>
  <c r="P54" i="5" s="1"/>
  <c r="L63" i="4"/>
  <c r="M29" i="6"/>
  <c r="M84" i="3"/>
  <c r="P84" i="3" s="1"/>
  <c r="M7" i="6"/>
  <c r="H40" i="3"/>
  <c r="H7" i="4"/>
  <c r="D98" i="6"/>
  <c r="M53" i="2"/>
  <c r="H84" i="6"/>
  <c r="L7" i="3"/>
  <c r="M84" i="6"/>
  <c r="P84" i="6" s="1"/>
  <c r="L95" i="5"/>
  <c r="P95" i="5" s="1"/>
  <c r="M74" i="2"/>
  <c r="D73" i="6"/>
  <c r="M74" i="6"/>
  <c r="D8" i="4"/>
  <c r="M97" i="6"/>
  <c r="L106" i="6"/>
  <c r="P106" i="6" s="1"/>
  <c r="L73" i="2"/>
  <c r="D7" i="2"/>
  <c r="L51" i="6"/>
  <c r="M40" i="5"/>
  <c r="D74" i="3"/>
  <c r="D7" i="3"/>
  <c r="M62" i="4"/>
  <c r="L40" i="5"/>
  <c r="H95" i="2"/>
  <c r="H29" i="3"/>
  <c r="H29" i="2"/>
  <c r="D51" i="6"/>
  <c r="L74" i="3"/>
  <c r="D62" i="4"/>
  <c r="H73" i="4"/>
  <c r="P76" i="4" s="1"/>
  <c r="H51" i="4"/>
  <c r="L8" i="4"/>
  <c r="H84" i="3"/>
  <c r="H53" i="2"/>
  <c r="D29" i="3"/>
  <c r="L31" i="4"/>
  <c r="M18" i="6"/>
  <c r="M73" i="2"/>
  <c r="H40" i="6"/>
  <c r="M7" i="5"/>
  <c r="L29" i="3"/>
  <c r="D18" i="4"/>
  <c r="P73" i="2"/>
  <c r="P76" i="2"/>
  <c r="P40" i="3"/>
  <c r="P43" i="3"/>
  <c r="P51" i="3"/>
  <c r="P54" i="3"/>
  <c r="P51" i="4"/>
  <c r="P54" i="4"/>
  <c r="P76" i="6"/>
  <c r="P73" i="6"/>
  <c r="P54" i="6"/>
  <c r="P51" i="6"/>
  <c r="P65" i="4"/>
  <c r="P62" i="4"/>
  <c r="J7" i="2" l="1"/>
  <c r="J62" i="2"/>
  <c r="N7" i="2"/>
  <c r="J7" i="5"/>
  <c r="J40" i="5"/>
  <c r="J40" i="2"/>
  <c r="J95" i="3"/>
  <c r="N84" i="3"/>
  <c r="J57" i="5"/>
  <c r="J56" i="5"/>
  <c r="J79" i="2"/>
  <c r="J78" i="2"/>
  <c r="J73" i="2"/>
  <c r="J74" i="2"/>
  <c r="N7" i="3"/>
  <c r="N8" i="4"/>
  <c r="N62" i="6"/>
  <c r="J73" i="5"/>
  <c r="J18" i="4"/>
  <c r="J97" i="6"/>
  <c r="J7" i="3"/>
  <c r="N29" i="2"/>
  <c r="J84" i="4"/>
  <c r="N74" i="2"/>
  <c r="J98" i="6"/>
  <c r="J40" i="4"/>
  <c r="N73" i="3"/>
  <c r="J96" i="3"/>
  <c r="N73" i="5"/>
  <c r="J31" i="4"/>
  <c r="J74" i="3"/>
  <c r="J73" i="6"/>
  <c r="N29" i="3"/>
  <c r="J53" i="2"/>
  <c r="J57" i="6"/>
  <c r="J56" i="6"/>
  <c r="J51" i="5"/>
  <c r="N95" i="2"/>
  <c r="N96" i="4"/>
  <c r="N52" i="3"/>
  <c r="N74" i="3"/>
  <c r="J63" i="6"/>
  <c r="N29" i="4"/>
  <c r="N95" i="4"/>
  <c r="N31" i="4"/>
  <c r="N108" i="2"/>
  <c r="J90" i="4"/>
  <c r="J89" i="4"/>
  <c r="N96" i="3"/>
  <c r="N62" i="3"/>
  <c r="J30" i="2"/>
  <c r="N7" i="5"/>
  <c r="J84" i="3"/>
  <c r="J29" i="2"/>
  <c r="N41" i="6"/>
  <c r="J18" i="6"/>
  <c r="J46" i="3"/>
  <c r="J45" i="3"/>
  <c r="J96" i="4"/>
  <c r="J106" i="6"/>
  <c r="J90" i="6"/>
  <c r="J89" i="6"/>
  <c r="N95" i="5"/>
  <c r="N97" i="3"/>
  <c r="J7" i="4"/>
  <c r="N29" i="6"/>
  <c r="J29" i="4"/>
  <c r="N85" i="4"/>
  <c r="J18" i="3"/>
  <c r="J43" i="3"/>
  <c r="J112" i="5"/>
  <c r="J111" i="5"/>
  <c r="J106" i="5"/>
  <c r="N30" i="2"/>
  <c r="N51" i="4"/>
  <c r="J40" i="6"/>
  <c r="J29" i="3"/>
  <c r="N106" i="6"/>
  <c r="J52" i="3"/>
  <c r="J57" i="3"/>
  <c r="J56" i="3"/>
  <c r="J79" i="5"/>
  <c r="J78" i="5"/>
  <c r="J101" i="5"/>
  <c r="J100" i="5"/>
  <c r="J95" i="5"/>
  <c r="N43" i="3"/>
  <c r="N74" i="6"/>
  <c r="N18" i="5"/>
  <c r="J84" i="6"/>
  <c r="N62" i="2"/>
  <c r="J19" i="4"/>
  <c r="J101" i="3"/>
  <c r="J100" i="3"/>
  <c r="J68" i="2"/>
  <c r="J67" i="2"/>
  <c r="J84" i="2"/>
  <c r="J8" i="4"/>
  <c r="N73" i="6"/>
  <c r="N106" i="5"/>
  <c r="J57" i="4"/>
  <c r="J56" i="4"/>
  <c r="N73" i="2"/>
  <c r="J51" i="4"/>
  <c r="J95" i="2"/>
  <c r="N40" i="5"/>
  <c r="J101" i="2"/>
  <c r="J100" i="2"/>
  <c r="J108" i="2"/>
  <c r="J51" i="6"/>
  <c r="J18" i="5"/>
  <c r="N51" i="5"/>
  <c r="J29" i="6"/>
  <c r="N84" i="6"/>
  <c r="J95" i="6"/>
  <c r="J40" i="3"/>
  <c r="J41" i="6"/>
  <c r="N95" i="6"/>
  <c r="J74" i="6"/>
  <c r="N52" i="2"/>
  <c r="N106" i="3"/>
  <c r="J7" i="6"/>
  <c r="N40" i="2"/>
  <c r="J79" i="4"/>
  <c r="J78" i="4"/>
  <c r="N18" i="6"/>
  <c r="J73" i="4"/>
  <c r="N51" i="6"/>
  <c r="N97" i="6"/>
  <c r="N18" i="3"/>
  <c r="J51" i="3"/>
  <c r="N63" i="4"/>
  <c r="J57" i="2"/>
  <c r="J56" i="2"/>
  <c r="J51" i="2"/>
  <c r="J107" i="6"/>
  <c r="J79" i="6"/>
  <c r="J78" i="6"/>
  <c r="N53" i="2"/>
  <c r="J90" i="2"/>
  <c r="J89" i="2"/>
  <c r="J101" i="4"/>
  <c r="J100" i="4"/>
  <c r="N95" i="3"/>
  <c r="J73" i="3"/>
  <c r="N19" i="4"/>
  <c r="N63" i="6"/>
  <c r="N84" i="5"/>
  <c r="N107" i="2"/>
  <c r="N84" i="4"/>
  <c r="J97" i="3"/>
  <c r="N40" i="6"/>
  <c r="J68" i="4"/>
  <c r="J67" i="4"/>
  <c r="J62" i="4"/>
  <c r="N62" i="4"/>
  <c r="N62" i="5"/>
  <c r="J62" i="3"/>
  <c r="J29" i="5"/>
  <c r="N51" i="3"/>
  <c r="N18" i="4"/>
  <c r="N51" i="2"/>
  <c r="J62" i="6"/>
  <c r="N106" i="4"/>
  <c r="N7" i="6"/>
  <c r="J52" i="2"/>
  <c r="J95" i="4"/>
  <c r="J107" i="2"/>
  <c r="B98" i="4"/>
  <c r="B42" i="4"/>
  <c r="B42" i="2"/>
  <c r="B76" i="2"/>
  <c r="M28" i="4"/>
  <c r="L28" i="4"/>
  <c r="L83" i="4"/>
  <c r="M83" i="4"/>
  <c r="L17" i="3"/>
  <c r="B86" i="3"/>
  <c r="B21" i="4"/>
  <c r="L61" i="4"/>
  <c r="B20" i="6"/>
  <c r="B108" i="4"/>
  <c r="B75" i="4"/>
  <c r="B9" i="6"/>
  <c r="B9" i="2"/>
  <c r="B9" i="5"/>
  <c r="B53" i="6"/>
  <c r="B31" i="5"/>
  <c r="B54" i="3"/>
  <c r="B108" i="5"/>
  <c r="B97" i="2"/>
  <c r="B31" i="6"/>
  <c r="B32" i="2"/>
  <c r="B64" i="2"/>
  <c r="B9" i="3"/>
  <c r="B86" i="5"/>
  <c r="B42" i="5"/>
  <c r="L72" i="4"/>
  <c r="B21" i="2"/>
  <c r="B20" i="3"/>
  <c r="M17" i="6"/>
  <c r="L17" i="6"/>
  <c r="B65" i="4"/>
  <c r="B53" i="5"/>
  <c r="B109" i="6"/>
  <c r="B75" i="5"/>
  <c r="B97" i="5"/>
  <c r="B64" i="3"/>
  <c r="B87" i="4"/>
  <c r="M72" i="2"/>
  <c r="B86" i="2"/>
  <c r="M61" i="3"/>
  <c r="B76" i="3"/>
  <c r="B10" i="4"/>
  <c r="B65" i="6"/>
  <c r="B86" i="6"/>
  <c r="B20" i="5"/>
  <c r="B43" i="6"/>
  <c r="B76" i="6"/>
  <c r="B108" i="3"/>
  <c r="B53" i="4"/>
  <c r="B31" i="3"/>
  <c r="B64" i="5"/>
  <c r="P95" i="4"/>
  <c r="P98" i="3"/>
  <c r="P84" i="2"/>
  <c r="P76" i="5"/>
  <c r="P87" i="2"/>
  <c r="P65" i="2"/>
  <c r="P65" i="3"/>
  <c r="P73" i="5"/>
  <c r="P106" i="3"/>
  <c r="P62" i="3"/>
  <c r="P84" i="4"/>
  <c r="P98" i="4"/>
  <c r="P98" i="2"/>
  <c r="P87" i="4"/>
  <c r="P95" i="2"/>
  <c r="P95" i="3"/>
  <c r="P62" i="2"/>
  <c r="L63" i="3"/>
  <c r="M107" i="3"/>
  <c r="H75" i="2"/>
  <c r="L107" i="5"/>
  <c r="D41" i="4"/>
  <c r="M75" i="2"/>
  <c r="D31" i="2"/>
  <c r="M64" i="6"/>
  <c r="D96" i="2"/>
  <c r="H75" i="3"/>
  <c r="H64" i="4"/>
  <c r="L107" i="4"/>
  <c r="M74" i="5"/>
  <c r="D108" i="6"/>
  <c r="H107" i="3"/>
  <c r="M8" i="5"/>
  <c r="L74" i="5"/>
  <c r="M64" i="4"/>
  <c r="L75" i="2"/>
  <c r="D41" i="5"/>
  <c r="H108" i="6"/>
  <c r="H63" i="3"/>
  <c r="D8" i="5"/>
  <c r="M74" i="4"/>
  <c r="H41" i="4"/>
  <c r="D20" i="2"/>
  <c r="M41" i="2"/>
  <c r="H42" i="6"/>
  <c r="M96" i="2"/>
  <c r="D85" i="6"/>
  <c r="H74" i="5"/>
  <c r="D86" i="4"/>
  <c r="D97" i="4"/>
  <c r="M19" i="6"/>
  <c r="L41" i="2"/>
  <c r="D63" i="3"/>
  <c r="L52" i="5"/>
  <c r="L85" i="3"/>
  <c r="M19" i="5"/>
  <c r="M20" i="4"/>
  <c r="D30" i="6"/>
  <c r="M107" i="4"/>
  <c r="L8" i="2"/>
  <c r="L19" i="6"/>
  <c r="H75" i="6"/>
  <c r="M108" i="6"/>
  <c r="D8" i="2"/>
  <c r="H52" i="5"/>
  <c r="L52" i="6"/>
  <c r="L52" i="4"/>
  <c r="M63" i="5"/>
  <c r="L108" i="6"/>
  <c r="H96" i="2"/>
  <c r="L30" i="3"/>
  <c r="H31" i="2"/>
  <c r="H52" i="4"/>
  <c r="H20" i="2"/>
  <c r="H30" i="5"/>
  <c r="M41" i="5"/>
  <c r="M63" i="2"/>
  <c r="L41" i="4"/>
  <c r="D74" i="4"/>
  <c r="L41" i="5"/>
  <c r="D64" i="4"/>
  <c r="M98" i="3"/>
  <c r="M54" i="2"/>
  <c r="H30" i="6"/>
  <c r="D30" i="3"/>
  <c r="D107" i="5"/>
  <c r="H52" i="6"/>
  <c r="H107" i="4"/>
  <c r="H20" i="4"/>
  <c r="D109" i="2"/>
  <c r="M86" i="4"/>
  <c r="H19" i="5"/>
  <c r="D85" i="3"/>
  <c r="H8" i="2"/>
  <c r="M53" i="3"/>
  <c r="H19" i="6"/>
  <c r="D107" i="3"/>
  <c r="L85" i="6"/>
  <c r="H96" i="5"/>
  <c r="L74" i="4"/>
  <c r="D53" i="3"/>
  <c r="L64" i="6"/>
  <c r="L19" i="3"/>
  <c r="M42" i="6"/>
  <c r="L20" i="4"/>
  <c r="L85" i="2"/>
  <c r="H85" i="5"/>
  <c r="L97" i="4"/>
  <c r="L8" i="5"/>
  <c r="M8" i="3"/>
  <c r="D20" i="4"/>
  <c r="L96" i="2"/>
  <c r="D9" i="4"/>
  <c r="L109" i="2"/>
  <c r="D75" i="6"/>
  <c r="M52" i="5"/>
  <c r="M30" i="5"/>
  <c r="H54" i="2"/>
  <c r="M75" i="6"/>
  <c r="H74" i="4"/>
  <c r="H32" i="4"/>
  <c r="M107" i="5"/>
  <c r="L63" i="5"/>
  <c r="L31" i="2"/>
  <c r="H9" i="4"/>
  <c r="L42" i="6"/>
  <c r="M75" i="3"/>
  <c r="H107" i="5"/>
  <c r="M97" i="4"/>
  <c r="D85" i="2"/>
  <c r="D85" i="5"/>
  <c r="D96" i="5"/>
  <c r="M8" i="2"/>
  <c r="M52" i="6"/>
  <c r="H85" i="6"/>
  <c r="D98" i="3"/>
  <c r="M20" i="2"/>
  <c r="H63" i="2"/>
  <c r="D52" i="6"/>
  <c r="L30" i="6"/>
  <c r="L98" i="3"/>
  <c r="L75" i="3"/>
  <c r="L19" i="5"/>
  <c r="L20" i="2"/>
  <c r="H53" i="3"/>
  <c r="D8" i="3"/>
  <c r="H64" i="6"/>
  <c r="M85" i="6"/>
  <c r="M96" i="5"/>
  <c r="D64" i="6"/>
  <c r="M30" i="3"/>
  <c r="H86" i="4"/>
  <c r="H41" i="5"/>
  <c r="D32" i="4"/>
  <c r="L64" i="4"/>
  <c r="L53" i="3"/>
  <c r="H30" i="3"/>
  <c r="L96" i="5"/>
  <c r="D19" i="6"/>
  <c r="L8" i="3"/>
  <c r="M85" i="2"/>
  <c r="D19" i="3"/>
  <c r="M31" i="2"/>
  <c r="L86" i="4"/>
  <c r="D63" i="2"/>
  <c r="H19" i="3"/>
  <c r="D52" i="4"/>
  <c r="D63" i="5"/>
  <c r="D75" i="2"/>
  <c r="D74" i="5"/>
  <c r="M109" i="2"/>
  <c r="M8" i="6"/>
  <c r="L9" i="4"/>
  <c r="M30" i="6"/>
  <c r="L54" i="2"/>
  <c r="M9" i="4"/>
  <c r="H8" i="6"/>
  <c r="M41" i="4"/>
  <c r="L85" i="5"/>
  <c r="H98" i="3"/>
  <c r="M63" i="3"/>
  <c r="H63" i="5"/>
  <c r="D54" i="2"/>
  <c r="M32" i="4"/>
  <c r="L30" i="5"/>
  <c r="M19" i="3"/>
  <c r="D107" i="4"/>
  <c r="H109" i="2"/>
  <c r="D30" i="5"/>
  <c r="D42" i="6"/>
  <c r="L8" i="6"/>
  <c r="D19" i="5"/>
  <c r="L107" i="3"/>
  <c r="H85" i="2"/>
  <c r="L75" i="6"/>
  <c r="H97" i="4"/>
  <c r="H8" i="3"/>
  <c r="M85" i="3"/>
  <c r="H41" i="2"/>
  <c r="M85" i="5"/>
  <c r="H8" i="5"/>
  <c r="L63" i="2"/>
  <c r="D41" i="2"/>
  <c r="M52" i="4"/>
  <c r="D75" i="3"/>
  <c r="H85" i="3"/>
  <c r="L32" i="4"/>
  <c r="D8" i="6"/>
  <c r="D52" i="5"/>
  <c r="P32" i="4"/>
  <c r="P29" i="4"/>
  <c r="J63" i="2" l="1"/>
  <c r="N54" i="2"/>
  <c r="J19" i="5"/>
  <c r="J31" i="2"/>
  <c r="N107" i="4"/>
  <c r="J42" i="6"/>
  <c r="J108" i="6"/>
  <c r="N52" i="6"/>
  <c r="J41" i="2"/>
  <c r="N75" i="3"/>
  <c r="J54" i="2"/>
  <c r="J63" i="5"/>
  <c r="N30" i="3"/>
  <c r="N85" i="6"/>
  <c r="N30" i="6"/>
  <c r="J52" i="6"/>
  <c r="J19" i="6"/>
  <c r="N98" i="3"/>
  <c r="N63" i="2"/>
  <c r="J52" i="5"/>
  <c r="N19" i="6"/>
  <c r="N41" i="2"/>
  <c r="N74" i="5"/>
  <c r="N75" i="2"/>
  <c r="J85" i="2"/>
  <c r="N85" i="2"/>
  <c r="J109" i="2"/>
  <c r="J41" i="5"/>
  <c r="N41" i="4"/>
  <c r="N52" i="4"/>
  <c r="N109" i="2"/>
  <c r="N41" i="5"/>
  <c r="J96" i="2"/>
  <c r="N20" i="4"/>
  <c r="J8" i="5"/>
  <c r="J97" i="4"/>
  <c r="N31" i="2"/>
  <c r="J32" i="4"/>
  <c r="J30" i="3"/>
  <c r="N52" i="5"/>
  <c r="N42" i="6"/>
  <c r="J20" i="4"/>
  <c r="J8" i="2"/>
  <c r="J30" i="5"/>
  <c r="N108" i="6"/>
  <c r="N19" i="5"/>
  <c r="J41" i="4"/>
  <c r="N64" i="4"/>
  <c r="J64" i="4"/>
  <c r="N8" i="2"/>
  <c r="N85" i="3"/>
  <c r="N97" i="4"/>
  <c r="J74" i="4"/>
  <c r="N32" i="4"/>
  <c r="N63" i="3"/>
  <c r="J64" i="6"/>
  <c r="J8" i="6"/>
  <c r="J85" i="3"/>
  <c r="N20" i="2"/>
  <c r="J85" i="6"/>
  <c r="N86" i="4"/>
  <c r="J75" i="6"/>
  <c r="J74" i="5"/>
  <c r="N74" i="4"/>
  <c r="J75" i="3"/>
  <c r="J75" i="2"/>
  <c r="N30" i="5"/>
  <c r="J35" i="4"/>
  <c r="J34" i="4"/>
  <c r="J86" i="4"/>
  <c r="J85" i="5"/>
  <c r="J96" i="5"/>
  <c r="N8" i="6"/>
  <c r="N53" i="3"/>
  <c r="J20" i="2"/>
  <c r="N63" i="5"/>
  <c r="N8" i="5"/>
  <c r="N107" i="3"/>
  <c r="J8" i="3"/>
  <c r="N96" i="5"/>
  <c r="N9" i="4"/>
  <c r="J107" i="4"/>
  <c r="J30" i="6"/>
  <c r="J52" i="4"/>
  <c r="N96" i="2"/>
  <c r="J63" i="3"/>
  <c r="J107" i="3"/>
  <c r="N64" i="6"/>
  <c r="N85" i="5"/>
  <c r="J19" i="3"/>
  <c r="J107" i="5"/>
  <c r="J9" i="4"/>
  <c r="N107" i="5"/>
  <c r="N75" i="6"/>
  <c r="N19" i="3"/>
  <c r="J98" i="3"/>
  <c r="N8" i="3"/>
  <c r="J53" i="3"/>
  <c r="B32" i="5"/>
  <c r="B109" i="4"/>
  <c r="B76" i="4"/>
  <c r="B32" i="3"/>
  <c r="B54" i="6"/>
  <c r="B54" i="5"/>
  <c r="B43" i="2"/>
  <c r="B43" i="4"/>
  <c r="B10" i="5"/>
  <c r="B65" i="5"/>
  <c r="B76" i="5"/>
  <c r="B65" i="2"/>
  <c r="B87" i="5"/>
  <c r="B87" i="6"/>
  <c r="B32" i="6"/>
  <c r="B43" i="5"/>
  <c r="B109" i="5"/>
  <c r="B87" i="2"/>
  <c r="B21" i="6"/>
  <c r="B10" i="2"/>
  <c r="B87" i="3"/>
  <c r="B10" i="3"/>
  <c r="B109" i="3"/>
  <c r="B65" i="3"/>
  <c r="B21" i="3"/>
  <c r="B10" i="6"/>
  <c r="B21" i="5"/>
  <c r="B54" i="4"/>
  <c r="B98" i="2"/>
  <c r="B98" i="5"/>
  <c r="L32" i="2"/>
  <c r="M87" i="4"/>
  <c r="H31" i="5"/>
  <c r="M9" i="3"/>
  <c r="H9" i="2"/>
  <c r="H87" i="4"/>
  <c r="D53" i="4"/>
  <c r="H20" i="3"/>
  <c r="D9" i="6"/>
  <c r="L9" i="3"/>
  <c r="M86" i="5"/>
  <c r="L43" i="6"/>
  <c r="M42" i="4"/>
  <c r="M76" i="6"/>
  <c r="H64" i="5"/>
  <c r="H9" i="6"/>
  <c r="D20" i="3"/>
  <c r="D9" i="2"/>
  <c r="M20" i="6"/>
  <c r="H109" i="6"/>
  <c r="H108" i="4"/>
  <c r="M86" i="6"/>
  <c r="D86" i="5"/>
  <c r="L64" i="3"/>
  <c r="M108" i="3"/>
  <c r="D108" i="4"/>
  <c r="L75" i="5"/>
  <c r="H75" i="4"/>
  <c r="L86" i="3"/>
  <c r="H65" i="6"/>
  <c r="M65" i="6"/>
  <c r="H53" i="5"/>
  <c r="H86" i="6"/>
  <c r="D20" i="6"/>
  <c r="H9" i="3"/>
  <c r="L108" i="5"/>
  <c r="H75" i="5"/>
  <c r="H86" i="2"/>
  <c r="D64" i="2"/>
  <c r="D54" i="3"/>
  <c r="M108" i="5"/>
  <c r="L64" i="2"/>
  <c r="L53" i="6"/>
  <c r="H108" i="5"/>
  <c r="H21" i="2"/>
  <c r="L42" i="5"/>
  <c r="M43" i="6"/>
  <c r="H86" i="3"/>
  <c r="L21" i="2"/>
  <c r="H64" i="3"/>
  <c r="D76" i="6"/>
  <c r="L98" i="4"/>
  <c r="D53" i="5"/>
  <c r="D108" i="5"/>
  <c r="H76" i="2"/>
  <c r="H20" i="5"/>
  <c r="L9" i="2"/>
  <c r="D86" i="3"/>
  <c r="D76" i="2"/>
  <c r="D10" i="4"/>
  <c r="D9" i="3"/>
  <c r="M53" i="6"/>
  <c r="M75" i="4"/>
  <c r="H10" i="4"/>
  <c r="L64" i="5"/>
  <c r="D97" i="5"/>
  <c r="D75" i="5"/>
  <c r="M98" i="4"/>
  <c r="M31" i="5"/>
  <c r="H43" i="6"/>
  <c r="H54" i="3"/>
  <c r="D75" i="4"/>
  <c r="D20" i="5"/>
  <c r="D109" i="6"/>
  <c r="D53" i="6"/>
  <c r="D9" i="5"/>
  <c r="L76" i="2"/>
  <c r="M21" i="4"/>
  <c r="M53" i="4"/>
  <c r="M53" i="5"/>
  <c r="D32" i="2"/>
  <c r="M9" i="6"/>
  <c r="M21" i="2"/>
  <c r="L75" i="4"/>
  <c r="M64" i="2"/>
  <c r="D42" i="4"/>
  <c r="H76" i="3"/>
  <c r="M108" i="4"/>
  <c r="L53" i="4"/>
  <c r="M75" i="5"/>
  <c r="L21" i="4"/>
  <c r="L31" i="6"/>
  <c r="M86" i="2"/>
  <c r="M9" i="2"/>
  <c r="D31" i="6"/>
  <c r="M20" i="3"/>
  <c r="L54" i="3"/>
  <c r="D21" i="4"/>
  <c r="M32" i="2"/>
  <c r="H32" i="2"/>
  <c r="H42" i="5"/>
  <c r="L20" i="6"/>
  <c r="L9" i="5"/>
  <c r="M76" i="2"/>
  <c r="L65" i="4"/>
  <c r="H20" i="6"/>
  <c r="M31" i="6"/>
  <c r="L86" i="5"/>
  <c r="L108" i="3"/>
  <c r="M64" i="5"/>
  <c r="D21" i="2"/>
  <c r="H65" i="4"/>
  <c r="M42" i="5"/>
  <c r="H31" i="6"/>
  <c r="M109" i="6"/>
  <c r="M97" i="2"/>
  <c r="L76" i="3"/>
  <c r="M20" i="5"/>
  <c r="H21" i="4"/>
  <c r="D97" i="2"/>
  <c r="M31" i="3"/>
  <c r="H42" i="4"/>
  <c r="D64" i="5"/>
  <c r="L97" i="5"/>
  <c r="H53" i="4"/>
  <c r="M64" i="3"/>
  <c r="D65" i="6"/>
  <c r="M42" i="2"/>
  <c r="D31" i="3"/>
  <c r="D42" i="5"/>
  <c r="L87" i="4"/>
  <c r="D98" i="4"/>
  <c r="H42" i="2"/>
  <c r="H76" i="6"/>
  <c r="D86" i="6"/>
  <c r="L76" i="6"/>
  <c r="L20" i="5"/>
  <c r="L20" i="3"/>
  <c r="L86" i="2"/>
  <c r="M9" i="5"/>
  <c r="M65" i="4"/>
  <c r="H64" i="2"/>
  <c r="L42" i="4"/>
  <c r="L65" i="6"/>
  <c r="H97" i="2"/>
  <c r="D76" i="3"/>
  <c r="H108" i="3"/>
  <c r="H86" i="5"/>
  <c r="L108" i="4"/>
  <c r="L10" i="4"/>
  <c r="H97" i="5"/>
  <c r="L42" i="2"/>
  <c r="D108" i="3"/>
  <c r="M86" i="3"/>
  <c r="D43" i="6"/>
  <c r="H53" i="6"/>
  <c r="M54" i="3"/>
  <c r="L97" i="2"/>
  <c r="L9" i="6"/>
  <c r="D64" i="3"/>
  <c r="L31" i="3"/>
  <c r="D87" i="4"/>
  <c r="D86" i="2"/>
  <c r="D65" i="4"/>
  <c r="L86" i="6"/>
  <c r="L109" i="6"/>
  <c r="M76" i="3"/>
  <c r="H31" i="3"/>
  <c r="M10" i="4"/>
  <c r="L53" i="5"/>
  <c r="H9" i="5"/>
  <c r="M97" i="5"/>
  <c r="H98" i="4"/>
  <c r="D31" i="5"/>
  <c r="L31" i="5"/>
  <c r="D42" i="2"/>
  <c r="P29" i="2"/>
  <c r="P32" i="2"/>
  <c r="P40" i="6"/>
  <c r="P43" i="6"/>
  <c r="P21" i="2"/>
  <c r="P18" i="2"/>
  <c r="P18" i="4"/>
  <c r="P21" i="4"/>
  <c r="P7" i="4"/>
  <c r="P10" i="4"/>
  <c r="N64" i="5" l="1"/>
  <c r="N20" i="3"/>
  <c r="J10" i="4"/>
  <c r="J76" i="3"/>
  <c r="N9" i="6"/>
  <c r="J9" i="5"/>
  <c r="N9" i="5"/>
  <c r="J43" i="6"/>
  <c r="J31" i="3"/>
  <c r="J86" i="3"/>
  <c r="J65" i="6"/>
  <c r="J87" i="4"/>
  <c r="N54" i="3"/>
  <c r="J42" i="4"/>
  <c r="N97" i="2"/>
  <c r="J64" i="2"/>
  <c r="J34" i="2"/>
  <c r="J35" i="2"/>
  <c r="N10" i="4"/>
  <c r="N31" i="5"/>
  <c r="N53" i="6"/>
  <c r="N43" i="6"/>
  <c r="J9" i="3"/>
  <c r="N86" i="5"/>
  <c r="J9" i="2"/>
  <c r="J76" i="6"/>
  <c r="J53" i="6"/>
  <c r="J97" i="2"/>
  <c r="N109" i="6"/>
  <c r="J42" i="5"/>
  <c r="N9" i="2"/>
  <c r="N97" i="5"/>
  <c r="N64" i="2"/>
  <c r="N53" i="5"/>
  <c r="N98" i="4"/>
  <c r="J64" i="3"/>
  <c r="J75" i="4"/>
  <c r="N86" i="6"/>
  <c r="J9" i="6"/>
  <c r="N9" i="3"/>
  <c r="N76" i="3"/>
  <c r="J86" i="5"/>
  <c r="J45" i="6"/>
  <c r="J46" i="6"/>
  <c r="N64" i="3"/>
  <c r="N31" i="3"/>
  <c r="J31" i="6"/>
  <c r="N31" i="6"/>
  <c r="J32" i="2"/>
  <c r="N86" i="2"/>
  <c r="N53" i="4"/>
  <c r="N75" i="4"/>
  <c r="J20" i="5"/>
  <c r="J21" i="2"/>
  <c r="J86" i="2"/>
  <c r="J86" i="6"/>
  <c r="J108" i="4"/>
  <c r="J64" i="5"/>
  <c r="J31" i="5"/>
  <c r="J98" i="4"/>
  <c r="N86" i="3"/>
  <c r="N42" i="5"/>
  <c r="J20" i="6"/>
  <c r="N32" i="2"/>
  <c r="N21" i="4"/>
  <c r="N65" i="4"/>
  <c r="J76" i="2"/>
  <c r="J75" i="5"/>
  <c r="J53" i="5"/>
  <c r="J109" i="6"/>
  <c r="N76" i="6"/>
  <c r="J20" i="3"/>
  <c r="N87" i="4"/>
  <c r="J108" i="3"/>
  <c r="J53" i="4"/>
  <c r="J21" i="4"/>
  <c r="J65" i="4"/>
  <c r="J24" i="4"/>
  <c r="J23" i="4"/>
  <c r="J97" i="5"/>
  <c r="N21" i="2"/>
  <c r="J54" i="3"/>
  <c r="J13" i="4"/>
  <c r="J12" i="4"/>
  <c r="J108" i="5"/>
  <c r="N108" i="5"/>
  <c r="N65" i="6"/>
  <c r="N108" i="3"/>
  <c r="N20" i="6"/>
  <c r="N42" i="4"/>
  <c r="J42" i="2"/>
  <c r="N42" i="2"/>
  <c r="N20" i="5"/>
  <c r="J23" i="2"/>
  <c r="J24" i="2"/>
  <c r="N76" i="2"/>
  <c r="N75" i="5"/>
  <c r="N108" i="4"/>
  <c r="D32" i="6"/>
  <c r="L87" i="5"/>
  <c r="L54" i="4"/>
  <c r="D76" i="4"/>
  <c r="M109" i="4"/>
  <c r="H10" i="3"/>
  <c r="L109" i="4"/>
  <c r="H54" i="6"/>
  <c r="M21" i="6"/>
  <c r="L109" i="5"/>
  <c r="M87" i="3"/>
  <c r="D10" i="6"/>
  <c r="M10" i="3"/>
  <c r="L65" i="5"/>
  <c r="H10" i="2"/>
  <c r="L32" i="6"/>
  <c r="L10" i="6"/>
  <c r="L43" i="2"/>
  <c r="H65" i="2"/>
  <c r="H54" i="4"/>
  <c r="M10" i="2"/>
  <c r="H87" i="3"/>
  <c r="H109" i="5"/>
  <c r="M21" i="5"/>
  <c r="D65" i="3"/>
  <c r="M32" i="3"/>
  <c r="D109" i="3"/>
  <c r="L21" i="3"/>
  <c r="D43" i="5"/>
  <c r="H32" i="3"/>
  <c r="M76" i="4"/>
  <c r="D10" i="3"/>
  <c r="M32" i="5"/>
  <c r="M43" i="5"/>
  <c r="H10" i="6"/>
  <c r="L10" i="2"/>
  <c r="M98" i="2"/>
  <c r="D87" i="2"/>
  <c r="D98" i="2"/>
  <c r="M10" i="5"/>
  <c r="L98" i="2"/>
  <c r="H21" i="5"/>
  <c r="D21" i="6"/>
  <c r="H65" i="3"/>
  <c r="L10" i="3"/>
  <c r="L87" i="6"/>
  <c r="L76" i="5"/>
  <c r="L32" i="5"/>
  <c r="D98" i="5"/>
  <c r="M54" i="4"/>
  <c r="H109" i="3"/>
  <c r="L54" i="5"/>
  <c r="M87" i="6"/>
  <c r="M87" i="2"/>
  <c r="H98" i="5"/>
  <c r="D65" i="5"/>
  <c r="L87" i="3"/>
  <c r="L32" i="3"/>
  <c r="H98" i="2"/>
  <c r="M10" i="6"/>
  <c r="D54" i="4"/>
  <c r="M32" i="6"/>
  <c r="M65" i="5"/>
  <c r="H32" i="6"/>
  <c r="L10" i="5"/>
  <c r="M65" i="3"/>
  <c r="M43" i="4"/>
  <c r="L54" i="6"/>
  <c r="D87" i="5"/>
  <c r="D43" i="4"/>
  <c r="M54" i="5"/>
  <c r="H109" i="4"/>
  <c r="D76" i="5"/>
  <c r="H76" i="4"/>
  <c r="D87" i="3"/>
  <c r="D54" i="5"/>
  <c r="H43" i="4"/>
  <c r="H65" i="5"/>
  <c r="H32" i="5"/>
  <c r="H10" i="5"/>
  <c r="D10" i="2"/>
  <c r="L43" i="4"/>
  <c r="H54" i="5"/>
  <c r="L76" i="4"/>
  <c r="D65" i="2"/>
  <c r="L98" i="5"/>
  <c r="M54" i="6"/>
  <c r="L109" i="3"/>
  <c r="D10" i="5"/>
  <c r="D54" i="6"/>
  <c r="M21" i="3"/>
  <c r="L65" i="2"/>
  <c r="H87" i="2"/>
  <c r="H76" i="5"/>
  <c r="L21" i="6"/>
  <c r="M109" i="3"/>
  <c r="M98" i="5"/>
  <c r="D109" i="4"/>
  <c r="H87" i="5"/>
  <c r="D87" i="6"/>
  <c r="D32" i="3"/>
  <c r="H21" i="3"/>
  <c r="H87" i="6"/>
  <c r="M109" i="5"/>
  <c r="D21" i="3"/>
  <c r="M43" i="2"/>
  <c r="D21" i="5"/>
  <c r="D43" i="2"/>
  <c r="M87" i="5"/>
  <c r="M65" i="2"/>
  <c r="M76" i="5"/>
  <c r="H43" i="2"/>
  <c r="L21" i="5"/>
  <c r="D109" i="5"/>
  <c r="H21" i="6"/>
  <c r="D32" i="5"/>
  <c r="L87" i="2"/>
  <c r="H43" i="5"/>
  <c r="L65" i="3"/>
  <c r="L43" i="5"/>
  <c r="P32" i="6"/>
  <c r="P29" i="6"/>
  <c r="P10" i="6"/>
  <c r="P7" i="6"/>
  <c r="P43" i="2"/>
  <c r="P40" i="2"/>
  <c r="P18" i="3"/>
  <c r="P21" i="3"/>
  <c r="P7" i="2"/>
  <c r="P10" i="2"/>
  <c r="P10" i="3"/>
  <c r="P7" i="3"/>
  <c r="P32" i="5"/>
  <c r="P29" i="5"/>
  <c r="P29" i="3"/>
  <c r="P32" i="3"/>
  <c r="P10" i="5"/>
  <c r="P7" i="5"/>
  <c r="P43" i="4"/>
  <c r="P40" i="4"/>
  <c r="P21" i="6"/>
  <c r="P18" i="6"/>
  <c r="P18" i="5"/>
  <c r="P21" i="5"/>
  <c r="P43" i="5"/>
  <c r="P40" i="5"/>
  <c r="N109" i="5" l="1"/>
  <c r="J35" i="3"/>
  <c r="J34" i="3"/>
  <c r="J65" i="5"/>
  <c r="N109" i="3"/>
  <c r="J10" i="6"/>
  <c r="J12" i="3"/>
  <c r="J13" i="3"/>
  <c r="J32" i="3"/>
  <c r="J109" i="5"/>
  <c r="J98" i="5"/>
  <c r="J109" i="3"/>
  <c r="J12" i="6"/>
  <c r="J13" i="6"/>
  <c r="J23" i="6"/>
  <c r="J24" i="6"/>
  <c r="J45" i="4"/>
  <c r="J46" i="4"/>
  <c r="J12" i="5"/>
  <c r="J13" i="5"/>
  <c r="J43" i="5"/>
  <c r="J21" i="6"/>
  <c r="J10" i="5"/>
  <c r="J76" i="4"/>
  <c r="N43" i="4"/>
  <c r="N65" i="5"/>
  <c r="N10" i="6"/>
  <c r="J54" i="4"/>
  <c r="N87" i="6"/>
  <c r="N87" i="3"/>
  <c r="N21" i="6"/>
  <c r="J10" i="3"/>
  <c r="J21" i="5"/>
  <c r="N21" i="3"/>
  <c r="J43" i="2"/>
  <c r="J46" i="2"/>
  <c r="J45" i="2"/>
  <c r="N43" i="2"/>
  <c r="J87" i="6"/>
  <c r="J43" i="4"/>
  <c r="J76" i="5"/>
  <c r="N98" i="2"/>
  <c r="N43" i="5"/>
  <c r="N76" i="4"/>
  <c r="J46" i="5"/>
  <c r="J45" i="5"/>
  <c r="N32" i="3"/>
  <c r="J87" i="3"/>
  <c r="N87" i="2"/>
  <c r="N54" i="4"/>
  <c r="N10" i="3"/>
  <c r="J54" i="6"/>
  <c r="J65" i="3"/>
  <c r="N65" i="2"/>
  <c r="J34" i="5"/>
  <c r="J35" i="5"/>
  <c r="J54" i="5"/>
  <c r="J12" i="2"/>
  <c r="J13" i="2"/>
  <c r="J32" i="5"/>
  <c r="N98" i="5"/>
  <c r="J87" i="2"/>
  <c r="J109" i="4"/>
  <c r="N65" i="3"/>
  <c r="J32" i="6"/>
  <c r="N32" i="6"/>
  <c r="J98" i="2"/>
  <c r="N21" i="5"/>
  <c r="N10" i="2"/>
  <c r="J65" i="2"/>
  <c r="J10" i="2"/>
  <c r="N109" i="4"/>
  <c r="N10" i="5"/>
  <c r="J35" i="6"/>
  <c r="J34" i="6"/>
  <c r="N76" i="5"/>
  <c r="N54" i="6"/>
  <c r="N87" i="5"/>
  <c r="J23" i="5"/>
  <c r="J24" i="5"/>
  <c r="J23" i="3"/>
  <c r="J24" i="3"/>
  <c r="J21" i="3"/>
  <c r="J87" i="5"/>
  <c r="N54" i="5"/>
  <c r="N32" i="5"/>
</calcChain>
</file>

<file path=xl/sharedStrings.xml><?xml version="1.0" encoding="utf-8"?>
<sst xmlns="http://schemas.openxmlformats.org/spreadsheetml/2006/main" count="7317" uniqueCount="190">
  <si>
    <t/>
  </si>
  <si>
    <t>Anchor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</si>
  <si>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</si>
  <si>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</si>
  <si>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</si>
  <si>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</si>
  <si>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</si>
  <si>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</si>
  <si>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</si>
  <si>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</si>
  <si>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breakfast_track</t>
  </si>
  <si>
    <t>breakfast_semitrack</t>
  </si>
  <si>
    <t>cinema_track</t>
  </si>
  <si>
    <t>cinema_semitrack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</si>
  <si>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</si>
  <si>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</si>
  <si>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</si>
  <si>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</si>
  <si>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</si>
  <si>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</si>
  <si>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</si>
  <si>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</si>
  <si>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</si>
  <si>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</si>
  <si>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</si>
  <si>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</si>
  <si>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</si>
  <si>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</si>
  <si>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</si>
  <si>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</si>
  <si>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</si>
  <si>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</si>
  <si>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</si>
  <si>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</si>
  <si>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</si>
  <si>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</si>
  <si>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</si>
  <si>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</si>
  <si>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</si>
  <si>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</si>
  <si>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</si>
  <si>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</si>
  <si>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</si>
  <si>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</si>
  <si>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</si>
  <si>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</si>
  <si>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</si>
  <si>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</si>
  <si>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</si>
  <si>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</si>
  <si>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</si>
  <si>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</si>
  <si>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</si>
  <si>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</si>
  <si>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</si>
  <si>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</si>
  <si>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</si>
  <si>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</si>
  <si>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</si>
  <si>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</si>
  <si>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</si>
  <si>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</si>
  <si>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</si>
  <si>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</si>
  <si>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</si>
  <si>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</si>
  <si>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</si>
  <si>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</si>
  <si>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</si>
  <si>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</si>
  <si>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</si>
  <si>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</si>
  <si>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</si>
  <si>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</si>
  <si>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</si>
  <si>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</si>
  <si>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</si>
  <si>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</si>
  <si>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</si>
  <si>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</si>
  <si>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</si>
  <si>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</si>
  <si>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</si>
  <si>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</si>
  <si>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</si>
  <si>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</si>
  <si>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</si>
  <si>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</si>
  <si>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</si>
  <si>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</si>
  <si>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</si>
  <si>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</si>
  <si>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</si>
  <si>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</si>
  <si>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</si>
  <si>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</si>
  <si>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</si>
  <si>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</si>
  <si>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</si>
  <si>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</si>
  <si>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</si>
  <si>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</si>
  <si>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</si>
  <si>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</si>
  <si>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</si>
  <si>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</si>
  <si>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</si>
  <si>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</si>
  <si>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</si>
  <si>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</si>
  <si>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</si>
  <si>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</si>
  <si>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</si>
  <si>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</si>
  <si>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</si>
  <si>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</si>
  <si>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</si>
  <si>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</si>
  <si>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</si>
  <si>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</si>
  <si>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</si>
  <si>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</si>
  <si>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</si>
  <si>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</si>
  <si>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</si>
  <si>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</si>
  <si>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</si>
  <si>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</si>
  <si>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</si>
  <si>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</si>
  <si>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</si>
  <si>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</si>
  <si>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</si>
  <si>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</si>
  <si>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</si>
  <si>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</si>
  <si>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</si>
  <si>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</si>
  <si>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</si>
  <si>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</si>
  <si>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</si>
  <si>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</si>
  <si>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</si>
  <si>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</si>
  <si>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</si>
  <si>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</si>
  <si>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</si>
  <si>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</si>
  <si>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</si>
  <si>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</si>
  <si>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</si>
  <si>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</si>
  <si>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</si>
  <si>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</si>
  <si>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</si>
  <si>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</si>
  <si>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</si>
  <si>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</si>
  <si>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</si>
  <si>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</si>
  <si>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</si>
  <si>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</si>
  <si>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</si>
  <si>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</si>
  <si>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</si>
  <si>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</si>
  <si>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</si>
  <si>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</si>
  <si>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</si>
  <si>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</si>
  <si>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</si>
  <si>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</si>
  <si>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</si>
  <si>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</si>
  <si>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</si>
  <si>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</si>
  <si>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</si>
  <si>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</si>
  <si>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</si>
  <si>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</si>
  <si>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</si>
  <si>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</si>
  <si>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</si>
  <si>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</si>
  <si>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</si>
  <si>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</si>
  <si>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</si>
  <si>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</si>
  <si>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</si>
  <si>
    <t>MPEG-151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</si>
</sst>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0.0E+00"/>
    <numFmt numFmtId="182" formatCode="#,##0.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12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4" fillId="3" borderId="0" xfId="0" applyFont="1" applyFill="1"/>
    <xf numFmtId="0" fontId="12" fillId="3" borderId="0" xfId="0" applyFont="1" applyFill="1"/>
    <xf numFmtId="0" fontId="5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11" fillId="3" borderId="0" xfId="0" applyFont="1" applyFill="1" applyAlignment="1">
      <alignment vertic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11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13" fillId="0" borderId="0" xfId="0" applyFont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6" fontId="20" fillId="3" borderId="21" xfId="0" applyNumberFormat="1" applyFont="1" applyFill="1" applyBorder="1" applyAlignment="1">
      <alignment horizontal="center" vertical="center"/>
    </xf>
    <xf numFmtId="176" fontId="20" fillId="3" borderId="0" xfId="0" applyNumberFormat="1" applyFont="1" applyFill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2" fontId="5" fillId="3" borderId="1" xfId="0" applyNumberFormat="1" applyFont="1" applyFill="1" applyBorder="1" applyAlignment="1">
      <alignment horizontal="center" vertical="center"/>
    </xf>
    <xf numFmtId="182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1" fontId="25" fillId="5" borderId="1" xfId="0" applyNumberFormat="1" applyFont="1" applyFill="1" applyBorder="1" applyAlignment="1">
      <alignment horizontal="center" vertical="center"/>
    </xf>
    <xf numFmtId="181" fontId="25" fillId="5" borderId="0" xfId="0" applyNumberFormat="1" applyFont="1" applyFill="1" applyAlignment="1">
      <alignment horizontal="center" vertical="center"/>
    </xf>
    <xf numFmtId="181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11" xfId="0" applyFont="1" applyBorder="1" applyAlignment="1">
      <alignment horizontal="center" vertical="center"/>
    </xf>
    <xf numFmtId="0" fontId="0" fillId="0" borderId="0" xfId="0"/>
    <xf numFmtId="14" fontId="13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10" xfId="0" applyBorder="1"/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10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1133.9081600000002</c:v>
                </c:pt>
                <c:pt idx="1">
                  <c:v>1634.1013279999997</c:v>
                </c:pt>
                <c:pt idx="2">
                  <c:v>2362.7906160000007</c:v>
                </c:pt>
                <c:pt idx="3">
                  <c:v>3353.4556240000002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27.542684215555553</c:v>
                </c:pt>
                <c:pt idx="1">
                  <c:v>31.156350531111112</c:v>
                </c:pt>
                <c:pt idx="2">
                  <c:v>35.482514933333327</c:v>
                </c:pt>
                <c:pt idx="3">
                  <c:v>37.968394484444453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DF-4FFA-92DC-FE6379BDD8B7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DF-4FFA-92DC-FE6379BDD8B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DF-4FFA-92DC-FE6379BDD8B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DF-4FFA-92DC-FE6379BDD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821.71339999999998</c:v>
                </c:pt>
                <c:pt idx="1">
                  <c:v>1189.1244799999999</c:v>
                </c:pt>
                <c:pt idx="2">
                  <c:v>1782.1216480000001</c:v>
                </c:pt>
                <c:pt idx="3">
                  <c:v>2601.3312159999996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30.452036950793648</c:v>
                </c:pt>
                <c:pt idx="1">
                  <c:v>33.281688507936515</c:v>
                </c:pt>
                <c:pt idx="2">
                  <c:v>36.535476895238084</c:v>
                </c:pt>
                <c:pt idx="3">
                  <c:v>39.550670609523813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32-4947-83BE-3AB86EE9AE27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32-4947-83BE-3AB86EE9AE2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2601.3312159999996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32-4947-83BE-3AB86EE9AE2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2601.3312159999996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32-4947-83BE-3AB86EE9A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845.74751200000003</c:v>
                </c:pt>
                <c:pt idx="1">
                  <c:v>1228.4774640000003</c:v>
                </c:pt>
                <c:pt idx="2">
                  <c:v>1847.8872159999999</c:v>
                </c:pt>
                <c:pt idx="3">
                  <c:v>2700.5942639999998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30.37096978571428</c:v>
                </c:pt>
                <c:pt idx="1">
                  <c:v>33.247802463492064</c:v>
                </c:pt>
                <c:pt idx="2">
                  <c:v>36.500060906349205</c:v>
                </c:pt>
                <c:pt idx="3">
                  <c:v>39.46655222857143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D1-44B0-90D2-6128BBF75119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D1-44B0-90D2-6128BBF7511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2700.5942639999998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D1-44B0-90D2-6128BBF7511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2700.5942639999998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D1-44B0-90D2-6128BBF75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42-4993-97CC-24E6E5CE3A0C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42-4993-97CC-24E6E5CE3A0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42-4993-97CC-24E6E5CE3A0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42-4993-97CC-24E6E5CE3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EF-4246-93CA-DEC6F93779B0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EF-4246-93CA-DEC6F93779B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EF-4246-93CA-DEC6F93779B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EF-4246-93CA-DEC6F9377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25-4FD5-8A6B-5977397C57BD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25-4FD5-8A6B-5977397C57B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25-4FD5-8A6B-5977397C57B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625-4FD5-8A6B-5977397C5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48-4F9F-83FD-8F2DE506701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48-4F9F-83FD-8F2DE506701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48-4F9F-83FD-8F2DE5067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09-4304-8DC5-20D9D43D457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09-4304-8DC5-20D9D43D457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09-4304-8DC5-20D9D43D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78-4438-B30C-D7470C7D893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78-4438-B30C-D7470C7D893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78-4438-B30C-D7470C7D8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1107.962968</c:v>
                </c:pt>
                <c:pt idx="1">
                  <c:v>1592.8603360000002</c:v>
                </c:pt>
                <c:pt idx="2">
                  <c:v>2297.023952</c:v>
                </c:pt>
                <c:pt idx="3">
                  <c:v>3257.6030800000003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27.629005880000001</c:v>
                </c:pt>
                <c:pt idx="1">
                  <c:v>31.179395786666664</c:v>
                </c:pt>
                <c:pt idx="2">
                  <c:v>35.614324493333335</c:v>
                </c:pt>
                <c:pt idx="3">
                  <c:v>38.223492680000007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0-4B1F-8B70-C422BF6B33A2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90-4B1F-8B70-C422BF6B33A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90-4B1F-8B70-C422BF6B33A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90-4B1F-8B70-C422BF6B3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1133.9081600000002</c:v>
                </c:pt>
                <c:pt idx="1">
                  <c:v>1634.1013279999997</c:v>
                </c:pt>
                <c:pt idx="2">
                  <c:v>2362.7906160000007</c:v>
                </c:pt>
                <c:pt idx="3">
                  <c:v>3353.4556240000002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32.677365406666674</c:v>
                </c:pt>
                <c:pt idx="1">
                  <c:v>35.694164253333334</c:v>
                </c:pt>
                <c:pt idx="2">
                  <c:v>39.537574133333337</c:v>
                </c:pt>
                <c:pt idx="3">
                  <c:v>41.972016706666665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46-41FA-9496-01778E0F4D41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46-41FA-9496-01778E0F4D4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46-41FA-9496-01778E0F4D4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46-41FA-9496-01778E0F4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821.71339999999998</c:v>
                </c:pt>
                <c:pt idx="1">
                  <c:v>1189.1244799999999</c:v>
                </c:pt>
                <c:pt idx="2">
                  <c:v>1782.1216480000001</c:v>
                </c:pt>
                <c:pt idx="3">
                  <c:v>2601.3312159999996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34.068256946031752</c:v>
                </c:pt>
                <c:pt idx="1">
                  <c:v>36.817575265079363</c:v>
                </c:pt>
                <c:pt idx="2">
                  <c:v>40.458411261904757</c:v>
                </c:pt>
                <c:pt idx="3">
                  <c:v>43.673801303174599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E1-4599-A857-1686C97051CB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E1-4599-A857-1686C97051C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2601.3312159999996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E1-4599-A857-1686C97051C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2601.3312159999996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3E1-4599-A857-1686C9705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845.74751200000003</c:v>
                </c:pt>
                <c:pt idx="1">
                  <c:v>1228.4774640000003</c:v>
                </c:pt>
                <c:pt idx="2">
                  <c:v>1847.8872159999999</c:v>
                </c:pt>
                <c:pt idx="3">
                  <c:v>2700.5942639999998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33.98965329365079</c:v>
                </c:pt>
                <c:pt idx="1">
                  <c:v>36.773963382539684</c:v>
                </c:pt>
                <c:pt idx="2">
                  <c:v>40.420725961904765</c:v>
                </c:pt>
                <c:pt idx="3">
                  <c:v>43.574959430158735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EC-42D9-BF30-BF78A9F5DC40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EC-42D9-BF30-BF78A9F5DC4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2700.5942639999998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EC-42D9-BF30-BF78A9F5DC4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2700.5942639999998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EC-42D9-BF30-BF78A9F5D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A3-42C0-B13A-21A7CB417A16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A3-42C0-B13A-21A7CB417A1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A3-42C0-B13A-21A7CB417A1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A3-42C0-B13A-21A7CB417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E0-4935-AB64-5DBE32A3AA1E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E0-4935-AB64-5DBE32A3AA1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E0-4935-AB64-5DBE32A3AA1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E0-4935-AB64-5DBE32A3A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C3-418C-A8AB-729998BE818C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C3-418C-A8AB-729998BE818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C3-418C-A8AB-729998BE818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C3-418C-A8AB-729998BE8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72-42E8-A863-1CDCE91AC046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72-42E8-A863-1CDCE91AC04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72-42E8-A863-1CDCE91AC04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72-42E8-A863-1CDCE91AC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5-488F-ABF9-62DCB6255156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05-488F-ABF9-62DCB625515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05-488F-ABF9-62DCB625515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105-488F-ABF9-62DCB6255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9D-4E88-A453-BB0D3DBB0BB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9D-4E88-A453-BB0D3DBB0BB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9D-4E88-A453-BB0D3DBB0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1107.962968</c:v>
                </c:pt>
                <c:pt idx="1">
                  <c:v>1592.8603360000002</c:v>
                </c:pt>
                <c:pt idx="2">
                  <c:v>2297.023952</c:v>
                </c:pt>
                <c:pt idx="3">
                  <c:v>3257.6030800000003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32.884041604444448</c:v>
                </c:pt>
                <c:pt idx="1">
                  <c:v>35.777388195555559</c:v>
                </c:pt>
                <c:pt idx="2">
                  <c:v>39.665003586666671</c:v>
                </c:pt>
                <c:pt idx="3">
                  <c:v>42.22452804444444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2-45BE-937C-8DCFA2523C01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2-45BE-937C-8DCFA2523C0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2-45BE-937C-8DCFA2523C0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392-45BE-937C-8DCFA2523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1133.9081600000002</c:v>
                </c:pt>
                <c:pt idx="1">
                  <c:v>1634.1013279999997</c:v>
                </c:pt>
                <c:pt idx="2">
                  <c:v>2362.7906160000007</c:v>
                </c:pt>
                <c:pt idx="3">
                  <c:v>3353.4556240000002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0.95702456904444444</c:v>
                </c:pt>
                <c:pt idx="1">
                  <c:v>0.97510484182222223</c:v>
                </c:pt>
                <c:pt idx="2">
                  <c:v>0.98761054593333342</c:v>
                </c:pt>
                <c:pt idx="3">
                  <c:v>0.99191253126666667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04-475C-9FA2-61AFC53E4FEC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04-475C-9FA2-61AFC53E4FE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04-475C-9FA2-61AFC53E4FE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104-475C-9FA2-61AFC53E4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821.71339999999998</c:v>
                </c:pt>
                <c:pt idx="1">
                  <c:v>1189.1244799999999</c:v>
                </c:pt>
                <c:pt idx="2">
                  <c:v>1782.1216480000001</c:v>
                </c:pt>
                <c:pt idx="3">
                  <c:v>2601.3312159999996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0.9672617974444444</c:v>
                </c:pt>
                <c:pt idx="1">
                  <c:v>0.98004840450793673</c:v>
                </c:pt>
                <c:pt idx="2">
                  <c:v>0.98914582128571438</c:v>
                </c:pt>
                <c:pt idx="3">
                  <c:v>0.99376378057142867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5F-41EF-939F-1DA6B6FEA9A6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5F-41EF-939F-1DA6B6FEA9A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2601.3312159999996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5F-41EF-939F-1DA6B6FEA9A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2601.3312159999996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5F-41EF-939F-1DA6B6FEA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845.74751200000003</c:v>
                </c:pt>
                <c:pt idx="1">
                  <c:v>1228.4774640000003</c:v>
                </c:pt>
                <c:pt idx="2">
                  <c:v>1847.8872159999999</c:v>
                </c:pt>
                <c:pt idx="3">
                  <c:v>2700.5942639999998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0.96590289023809528</c:v>
                </c:pt>
                <c:pt idx="1">
                  <c:v>0.97912883755555569</c:v>
                </c:pt>
                <c:pt idx="2">
                  <c:v>0.98869275990476202</c:v>
                </c:pt>
                <c:pt idx="3">
                  <c:v>0.99350967128571421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11-4D7E-8972-1D3CE02E5B38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11-4D7E-8972-1D3CE02E5B3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2700.5942639999998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11-4D7E-8972-1D3CE02E5B3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2700.5942639999998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11-4D7E-8972-1D3CE02E5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57-4D93-A471-BB3786F65875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57-4D93-A471-BB3786F6587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57-4D93-A471-BB3786F6587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57-4D93-A471-BB3786F65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83-4820-908F-756F9A14B208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83-4820-908F-756F9A14B20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83-4820-908F-756F9A14B20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583-4820-908F-756F9A14B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AA-4CE9-A7CC-2EBEB55D3D6D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AA-4CE9-A7CC-2EBEB55D3D6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AA-4CE9-A7CC-2EBEB55D3D6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AA-4CE9-A7CC-2EBEB55D3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C2-4F34-AB17-F0BB14E95CE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C2-4F34-AB17-F0BB14E95CE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C2-4F34-AB17-F0BB14E95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81-4047-91BA-362989D5C15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81-4047-91BA-362989D5C15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81-4047-91BA-362989D5C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32-4FE0-8FC6-6AD291CE335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32-4FE0-8FC6-6AD291CE335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32-4FE0-8FC6-6AD291CE3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1107.962968</c:v>
                </c:pt>
                <c:pt idx="1">
                  <c:v>1592.8603360000002</c:v>
                </c:pt>
                <c:pt idx="2">
                  <c:v>2297.023952</c:v>
                </c:pt>
                <c:pt idx="3">
                  <c:v>3257.6030800000003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0.95855970824444436</c:v>
                </c:pt>
                <c:pt idx="1">
                  <c:v>0.97592982000000006</c:v>
                </c:pt>
                <c:pt idx="2">
                  <c:v>0.98816916375555552</c:v>
                </c:pt>
                <c:pt idx="3">
                  <c:v>0.99238709775555556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4C-47FB-8BBF-660342FBF0C3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4C-47FB-8BBF-660342FBF0C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4C-47FB-8BBF-660342FBF0C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34C-47FB-8BBF-660342FBF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1133.9081600000002</c:v>
                </c:pt>
                <c:pt idx="1">
                  <c:v>1634.1013279999997</c:v>
                </c:pt>
                <c:pt idx="2">
                  <c:v>2362.7906160000007</c:v>
                </c:pt>
                <c:pt idx="3">
                  <c:v>3353.4556240000002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0.95616100659999992</c:v>
                </c:pt>
                <c:pt idx="1">
                  <c:v>0.97464572662222237</c:v>
                </c:pt>
                <c:pt idx="2">
                  <c:v>0.99054385355555552</c:v>
                </c:pt>
                <c:pt idx="3">
                  <c:v>0.99516165544444435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82-49E7-85FF-DFD4A269BE57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82-49E7-85FF-DFD4A269BE5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82-49E7-85FF-DFD4A269BE5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82-49E7-85FF-DFD4A269B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821.71339999999998</c:v>
                </c:pt>
                <c:pt idx="1">
                  <c:v>1189.1244799999999</c:v>
                </c:pt>
                <c:pt idx="2">
                  <c:v>1782.1216480000001</c:v>
                </c:pt>
                <c:pt idx="3">
                  <c:v>2601.3312159999996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0.97362388774603181</c:v>
                </c:pt>
                <c:pt idx="1">
                  <c:v>0.98443768150793631</c:v>
                </c:pt>
                <c:pt idx="2">
                  <c:v>0.99231632271428571</c:v>
                </c:pt>
                <c:pt idx="3">
                  <c:v>0.9959687949999998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91-423A-82D8-8CA62981E73B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91-423A-82D8-8CA62981E73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2601.3312159999996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891-423A-82D8-8CA62981E73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2601.3312159999996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891-423A-82D8-8CA62981E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845.74751200000003</c:v>
                </c:pt>
                <c:pt idx="1">
                  <c:v>1228.4774640000003</c:v>
                </c:pt>
                <c:pt idx="2">
                  <c:v>1847.8872159999999</c:v>
                </c:pt>
                <c:pt idx="3">
                  <c:v>2700.5942639999998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0.97295868495238103</c:v>
                </c:pt>
                <c:pt idx="1">
                  <c:v>0.98406331850793616</c:v>
                </c:pt>
                <c:pt idx="2">
                  <c:v>0.99208217306349189</c:v>
                </c:pt>
                <c:pt idx="3">
                  <c:v>0.99584707030158726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7F-4567-8D59-35C15165FBF1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7F-4567-8D59-35C15165FBF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2700.5942639999998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7F-4567-8D59-35C15165FBF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2700.5942639999998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7F-4567-8D59-35C15165F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AA-422A-87A2-41F6B0FAF7A9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AA-422A-87A2-41F6B0FAF7A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AA-422A-87A2-41F6B0FAF7A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AA-422A-87A2-41F6B0FA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F2-4FC9-88E2-7D29D70EDB9E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F2-4FC9-88E2-7D29D70EDB9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F2-4FC9-88E2-7D29D70EDB9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9F2-4FC9-88E2-7D29D70ED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E5-4FB5-A4EF-71925D5E3A60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E5-4FB5-A4EF-71925D5E3A6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E5-4FB5-A4EF-71925D5E3A6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E5-4FB5-A4EF-71925D5E3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A7-4854-BA77-A9F23D3A5889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A7-4854-BA77-A9F23D3A588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A7-4854-BA77-A9F23D3A588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2A7-4854-BA77-A9F23D3A5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18-4BE2-BD08-29DDFAB269C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18-4BE2-BD08-29DDFAB269C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18-4BE2-BD08-29DDFAB26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F4-48B4-9BDF-EC1BEFE0725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F4-48B4-9BDF-EC1BEFE0725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F4-48B4-9BDF-EC1BEFE07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16-46F0-9F5C-2E66453E557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16-46F0-9F5C-2E66453E557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16-46F0-9F5C-2E66453E5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1107.962968</c:v>
                </c:pt>
                <c:pt idx="1">
                  <c:v>1592.8603360000002</c:v>
                </c:pt>
                <c:pt idx="2">
                  <c:v>2297.023952</c:v>
                </c:pt>
                <c:pt idx="3">
                  <c:v>3257.6030800000003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0.9567298571777777</c:v>
                </c:pt>
                <c:pt idx="1">
                  <c:v>0.97480343617777776</c:v>
                </c:pt>
                <c:pt idx="2">
                  <c:v>0.99082304393333342</c:v>
                </c:pt>
                <c:pt idx="3">
                  <c:v>0.9953518116444442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92-4369-B545-C83610EE341C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92-4369-B545-C83610EE341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92-4369-B545-C83610EE341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92-4369-B545-C83610EE3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1133.9081600000002</c:v>
                </c:pt>
                <c:pt idx="1">
                  <c:v>1634.1013279999997</c:v>
                </c:pt>
                <c:pt idx="2">
                  <c:v>2362.7906160000007</c:v>
                </c:pt>
                <c:pt idx="3">
                  <c:v>3353.4556240000002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6.5988666977777777E-2</c:v>
                </c:pt>
                <c:pt idx="1">
                  <c:v>4.0328444448888903E-2</c:v>
                </c:pt>
                <c:pt idx="2">
                  <c:v>2.3846373431111113E-2</c:v>
                </c:pt>
                <c:pt idx="3">
                  <c:v>1.7047529992222223E-2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95-4D04-B6EF-675C21265C8F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95-4D04-B6EF-675C21265C8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95-4D04-B6EF-675C21265C8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95-4D04-B6EF-675C21265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821.71339999999998</c:v>
                </c:pt>
                <c:pt idx="1">
                  <c:v>1189.1244799999999</c:v>
                </c:pt>
                <c:pt idx="2">
                  <c:v>1782.1216480000001</c:v>
                </c:pt>
                <c:pt idx="3">
                  <c:v>2601.3312159999996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6.1379322865079369E-2</c:v>
                </c:pt>
                <c:pt idx="1">
                  <c:v>4.1767743874603178E-2</c:v>
                </c:pt>
                <c:pt idx="2">
                  <c:v>2.5756665719047615E-2</c:v>
                </c:pt>
                <c:pt idx="3">
                  <c:v>1.4191066442063492E-2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BF-453C-B848-C290F854965C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BF-453C-B848-C290F854965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2601.3312159999996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BF-453C-B848-C290F854965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2601.3312159999996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BF-453C-B848-C290F8549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845.74751200000003</c:v>
                </c:pt>
                <c:pt idx="1">
                  <c:v>1228.4774640000003</c:v>
                </c:pt>
                <c:pt idx="2">
                  <c:v>1847.8872159999999</c:v>
                </c:pt>
                <c:pt idx="3">
                  <c:v>2700.5942639999998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6.262357097301588E-2</c:v>
                </c:pt>
                <c:pt idx="1">
                  <c:v>4.2635829165079367E-2</c:v>
                </c:pt>
                <c:pt idx="2">
                  <c:v>2.6237598503174604E-2</c:v>
                </c:pt>
                <c:pt idx="3">
                  <c:v>1.4405928774603175E-2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1D-4B61-8559-0E4AAC36D624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1D-4B61-8559-0E4AAC36D62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2700.5942639999998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1D-4B61-8559-0E4AAC36D62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2700.5942639999998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31D-4B61-8559-0E4AAC36D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52-4B0F-86EF-E53FC473E4E2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52-4B0F-86EF-E53FC473E4E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52-4B0F-86EF-E53FC473E4E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52-4B0F-86EF-E53FC473E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6D0-AFCD-B407645AD0AE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6D0-AFCD-B407645AD0A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6D0-AFCD-B407645AD0A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86-46D0-AFCD-B407645AD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3D-4C43-8552-6ED9CA37E840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3D-4C43-8552-6ED9CA37E84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3D-4C43-8552-6ED9CA37E84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3D-4C43-8552-6ED9CA37E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05-428C-A0AE-A116FFE9E42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05-428C-A0AE-A116FFE9E42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05-428C-A0AE-A116FFE9E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D-498C-A379-E02195CDAD2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8D-498C-A379-E02195CDAD2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8D-498C-A379-E02195CDA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B0-48CD-83DF-EC1DCA7A468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B0-48CD-83DF-EC1DCA7A468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B0-48CD-83DF-EC1DCA7A4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1107.962968</c:v>
                </c:pt>
                <c:pt idx="1">
                  <c:v>1592.8603360000002</c:v>
                </c:pt>
                <c:pt idx="2">
                  <c:v>2297.023952</c:v>
                </c:pt>
                <c:pt idx="3">
                  <c:v>3257.6030800000003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6.2831988915555553E-2</c:v>
                </c:pt>
                <c:pt idx="1">
                  <c:v>3.8636367297777779E-2</c:v>
                </c:pt>
                <c:pt idx="2">
                  <c:v>2.2814882277777782E-2</c:v>
                </c:pt>
                <c:pt idx="3">
                  <c:v>1.600675221111111E-2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36-4A4F-A162-BF7EBF7DD2AC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36-4A4F-A162-BF7EBF7DD2A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36-4A4F-A162-BF7EBF7DD2A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36-4A4F-A162-BF7EBF7DD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workbookViewId="0">
      <selection activeCell="C3" sqref="C3:H3"/>
    </sheetView>
  </sheetViews>
  <sheetFormatPr defaultColWidth="8.59765625" defaultRowHeight="14.4" x14ac:dyDescent="0.25"/>
  <cols>
    <col min="1" max="1" width="1.59765625" style="15" bestFit="1" customWidth="1"/>
    <col min="2" max="2" width="30.69921875" style="15" customWidth="1"/>
    <col min="3" max="3" width="9.59765625" style="15" hidden="1" customWidth="1"/>
    <col min="4" max="5" width="9.59765625" style="15" bestFit="1" customWidth="1"/>
    <col min="6" max="6" width="8.19921875" style="15" customWidth="1"/>
    <col min="7" max="7" width="9.69921875" style="15" customWidth="1"/>
    <col min="8" max="8" width="7.09765625" style="15" customWidth="1"/>
    <col min="9" max="9" width="7.19921875" style="15" customWidth="1"/>
    <col min="10" max="10" width="8.59765625" style="15" customWidth="1"/>
    <col min="11" max="16384" width="8.59765625" style="15"/>
  </cols>
  <sheetData>
    <row r="1" spans="1:9" x14ac:dyDescent="0.25">
      <c r="A1" s="173" t="s">
        <v>0</v>
      </c>
      <c r="B1" s="168"/>
      <c r="C1" s="168"/>
      <c r="D1" s="173" t="s">
        <v>0</v>
      </c>
      <c r="E1" s="173" t="s">
        <v>0</v>
      </c>
      <c r="F1" s="173"/>
      <c r="G1" s="173"/>
      <c r="H1" s="173"/>
      <c r="I1" s="173" t="s">
        <v>0</v>
      </c>
    </row>
    <row r="2" spans="1:9" x14ac:dyDescent="0.25">
      <c r="A2" s="168"/>
      <c r="B2" s="5"/>
      <c r="C2" s="150"/>
      <c r="D2" s="168"/>
      <c r="E2" s="168"/>
      <c r="F2" s="168"/>
      <c r="G2" s="168"/>
      <c r="H2" s="168"/>
      <c r="I2" s="168"/>
    </row>
    <row r="3" spans="1:9" x14ac:dyDescent="0.25">
      <c r="A3" s="168"/>
      <c r="B3" s="5" t="s">
        <v>1</v>
      </c>
      <c r="C3" s="274" t="s">
        <v>189</v>
      </c>
      <c r="D3" s="275"/>
      <c r="E3" s="275"/>
      <c r="F3" s="275"/>
      <c r="G3" s="275"/>
      <c r="H3" s="275"/>
      <c r="I3" s="168"/>
    </row>
    <row r="4" spans="1:9" x14ac:dyDescent="0.25">
      <c r="A4" s="168"/>
      <c r="B4" s="5" t="s">
        <v>2</v>
      </c>
      <c r="C4" s="274" t="s">
        <v>3</v>
      </c>
      <c r="D4" s="275"/>
      <c r="E4" s="275"/>
      <c r="F4" s="275"/>
      <c r="G4" s="275"/>
      <c r="H4" s="275"/>
      <c r="I4" s="168"/>
    </row>
    <row r="5" spans="1:9" x14ac:dyDescent="0.25">
      <c r="A5" s="168"/>
      <c r="B5" s="5"/>
      <c r="C5" s="150"/>
      <c r="D5" s="168"/>
      <c r="E5" s="168"/>
      <c r="F5" s="168"/>
      <c r="G5" s="168"/>
      <c r="H5" s="168"/>
      <c r="I5" s="168"/>
    </row>
    <row r="6" spans="1:9" x14ac:dyDescent="0.25">
      <c r="A6" s="168"/>
      <c r="B6" s="2"/>
      <c r="C6" s="2"/>
      <c r="D6" s="168"/>
      <c r="E6" s="168"/>
      <c r="F6" s="168"/>
      <c r="G6" s="168"/>
      <c r="H6" s="168"/>
      <c r="I6" s="168"/>
    </row>
    <row r="7" spans="1:9" s="16" customFormat="1" ht="16.5" customHeight="1" thickBot="1" x14ac:dyDescent="0.3">
      <c r="A7" s="174"/>
      <c r="B7" s="276"/>
      <c r="C7" s="277"/>
      <c r="D7" s="277"/>
      <c r="E7" s="277"/>
      <c r="F7" s="277"/>
      <c r="G7" s="277"/>
      <c r="H7" s="277"/>
      <c r="I7" s="174"/>
    </row>
    <row r="8" spans="1:9" ht="30" customHeight="1" thickBot="1" x14ac:dyDescent="0.3">
      <c r="A8" s="168"/>
      <c r="B8" s="203" t="s">
        <v>4</v>
      </c>
      <c r="C8" s="18"/>
      <c r="D8" s="19" t="s">
        <v>5</v>
      </c>
      <c r="E8" s="19" t="s">
        <v>6</v>
      </c>
      <c r="F8" s="19" t="s">
        <v>7</v>
      </c>
      <c r="G8" s="19" t="s">
        <v>8</v>
      </c>
      <c r="H8" s="198" t="s">
        <v>9</v>
      </c>
      <c r="I8" s="14"/>
    </row>
    <row r="9" spans="1:9" ht="15.75" customHeight="1" x14ac:dyDescent="0.25">
      <c r="A9" s="168"/>
      <c r="B9" s="175" t="str">
        <f t="shared" ref="B9:B18" ca="1" si="0">INDIRECT(C9&amp;"!B2")</f>
        <v>breakfast_track</v>
      </c>
      <c r="C9" s="196" t="s">
        <v>10</v>
      </c>
      <c r="D9" s="218" t="e">
        <f t="shared" ref="D9:D18" ca="1" si="1">INDIRECT($C9&amp;"!AM$5")</f>
        <v>#VALUE!</v>
      </c>
      <c r="E9" s="218" t="e">
        <f t="shared" ref="E9:E18" ca="1" si="2">INDIRECT($C9&amp;"!AN$5")</f>
        <v>#VALUE!</v>
      </c>
      <c r="F9" s="218" t="e">
        <f t="shared" ref="F9:F18" ca="1" si="3">INDIRECT($C9&amp;"!AO$5")</f>
        <v>#VALUE!</v>
      </c>
      <c r="G9" s="218" t="e">
        <f t="shared" ref="G9:G18" ca="1" si="4">INDIRECT($C9&amp;"!AP$5")</f>
        <v>#VALUE!</v>
      </c>
      <c r="H9" s="219" t="e">
        <f t="shared" ref="H9:H18" ca="1" si="5">INDIRECT($C9&amp;"!AQ$5")</f>
        <v>#VALUE!</v>
      </c>
      <c r="I9" s="220"/>
    </row>
    <row r="10" spans="1:9" ht="15.75" customHeight="1" x14ac:dyDescent="0.25">
      <c r="A10" s="168"/>
      <c r="B10" s="175" t="str">
        <f t="shared" ca="1" si="0"/>
        <v>breakfast_semitrack</v>
      </c>
      <c r="C10" s="196" t="s">
        <v>11</v>
      </c>
      <c r="D10" s="218" t="e">
        <f t="shared" ca="1" si="1"/>
        <v>#VALUE!</v>
      </c>
      <c r="E10" s="218" t="e">
        <f t="shared" ca="1" si="2"/>
        <v>#VALUE!</v>
      </c>
      <c r="F10" s="218" t="e">
        <f t="shared" ca="1" si="3"/>
        <v>#VALUE!</v>
      </c>
      <c r="G10" s="218" t="e">
        <f t="shared" ca="1" si="4"/>
        <v>#VALUE!</v>
      </c>
      <c r="H10" s="221" t="e">
        <f t="shared" ca="1" si="5"/>
        <v>#VALUE!</v>
      </c>
      <c r="I10" s="220"/>
    </row>
    <row r="11" spans="1:9" ht="15.75" customHeight="1" x14ac:dyDescent="0.25">
      <c r="A11" s="168"/>
      <c r="B11" s="175" t="str">
        <f t="shared" ca="1" si="0"/>
        <v>cinema_track</v>
      </c>
      <c r="C11" s="196" t="s">
        <v>12</v>
      </c>
      <c r="D11" s="218" t="e">
        <f t="shared" ca="1" si="1"/>
        <v>#VALUE!</v>
      </c>
      <c r="E11" s="218" t="e">
        <f t="shared" ca="1" si="2"/>
        <v>#VALUE!</v>
      </c>
      <c r="F11" s="218" t="e">
        <f t="shared" ca="1" si="3"/>
        <v>#VALUE!</v>
      </c>
      <c r="G11" s="218" t="e">
        <f t="shared" ca="1" si="4"/>
        <v>#VALUE!</v>
      </c>
      <c r="H11" s="221" t="e">
        <f t="shared" ca="1" si="5"/>
        <v>#VALUE!</v>
      </c>
      <c r="I11" s="220"/>
    </row>
    <row r="12" spans="1:9" ht="15.75" customHeight="1" x14ac:dyDescent="0.25">
      <c r="A12" s="168"/>
      <c r="B12" s="175" t="str">
        <f t="shared" ca="1" si="0"/>
        <v>cinema_semitrack</v>
      </c>
      <c r="C12" s="197" t="s">
        <v>13</v>
      </c>
      <c r="D12" s="218" t="e">
        <f t="shared" ca="1" si="1"/>
        <v>#VALUE!</v>
      </c>
      <c r="E12" s="218" t="e">
        <f t="shared" ca="1" si="2"/>
        <v>#VALUE!</v>
      </c>
      <c r="F12" s="218" t="e">
        <f t="shared" ca="1" si="3"/>
        <v>#VALUE!</v>
      </c>
      <c r="G12" s="218" t="e">
        <f t="shared" ca="1" si="4"/>
        <v>#VALUE!</v>
      </c>
      <c r="H12" s="221" t="e">
        <f t="shared" ca="1" si="5"/>
        <v>#VALUE!</v>
      </c>
      <c r="I12" s="220"/>
    </row>
    <row r="13" spans="1:9" ht="15.75" customHeight="1" x14ac:dyDescent="0.25">
      <c r="A13" s="168"/>
      <c r="B13" s="175" t="e">
        <f t="shared" ca="1" si="0"/>
        <v>#REF!</v>
      </c>
      <c r="C13" s="197"/>
      <c r="D13" s="218" t="e">
        <f t="shared" ca="1" si="1"/>
        <v>#REF!</v>
      </c>
      <c r="E13" s="218" t="e">
        <f t="shared" ca="1" si="2"/>
        <v>#REF!</v>
      </c>
      <c r="F13" s="218" t="e">
        <f t="shared" ca="1" si="3"/>
        <v>#REF!</v>
      </c>
      <c r="G13" s="218" t="e">
        <f t="shared" ca="1" si="4"/>
        <v>#REF!</v>
      </c>
      <c r="H13" s="221" t="e">
        <f t="shared" ca="1" si="5"/>
        <v>#REF!</v>
      </c>
      <c r="I13" s="220"/>
    </row>
    <row r="14" spans="1:9" ht="15.75" customHeight="1" x14ac:dyDescent="0.25">
      <c r="A14" s="168"/>
      <c r="B14" s="175" t="e">
        <f t="shared" ca="1" si="0"/>
        <v>#REF!</v>
      </c>
      <c r="C14" s="196"/>
      <c r="D14" s="218" t="e">
        <f t="shared" ca="1" si="1"/>
        <v>#REF!</v>
      </c>
      <c r="E14" s="218" t="e">
        <f t="shared" ca="1" si="2"/>
        <v>#REF!</v>
      </c>
      <c r="F14" s="218" t="e">
        <f t="shared" ca="1" si="3"/>
        <v>#REF!</v>
      </c>
      <c r="G14" s="218" t="e">
        <f t="shared" ca="1" si="4"/>
        <v>#REF!</v>
      </c>
      <c r="H14" s="221" t="e">
        <f t="shared" ca="1" si="5"/>
        <v>#REF!</v>
      </c>
      <c r="I14" s="220"/>
    </row>
    <row r="15" spans="1:9" ht="15.75" customHeight="1" x14ac:dyDescent="0.25">
      <c r="A15" s="168"/>
      <c r="B15" s="175" t="e">
        <f t="shared" ca="1" si="0"/>
        <v>#REF!</v>
      </c>
      <c r="C15" s="196"/>
      <c r="D15" s="218" t="e">
        <f t="shared" ca="1" si="1"/>
        <v>#REF!</v>
      </c>
      <c r="E15" s="218" t="e">
        <f t="shared" ca="1" si="2"/>
        <v>#REF!</v>
      </c>
      <c r="F15" s="218" t="e">
        <f t="shared" ca="1" si="3"/>
        <v>#REF!</v>
      </c>
      <c r="G15" s="218" t="e">
        <f t="shared" ca="1" si="4"/>
        <v>#REF!</v>
      </c>
      <c r="H15" s="221" t="e">
        <f t="shared" ca="1" si="5"/>
        <v>#REF!</v>
      </c>
      <c r="I15" s="220"/>
    </row>
    <row r="16" spans="1:9" ht="15.75" customHeight="1" x14ac:dyDescent="0.25">
      <c r="A16" s="168"/>
      <c r="B16" s="175" t="e">
        <f t="shared" ca="1" si="0"/>
        <v>#REF!</v>
      </c>
      <c r="C16" s="196"/>
      <c r="D16" s="218" t="e">
        <f t="shared" ca="1" si="1"/>
        <v>#REF!</v>
      </c>
      <c r="E16" s="218" t="e">
        <f t="shared" ca="1" si="2"/>
        <v>#REF!</v>
      </c>
      <c r="F16" s="218" t="e">
        <f t="shared" ca="1" si="3"/>
        <v>#REF!</v>
      </c>
      <c r="G16" s="218" t="e">
        <f t="shared" ca="1" si="4"/>
        <v>#REF!</v>
      </c>
      <c r="H16" s="221" t="e">
        <f t="shared" ca="1" si="5"/>
        <v>#REF!</v>
      </c>
      <c r="I16" s="220"/>
    </row>
    <row r="17" spans="1:9" ht="15.75" customHeight="1" x14ac:dyDescent="0.25">
      <c r="A17" s="168"/>
      <c r="B17" s="175" t="e">
        <f t="shared" ca="1" si="0"/>
        <v>#REF!</v>
      </c>
      <c r="C17" s="196"/>
      <c r="D17" s="218" t="e">
        <f t="shared" ca="1" si="1"/>
        <v>#REF!</v>
      </c>
      <c r="E17" s="218" t="e">
        <f t="shared" ca="1" si="2"/>
        <v>#REF!</v>
      </c>
      <c r="F17" s="218" t="e">
        <f t="shared" ca="1" si="3"/>
        <v>#REF!</v>
      </c>
      <c r="G17" s="218" t="e">
        <f t="shared" ca="1" si="4"/>
        <v>#REF!</v>
      </c>
      <c r="H17" s="221" t="e">
        <f t="shared" ca="1" si="5"/>
        <v>#REF!</v>
      </c>
      <c r="I17" s="220"/>
    </row>
    <row r="18" spans="1:9" ht="15.75" customHeight="1" thickBot="1" x14ac:dyDescent="0.3">
      <c r="A18" s="168"/>
      <c r="B18" s="175" t="e">
        <f t="shared" ca="1" si="0"/>
        <v>#REF!</v>
      </c>
      <c r="C18" s="196"/>
      <c r="D18" s="218" t="e">
        <f t="shared" ca="1" si="1"/>
        <v>#REF!</v>
      </c>
      <c r="E18" s="218" t="e">
        <f t="shared" ca="1" si="2"/>
        <v>#REF!</v>
      </c>
      <c r="F18" s="218" t="e">
        <f t="shared" ca="1" si="3"/>
        <v>#REF!</v>
      </c>
      <c r="G18" s="218" t="e">
        <f t="shared" ca="1" si="4"/>
        <v>#REF!</v>
      </c>
      <c r="H18" s="221" t="e">
        <f t="shared" ca="1" si="5"/>
        <v>#REF!</v>
      </c>
      <c r="I18" s="220"/>
    </row>
    <row r="19" spans="1:9" ht="15.75" customHeight="1" thickBot="1" x14ac:dyDescent="0.3">
      <c r="A19" s="168"/>
      <c r="B19" s="272" t="s">
        <v>14</v>
      </c>
      <c r="C19" s="273"/>
      <c r="D19" s="222" t="e">
        <f ca="1">IF(COUNTIF(D10:D15,"=0")&gt;0,0,AVERAGE(D10:D15))</f>
        <v>#VALUE!</v>
      </c>
      <c r="E19" s="222" t="e">
        <f ca="1">IF(COUNTIF(E10:E15,"=0")&gt;0,0,AVERAGE(E10:E15))</f>
        <v>#VALUE!</v>
      </c>
      <c r="F19" s="222" t="e">
        <f ca="1">IF(COUNTIF(F10:F15,"=0")&gt;0,0,AVERAGE(F10:F15))</f>
        <v>#VALUE!</v>
      </c>
      <c r="G19" s="222" t="e">
        <f ca="1">IF(COUNTIF(G10:G15,"=0")&gt;0,0,AVERAGE(G10:G15))</f>
        <v>#VALUE!</v>
      </c>
      <c r="H19" s="223" t="e">
        <f ca="1">IF(COUNTIF(H10:H15,"=0")&gt;0,0,AVERAGE(H10:H15))</f>
        <v>#VALUE!</v>
      </c>
      <c r="I19" s="220"/>
    </row>
    <row r="20" spans="1:9" ht="15.75" customHeight="1" x14ac:dyDescent="0.25">
      <c r="B20" s="176"/>
      <c r="C20" s="177"/>
      <c r="D20" s="220"/>
      <c r="E20" s="220"/>
      <c r="F20" s="220"/>
      <c r="G20" s="220"/>
      <c r="H20" s="220"/>
      <c r="I20" s="220"/>
    </row>
    <row r="21" spans="1:9" ht="15.75" customHeight="1" x14ac:dyDescent="0.25">
      <c r="B21" s="176"/>
      <c r="C21" s="177"/>
      <c r="D21" s="220"/>
      <c r="E21" s="220"/>
      <c r="F21" s="220"/>
      <c r="G21" s="220"/>
      <c r="H21" s="220"/>
      <c r="I21" s="220"/>
    </row>
    <row r="22" spans="1:9" ht="15.75" customHeight="1" x14ac:dyDescent="0.25">
      <c r="B22" s="88"/>
      <c r="D22" s="224"/>
      <c r="E22" s="224"/>
      <c r="F22" s="224"/>
      <c r="G22" s="224"/>
      <c r="H22" s="224"/>
      <c r="I22" s="174"/>
    </row>
    <row r="23" spans="1:9" x14ac:dyDescent="0.25">
      <c r="D23" s="225"/>
      <c r="E23" s="225"/>
      <c r="F23" s="225"/>
      <c r="G23" s="225"/>
      <c r="H23" s="225"/>
      <c r="I23" s="225"/>
    </row>
  </sheetData>
  <mergeCells count="4">
    <mergeCell ref="B19:C19"/>
    <mergeCell ref="C4:H4"/>
    <mergeCell ref="B7:H7"/>
    <mergeCell ref="C3:H3"/>
  </mergeCells>
  <phoneticPr fontId="27" type="noConversion"/>
  <conditionalFormatting sqref="D10:G19">
    <cfRule type="cellIs" dxfId="1955" priority="33" operator="lessThan">
      <formula>-0.03</formula>
    </cfRule>
    <cfRule type="cellIs" dxfId="1954" priority="34" operator="greaterThan">
      <formula>0.03</formula>
    </cfRule>
  </conditionalFormatting>
  <conditionalFormatting sqref="H9">
    <cfRule type="cellIs" dxfId="1953" priority="5" operator="greaterThan">
      <formula>-0.03</formula>
    </cfRule>
    <cfRule type="cellIs" dxfId="1952" priority="6" operator="lessThan">
      <formula>0.03</formula>
    </cfRule>
  </conditionalFormatting>
  <conditionalFormatting sqref="D9:G9">
    <cfRule type="cellIs" dxfId="1951" priority="3" operator="lessThan">
      <formula>-0.03</formula>
    </cfRule>
    <cfRule type="cellIs" dxfId="1950" priority="4" operator="greaterThan">
      <formula>0.03</formula>
    </cfRule>
  </conditionalFormatting>
  <conditionalFormatting sqref="H10:H19">
    <cfRule type="cellIs" dxfId="1949" priority="1" operator="lessThan">
      <formula>-0.03</formula>
    </cfRule>
    <cfRule type="cellIs" dxfId="1948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tabSelected="1" workbookViewId="0">
      <selection activeCell="N7" sqref="N7:N10"/>
    </sheetView>
  </sheetViews>
  <sheetFormatPr defaultColWidth="9" defaultRowHeight="15.6" x14ac:dyDescent="0.25"/>
  <cols>
    <col min="1" max="1" width="1.59765625" style="205" bestFit="1" customWidth="1"/>
    <col min="2" max="2" width="19.59765625" style="205" customWidth="1"/>
    <col min="3" max="3" width="9.3984375" style="205" customWidth="1"/>
    <col min="4" max="4" width="14.3984375" style="205" customWidth="1"/>
    <col min="5" max="5" width="4.59765625" style="205" customWidth="1"/>
    <col min="6" max="6" width="18.5" style="205" bestFit="1" customWidth="1"/>
    <col min="7" max="7" width="9.3984375" style="205" customWidth="1"/>
    <col min="8" max="8" width="14.3984375" style="205" customWidth="1"/>
    <col min="9" max="9" width="4.59765625" style="205" customWidth="1"/>
    <col min="10" max="10" width="9.59765625" style="205" customWidth="1"/>
    <col min="11" max="11" width="4.59765625" style="205" customWidth="1"/>
    <col min="12" max="12" width="14.3984375" style="205" bestFit="1" customWidth="1"/>
    <col min="13" max="13" width="21.59765625" style="205" bestFit="1" customWidth="1"/>
    <col min="14" max="14" width="7.59765625" style="205" bestFit="1" customWidth="1"/>
    <col min="15" max="15" width="4.59765625" style="205" customWidth="1"/>
    <col min="16" max="16" width="9.59765625" style="205" bestFit="1" customWidth="1"/>
    <col min="17" max="17" width="4.59765625" style="205" customWidth="1"/>
    <col min="18" max="18" width="84.59765625" style="205" customWidth="1"/>
    <col min="19" max="19" width="6.5" style="205" bestFit="1" customWidth="1"/>
    <col min="20" max="20" width="9.59765625" style="205" bestFit="1" customWidth="1"/>
    <col min="21" max="21" width="1.59765625" style="205" bestFit="1" customWidth="1"/>
    <col min="22" max="22" width="7.59765625" style="205" bestFit="1" customWidth="1"/>
    <col min="23" max="23" width="1.59765625" style="205" bestFit="1" customWidth="1"/>
    <col min="24" max="24" width="14.3984375" style="205" bestFit="1" customWidth="1"/>
    <col min="25" max="25" width="16.09765625" style="205" bestFit="1" customWidth="1"/>
    <col min="26" max="26" width="5.09765625" style="205" bestFit="1" customWidth="1"/>
    <col min="27" max="27" width="1.59765625" style="205" bestFit="1" customWidth="1"/>
    <col min="28" max="28" width="9" style="204" bestFit="1" customWidth="1"/>
    <col min="29" max="29" width="9" style="205" customWidth="1"/>
    <col min="30" max="30" width="1.3984375" style="205" bestFit="1" customWidth="1"/>
    <col min="31" max="31" width="80.59765625" style="205" customWidth="1"/>
    <col min="32" max="32" width="1.3984375" style="205" bestFit="1" customWidth="1"/>
    <col min="33" max="38" width="9" style="205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0" t="str">
        <f>'Summary (auto)'!C3</f>
        <v>MPEG-151</v>
      </c>
      <c r="C2" s="279"/>
      <c r="D2" s="279"/>
      <c r="E2" s="206"/>
      <c r="F2" s="280" t="str">
        <f>'Summary (auto)'!C4</f>
        <v>my</v>
      </c>
      <c r="G2" s="279"/>
      <c r="H2" s="279"/>
      <c r="I2" s="204"/>
      <c r="J2" s="209" t="s">
        <v>15</v>
      </c>
      <c r="K2" s="204"/>
      <c r="L2" s="285" t="s">
        <v>16</v>
      </c>
      <c r="M2" s="279"/>
      <c r="N2" s="279"/>
      <c r="O2" s="204"/>
      <c r="P2" s="209" t="s">
        <v>17</v>
      </c>
      <c r="U2" s="209"/>
      <c r="V2" s="209"/>
    </row>
    <row r="3" spans="1:32" ht="16.5" customHeight="1" thickBot="1" x14ac:dyDescent="0.3">
      <c r="A3" s="178" t="s">
        <v>0</v>
      </c>
      <c r="B3" s="206"/>
      <c r="C3" s="206"/>
      <c r="D3" s="206"/>
      <c r="E3" s="206"/>
      <c r="F3" s="206"/>
      <c r="G3" s="206"/>
      <c r="H3" s="206"/>
      <c r="I3" s="204"/>
      <c r="J3" s="204"/>
      <c r="K3" s="179" t="s">
        <v>0</v>
      </c>
      <c r="L3" s="87" t="s">
        <v>18</v>
      </c>
      <c r="M3" s="87" t="s">
        <v>19</v>
      </c>
      <c r="N3" s="204"/>
      <c r="O3" s="179" t="s">
        <v>0</v>
      </c>
      <c r="P3" s="204"/>
      <c r="U3" s="178" t="s">
        <v>0</v>
      </c>
      <c r="W3" s="178" t="s">
        <v>0</v>
      </c>
    </row>
    <row r="4" spans="1:32" x14ac:dyDescent="0.25">
      <c r="B4" s="282" t="s">
        <v>10</v>
      </c>
      <c r="C4" s="283"/>
      <c r="D4" s="284"/>
      <c r="E4" s="3"/>
      <c r="F4" s="282" t="str">
        <f>B4</f>
        <v>breakfast_track</v>
      </c>
      <c r="G4" s="283"/>
      <c r="H4" s="284"/>
      <c r="I4" s="3"/>
      <c r="J4" s="208"/>
      <c r="L4" s="286" t="str">
        <f>F4</f>
        <v>breakfast_track</v>
      </c>
      <c r="M4" s="283"/>
      <c r="N4" s="284"/>
      <c r="O4" s="183"/>
      <c r="P4" s="208"/>
      <c r="Q4" s="183"/>
      <c r="R4" s="183"/>
      <c r="S4" s="183"/>
      <c r="T4" s="183"/>
      <c r="U4" s="204"/>
      <c r="V4" s="204"/>
      <c r="X4" s="281"/>
      <c r="Y4" s="279"/>
      <c r="Z4" s="279"/>
    </row>
    <row r="5" spans="1:32" x14ac:dyDescent="0.25">
      <c r="B5" s="278" t="s">
        <v>20</v>
      </c>
      <c r="C5" s="279"/>
      <c r="D5" s="71" t="s">
        <v>21</v>
      </c>
      <c r="E5" s="226"/>
      <c r="F5" s="278" t="s">
        <v>20</v>
      </c>
      <c r="G5" s="279"/>
      <c r="H5" s="71" t="s">
        <v>21</v>
      </c>
      <c r="I5" s="10"/>
      <c r="J5" s="207" t="s">
        <v>22</v>
      </c>
      <c r="L5" s="287" t="s">
        <v>23</v>
      </c>
      <c r="M5" s="279"/>
      <c r="N5" s="288"/>
      <c r="O5" s="69"/>
      <c r="P5" s="4"/>
      <c r="Q5" s="69"/>
      <c r="R5" s="285"/>
      <c r="S5" s="279"/>
      <c r="T5" s="279"/>
      <c r="U5" s="209"/>
      <c r="V5" s="209"/>
      <c r="X5" s="285"/>
      <c r="Y5" s="279"/>
      <c r="Z5" s="279"/>
    </row>
    <row r="6" spans="1:32" x14ac:dyDescent="0.25">
      <c r="B6" s="180" t="s">
        <v>1</v>
      </c>
      <c r="C6" s="102" t="s">
        <v>24</v>
      </c>
      <c r="D6" s="70" t="s">
        <v>25</v>
      </c>
      <c r="E6" s="226"/>
      <c r="F6" s="180" t="s">
        <v>1</v>
      </c>
      <c r="G6" s="102" t="s">
        <v>24</v>
      </c>
      <c r="H6" s="70" t="s">
        <v>25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27</v>
      </c>
      <c r="D7" s="227">
        <f ca="1">0.001*INDIRECT($B7&amp;"!E5")</f>
        <v>1107.962968</v>
      </c>
      <c r="E7" s="226"/>
      <c r="F7" s="95" t="str">
        <f>F4</f>
        <v>breakfast_track</v>
      </c>
      <c r="G7" s="102" t="s">
        <v>27</v>
      </c>
      <c r="H7" s="227">
        <f ca="1">0.001*INDIRECT($B7&amp;"!W5")</f>
        <v>0</v>
      </c>
      <c r="I7" s="10"/>
      <c r="J7" s="228">
        <f ca="1">H7/D7-1</f>
        <v>-1</v>
      </c>
      <c r="L7" s="76">
        <f ca="1">INDIRECT($B7&amp;"!"&amp;L$3&amp;"5")</f>
        <v>27.629005880000001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28</v>
      </c>
      <c r="D8" s="227">
        <f ca="1">0.001*INDIRECT($B8&amp;"!E6")</f>
        <v>1592.8603360000002</v>
      </c>
      <c r="E8" s="226"/>
      <c r="F8" s="95" t="str">
        <f>F7</f>
        <v>breakfast_track</v>
      </c>
      <c r="G8" s="102" t="s">
        <v>28</v>
      </c>
      <c r="H8" s="227">
        <f ca="1">0.001*INDIRECT($B8&amp;"!W6")</f>
        <v>0</v>
      </c>
      <c r="I8" s="10"/>
      <c r="J8" s="228">
        <f ca="1">H8/D8-1</f>
        <v>-1</v>
      </c>
      <c r="L8" s="76">
        <f ca="1">INDIRECT($B8&amp;"!"&amp;L$3&amp;"6")</f>
        <v>31.179395786666664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29</v>
      </c>
      <c r="D9" s="227">
        <f ca="1">0.001*INDIRECT($B9&amp;"!E7")</f>
        <v>2297.023952</v>
      </c>
      <c r="E9" s="226"/>
      <c r="F9" s="95" t="str">
        <f>F8</f>
        <v>breakfast_track</v>
      </c>
      <c r="G9" s="102" t="s">
        <v>29</v>
      </c>
      <c r="H9" s="227">
        <f ca="1">0.001*INDIRECT($B9&amp;"!W7")</f>
        <v>0</v>
      </c>
      <c r="I9" s="10"/>
      <c r="J9" s="228">
        <f ca="1">H9/D9-1</f>
        <v>-1</v>
      </c>
      <c r="L9" s="76">
        <f ca="1">INDIRECT($B9&amp;"!"&amp;L$3&amp;"7")</f>
        <v>35.614324493333335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31</v>
      </c>
      <c r="D10" s="227">
        <f ca="1">0.001*INDIRECT($B10&amp;"!E8")</f>
        <v>3257.6030800000003</v>
      </c>
      <c r="E10" s="226"/>
      <c r="F10" s="95" t="str">
        <f>F9</f>
        <v>breakfast_track</v>
      </c>
      <c r="G10" s="102" t="s">
        <v>31</v>
      </c>
      <c r="H10" s="227">
        <f ca="1">0.001*INDIRECT($B10&amp;"!W8")</f>
        <v>0</v>
      </c>
      <c r="I10" s="10"/>
      <c r="J10" s="228">
        <f ca="1">H10/D10-1</f>
        <v>-1</v>
      </c>
      <c r="L10" s="76">
        <f ca="1">INDIRECT($B10&amp;"!"&amp;L$3&amp;"8")</f>
        <v>38.223492680000007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8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3257.6030800000003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>
      <c r="B14" s="206"/>
      <c r="C14" s="206"/>
      <c r="D14" s="235"/>
      <c r="E14" s="226"/>
      <c r="F14" s="206"/>
      <c r="G14" s="206"/>
      <c r="H14" s="235"/>
      <c r="I14" s="10"/>
      <c r="J14" s="200"/>
      <c r="L14" s="201"/>
      <c r="M14" s="201"/>
      <c r="N14" s="202"/>
      <c r="O14" s="226"/>
      <c r="P14" s="204"/>
      <c r="Q14" s="226"/>
      <c r="R14" s="10"/>
      <c r="S14" s="10"/>
      <c r="T14" s="10"/>
      <c r="U14" s="10"/>
      <c r="V14" s="67"/>
      <c r="X14" s="68"/>
      <c r="Y14" s="68"/>
      <c r="Z14" s="66"/>
    </row>
    <row r="15" spans="1:32" x14ac:dyDescent="0.25">
      <c r="B15" s="282" t="s">
        <v>11</v>
      </c>
      <c r="C15" s="283"/>
      <c r="D15" s="284"/>
      <c r="E15" s="3"/>
      <c r="F15" s="282" t="str">
        <f>B15</f>
        <v>breakfast_semitrack</v>
      </c>
      <c r="G15" s="283"/>
      <c r="H15" s="284"/>
      <c r="I15" s="3"/>
      <c r="J15" s="208"/>
      <c r="L15" s="286" t="str">
        <f>F15</f>
        <v>breakfast_semitrack</v>
      </c>
      <c r="M15" s="283"/>
      <c r="N15" s="284"/>
      <c r="O15" s="183"/>
      <c r="P15" s="208"/>
      <c r="Q15" s="183"/>
      <c r="R15" s="183"/>
      <c r="S15" s="183"/>
      <c r="T15" s="183"/>
      <c r="U15" s="204"/>
      <c r="V15" s="204"/>
      <c r="X15" s="281"/>
      <c r="Y15" s="279"/>
      <c r="Z15" s="279"/>
    </row>
    <row r="16" spans="1:32" x14ac:dyDescent="0.25">
      <c r="B16" s="278" t="s">
        <v>20</v>
      </c>
      <c r="C16" s="279"/>
      <c r="D16" s="71" t="s">
        <v>21</v>
      </c>
      <c r="E16" s="226"/>
      <c r="F16" s="278" t="s">
        <v>20</v>
      </c>
      <c r="G16" s="279"/>
      <c r="H16" s="71" t="s">
        <v>21</v>
      </c>
      <c r="I16" s="10"/>
      <c r="J16" s="207" t="s">
        <v>22</v>
      </c>
      <c r="L16" s="287" t="s">
        <v>23</v>
      </c>
      <c r="M16" s="279"/>
      <c r="N16" s="288"/>
      <c r="O16" s="69"/>
      <c r="P16" s="4"/>
      <c r="Q16" s="69"/>
      <c r="R16" s="285"/>
      <c r="S16" s="279"/>
      <c r="T16" s="279"/>
      <c r="U16" s="209"/>
      <c r="V16" s="209"/>
      <c r="X16" s="285"/>
      <c r="Y16" s="279"/>
      <c r="Z16" s="279"/>
    </row>
    <row r="17" spans="2:28" x14ac:dyDescent="0.25">
      <c r="B17" s="180" t="s">
        <v>1</v>
      </c>
      <c r="C17" s="102" t="s">
        <v>24</v>
      </c>
      <c r="D17" s="70" t="s">
        <v>25</v>
      </c>
      <c r="E17" s="226"/>
      <c r="F17" s="180" t="s">
        <v>1</v>
      </c>
      <c r="G17" s="102" t="s">
        <v>24</v>
      </c>
      <c r="H17" s="70" t="s">
        <v>25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27</v>
      </c>
      <c r="D18" s="227">
        <f ca="1">0.001*INDIRECT($B18&amp;"!E5")</f>
        <v>1133.9081600000002</v>
      </c>
      <c r="E18" s="226"/>
      <c r="F18" s="95" t="str">
        <f>F15</f>
        <v>breakfast_semitrack</v>
      </c>
      <c r="G18" s="102" t="s">
        <v>27</v>
      </c>
      <c r="H18" s="227">
        <f ca="1">0.001*INDIRECT($B18&amp;"!W5")</f>
        <v>0</v>
      </c>
      <c r="I18" s="10"/>
      <c r="J18" s="228">
        <f ca="1">H18/D18-1</f>
        <v>-1</v>
      </c>
      <c r="L18" s="76">
        <f ca="1">INDIRECT($B18&amp;"!"&amp;L$3&amp;"5")</f>
        <v>27.542684215555553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28</v>
      </c>
      <c r="D19" s="227">
        <f ca="1">0.001*INDIRECT($B19&amp;"!E6")</f>
        <v>1634.1013279999997</v>
      </c>
      <c r="E19" s="226"/>
      <c r="F19" s="95" t="str">
        <f>F18</f>
        <v>breakfast_semitrack</v>
      </c>
      <c r="G19" s="102" t="s">
        <v>28</v>
      </c>
      <c r="H19" s="227">
        <f ca="1">0.001*INDIRECT($B19&amp;"!W6")</f>
        <v>0</v>
      </c>
      <c r="I19" s="10"/>
      <c r="J19" s="228">
        <f ca="1">H19/D19-1</f>
        <v>-1</v>
      </c>
      <c r="L19" s="76">
        <f ca="1">INDIRECT($B19&amp;"!"&amp;L$3&amp;"6")</f>
        <v>31.156350531111112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29</v>
      </c>
      <c r="D20" s="227">
        <f ca="1">0.001*INDIRECT($B20&amp;"!E7")</f>
        <v>2362.7906160000007</v>
      </c>
      <c r="E20" s="226"/>
      <c r="F20" s="95" t="str">
        <f>F19</f>
        <v>breakfast_semitrack</v>
      </c>
      <c r="G20" s="102" t="s">
        <v>29</v>
      </c>
      <c r="H20" s="227">
        <f ca="1">0.001*INDIRECT($B20&amp;"!W7")</f>
        <v>0</v>
      </c>
      <c r="I20" s="10"/>
      <c r="J20" s="228">
        <f ca="1">H20/D20-1</f>
        <v>-1</v>
      </c>
      <c r="L20" s="76">
        <f ca="1">INDIRECT($B20&amp;"!"&amp;L$3&amp;"7")</f>
        <v>35.482514933333327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31</v>
      </c>
      <c r="D21" s="227">
        <f ca="1">0.001*INDIRECT($B21&amp;"!E8")</f>
        <v>3353.4556240000002</v>
      </c>
      <c r="E21" s="226"/>
      <c r="F21" s="95" t="str">
        <f>F20</f>
        <v>breakfast_semitrack</v>
      </c>
      <c r="G21" s="102" t="s">
        <v>31</v>
      </c>
      <c r="H21" s="227">
        <f ca="1">0.001*INDIRECT($B21&amp;"!W8")</f>
        <v>0</v>
      </c>
      <c r="I21" s="10"/>
      <c r="J21" s="228">
        <f ca="1">H21/D21-1</f>
        <v>-1</v>
      </c>
      <c r="L21" s="76">
        <f ca="1">INDIRECT($B21&amp;"!"&amp;L$3&amp;"8")</f>
        <v>37.968394484444453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8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3353.4556240000002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2" t="s">
        <v>12</v>
      </c>
      <c r="C26" s="283"/>
      <c r="D26" s="284"/>
      <c r="E26" s="3"/>
      <c r="F26" s="282" t="str">
        <f>B26</f>
        <v>cinema_track</v>
      </c>
      <c r="G26" s="283"/>
      <c r="H26" s="284"/>
      <c r="I26" s="3"/>
      <c r="J26" s="208"/>
      <c r="L26" s="286" t="str">
        <f>F26</f>
        <v>cinema_track</v>
      </c>
      <c r="M26" s="283"/>
      <c r="N26" s="284"/>
      <c r="O26" s="183"/>
      <c r="P26" s="208"/>
      <c r="U26" s="204"/>
      <c r="V26" s="204"/>
      <c r="X26" s="281"/>
      <c r="Y26" s="279"/>
      <c r="Z26" s="279"/>
    </row>
    <row r="27" spans="2:28" x14ac:dyDescent="0.25">
      <c r="B27" s="278" t="s">
        <v>20</v>
      </c>
      <c r="C27" s="279"/>
      <c r="D27" s="71" t="s">
        <v>21</v>
      </c>
      <c r="E27" s="226"/>
      <c r="F27" s="278" t="s">
        <v>20</v>
      </c>
      <c r="G27" s="279"/>
      <c r="H27" s="71" t="s">
        <v>21</v>
      </c>
      <c r="I27" s="10"/>
      <c r="J27" s="207" t="s">
        <v>22</v>
      </c>
      <c r="L27" s="287" t="s">
        <v>23</v>
      </c>
      <c r="M27" s="279"/>
      <c r="N27" s="288"/>
      <c r="O27" s="69"/>
      <c r="P27" s="4"/>
      <c r="R27" s="285"/>
      <c r="S27" s="279"/>
      <c r="T27" s="279"/>
      <c r="U27" s="209"/>
      <c r="V27" s="209"/>
      <c r="X27" s="285"/>
      <c r="Y27" s="279"/>
      <c r="Z27" s="279"/>
    </row>
    <row r="28" spans="2:28" x14ac:dyDescent="0.25">
      <c r="B28" s="180" t="s">
        <v>1</v>
      </c>
      <c r="C28" s="102" t="s">
        <v>24</v>
      </c>
      <c r="D28" s="70" t="s">
        <v>25</v>
      </c>
      <c r="E28" s="226"/>
      <c r="F28" s="180" t="s">
        <v>1</v>
      </c>
      <c r="G28" s="102" t="s">
        <v>24</v>
      </c>
      <c r="H28" s="70" t="s">
        <v>25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27</v>
      </c>
      <c r="D29" s="227">
        <f ca="1">0.001*INDIRECT($B29&amp;"!E5")</f>
        <v>821.71339999999998</v>
      </c>
      <c r="E29" s="226"/>
      <c r="F29" s="95" t="str">
        <f>F26</f>
        <v>cinema_track</v>
      </c>
      <c r="G29" s="102" t="s">
        <v>27</v>
      </c>
      <c r="H29" s="227">
        <f ca="1">0.001*INDIRECT($B29&amp;"!W5")</f>
        <v>0</v>
      </c>
      <c r="I29" s="10"/>
      <c r="J29" s="228">
        <f ca="1">H29/D29-1</f>
        <v>-1</v>
      </c>
      <c r="L29" s="76">
        <f ca="1">INDIRECT($B29&amp;"!"&amp;L$3&amp;"5")</f>
        <v>30.452036950793648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28</v>
      </c>
      <c r="D30" s="227">
        <f ca="1">0.001*INDIRECT($B30&amp;"!E6")</f>
        <v>1189.1244799999999</v>
      </c>
      <c r="E30" s="226"/>
      <c r="F30" s="95" t="str">
        <f>F29</f>
        <v>cinema_track</v>
      </c>
      <c r="G30" s="102" t="s">
        <v>28</v>
      </c>
      <c r="H30" s="227">
        <f ca="1">0.001*INDIRECT($B30&amp;"!W6")</f>
        <v>0</v>
      </c>
      <c r="I30" s="10"/>
      <c r="J30" s="228">
        <f ca="1">H30/D30-1</f>
        <v>-1</v>
      </c>
      <c r="L30" s="76">
        <f ca="1">INDIRECT($B30&amp;"!"&amp;L$3&amp;"6")</f>
        <v>33.281688507936515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29</v>
      </c>
      <c r="D31" s="227">
        <f ca="1">0.001*INDIRECT($B31&amp;"!E7")</f>
        <v>1782.1216480000001</v>
      </c>
      <c r="E31" s="226"/>
      <c r="F31" s="95" t="str">
        <f>F30</f>
        <v>cinema_track</v>
      </c>
      <c r="G31" s="102" t="s">
        <v>29</v>
      </c>
      <c r="H31" s="227">
        <f ca="1">0.001*INDIRECT($B31&amp;"!W7")</f>
        <v>0</v>
      </c>
      <c r="I31" s="10"/>
      <c r="J31" s="228">
        <f ca="1">H31/D31-1</f>
        <v>-1</v>
      </c>
      <c r="L31" s="76">
        <f ca="1">INDIRECT($B31&amp;"!"&amp;L$3&amp;"7")</f>
        <v>36.535476895238084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31</v>
      </c>
      <c r="D32" s="227">
        <f ca="1">0.001*INDIRECT($B32&amp;"!E8")</f>
        <v>2601.3312159999996</v>
      </c>
      <c r="E32" s="226"/>
      <c r="F32" s="95" t="str">
        <f>F31</f>
        <v>cinema_track</v>
      </c>
      <c r="G32" s="102" t="s">
        <v>31</v>
      </c>
      <c r="H32" s="227">
        <f ca="1">0.001*INDIRECT($B32&amp;"!W8")</f>
        <v>0</v>
      </c>
      <c r="I32" s="10"/>
      <c r="J32" s="228">
        <f ca="1">H32/D32-1</f>
        <v>-1</v>
      </c>
      <c r="L32" s="76">
        <f ca="1">INDIRECT($B32&amp;"!"&amp;L$3&amp;"8")</f>
        <v>39.550670609523813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8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2601.3312159999996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2" t="s">
        <v>13</v>
      </c>
      <c r="C37" s="283"/>
      <c r="D37" s="284"/>
      <c r="E37" s="3"/>
      <c r="F37" s="282" t="str">
        <f>B37</f>
        <v>cinema_semitrack</v>
      </c>
      <c r="G37" s="283"/>
      <c r="H37" s="284"/>
      <c r="I37" s="3"/>
      <c r="J37" s="208"/>
      <c r="L37" s="286" t="str">
        <f>F37</f>
        <v>cinema_semitrack</v>
      </c>
      <c r="M37" s="283"/>
      <c r="N37" s="284"/>
      <c r="O37" s="183"/>
      <c r="P37" s="208"/>
      <c r="U37" s="204"/>
      <c r="V37" s="204"/>
      <c r="X37" s="281"/>
      <c r="Y37" s="279"/>
      <c r="Z37" s="279"/>
    </row>
    <row r="38" spans="2:28" x14ac:dyDescent="0.25">
      <c r="B38" s="278" t="s">
        <v>20</v>
      </c>
      <c r="C38" s="279"/>
      <c r="D38" s="71" t="s">
        <v>21</v>
      </c>
      <c r="E38" s="226"/>
      <c r="F38" s="278" t="s">
        <v>20</v>
      </c>
      <c r="G38" s="279"/>
      <c r="H38" s="71" t="s">
        <v>21</v>
      </c>
      <c r="I38" s="10"/>
      <c r="J38" s="207" t="s">
        <v>22</v>
      </c>
      <c r="L38" s="287" t="s">
        <v>23</v>
      </c>
      <c r="M38" s="279"/>
      <c r="N38" s="288"/>
      <c r="O38" s="69"/>
      <c r="P38" s="4"/>
      <c r="R38" s="285"/>
      <c r="S38" s="279"/>
      <c r="T38" s="279"/>
      <c r="U38" s="209"/>
      <c r="V38" s="209"/>
      <c r="X38" s="285"/>
      <c r="Y38" s="279"/>
      <c r="Z38" s="279"/>
    </row>
    <row r="39" spans="2:28" x14ac:dyDescent="0.25">
      <c r="B39" s="180" t="s">
        <v>1</v>
      </c>
      <c r="C39" s="102" t="s">
        <v>24</v>
      </c>
      <c r="D39" s="70" t="s">
        <v>25</v>
      </c>
      <c r="E39" s="226"/>
      <c r="F39" s="180" t="s">
        <v>1</v>
      </c>
      <c r="G39" s="102" t="s">
        <v>24</v>
      </c>
      <c r="H39" s="70" t="s">
        <v>25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27</v>
      </c>
      <c r="D40" s="227">
        <f ca="1">0.001*INDIRECT($B40&amp;"!E5")</f>
        <v>845.74751200000003</v>
      </c>
      <c r="E40" s="226"/>
      <c r="F40" s="95" t="str">
        <f>F37</f>
        <v>cinema_semitrack</v>
      </c>
      <c r="G40" s="102" t="s">
        <v>27</v>
      </c>
      <c r="H40" s="227">
        <f ca="1">0.001*INDIRECT($B40&amp;"!W5")</f>
        <v>0</v>
      </c>
      <c r="I40" s="10"/>
      <c r="J40" s="228">
        <f ca="1">H40/D40-1</f>
        <v>-1</v>
      </c>
      <c r="L40" s="76">
        <f ca="1">INDIRECT($B40&amp;"!"&amp;L$3&amp;"5")</f>
        <v>30.37096978571428</v>
      </c>
      <c r="M40" s="77" t="e">
        <f ca="1">INDIRECT($B40&amp;"!"&amp;M$3&amp;"5")</f>
        <v>#DIV/0!</v>
      </c>
      <c r="N40" s="78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28</v>
      </c>
      <c r="D41" s="227">
        <f ca="1">0.001*INDIRECT($B41&amp;"!E6")</f>
        <v>1228.4774640000003</v>
      </c>
      <c r="E41" s="226"/>
      <c r="F41" s="95" t="str">
        <f>F40</f>
        <v>cinema_semitrack</v>
      </c>
      <c r="G41" s="102" t="s">
        <v>28</v>
      </c>
      <c r="H41" s="227">
        <f ca="1">0.001*INDIRECT($B41&amp;"!W6")</f>
        <v>0</v>
      </c>
      <c r="I41" s="10"/>
      <c r="J41" s="228">
        <f ca="1">H41/D41-1</f>
        <v>-1</v>
      </c>
      <c r="L41" s="76">
        <f ca="1">INDIRECT($B41&amp;"!"&amp;L$3&amp;"6")</f>
        <v>33.247802463492064</v>
      </c>
      <c r="M41" s="77" t="e">
        <f ca="1">INDIRECT($B41&amp;"!"&amp;M$3&amp;"6")</f>
        <v>#DIV/0!</v>
      </c>
      <c r="N41" s="78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29</v>
      </c>
      <c r="D42" s="227">
        <f ca="1">0.001*INDIRECT($B42&amp;"!E7")</f>
        <v>1847.8872159999999</v>
      </c>
      <c r="E42" s="226"/>
      <c r="F42" s="95" t="str">
        <f>F41</f>
        <v>cinema_semitrack</v>
      </c>
      <c r="G42" s="102" t="s">
        <v>29</v>
      </c>
      <c r="H42" s="227">
        <f ca="1">0.001*INDIRECT($B42&amp;"!W7")</f>
        <v>0</v>
      </c>
      <c r="I42" s="10"/>
      <c r="J42" s="228">
        <f ca="1">H42/D42-1</f>
        <v>-1</v>
      </c>
      <c r="L42" s="76">
        <f ca="1">INDIRECT($B42&amp;"!"&amp;L$3&amp;"7")</f>
        <v>36.500060906349205</v>
      </c>
      <c r="M42" s="77" t="e">
        <f ca="1">INDIRECT($B42&amp;"!"&amp;M$3&amp;"7")</f>
        <v>#DIV/0!</v>
      </c>
      <c r="N42" s="78" t="e">
        <f ca="1">M42-L42</f>
        <v>#DIV/0!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31</v>
      </c>
      <c r="D43" s="227">
        <f ca="1">0.001*INDIRECT($B43&amp;"!E8")</f>
        <v>2700.5942639999998</v>
      </c>
      <c r="E43" s="226"/>
      <c r="F43" s="95" t="str">
        <f>F42</f>
        <v>cinema_semitrack</v>
      </c>
      <c r="G43" s="102" t="s">
        <v>31</v>
      </c>
      <c r="H43" s="227">
        <f ca="1">0.001*INDIRECT($B43&amp;"!W8")</f>
        <v>0</v>
      </c>
      <c r="I43" s="10"/>
      <c r="J43" s="228">
        <f ca="1">H43/D43-1</f>
        <v>-1</v>
      </c>
      <c r="L43" s="76">
        <f ca="1">INDIRECT($B43&amp;"!"&amp;L$3&amp;"8")</f>
        <v>39.46655222857143</v>
      </c>
      <c r="M43" s="77" t="e">
        <f ca="1">INDIRECT($B43&amp;"!"&amp;M$3&amp;"8")</f>
        <v>#DIV/0!</v>
      </c>
      <c r="N43" s="78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0</v>
      </c>
      <c r="L45" s="81"/>
      <c r="M45" s="82"/>
      <c r="N45" s="83"/>
      <c r="O45" s="226"/>
      <c r="P45" s="208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2700.5942639999998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2"/>
      <c r="C48" s="283"/>
      <c r="D48" s="284"/>
      <c r="E48" s="3"/>
      <c r="F48" s="282">
        <f>B48</f>
        <v>0</v>
      </c>
      <c r="G48" s="283"/>
      <c r="H48" s="284"/>
      <c r="I48" s="3"/>
      <c r="J48" s="208"/>
      <c r="L48" s="286">
        <f>F48</f>
        <v>0</v>
      </c>
      <c r="M48" s="283"/>
      <c r="N48" s="284"/>
      <c r="O48" s="183"/>
      <c r="P48" s="208"/>
      <c r="U48" s="204"/>
      <c r="V48" s="204"/>
      <c r="X48" s="281"/>
      <c r="Y48" s="279"/>
      <c r="Z48" s="279"/>
    </row>
    <row r="49" spans="2:28" x14ac:dyDescent="0.25">
      <c r="B49" s="278" t="s">
        <v>20</v>
      </c>
      <c r="C49" s="279"/>
      <c r="D49" s="71" t="s">
        <v>21</v>
      </c>
      <c r="E49" s="226"/>
      <c r="F49" s="278" t="s">
        <v>20</v>
      </c>
      <c r="G49" s="279"/>
      <c r="H49" s="71" t="s">
        <v>21</v>
      </c>
      <c r="I49" s="10"/>
      <c r="J49" s="207" t="s">
        <v>22</v>
      </c>
      <c r="L49" s="287" t="s">
        <v>23</v>
      </c>
      <c r="M49" s="279"/>
      <c r="N49" s="288"/>
      <c r="O49" s="69"/>
      <c r="P49" s="4"/>
      <c r="R49" s="285"/>
      <c r="S49" s="279"/>
      <c r="T49" s="279"/>
      <c r="U49" s="209"/>
      <c r="V49" s="209"/>
      <c r="X49" s="285"/>
      <c r="Y49" s="279"/>
      <c r="Z49" s="279"/>
    </row>
    <row r="50" spans="2:28" x14ac:dyDescent="0.25">
      <c r="B50" s="180" t="s">
        <v>1</v>
      </c>
      <c r="C50" s="102" t="s">
        <v>24</v>
      </c>
      <c r="D50" s="70" t="s">
        <v>25</v>
      </c>
      <c r="E50" s="226"/>
      <c r="F50" s="180" t="s">
        <v>1</v>
      </c>
      <c r="G50" s="102" t="s">
        <v>24</v>
      </c>
      <c r="H50" s="70" t="s">
        <v>25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27</v>
      </c>
      <c r="D51" s="227" t="e">
        <f ca="1">0.001*INDIRECT($B51&amp;"!E5")</f>
        <v>#REF!</v>
      </c>
      <c r="E51" s="226"/>
      <c r="F51" s="95">
        <f>F48</f>
        <v>0</v>
      </c>
      <c r="G51" s="102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28</v>
      </c>
      <c r="D52" s="227" t="e">
        <f ca="1">0.001*INDIRECT($B52&amp;"!E6")</f>
        <v>#REF!</v>
      </c>
      <c r="E52" s="226"/>
      <c r="F52" s="95">
        <f>F51</f>
        <v>0</v>
      </c>
      <c r="G52" s="102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29</v>
      </c>
      <c r="D53" s="227" t="e">
        <f ca="1">0.001*INDIRECT($B53&amp;"!E7")</f>
        <v>#REF!</v>
      </c>
      <c r="E53" s="226"/>
      <c r="F53" s="95">
        <f>F52</f>
        <v>0</v>
      </c>
      <c r="G53" s="102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31</v>
      </c>
      <c r="D54" s="227" t="e">
        <f ca="1">0.001*INDIRECT($B54&amp;"!E8")</f>
        <v>#REF!</v>
      </c>
      <c r="E54" s="226"/>
      <c r="F54" s="95">
        <f>F53</f>
        <v>0</v>
      </c>
      <c r="G54" s="102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8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2"/>
      <c r="C59" s="283"/>
      <c r="D59" s="284"/>
      <c r="E59" s="3"/>
      <c r="F59" s="282">
        <f>B59</f>
        <v>0</v>
      </c>
      <c r="G59" s="283"/>
      <c r="H59" s="284"/>
      <c r="I59" s="3"/>
      <c r="J59" s="208"/>
      <c r="L59" s="286">
        <f>F59</f>
        <v>0</v>
      </c>
      <c r="M59" s="283"/>
      <c r="N59" s="284"/>
      <c r="O59" s="183"/>
      <c r="P59" s="208"/>
      <c r="U59" s="204"/>
      <c r="V59" s="204"/>
      <c r="X59" s="281"/>
      <c r="Y59" s="279"/>
      <c r="Z59" s="279"/>
    </row>
    <row r="60" spans="2:28" x14ac:dyDescent="0.25">
      <c r="B60" s="278" t="s">
        <v>20</v>
      </c>
      <c r="C60" s="279"/>
      <c r="D60" s="71" t="s">
        <v>21</v>
      </c>
      <c r="E60" s="226"/>
      <c r="F60" s="278" t="s">
        <v>20</v>
      </c>
      <c r="G60" s="279"/>
      <c r="H60" s="71" t="s">
        <v>21</v>
      </c>
      <c r="I60" s="10"/>
      <c r="J60" s="207" t="s">
        <v>22</v>
      </c>
      <c r="L60" s="287" t="s">
        <v>23</v>
      </c>
      <c r="M60" s="279"/>
      <c r="N60" s="288"/>
      <c r="O60" s="69"/>
      <c r="P60" s="4"/>
      <c r="R60" s="285"/>
      <c r="S60" s="279"/>
      <c r="T60" s="279"/>
      <c r="U60" s="209"/>
      <c r="V60" s="209"/>
      <c r="X60" s="285"/>
      <c r="Y60" s="279"/>
      <c r="Z60" s="279"/>
    </row>
    <row r="61" spans="2:28" x14ac:dyDescent="0.25">
      <c r="B61" s="180" t="s">
        <v>1</v>
      </c>
      <c r="C61" s="102" t="s">
        <v>24</v>
      </c>
      <c r="D61" s="70" t="s">
        <v>25</v>
      </c>
      <c r="E61" s="226"/>
      <c r="F61" s="180" t="s">
        <v>1</v>
      </c>
      <c r="G61" s="102" t="s">
        <v>24</v>
      </c>
      <c r="H61" s="70" t="s">
        <v>25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27</v>
      </c>
      <c r="D62" s="227" t="e">
        <f ca="1">0.001*INDIRECT($B62&amp;"!E5")</f>
        <v>#REF!</v>
      </c>
      <c r="E62" s="226"/>
      <c r="F62" s="95">
        <f>F59</f>
        <v>0</v>
      </c>
      <c r="G62" s="102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28</v>
      </c>
      <c r="D63" s="227" t="e">
        <f ca="1">0.001*INDIRECT($B63&amp;"!E6")</f>
        <v>#REF!</v>
      </c>
      <c r="E63" s="226"/>
      <c r="F63" s="95">
        <f>F62</f>
        <v>0</v>
      </c>
      <c r="G63" s="102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29</v>
      </c>
      <c r="D64" s="227" t="e">
        <f ca="1">0.001*INDIRECT($B64&amp;"!E7")</f>
        <v>#REF!</v>
      </c>
      <c r="E64" s="226"/>
      <c r="F64" s="95">
        <f>F63</f>
        <v>0</v>
      </c>
      <c r="G64" s="102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31</v>
      </c>
      <c r="D65" s="227" t="e">
        <f ca="1">0.001*INDIRECT($B65&amp;"!E8")</f>
        <v>#REF!</v>
      </c>
      <c r="E65" s="226"/>
      <c r="F65" s="95">
        <f>F64</f>
        <v>0</v>
      </c>
      <c r="G65" s="102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8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2"/>
      <c r="C70" s="283"/>
      <c r="D70" s="284"/>
      <c r="E70" s="3"/>
      <c r="F70" s="282">
        <f>B70</f>
        <v>0</v>
      </c>
      <c r="G70" s="283"/>
      <c r="H70" s="284"/>
      <c r="I70" s="3"/>
      <c r="J70" s="208"/>
      <c r="L70" s="286">
        <f>F70</f>
        <v>0</v>
      </c>
      <c r="M70" s="283"/>
      <c r="N70" s="284"/>
      <c r="O70" s="183"/>
      <c r="P70" s="208"/>
      <c r="U70" s="204"/>
      <c r="V70" s="204"/>
      <c r="X70" s="281"/>
      <c r="Y70" s="279"/>
      <c r="Z70" s="279"/>
    </row>
    <row r="71" spans="2:28" x14ac:dyDescent="0.25">
      <c r="B71" s="278" t="s">
        <v>20</v>
      </c>
      <c r="C71" s="279"/>
      <c r="D71" s="71" t="s">
        <v>21</v>
      </c>
      <c r="E71" s="226"/>
      <c r="F71" s="278" t="s">
        <v>20</v>
      </c>
      <c r="G71" s="279"/>
      <c r="H71" s="71" t="s">
        <v>21</v>
      </c>
      <c r="I71" s="10"/>
      <c r="J71" s="207" t="s">
        <v>22</v>
      </c>
      <c r="L71" s="287" t="s">
        <v>23</v>
      </c>
      <c r="M71" s="279"/>
      <c r="N71" s="288"/>
      <c r="O71" s="69"/>
      <c r="P71" s="4"/>
      <c r="R71" s="285"/>
      <c r="S71" s="279"/>
      <c r="T71" s="279"/>
      <c r="U71" s="209"/>
      <c r="V71" s="209"/>
      <c r="X71" s="285"/>
      <c r="Y71" s="279"/>
      <c r="Z71" s="279"/>
    </row>
    <row r="72" spans="2:28" x14ac:dyDescent="0.25">
      <c r="B72" s="180" t="s">
        <v>1</v>
      </c>
      <c r="C72" s="102" t="s">
        <v>24</v>
      </c>
      <c r="D72" s="70" t="s">
        <v>25</v>
      </c>
      <c r="E72" s="226"/>
      <c r="F72" s="180" t="s">
        <v>1</v>
      </c>
      <c r="G72" s="102" t="s">
        <v>24</v>
      </c>
      <c r="H72" s="70" t="s">
        <v>25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27</v>
      </c>
      <c r="D73" s="227" t="e">
        <f ca="1">0.001*INDIRECT($B73&amp;"!E5")</f>
        <v>#REF!</v>
      </c>
      <c r="E73" s="226"/>
      <c r="F73" s="95">
        <f>F70</f>
        <v>0</v>
      </c>
      <c r="G73" s="102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28</v>
      </c>
      <c r="D74" s="227" t="e">
        <f ca="1">0.001*INDIRECT($B74&amp;"!E6")</f>
        <v>#REF!</v>
      </c>
      <c r="E74" s="226"/>
      <c r="F74" s="95">
        <f>F73</f>
        <v>0</v>
      </c>
      <c r="G74" s="102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29</v>
      </c>
      <c r="D75" s="227" t="e">
        <f ca="1">0.001*INDIRECT($B75&amp;"!E7")</f>
        <v>#REF!</v>
      </c>
      <c r="E75" s="226"/>
      <c r="F75" s="95">
        <f>F74</f>
        <v>0</v>
      </c>
      <c r="G75" s="102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31</v>
      </c>
      <c r="D76" s="227" t="e">
        <f ca="1">0.001*INDIRECT($B76&amp;"!E8")</f>
        <v>#REF!</v>
      </c>
      <c r="E76" s="226"/>
      <c r="F76" s="95">
        <f>F75</f>
        <v>0</v>
      </c>
      <c r="G76" s="102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8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2" customHeight="1" thickBot="1" x14ac:dyDescent="0.3"/>
    <row r="81" spans="2:28" x14ac:dyDescent="0.25">
      <c r="B81" s="282"/>
      <c r="C81" s="283"/>
      <c r="D81" s="284"/>
      <c r="E81" s="3"/>
      <c r="F81" s="282">
        <f>B81</f>
        <v>0</v>
      </c>
      <c r="G81" s="283"/>
      <c r="H81" s="284"/>
      <c r="I81" s="3"/>
      <c r="J81" s="208"/>
      <c r="L81" s="286">
        <f>F81</f>
        <v>0</v>
      </c>
      <c r="M81" s="283"/>
      <c r="N81" s="284"/>
      <c r="O81" s="183"/>
      <c r="P81" s="208"/>
      <c r="U81" s="204"/>
      <c r="V81" s="204"/>
      <c r="X81" s="281"/>
      <c r="Y81" s="279"/>
      <c r="Z81" s="279"/>
    </row>
    <row r="82" spans="2:28" x14ac:dyDescent="0.25">
      <c r="B82" s="278" t="s">
        <v>20</v>
      </c>
      <c r="C82" s="279"/>
      <c r="D82" s="71" t="s">
        <v>21</v>
      </c>
      <c r="E82" s="226"/>
      <c r="F82" s="278" t="s">
        <v>20</v>
      </c>
      <c r="G82" s="279"/>
      <c r="H82" s="71" t="s">
        <v>21</v>
      </c>
      <c r="I82" s="10"/>
      <c r="J82" s="207" t="s">
        <v>22</v>
      </c>
      <c r="L82" s="287" t="s">
        <v>23</v>
      </c>
      <c r="M82" s="279"/>
      <c r="N82" s="288"/>
      <c r="O82" s="69"/>
      <c r="P82" s="4"/>
      <c r="R82" s="285"/>
      <c r="S82" s="279"/>
      <c r="T82" s="279"/>
      <c r="U82" s="209"/>
      <c r="V82" s="209"/>
      <c r="X82" s="285"/>
      <c r="Y82" s="279"/>
      <c r="Z82" s="279"/>
    </row>
    <row r="83" spans="2:28" x14ac:dyDescent="0.25">
      <c r="B83" s="180" t="s">
        <v>1</v>
      </c>
      <c r="C83" s="102" t="s">
        <v>24</v>
      </c>
      <c r="D83" s="70" t="s">
        <v>25</v>
      </c>
      <c r="E83" s="226"/>
      <c r="F83" s="180" t="s">
        <v>1</v>
      </c>
      <c r="G83" s="102" t="s">
        <v>24</v>
      </c>
      <c r="H83" s="70" t="s">
        <v>25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27</v>
      </c>
      <c r="D84" s="227" t="e">
        <f ca="1">0.001*INDIRECT($B84&amp;"!E5")</f>
        <v>#REF!</v>
      </c>
      <c r="E84" s="226"/>
      <c r="F84" s="95">
        <f>F81</f>
        <v>0</v>
      </c>
      <c r="G84" s="102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28</v>
      </c>
      <c r="D85" s="227" t="e">
        <f ca="1">0.001*INDIRECT($B85&amp;"!E6")</f>
        <v>#REF!</v>
      </c>
      <c r="E85" s="226"/>
      <c r="F85" s="95">
        <f>F84</f>
        <v>0</v>
      </c>
      <c r="G85" s="102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29</v>
      </c>
      <c r="D86" s="227" t="e">
        <f ca="1">0.001*INDIRECT($B86&amp;"!E7")</f>
        <v>#REF!</v>
      </c>
      <c r="E86" s="226"/>
      <c r="F86" s="95">
        <f>F85</f>
        <v>0</v>
      </c>
      <c r="G86" s="102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31</v>
      </c>
      <c r="D87" s="227" t="e">
        <f ca="1">0.001*INDIRECT($B87&amp;"!E8")</f>
        <v>#REF!</v>
      </c>
      <c r="E87" s="226"/>
      <c r="F87" s="95">
        <f>F86</f>
        <v>0</v>
      </c>
      <c r="G87" s="102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8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2"/>
      <c r="C92" s="283"/>
      <c r="D92" s="284"/>
      <c r="E92" s="3"/>
      <c r="F92" s="282">
        <f>B92</f>
        <v>0</v>
      </c>
      <c r="G92" s="283"/>
      <c r="H92" s="284"/>
      <c r="I92" s="3"/>
      <c r="J92" s="208"/>
      <c r="L92" s="286">
        <f>F92</f>
        <v>0</v>
      </c>
      <c r="M92" s="283"/>
      <c r="N92" s="284"/>
      <c r="O92" s="183"/>
      <c r="P92" s="208"/>
      <c r="U92" s="204"/>
      <c r="V92" s="204"/>
      <c r="X92" s="281"/>
      <c r="Y92" s="279"/>
      <c r="Z92" s="279"/>
    </row>
    <row r="93" spans="2:28" x14ac:dyDescent="0.25">
      <c r="B93" s="278" t="s">
        <v>20</v>
      </c>
      <c r="C93" s="279"/>
      <c r="D93" s="71" t="s">
        <v>21</v>
      </c>
      <c r="E93" s="226"/>
      <c r="F93" s="278" t="s">
        <v>20</v>
      </c>
      <c r="G93" s="279"/>
      <c r="H93" s="71" t="s">
        <v>21</v>
      </c>
      <c r="I93" s="10"/>
      <c r="J93" s="207" t="s">
        <v>22</v>
      </c>
      <c r="L93" s="287" t="s">
        <v>23</v>
      </c>
      <c r="M93" s="279"/>
      <c r="N93" s="288"/>
      <c r="O93" s="69"/>
      <c r="P93" s="4"/>
      <c r="R93" s="285"/>
      <c r="S93" s="279"/>
      <c r="T93" s="279"/>
      <c r="U93" s="209"/>
      <c r="V93" s="209"/>
      <c r="X93" s="285"/>
      <c r="Y93" s="279"/>
      <c r="Z93" s="279"/>
    </row>
    <row r="94" spans="2:28" x14ac:dyDescent="0.25">
      <c r="B94" s="180" t="s">
        <v>1</v>
      </c>
      <c r="C94" s="102" t="s">
        <v>24</v>
      </c>
      <c r="D94" s="70" t="s">
        <v>25</v>
      </c>
      <c r="E94" s="226"/>
      <c r="F94" s="180" t="s">
        <v>1</v>
      </c>
      <c r="G94" s="102" t="s">
        <v>24</v>
      </c>
      <c r="H94" s="70" t="s">
        <v>25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27</v>
      </c>
      <c r="D95" s="227" t="e">
        <f ca="1">0.001*INDIRECT($B95&amp;"!E5")</f>
        <v>#REF!</v>
      </c>
      <c r="E95" s="226"/>
      <c r="F95" s="95">
        <f>F92</f>
        <v>0</v>
      </c>
      <c r="G95" s="102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28</v>
      </c>
      <c r="D96" s="227" t="e">
        <f ca="1">0.001*INDIRECT($B96&amp;"!E6")</f>
        <v>#REF!</v>
      </c>
      <c r="E96" s="226"/>
      <c r="F96" s="95">
        <f>F95</f>
        <v>0</v>
      </c>
      <c r="G96" s="102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29</v>
      </c>
      <c r="D97" s="227" t="e">
        <f ca="1">0.001*INDIRECT($B97&amp;"!E7")</f>
        <v>#REF!</v>
      </c>
      <c r="E97" s="226"/>
      <c r="F97" s="95">
        <f>F96</f>
        <v>0</v>
      </c>
      <c r="G97" s="102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31</v>
      </c>
      <c r="D98" s="227" t="e">
        <f ca="1">0.001*INDIRECT($B98&amp;"!E8")</f>
        <v>#REF!</v>
      </c>
      <c r="E98" s="226"/>
      <c r="F98" s="95">
        <f>F97</f>
        <v>0</v>
      </c>
      <c r="G98" s="102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8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2"/>
      <c r="C103" s="283"/>
      <c r="D103" s="284"/>
      <c r="E103" s="3"/>
      <c r="F103" s="282">
        <f>B103</f>
        <v>0</v>
      </c>
      <c r="G103" s="283"/>
      <c r="H103" s="284"/>
      <c r="I103" s="3"/>
      <c r="J103" s="208"/>
      <c r="L103" s="286">
        <f>F103</f>
        <v>0</v>
      </c>
      <c r="M103" s="283"/>
      <c r="N103" s="284"/>
      <c r="O103" s="183"/>
      <c r="P103" s="208"/>
      <c r="U103" s="204"/>
      <c r="V103" s="204"/>
      <c r="X103" s="281"/>
      <c r="Y103" s="279"/>
      <c r="Z103" s="279"/>
    </row>
    <row r="104" spans="2:28" x14ac:dyDescent="0.25">
      <c r="B104" s="278" t="s">
        <v>20</v>
      </c>
      <c r="C104" s="279"/>
      <c r="D104" s="71" t="s">
        <v>21</v>
      </c>
      <c r="E104" s="226"/>
      <c r="F104" s="278" t="s">
        <v>20</v>
      </c>
      <c r="G104" s="279"/>
      <c r="H104" s="71" t="s">
        <v>21</v>
      </c>
      <c r="I104" s="10"/>
      <c r="J104" s="207" t="s">
        <v>22</v>
      </c>
      <c r="L104" s="287" t="s">
        <v>23</v>
      </c>
      <c r="M104" s="279"/>
      <c r="N104" s="288"/>
      <c r="O104" s="69"/>
      <c r="P104" s="4"/>
      <c r="R104" s="285"/>
      <c r="S104" s="279"/>
      <c r="T104" s="279"/>
      <c r="U104" s="209"/>
      <c r="V104" s="209"/>
      <c r="X104" s="285"/>
      <c r="Y104" s="279"/>
      <c r="Z104" s="279"/>
    </row>
    <row r="105" spans="2:28" x14ac:dyDescent="0.25">
      <c r="B105" s="180" t="s">
        <v>1</v>
      </c>
      <c r="C105" s="102" t="s">
        <v>24</v>
      </c>
      <c r="D105" s="70" t="s">
        <v>25</v>
      </c>
      <c r="E105" s="226"/>
      <c r="F105" s="180" t="s">
        <v>1</v>
      </c>
      <c r="G105" s="102" t="s">
        <v>24</v>
      </c>
      <c r="H105" s="70" t="s">
        <v>25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27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28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29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31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8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3" spans="28:28" x14ac:dyDescent="0.25">
      <c r="AB113" s="230"/>
    </row>
    <row r="116" spans="28:28" ht="16.5" customHeight="1" x14ac:dyDescent="0.25">
      <c r="AB116" s="230"/>
    </row>
    <row r="118" spans="28:28" ht="16.5" customHeight="1" x14ac:dyDescent="0.25"/>
    <row r="119" spans="28:28" ht="16.5" customHeight="1" x14ac:dyDescent="0.25"/>
    <row r="123" spans="28:28" x14ac:dyDescent="0.25">
      <c r="AB123" s="230"/>
    </row>
    <row r="126" spans="28:28" ht="16.5" customHeight="1" x14ac:dyDescent="0.25">
      <c r="AB126" s="230"/>
    </row>
    <row r="128" spans="28:28" ht="16.5" customHeight="1" x14ac:dyDescent="0.25"/>
    <row r="129" spans="28:28" ht="16.5" customHeight="1" x14ac:dyDescent="0.25"/>
    <row r="133" spans="28:28" x14ac:dyDescent="0.25">
      <c r="AB133" s="230"/>
    </row>
    <row r="136" spans="28:28" ht="16.5" customHeight="1" x14ac:dyDescent="0.25">
      <c r="AB136" s="230"/>
    </row>
    <row r="138" spans="28:28" ht="16.5" customHeight="1" x14ac:dyDescent="0.25"/>
    <row r="139" spans="28:28" ht="16.5" customHeight="1" x14ac:dyDescent="0.25"/>
    <row r="143" spans="28:28" x14ac:dyDescent="0.25">
      <c r="AB143" s="230"/>
    </row>
    <row r="146" spans="28:28" ht="16.5" customHeight="1" x14ac:dyDescent="0.25">
      <c r="AB146" s="230"/>
    </row>
    <row r="148" spans="28:28" ht="16.5" customHeight="1" x14ac:dyDescent="0.25"/>
    <row r="149" spans="28:28" ht="16.5" customHeight="1" x14ac:dyDescent="0.25"/>
    <row r="153" spans="28:28" x14ac:dyDescent="0.25">
      <c r="AB153" s="230"/>
    </row>
    <row r="156" spans="28:28" ht="16.5" customHeight="1" x14ac:dyDescent="0.25">
      <c r="AB156" s="230"/>
    </row>
    <row r="158" spans="28:28" ht="16.5" customHeight="1" x14ac:dyDescent="0.25"/>
    <row r="159" spans="28:28" ht="16.5" customHeight="1" x14ac:dyDescent="0.25"/>
    <row r="163" spans="28:28" x14ac:dyDescent="0.25">
      <c r="AB163" s="230"/>
    </row>
    <row r="166" spans="28:28" ht="16.5" customHeight="1" x14ac:dyDescent="0.25">
      <c r="AB166" s="230"/>
    </row>
    <row r="168" spans="28:28" ht="16.5" customHeight="1" x14ac:dyDescent="0.25"/>
    <row r="169" spans="28:28" ht="16.5" customHeight="1" x14ac:dyDescent="0.25"/>
    <row r="173" spans="28:28" x14ac:dyDescent="0.25">
      <c r="AB173" s="230"/>
    </row>
    <row r="176" spans="28:28" ht="16.5" customHeight="1" x14ac:dyDescent="0.25">
      <c r="AB176" s="230"/>
    </row>
    <row r="178" spans="2:28" ht="16.5" customHeight="1" x14ac:dyDescent="0.25"/>
    <row r="179" spans="2:28" ht="16.5" customHeight="1" x14ac:dyDescent="0.25"/>
    <row r="182" spans="2:28" x14ac:dyDescent="0.25">
      <c r="B182" s="183"/>
      <c r="C182" s="183"/>
      <c r="D182" s="3"/>
      <c r="E182" s="3"/>
      <c r="F182" s="3"/>
      <c r="G182" s="3"/>
      <c r="H182" s="3"/>
      <c r="I182" s="3"/>
      <c r="J182" s="3"/>
      <c r="L182" s="183"/>
      <c r="M182" s="183"/>
      <c r="N182" s="3"/>
      <c r="O182" s="3"/>
      <c r="P182" s="3"/>
      <c r="Q182" s="3"/>
      <c r="R182" s="3"/>
      <c r="S182" s="3"/>
      <c r="T182" s="3"/>
      <c r="U182" s="3"/>
      <c r="V182" s="3"/>
      <c r="X182" s="183"/>
      <c r="Y182" s="183"/>
      <c r="Z182" s="183"/>
    </row>
    <row r="183" spans="2:28" x14ac:dyDescent="0.25">
      <c r="B183" s="40"/>
      <c r="C183" s="183"/>
      <c r="D183" s="226"/>
      <c r="E183" s="226"/>
      <c r="F183" s="226"/>
      <c r="G183" s="226"/>
      <c r="H183" s="10"/>
      <c r="I183" s="10"/>
      <c r="J183" s="10"/>
      <c r="L183" s="40"/>
      <c r="M183" s="183"/>
      <c r="N183" s="226"/>
      <c r="O183" s="226"/>
      <c r="P183" s="226"/>
      <c r="Q183" s="226"/>
      <c r="R183" s="10"/>
      <c r="S183" s="10"/>
      <c r="T183" s="10"/>
      <c r="U183" s="10"/>
      <c r="V183" s="229"/>
      <c r="X183" s="7"/>
      <c r="Y183" s="7"/>
      <c r="Z183" s="66"/>
      <c r="AB183" s="230"/>
    </row>
    <row r="184" spans="2:28" x14ac:dyDescent="0.25">
      <c r="B184" s="40"/>
      <c r="C184" s="183"/>
      <c r="D184" s="226"/>
      <c r="E184" s="226"/>
      <c r="F184" s="226"/>
      <c r="G184" s="226"/>
      <c r="H184" s="10"/>
      <c r="I184" s="10"/>
      <c r="J184" s="10"/>
      <c r="L184" s="40"/>
      <c r="M184" s="183"/>
      <c r="N184" s="226"/>
      <c r="O184" s="226"/>
      <c r="P184" s="226"/>
      <c r="Q184" s="226"/>
      <c r="R184" s="10"/>
      <c r="S184" s="10"/>
      <c r="T184" s="10"/>
      <c r="U184" s="10"/>
      <c r="V184" s="229"/>
      <c r="X184" s="7"/>
      <c r="Y184" s="7"/>
      <c r="Z184" s="66"/>
    </row>
    <row r="185" spans="2:28" x14ac:dyDescent="0.25">
      <c r="B185" s="40"/>
      <c r="C185" s="183"/>
      <c r="D185" s="226"/>
      <c r="E185" s="226"/>
      <c r="F185" s="226"/>
      <c r="G185" s="226"/>
      <c r="H185" s="10"/>
      <c r="I185" s="10"/>
      <c r="J185" s="10"/>
      <c r="L185" s="40"/>
      <c r="M185" s="183"/>
      <c r="N185" s="226"/>
      <c r="O185" s="226"/>
      <c r="P185" s="226"/>
      <c r="Q185" s="226"/>
      <c r="R185" s="10"/>
      <c r="S185" s="10"/>
      <c r="T185" s="10"/>
      <c r="U185" s="10"/>
      <c r="V185" s="229"/>
      <c r="X185" s="7"/>
      <c r="Y185" s="7"/>
      <c r="Z185" s="66"/>
    </row>
    <row r="186" spans="2:28" ht="16.5" customHeight="1" x14ac:dyDescent="0.25">
      <c r="B186" s="40"/>
      <c r="C186" s="183"/>
      <c r="D186" s="226"/>
      <c r="E186" s="226"/>
      <c r="F186" s="226"/>
      <c r="G186" s="226"/>
      <c r="H186" s="10"/>
      <c r="I186" s="10"/>
      <c r="J186" s="10"/>
      <c r="L186" s="40"/>
      <c r="M186" s="183"/>
      <c r="N186" s="226"/>
      <c r="O186" s="226"/>
      <c r="P186" s="226"/>
      <c r="Q186" s="226"/>
      <c r="R186" s="10"/>
      <c r="S186" s="10"/>
      <c r="T186" s="10"/>
      <c r="U186" s="10"/>
      <c r="V186" s="229"/>
      <c r="X186" s="7"/>
      <c r="Y186" s="7"/>
      <c r="Z186" s="66"/>
      <c r="AB186" s="230"/>
    </row>
    <row r="187" spans="2:28" x14ac:dyDescent="0.25">
      <c r="B187" s="40"/>
      <c r="C187" s="183"/>
      <c r="D187" s="226"/>
      <c r="E187" s="226"/>
      <c r="F187" s="226"/>
      <c r="G187" s="226"/>
      <c r="H187" s="10"/>
      <c r="I187" s="10"/>
      <c r="J187" s="10"/>
      <c r="L187" s="40"/>
      <c r="M187" s="183"/>
      <c r="N187" s="226"/>
      <c r="O187" s="226"/>
      <c r="P187" s="226"/>
      <c r="Q187" s="226"/>
      <c r="R187" s="10"/>
      <c r="S187" s="10"/>
      <c r="T187" s="10"/>
      <c r="U187" s="10"/>
      <c r="V187" s="67"/>
      <c r="X187" s="7"/>
      <c r="Y187" s="7"/>
      <c r="Z187" s="66"/>
    </row>
    <row r="188" spans="2:28" ht="16.5" customHeight="1" x14ac:dyDescent="0.25">
      <c r="B188" s="40"/>
      <c r="D188" s="226"/>
      <c r="E188" s="226"/>
      <c r="F188" s="226"/>
      <c r="G188" s="226"/>
      <c r="H188" s="10"/>
      <c r="I188" s="10"/>
      <c r="J188" s="10"/>
      <c r="L188" s="40"/>
      <c r="M188" s="183"/>
      <c r="N188" s="226"/>
      <c r="O188" s="226"/>
      <c r="P188" s="226"/>
      <c r="Q188" s="226"/>
      <c r="R188" s="10"/>
      <c r="S188" s="10"/>
      <c r="T188" s="10"/>
      <c r="U188" s="10"/>
      <c r="V188" s="67"/>
      <c r="X188" s="68"/>
      <c r="Y188" s="68"/>
      <c r="Z188" s="66"/>
    </row>
  </sheetData>
  <mergeCells count="93">
    <mergeCell ref="L93:N93"/>
    <mergeCell ref="F16:G16"/>
    <mergeCell ref="R27:T27"/>
    <mergeCell ref="F2:H2"/>
    <mergeCell ref="B93:C93"/>
    <mergeCell ref="B37:D37"/>
    <mergeCell ref="B4:D4"/>
    <mergeCell ref="L37:N37"/>
    <mergeCell ref="F59:H59"/>
    <mergeCell ref="F15:H15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workbookViewId="0">
      <selection activeCell="R25" sqref="R25"/>
    </sheetView>
  </sheetViews>
  <sheetFormatPr defaultColWidth="9" defaultRowHeight="15.6" x14ac:dyDescent="0.25"/>
  <cols>
    <col min="1" max="1" width="1.59765625" style="205" bestFit="1" customWidth="1"/>
    <col min="2" max="2" width="6.59765625" style="205" customWidth="1"/>
    <col min="3" max="3" width="9.3984375" style="205" customWidth="1"/>
    <col min="4" max="4" width="14.3984375" style="205" customWidth="1"/>
    <col min="5" max="5" width="4.59765625" style="205" customWidth="1"/>
    <col min="6" max="6" width="6.59765625" style="205" customWidth="1"/>
    <col min="7" max="7" width="9.3984375" style="205" customWidth="1"/>
    <col min="8" max="8" width="14.3984375" style="205" customWidth="1"/>
    <col min="9" max="9" width="4.59765625" style="205" customWidth="1"/>
    <col min="10" max="10" width="9.59765625" style="205" customWidth="1"/>
    <col min="11" max="11" width="4.59765625" style="205" customWidth="1"/>
    <col min="12" max="12" width="14.3984375" style="205" bestFit="1" customWidth="1"/>
    <col min="13" max="13" width="16.09765625" style="205" bestFit="1" customWidth="1"/>
    <col min="14" max="14" width="7.59765625" style="205" bestFit="1" customWidth="1"/>
    <col min="15" max="15" width="4.59765625" style="205" customWidth="1"/>
    <col min="16" max="16" width="9.59765625" style="205" bestFit="1" customWidth="1"/>
    <col min="17" max="17" width="4.59765625" style="205" customWidth="1"/>
    <col min="18" max="18" width="84.59765625" style="205" customWidth="1"/>
    <col min="19" max="19" width="6.5" style="205" bestFit="1" customWidth="1"/>
    <col min="20" max="20" width="9.59765625" style="205" bestFit="1" customWidth="1"/>
    <col min="21" max="21" width="1.59765625" style="205" bestFit="1" customWidth="1"/>
    <col min="22" max="22" width="7.59765625" style="205" bestFit="1" customWidth="1"/>
    <col min="23" max="23" width="1.59765625" style="205" bestFit="1" customWidth="1"/>
    <col min="24" max="24" width="14.3984375" style="205" bestFit="1" customWidth="1"/>
    <col min="25" max="25" width="16.09765625" style="205" bestFit="1" customWidth="1"/>
    <col min="26" max="26" width="5.09765625" style="205" bestFit="1" customWidth="1"/>
    <col min="27" max="27" width="1.59765625" style="205" bestFit="1" customWidth="1"/>
    <col min="28" max="28" width="8.09765625" style="204" bestFit="1" customWidth="1"/>
    <col min="29" max="29" width="9" style="205" customWidth="1"/>
    <col min="30" max="30" width="1.3984375" style="205" bestFit="1" customWidth="1"/>
    <col min="31" max="31" width="80.59765625" style="205" customWidth="1"/>
    <col min="32" max="32" width="1.3984375" style="205" bestFit="1" customWidth="1"/>
    <col min="33" max="38" width="9" style="205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0" t="str">
        <f>'Summary (auto)'!C3</f>
        <v>MPEG-151</v>
      </c>
      <c r="C2" s="279"/>
      <c r="D2" s="279"/>
      <c r="E2" s="206"/>
      <c r="F2" s="280" t="str">
        <f>'Summary (auto)'!C4</f>
        <v>my</v>
      </c>
      <c r="G2" s="279"/>
      <c r="H2" s="279"/>
      <c r="I2" s="204"/>
      <c r="J2" s="209" t="s">
        <v>15</v>
      </c>
      <c r="K2" s="204"/>
      <c r="L2" s="285" t="s">
        <v>16</v>
      </c>
      <c r="M2" s="279"/>
      <c r="N2" s="279"/>
      <c r="O2" s="204"/>
      <c r="P2" s="209" t="s">
        <v>17</v>
      </c>
      <c r="U2" s="209"/>
      <c r="V2" s="209"/>
    </row>
    <row r="3" spans="1:32" ht="16.5" customHeight="1" thickBot="1" x14ac:dyDescent="0.3">
      <c r="A3" s="178" t="s">
        <v>0</v>
      </c>
      <c r="B3" s="206"/>
      <c r="C3" s="206"/>
      <c r="D3" s="206"/>
      <c r="E3" s="206"/>
      <c r="F3" s="206"/>
      <c r="G3" s="206"/>
      <c r="H3" s="206"/>
      <c r="I3" s="204"/>
      <c r="J3" s="204"/>
      <c r="K3" s="179" t="s">
        <v>0</v>
      </c>
      <c r="L3" s="87" t="s">
        <v>32</v>
      </c>
      <c r="M3" s="87" t="s">
        <v>33</v>
      </c>
      <c r="N3" s="204"/>
      <c r="O3" s="179" t="s">
        <v>0</v>
      </c>
      <c r="P3" s="204"/>
      <c r="U3" s="178" t="s">
        <v>0</v>
      </c>
      <c r="W3" s="178" t="s">
        <v>0</v>
      </c>
    </row>
    <row r="4" spans="1:32" x14ac:dyDescent="0.25">
      <c r="B4" s="282" t="s">
        <v>10</v>
      </c>
      <c r="C4" s="283"/>
      <c r="D4" s="284"/>
      <c r="E4" s="3"/>
      <c r="F4" s="282" t="str">
        <f>B4</f>
        <v>breakfast_track</v>
      </c>
      <c r="G4" s="283"/>
      <c r="H4" s="284"/>
      <c r="I4" s="3"/>
      <c r="J4" s="208"/>
      <c r="L4" s="286" t="str">
        <f>F4</f>
        <v>breakfast_track</v>
      </c>
      <c r="M4" s="283"/>
      <c r="N4" s="284"/>
      <c r="O4" s="183"/>
      <c r="P4" s="208"/>
      <c r="Q4" s="183"/>
      <c r="R4" s="183"/>
      <c r="S4" s="183"/>
      <c r="T4" s="183"/>
      <c r="U4" s="204"/>
      <c r="V4" s="204"/>
      <c r="X4" s="281"/>
      <c r="Y4" s="279"/>
      <c r="Z4" s="279"/>
    </row>
    <row r="5" spans="1:32" x14ac:dyDescent="0.25">
      <c r="B5" s="278" t="s">
        <v>20</v>
      </c>
      <c r="C5" s="279"/>
      <c r="D5" s="71" t="s">
        <v>21</v>
      </c>
      <c r="E5" s="226"/>
      <c r="F5" s="278" t="s">
        <v>20</v>
      </c>
      <c r="G5" s="279"/>
      <c r="H5" s="71" t="s">
        <v>21</v>
      </c>
      <c r="I5" s="10"/>
      <c r="J5" s="207" t="s">
        <v>22</v>
      </c>
      <c r="L5" s="287" t="s">
        <v>34</v>
      </c>
      <c r="M5" s="279"/>
      <c r="N5" s="288"/>
      <c r="O5" s="69"/>
      <c r="P5" s="4"/>
      <c r="Q5" s="69"/>
      <c r="R5" s="285"/>
      <c r="S5" s="279"/>
      <c r="T5" s="279"/>
      <c r="U5" s="209"/>
      <c r="V5" s="209"/>
      <c r="X5" s="285"/>
      <c r="Y5" s="279"/>
      <c r="Z5" s="279"/>
    </row>
    <row r="6" spans="1:32" x14ac:dyDescent="0.25">
      <c r="B6" s="180" t="s">
        <v>1</v>
      </c>
      <c r="C6" s="102" t="s">
        <v>24</v>
      </c>
      <c r="D6" s="70" t="s">
        <v>25</v>
      </c>
      <c r="E6" s="226"/>
      <c r="F6" s="180" t="s">
        <v>1</v>
      </c>
      <c r="G6" s="102" t="s">
        <v>24</v>
      </c>
      <c r="H6" s="70" t="s">
        <v>25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27</v>
      </c>
      <c r="D7" s="227">
        <f ca="1">0.001*INDIRECT($B7&amp;"!E5")</f>
        <v>1107.962968</v>
      </c>
      <c r="E7" s="226"/>
      <c r="F7" s="95" t="str">
        <f>F4</f>
        <v>breakfast_track</v>
      </c>
      <c r="G7" s="102" t="s">
        <v>27</v>
      </c>
      <c r="H7" s="227">
        <f ca="1">0.001*INDIRECT($B7&amp;"!W5")</f>
        <v>0</v>
      </c>
      <c r="I7" s="10"/>
      <c r="J7" s="228">
        <f ca="1">H7/D7-1</f>
        <v>-1</v>
      </c>
      <c r="L7" s="76">
        <f ca="1">INDIRECT($B7&amp;"!"&amp;L$3&amp;"5")</f>
        <v>32.884041604444448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28</v>
      </c>
      <c r="D8" s="227">
        <f ca="1">0.001*INDIRECT($B8&amp;"!E6")</f>
        <v>1592.8603360000002</v>
      </c>
      <c r="E8" s="226"/>
      <c r="F8" s="95" t="str">
        <f>F7</f>
        <v>breakfast_track</v>
      </c>
      <c r="G8" s="102" t="s">
        <v>28</v>
      </c>
      <c r="H8" s="227">
        <f ca="1">0.001*INDIRECT($B8&amp;"!W6")</f>
        <v>0</v>
      </c>
      <c r="I8" s="10"/>
      <c r="J8" s="228">
        <f ca="1">H8/D8-1</f>
        <v>-1</v>
      </c>
      <c r="L8" s="76">
        <f ca="1">INDIRECT($B8&amp;"!"&amp;L$3&amp;"6")</f>
        <v>35.777388195555559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29</v>
      </c>
      <c r="D9" s="227">
        <f ca="1">0.001*INDIRECT($B9&amp;"!E7")</f>
        <v>2297.023952</v>
      </c>
      <c r="E9" s="226"/>
      <c r="F9" s="95" t="str">
        <f>F8</f>
        <v>breakfast_track</v>
      </c>
      <c r="G9" s="102" t="s">
        <v>29</v>
      </c>
      <c r="H9" s="227">
        <f ca="1">0.001*INDIRECT($B9&amp;"!W7")</f>
        <v>0</v>
      </c>
      <c r="I9" s="10"/>
      <c r="J9" s="228">
        <f ca="1">H9/D9-1</f>
        <v>-1</v>
      </c>
      <c r="L9" s="76">
        <f ca="1">INDIRECT($B9&amp;"!"&amp;L$3&amp;"7")</f>
        <v>39.665003586666671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31</v>
      </c>
      <c r="D10" s="227">
        <f ca="1">0.001*INDIRECT($B10&amp;"!E8")</f>
        <v>3257.6030800000003</v>
      </c>
      <c r="E10" s="226"/>
      <c r="F10" s="95" t="str">
        <f>F9</f>
        <v>breakfast_track</v>
      </c>
      <c r="G10" s="102" t="s">
        <v>31</v>
      </c>
      <c r="H10" s="227">
        <f ca="1">0.001*INDIRECT($B10&amp;"!W8")</f>
        <v>0</v>
      </c>
      <c r="I10" s="10"/>
      <c r="J10" s="228">
        <f ca="1">H10/D10-1</f>
        <v>-1</v>
      </c>
      <c r="L10" s="76">
        <f ca="1">INDIRECT($B10&amp;"!"&amp;L$3&amp;"8")</f>
        <v>42.22452804444444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8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3257.6030800000003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2" t="s">
        <v>11</v>
      </c>
      <c r="C15" s="283"/>
      <c r="D15" s="284"/>
      <c r="E15" s="3"/>
      <c r="F15" s="282" t="str">
        <f>B15</f>
        <v>breakfast_semitrack</v>
      </c>
      <c r="G15" s="283"/>
      <c r="H15" s="284"/>
      <c r="I15" s="3"/>
      <c r="J15" s="208"/>
      <c r="L15" s="286" t="str">
        <f>F15</f>
        <v>breakfast_semitrack</v>
      </c>
      <c r="M15" s="283"/>
      <c r="N15" s="284"/>
      <c r="O15" s="183"/>
      <c r="P15" s="208"/>
      <c r="Q15" s="183"/>
      <c r="R15" s="183"/>
      <c r="S15" s="183"/>
      <c r="T15" s="183"/>
      <c r="U15" s="204"/>
      <c r="V15" s="204"/>
      <c r="X15" s="281"/>
      <c r="Y15" s="279"/>
      <c r="Z15" s="279"/>
    </row>
    <row r="16" spans="1:32" x14ac:dyDescent="0.25">
      <c r="B16" s="278" t="s">
        <v>20</v>
      </c>
      <c r="C16" s="279"/>
      <c r="D16" s="71" t="s">
        <v>21</v>
      </c>
      <c r="E16" s="226"/>
      <c r="F16" s="278" t="s">
        <v>20</v>
      </c>
      <c r="G16" s="279"/>
      <c r="H16" s="71" t="s">
        <v>21</v>
      </c>
      <c r="I16" s="10"/>
      <c r="J16" s="207" t="s">
        <v>22</v>
      </c>
      <c r="L16" s="287" t="s">
        <v>34</v>
      </c>
      <c r="M16" s="279"/>
      <c r="N16" s="288"/>
      <c r="O16" s="69"/>
      <c r="P16" s="4"/>
      <c r="Q16" s="69"/>
      <c r="R16" s="285"/>
      <c r="S16" s="279"/>
      <c r="T16" s="279"/>
      <c r="U16" s="209"/>
      <c r="V16" s="209"/>
      <c r="X16" s="285"/>
      <c r="Y16" s="279"/>
      <c r="Z16" s="279"/>
    </row>
    <row r="17" spans="2:28" x14ac:dyDescent="0.25">
      <c r="B17" s="180" t="s">
        <v>1</v>
      </c>
      <c r="C17" s="102" t="s">
        <v>24</v>
      </c>
      <c r="D17" s="70" t="s">
        <v>25</v>
      </c>
      <c r="E17" s="226"/>
      <c r="F17" s="180" t="s">
        <v>1</v>
      </c>
      <c r="G17" s="102" t="s">
        <v>24</v>
      </c>
      <c r="H17" s="70" t="s">
        <v>25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27</v>
      </c>
      <c r="D18" s="227">
        <f ca="1">0.001*INDIRECT($B18&amp;"!E5")</f>
        <v>1133.9081600000002</v>
      </c>
      <c r="E18" s="226"/>
      <c r="F18" s="95" t="str">
        <f>F15</f>
        <v>breakfast_semitrack</v>
      </c>
      <c r="G18" s="102" t="s">
        <v>27</v>
      </c>
      <c r="H18" s="227">
        <f ca="1">0.001*INDIRECT($B18&amp;"!W5")</f>
        <v>0</v>
      </c>
      <c r="I18" s="10"/>
      <c r="J18" s="228">
        <f ca="1">H18/D18-1</f>
        <v>-1</v>
      </c>
      <c r="L18" s="76">
        <f ca="1">INDIRECT($B18&amp;"!"&amp;L$3&amp;"5")</f>
        <v>32.677365406666674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28</v>
      </c>
      <c r="D19" s="227">
        <f ca="1">0.001*INDIRECT($B19&amp;"!E6")</f>
        <v>1634.1013279999997</v>
      </c>
      <c r="E19" s="226"/>
      <c r="F19" s="95" t="str">
        <f>F18</f>
        <v>breakfast_semitrack</v>
      </c>
      <c r="G19" s="102" t="s">
        <v>28</v>
      </c>
      <c r="H19" s="227">
        <f ca="1">0.001*INDIRECT($B19&amp;"!W6")</f>
        <v>0</v>
      </c>
      <c r="I19" s="10"/>
      <c r="J19" s="228">
        <f ca="1">H19/D19-1</f>
        <v>-1</v>
      </c>
      <c r="L19" s="76">
        <f ca="1">INDIRECT($B19&amp;"!"&amp;L$3&amp;"6")</f>
        <v>35.694164253333334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29</v>
      </c>
      <c r="D20" s="227">
        <f ca="1">0.001*INDIRECT($B20&amp;"!E7")</f>
        <v>2362.7906160000007</v>
      </c>
      <c r="E20" s="226"/>
      <c r="F20" s="95" t="str">
        <f>F19</f>
        <v>breakfast_semitrack</v>
      </c>
      <c r="G20" s="102" t="s">
        <v>29</v>
      </c>
      <c r="H20" s="227">
        <f ca="1">0.001*INDIRECT($B20&amp;"!W7")</f>
        <v>0</v>
      </c>
      <c r="I20" s="10"/>
      <c r="J20" s="228">
        <f ca="1">H20/D20-1</f>
        <v>-1</v>
      </c>
      <c r="L20" s="76">
        <f ca="1">INDIRECT($B20&amp;"!"&amp;L$3&amp;"7")</f>
        <v>39.537574133333337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31</v>
      </c>
      <c r="D21" s="227">
        <f ca="1">0.001*INDIRECT($B21&amp;"!E8")</f>
        <v>3353.4556240000002</v>
      </c>
      <c r="E21" s="226"/>
      <c r="F21" s="95" t="str">
        <f>F20</f>
        <v>breakfast_semitrack</v>
      </c>
      <c r="G21" s="102" t="s">
        <v>31</v>
      </c>
      <c r="H21" s="227">
        <f ca="1">0.001*INDIRECT($B21&amp;"!W8")</f>
        <v>0</v>
      </c>
      <c r="I21" s="10"/>
      <c r="J21" s="228">
        <f ca="1">H21/D21-1</f>
        <v>-1</v>
      </c>
      <c r="L21" s="76">
        <f ca="1">INDIRECT($B21&amp;"!"&amp;L$3&amp;"8")</f>
        <v>41.972016706666665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8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3353.4556240000002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2" t="s">
        <v>12</v>
      </c>
      <c r="C26" s="283"/>
      <c r="D26" s="284"/>
      <c r="E26" s="3"/>
      <c r="F26" s="282" t="str">
        <f>B26</f>
        <v>cinema_track</v>
      </c>
      <c r="G26" s="283"/>
      <c r="H26" s="284"/>
      <c r="I26" s="3"/>
      <c r="J26" s="208"/>
      <c r="L26" s="286" t="str">
        <f>F26</f>
        <v>cinema_track</v>
      </c>
      <c r="M26" s="283"/>
      <c r="N26" s="284"/>
      <c r="O26" s="183"/>
      <c r="P26" s="208"/>
      <c r="U26" s="204"/>
      <c r="V26" s="204"/>
      <c r="X26" s="281"/>
      <c r="Y26" s="279"/>
      <c r="Z26" s="279"/>
    </row>
    <row r="27" spans="2:28" x14ac:dyDescent="0.25">
      <c r="B27" s="278" t="s">
        <v>20</v>
      </c>
      <c r="C27" s="279"/>
      <c r="D27" s="71" t="s">
        <v>21</v>
      </c>
      <c r="E27" s="226"/>
      <c r="F27" s="278" t="s">
        <v>20</v>
      </c>
      <c r="G27" s="279"/>
      <c r="H27" s="71" t="s">
        <v>21</v>
      </c>
      <c r="I27" s="10"/>
      <c r="J27" s="207" t="s">
        <v>22</v>
      </c>
      <c r="L27" s="287" t="s">
        <v>34</v>
      </c>
      <c r="M27" s="279"/>
      <c r="N27" s="288"/>
      <c r="O27" s="69"/>
      <c r="P27" s="4"/>
      <c r="R27" s="285"/>
      <c r="S27" s="279"/>
      <c r="T27" s="279"/>
      <c r="U27" s="209"/>
      <c r="V27" s="209"/>
      <c r="X27" s="285"/>
      <c r="Y27" s="279"/>
      <c r="Z27" s="279"/>
    </row>
    <row r="28" spans="2:28" x14ac:dyDescent="0.25">
      <c r="B28" s="180" t="s">
        <v>1</v>
      </c>
      <c r="C28" s="102" t="s">
        <v>24</v>
      </c>
      <c r="D28" s="70" t="s">
        <v>25</v>
      </c>
      <c r="E28" s="226"/>
      <c r="F28" s="180" t="s">
        <v>1</v>
      </c>
      <c r="G28" s="102" t="s">
        <v>24</v>
      </c>
      <c r="H28" s="70" t="s">
        <v>25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27</v>
      </c>
      <c r="D29" s="227">
        <f ca="1">0.001*INDIRECT($B29&amp;"!E5")</f>
        <v>821.71339999999998</v>
      </c>
      <c r="E29" s="226"/>
      <c r="F29" s="95" t="str">
        <f>F26</f>
        <v>cinema_track</v>
      </c>
      <c r="G29" s="102" t="s">
        <v>27</v>
      </c>
      <c r="H29" s="227">
        <f ca="1">0.001*INDIRECT($B29&amp;"!W5")</f>
        <v>0</v>
      </c>
      <c r="I29" s="10"/>
      <c r="J29" s="228">
        <f ca="1">H29/D29-1</f>
        <v>-1</v>
      </c>
      <c r="L29" s="76">
        <f ca="1">INDIRECT($B29&amp;"!"&amp;L$3&amp;"5")</f>
        <v>34.068256946031752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28</v>
      </c>
      <c r="D30" s="227">
        <f ca="1">0.001*INDIRECT($B30&amp;"!E6")</f>
        <v>1189.1244799999999</v>
      </c>
      <c r="E30" s="226"/>
      <c r="F30" s="95" t="str">
        <f>F29</f>
        <v>cinema_track</v>
      </c>
      <c r="G30" s="102" t="s">
        <v>28</v>
      </c>
      <c r="H30" s="227">
        <f ca="1">0.001*INDIRECT($B30&amp;"!W6")</f>
        <v>0</v>
      </c>
      <c r="I30" s="10"/>
      <c r="J30" s="228">
        <f ca="1">H30/D30-1</f>
        <v>-1</v>
      </c>
      <c r="L30" s="76">
        <f ca="1">INDIRECT($B30&amp;"!"&amp;L$3&amp;"6")</f>
        <v>36.817575265079363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29</v>
      </c>
      <c r="D31" s="227">
        <f ca="1">0.001*INDIRECT($B31&amp;"!E7")</f>
        <v>1782.1216480000001</v>
      </c>
      <c r="E31" s="226"/>
      <c r="F31" s="95" t="str">
        <f>F30</f>
        <v>cinema_track</v>
      </c>
      <c r="G31" s="102" t="s">
        <v>29</v>
      </c>
      <c r="H31" s="227">
        <f ca="1">0.001*INDIRECT($B31&amp;"!W7")</f>
        <v>0</v>
      </c>
      <c r="I31" s="10"/>
      <c r="J31" s="228">
        <f ca="1">H31/D31-1</f>
        <v>-1</v>
      </c>
      <c r="L31" s="76">
        <f ca="1">INDIRECT($B31&amp;"!"&amp;L$3&amp;"7")</f>
        <v>40.458411261904757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31</v>
      </c>
      <c r="D32" s="227">
        <f ca="1">0.001*INDIRECT($B32&amp;"!E8")</f>
        <v>2601.3312159999996</v>
      </c>
      <c r="E32" s="226"/>
      <c r="F32" s="95" t="str">
        <f>F31</f>
        <v>cinema_track</v>
      </c>
      <c r="G32" s="102" t="s">
        <v>31</v>
      </c>
      <c r="H32" s="227">
        <f ca="1">0.001*INDIRECT($B32&amp;"!W8")</f>
        <v>0</v>
      </c>
      <c r="I32" s="10"/>
      <c r="J32" s="228">
        <f ca="1">H32/D32-1</f>
        <v>-1</v>
      </c>
      <c r="L32" s="76">
        <f ca="1">INDIRECT($B32&amp;"!"&amp;L$3&amp;"8")</f>
        <v>43.673801303174599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8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2601.3312159999996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2" t="s">
        <v>13</v>
      </c>
      <c r="C37" s="283"/>
      <c r="D37" s="284"/>
      <c r="E37" s="3"/>
      <c r="F37" s="282" t="str">
        <f>B37</f>
        <v>cinema_semitrack</v>
      </c>
      <c r="G37" s="283"/>
      <c r="H37" s="284"/>
      <c r="I37" s="3"/>
      <c r="J37" s="208"/>
      <c r="L37" s="286" t="str">
        <f>F37</f>
        <v>cinema_semitrack</v>
      </c>
      <c r="M37" s="283"/>
      <c r="N37" s="284"/>
      <c r="O37" s="183"/>
      <c r="P37" s="208"/>
      <c r="U37" s="204"/>
      <c r="V37" s="204"/>
      <c r="X37" s="281"/>
      <c r="Y37" s="279"/>
      <c r="Z37" s="279"/>
    </row>
    <row r="38" spans="2:28" x14ac:dyDescent="0.25">
      <c r="B38" s="278" t="s">
        <v>20</v>
      </c>
      <c r="C38" s="279"/>
      <c r="D38" s="71" t="s">
        <v>21</v>
      </c>
      <c r="E38" s="226"/>
      <c r="F38" s="278" t="s">
        <v>20</v>
      </c>
      <c r="G38" s="279"/>
      <c r="H38" s="71" t="s">
        <v>21</v>
      </c>
      <c r="I38" s="10"/>
      <c r="J38" s="207" t="s">
        <v>22</v>
      </c>
      <c r="L38" s="287" t="s">
        <v>34</v>
      </c>
      <c r="M38" s="279"/>
      <c r="N38" s="288"/>
      <c r="O38" s="69"/>
      <c r="P38" s="4"/>
      <c r="R38" s="285"/>
      <c r="S38" s="279"/>
      <c r="T38" s="279"/>
      <c r="U38" s="209"/>
      <c r="V38" s="209"/>
      <c r="X38" s="285"/>
      <c r="Y38" s="279"/>
      <c r="Z38" s="279"/>
    </row>
    <row r="39" spans="2:28" x14ac:dyDescent="0.25">
      <c r="B39" s="180" t="s">
        <v>1</v>
      </c>
      <c r="C39" s="102" t="s">
        <v>24</v>
      </c>
      <c r="D39" s="70" t="s">
        <v>25</v>
      </c>
      <c r="E39" s="226"/>
      <c r="F39" s="180" t="s">
        <v>1</v>
      </c>
      <c r="G39" s="102" t="s">
        <v>24</v>
      </c>
      <c r="H39" s="70" t="s">
        <v>25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27</v>
      </c>
      <c r="D40" s="227">
        <f ca="1">0.001*INDIRECT($B40&amp;"!E5")</f>
        <v>845.74751200000003</v>
      </c>
      <c r="E40" s="226"/>
      <c r="F40" s="95" t="str">
        <f>F37</f>
        <v>cinema_semitrack</v>
      </c>
      <c r="G40" s="102" t="s">
        <v>27</v>
      </c>
      <c r="H40" s="227">
        <f ca="1">0.001*INDIRECT($B40&amp;"!W5")</f>
        <v>0</v>
      </c>
      <c r="I40" s="10"/>
      <c r="J40" s="228">
        <f ca="1">H40/D40-1</f>
        <v>-1</v>
      </c>
      <c r="L40" s="76">
        <f ca="1">INDIRECT($B40&amp;"!"&amp;L$3&amp;"5")</f>
        <v>33.98965329365079</v>
      </c>
      <c r="M40" s="77" t="e">
        <f ca="1">INDIRECT($B40&amp;"!"&amp;M$3&amp;"5")</f>
        <v>#DIV/0!</v>
      </c>
      <c r="N40" s="78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28</v>
      </c>
      <c r="D41" s="227">
        <f ca="1">0.001*INDIRECT($B41&amp;"!E6")</f>
        <v>1228.4774640000003</v>
      </c>
      <c r="E41" s="226"/>
      <c r="F41" s="95" t="str">
        <f>F40</f>
        <v>cinema_semitrack</v>
      </c>
      <c r="G41" s="102" t="s">
        <v>28</v>
      </c>
      <c r="H41" s="227">
        <f ca="1">0.001*INDIRECT($B41&amp;"!W6")</f>
        <v>0</v>
      </c>
      <c r="I41" s="10"/>
      <c r="J41" s="228">
        <f ca="1">H41/D41-1</f>
        <v>-1</v>
      </c>
      <c r="L41" s="76">
        <f ca="1">INDIRECT($B41&amp;"!"&amp;L$3&amp;"6")</f>
        <v>36.773963382539684</v>
      </c>
      <c r="M41" s="77" t="e">
        <f ca="1">INDIRECT($B41&amp;"!"&amp;M$3&amp;"6")</f>
        <v>#DIV/0!</v>
      </c>
      <c r="N41" s="78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29</v>
      </c>
      <c r="D42" s="227">
        <f ca="1">0.001*INDIRECT($B42&amp;"!E7")</f>
        <v>1847.8872159999999</v>
      </c>
      <c r="E42" s="226"/>
      <c r="F42" s="95" t="str">
        <f>F41</f>
        <v>cinema_semitrack</v>
      </c>
      <c r="G42" s="102" t="s">
        <v>29</v>
      </c>
      <c r="H42" s="227">
        <f ca="1">0.001*INDIRECT($B42&amp;"!W7")</f>
        <v>0</v>
      </c>
      <c r="I42" s="10"/>
      <c r="J42" s="228">
        <f ca="1">H42/D42-1</f>
        <v>-1</v>
      </c>
      <c r="L42" s="76">
        <f ca="1">INDIRECT($B42&amp;"!"&amp;L$3&amp;"7")</f>
        <v>40.420725961904765</v>
      </c>
      <c r="M42" s="77" t="e">
        <f ca="1">INDIRECT($B42&amp;"!"&amp;M$3&amp;"7")</f>
        <v>#DIV/0!</v>
      </c>
      <c r="N42" s="78" t="e">
        <f ca="1">M42-L42</f>
        <v>#DIV/0!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31</v>
      </c>
      <c r="D43" s="227">
        <f ca="1">0.001*INDIRECT($B43&amp;"!E8")</f>
        <v>2700.5942639999998</v>
      </c>
      <c r="E43" s="226"/>
      <c r="F43" s="95" t="str">
        <f>F42</f>
        <v>cinema_semitrack</v>
      </c>
      <c r="G43" s="102" t="s">
        <v>31</v>
      </c>
      <c r="H43" s="227">
        <f ca="1">0.001*INDIRECT($B43&amp;"!W8")</f>
        <v>0</v>
      </c>
      <c r="I43" s="10"/>
      <c r="J43" s="228">
        <f ca="1">H43/D43-1</f>
        <v>-1</v>
      </c>
      <c r="L43" s="76">
        <f ca="1">INDIRECT($B43&amp;"!"&amp;L$3&amp;"8")</f>
        <v>43.574959430158735</v>
      </c>
      <c r="M43" s="77" t="e">
        <f ca="1">INDIRECT($B43&amp;"!"&amp;M$3&amp;"8")</f>
        <v>#DIV/0!</v>
      </c>
      <c r="N43" s="78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0</v>
      </c>
      <c r="L45" s="81"/>
      <c r="M45" s="82"/>
      <c r="N45" s="83"/>
      <c r="O45" s="226"/>
      <c r="P45" s="208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2700.5942639999998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2"/>
      <c r="C48" s="283"/>
      <c r="D48" s="284"/>
      <c r="E48" s="3"/>
      <c r="F48" s="282">
        <f>B48</f>
        <v>0</v>
      </c>
      <c r="G48" s="283"/>
      <c r="H48" s="284"/>
      <c r="I48" s="3"/>
      <c r="J48" s="208"/>
      <c r="L48" s="286">
        <f>F48</f>
        <v>0</v>
      </c>
      <c r="M48" s="283"/>
      <c r="N48" s="284"/>
      <c r="O48" s="183"/>
      <c r="P48" s="208"/>
      <c r="U48" s="204"/>
      <c r="V48" s="204"/>
      <c r="X48" s="281"/>
      <c r="Y48" s="279"/>
      <c r="Z48" s="279"/>
    </row>
    <row r="49" spans="2:28" x14ac:dyDescent="0.25">
      <c r="B49" s="278" t="s">
        <v>20</v>
      </c>
      <c r="C49" s="279"/>
      <c r="D49" s="71" t="s">
        <v>21</v>
      </c>
      <c r="E49" s="226"/>
      <c r="F49" s="278" t="s">
        <v>20</v>
      </c>
      <c r="G49" s="279"/>
      <c r="H49" s="71" t="s">
        <v>21</v>
      </c>
      <c r="I49" s="10"/>
      <c r="J49" s="207" t="s">
        <v>22</v>
      </c>
      <c r="L49" s="287" t="s">
        <v>34</v>
      </c>
      <c r="M49" s="279"/>
      <c r="N49" s="288"/>
      <c r="O49" s="69"/>
      <c r="P49" s="4"/>
      <c r="R49" s="285"/>
      <c r="S49" s="279"/>
      <c r="T49" s="279"/>
      <c r="U49" s="209"/>
      <c r="V49" s="209"/>
      <c r="X49" s="285"/>
      <c r="Y49" s="279"/>
      <c r="Z49" s="279"/>
    </row>
    <row r="50" spans="2:28" x14ac:dyDescent="0.25">
      <c r="B50" s="180" t="s">
        <v>1</v>
      </c>
      <c r="C50" s="102" t="s">
        <v>24</v>
      </c>
      <c r="D50" s="70" t="s">
        <v>25</v>
      </c>
      <c r="E50" s="226"/>
      <c r="F50" s="180" t="s">
        <v>1</v>
      </c>
      <c r="G50" s="102" t="s">
        <v>24</v>
      </c>
      <c r="H50" s="70" t="s">
        <v>25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27</v>
      </c>
      <c r="D51" s="227" t="e">
        <f ca="1">0.001*INDIRECT($B51&amp;"!E5")</f>
        <v>#REF!</v>
      </c>
      <c r="E51" s="226"/>
      <c r="F51" s="95">
        <f>F48</f>
        <v>0</v>
      </c>
      <c r="G51" s="102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28</v>
      </c>
      <c r="D52" s="227" t="e">
        <f ca="1">0.001*INDIRECT($B52&amp;"!E6")</f>
        <v>#REF!</v>
      </c>
      <c r="E52" s="226"/>
      <c r="F52" s="95">
        <f>F51</f>
        <v>0</v>
      </c>
      <c r="G52" s="102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29</v>
      </c>
      <c r="D53" s="227" t="e">
        <f ca="1">0.001*INDIRECT($B53&amp;"!E7")</f>
        <v>#REF!</v>
      </c>
      <c r="E53" s="226"/>
      <c r="F53" s="95">
        <f>F52</f>
        <v>0</v>
      </c>
      <c r="G53" s="102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31</v>
      </c>
      <c r="D54" s="227" t="e">
        <f ca="1">0.001*INDIRECT($B54&amp;"!E8")</f>
        <v>#REF!</v>
      </c>
      <c r="E54" s="226"/>
      <c r="F54" s="95">
        <f>F53</f>
        <v>0</v>
      </c>
      <c r="G54" s="102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8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2"/>
      <c r="C59" s="283"/>
      <c r="D59" s="284"/>
      <c r="E59" s="3"/>
      <c r="F59" s="282">
        <f>B59</f>
        <v>0</v>
      </c>
      <c r="G59" s="283"/>
      <c r="H59" s="284"/>
      <c r="I59" s="3"/>
      <c r="J59" s="208"/>
      <c r="L59" s="286">
        <f>F59</f>
        <v>0</v>
      </c>
      <c r="M59" s="283"/>
      <c r="N59" s="284"/>
      <c r="O59" s="183"/>
      <c r="P59" s="208"/>
      <c r="U59" s="204"/>
      <c r="V59" s="204"/>
      <c r="X59" s="281"/>
      <c r="Y59" s="279"/>
      <c r="Z59" s="279"/>
    </row>
    <row r="60" spans="2:28" x14ac:dyDescent="0.25">
      <c r="B60" s="278" t="s">
        <v>20</v>
      </c>
      <c r="C60" s="279"/>
      <c r="D60" s="71" t="s">
        <v>21</v>
      </c>
      <c r="E60" s="226"/>
      <c r="F60" s="278" t="s">
        <v>20</v>
      </c>
      <c r="G60" s="279"/>
      <c r="H60" s="71" t="s">
        <v>21</v>
      </c>
      <c r="I60" s="10"/>
      <c r="J60" s="207" t="s">
        <v>22</v>
      </c>
      <c r="L60" s="287" t="s">
        <v>34</v>
      </c>
      <c r="M60" s="279"/>
      <c r="N60" s="288"/>
      <c r="O60" s="69"/>
      <c r="P60" s="4"/>
      <c r="R60" s="285"/>
      <c r="S60" s="279"/>
      <c r="T60" s="279"/>
      <c r="U60" s="209"/>
      <c r="V60" s="209"/>
      <c r="X60" s="285"/>
      <c r="Y60" s="279"/>
      <c r="Z60" s="279"/>
    </row>
    <row r="61" spans="2:28" x14ac:dyDescent="0.25">
      <c r="B61" s="180" t="s">
        <v>1</v>
      </c>
      <c r="C61" s="102" t="s">
        <v>24</v>
      </c>
      <c r="D61" s="70" t="s">
        <v>25</v>
      </c>
      <c r="E61" s="226"/>
      <c r="F61" s="180" t="s">
        <v>1</v>
      </c>
      <c r="G61" s="102" t="s">
        <v>24</v>
      </c>
      <c r="H61" s="70" t="s">
        <v>25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27</v>
      </c>
      <c r="D62" s="227" t="e">
        <f ca="1">0.001*INDIRECT($B62&amp;"!E5")</f>
        <v>#REF!</v>
      </c>
      <c r="E62" s="226"/>
      <c r="F62" s="95">
        <f>F59</f>
        <v>0</v>
      </c>
      <c r="G62" s="102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28</v>
      </c>
      <c r="D63" s="227" t="e">
        <f ca="1">0.001*INDIRECT($B63&amp;"!E6")</f>
        <v>#REF!</v>
      </c>
      <c r="E63" s="226"/>
      <c r="F63" s="95">
        <f>F62</f>
        <v>0</v>
      </c>
      <c r="G63" s="102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29</v>
      </c>
      <c r="D64" s="227" t="e">
        <f ca="1">0.001*INDIRECT($B64&amp;"!E7")</f>
        <v>#REF!</v>
      </c>
      <c r="E64" s="226"/>
      <c r="F64" s="95">
        <f>F63</f>
        <v>0</v>
      </c>
      <c r="G64" s="102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31</v>
      </c>
      <c r="D65" s="227" t="e">
        <f ca="1">0.001*INDIRECT($B65&amp;"!E8")</f>
        <v>#REF!</v>
      </c>
      <c r="E65" s="226"/>
      <c r="F65" s="95">
        <f>F64</f>
        <v>0</v>
      </c>
      <c r="G65" s="102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8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2"/>
      <c r="C70" s="283"/>
      <c r="D70" s="284"/>
      <c r="E70" s="3"/>
      <c r="F70" s="282">
        <f>B70</f>
        <v>0</v>
      </c>
      <c r="G70" s="283"/>
      <c r="H70" s="284"/>
      <c r="I70" s="3"/>
      <c r="J70" s="208"/>
      <c r="L70" s="286">
        <f>F70</f>
        <v>0</v>
      </c>
      <c r="M70" s="283"/>
      <c r="N70" s="284"/>
      <c r="O70" s="183"/>
      <c r="P70" s="208"/>
      <c r="U70" s="204"/>
      <c r="V70" s="204"/>
      <c r="X70" s="281"/>
      <c r="Y70" s="279"/>
      <c r="Z70" s="279"/>
    </row>
    <row r="71" spans="2:28" x14ac:dyDescent="0.25">
      <c r="B71" s="278" t="s">
        <v>20</v>
      </c>
      <c r="C71" s="279"/>
      <c r="D71" s="71" t="s">
        <v>21</v>
      </c>
      <c r="E71" s="226"/>
      <c r="F71" s="278" t="s">
        <v>20</v>
      </c>
      <c r="G71" s="279"/>
      <c r="H71" s="71" t="s">
        <v>21</v>
      </c>
      <c r="I71" s="10"/>
      <c r="J71" s="207" t="s">
        <v>22</v>
      </c>
      <c r="L71" s="287" t="s">
        <v>34</v>
      </c>
      <c r="M71" s="279"/>
      <c r="N71" s="288"/>
      <c r="O71" s="69"/>
      <c r="P71" s="4"/>
      <c r="R71" s="285"/>
      <c r="S71" s="279"/>
      <c r="T71" s="279"/>
      <c r="U71" s="209"/>
      <c r="V71" s="209"/>
      <c r="X71" s="285"/>
      <c r="Y71" s="279"/>
      <c r="Z71" s="279"/>
    </row>
    <row r="72" spans="2:28" x14ac:dyDescent="0.25">
      <c r="B72" s="180" t="s">
        <v>1</v>
      </c>
      <c r="C72" s="102" t="s">
        <v>24</v>
      </c>
      <c r="D72" s="70" t="s">
        <v>25</v>
      </c>
      <c r="E72" s="226"/>
      <c r="F72" s="180" t="s">
        <v>1</v>
      </c>
      <c r="G72" s="102" t="s">
        <v>24</v>
      </c>
      <c r="H72" s="70" t="s">
        <v>25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27</v>
      </c>
      <c r="D73" s="227" t="e">
        <f ca="1">0.001*INDIRECT($B73&amp;"!E5")</f>
        <v>#REF!</v>
      </c>
      <c r="E73" s="226"/>
      <c r="F73" s="95">
        <f>F70</f>
        <v>0</v>
      </c>
      <c r="G73" s="102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28</v>
      </c>
      <c r="D74" s="227" t="e">
        <f ca="1">0.001*INDIRECT($B74&amp;"!E6")</f>
        <v>#REF!</v>
      </c>
      <c r="E74" s="226"/>
      <c r="F74" s="95">
        <f>F73</f>
        <v>0</v>
      </c>
      <c r="G74" s="102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29</v>
      </c>
      <c r="D75" s="227" t="e">
        <f ca="1">0.001*INDIRECT($B75&amp;"!E7")</f>
        <v>#REF!</v>
      </c>
      <c r="E75" s="226"/>
      <c r="F75" s="95">
        <f>F74</f>
        <v>0</v>
      </c>
      <c r="G75" s="102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31</v>
      </c>
      <c r="D76" s="227" t="e">
        <f ca="1">0.001*INDIRECT($B76&amp;"!E8")</f>
        <v>#REF!</v>
      </c>
      <c r="E76" s="226"/>
      <c r="F76" s="95">
        <f>F75</f>
        <v>0</v>
      </c>
      <c r="G76" s="102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8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2"/>
      <c r="C81" s="283"/>
      <c r="D81" s="284"/>
      <c r="E81" s="3"/>
      <c r="F81" s="282">
        <f>B81</f>
        <v>0</v>
      </c>
      <c r="G81" s="283"/>
      <c r="H81" s="284"/>
      <c r="I81" s="3"/>
      <c r="J81" s="208"/>
      <c r="L81" s="286">
        <f>F81</f>
        <v>0</v>
      </c>
      <c r="M81" s="283"/>
      <c r="N81" s="284"/>
      <c r="O81" s="183"/>
      <c r="P81" s="208"/>
      <c r="U81" s="204"/>
      <c r="V81" s="204"/>
      <c r="X81" s="281"/>
      <c r="Y81" s="279"/>
      <c r="Z81" s="279"/>
    </row>
    <row r="82" spans="2:28" x14ac:dyDescent="0.25">
      <c r="B82" s="278" t="s">
        <v>20</v>
      </c>
      <c r="C82" s="279"/>
      <c r="D82" s="71" t="s">
        <v>21</v>
      </c>
      <c r="E82" s="226"/>
      <c r="F82" s="278" t="s">
        <v>20</v>
      </c>
      <c r="G82" s="279"/>
      <c r="H82" s="71" t="s">
        <v>21</v>
      </c>
      <c r="I82" s="10"/>
      <c r="J82" s="207" t="s">
        <v>22</v>
      </c>
      <c r="L82" s="287" t="s">
        <v>34</v>
      </c>
      <c r="M82" s="279"/>
      <c r="N82" s="288"/>
      <c r="O82" s="69"/>
      <c r="P82" s="4"/>
      <c r="R82" s="285"/>
      <c r="S82" s="279"/>
      <c r="T82" s="279"/>
      <c r="U82" s="209"/>
      <c r="V82" s="209"/>
      <c r="X82" s="285"/>
      <c r="Y82" s="279"/>
      <c r="Z82" s="279"/>
    </row>
    <row r="83" spans="2:28" x14ac:dyDescent="0.25">
      <c r="B83" s="180" t="s">
        <v>1</v>
      </c>
      <c r="C83" s="102" t="s">
        <v>24</v>
      </c>
      <c r="D83" s="70" t="s">
        <v>25</v>
      </c>
      <c r="E83" s="226"/>
      <c r="F83" s="180" t="s">
        <v>1</v>
      </c>
      <c r="G83" s="102" t="s">
        <v>24</v>
      </c>
      <c r="H83" s="70" t="s">
        <v>25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27</v>
      </c>
      <c r="D84" s="227" t="e">
        <f ca="1">0.001*INDIRECT($B84&amp;"!E5")</f>
        <v>#REF!</v>
      </c>
      <c r="E84" s="226"/>
      <c r="F84" s="95">
        <f>F81</f>
        <v>0</v>
      </c>
      <c r="G84" s="102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28</v>
      </c>
      <c r="D85" s="227" t="e">
        <f ca="1">0.001*INDIRECT($B85&amp;"!E6")</f>
        <v>#REF!</v>
      </c>
      <c r="E85" s="226"/>
      <c r="F85" s="95">
        <f>F84</f>
        <v>0</v>
      </c>
      <c r="G85" s="102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29</v>
      </c>
      <c r="D86" s="227" t="e">
        <f ca="1">0.001*INDIRECT($B86&amp;"!E7")</f>
        <v>#REF!</v>
      </c>
      <c r="E86" s="226"/>
      <c r="F86" s="95">
        <f>F85</f>
        <v>0</v>
      </c>
      <c r="G86" s="102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31</v>
      </c>
      <c r="D87" s="227" t="e">
        <f ca="1">0.001*INDIRECT($B87&amp;"!E8")</f>
        <v>#REF!</v>
      </c>
      <c r="E87" s="226"/>
      <c r="F87" s="95">
        <f>F86</f>
        <v>0</v>
      </c>
      <c r="G87" s="102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8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5" customHeight="1" thickBot="1" x14ac:dyDescent="0.3"/>
    <row r="92" spans="2:28" x14ac:dyDescent="0.25">
      <c r="B92" s="282"/>
      <c r="C92" s="283"/>
      <c r="D92" s="284"/>
      <c r="E92" s="3"/>
      <c r="F92" s="282">
        <f>B92</f>
        <v>0</v>
      </c>
      <c r="G92" s="283"/>
      <c r="H92" s="284"/>
      <c r="I92" s="3"/>
      <c r="J92" s="208"/>
      <c r="L92" s="286">
        <f>F92</f>
        <v>0</v>
      </c>
      <c r="M92" s="283"/>
      <c r="N92" s="284"/>
      <c r="O92" s="183"/>
      <c r="P92" s="208"/>
      <c r="U92" s="204"/>
      <c r="V92" s="204"/>
      <c r="X92" s="281"/>
      <c r="Y92" s="279"/>
      <c r="Z92" s="279"/>
    </row>
    <row r="93" spans="2:28" x14ac:dyDescent="0.25">
      <c r="B93" s="278" t="s">
        <v>20</v>
      </c>
      <c r="C93" s="279"/>
      <c r="D93" s="71" t="s">
        <v>21</v>
      </c>
      <c r="E93" s="226"/>
      <c r="F93" s="278" t="s">
        <v>20</v>
      </c>
      <c r="G93" s="279"/>
      <c r="H93" s="71" t="s">
        <v>21</v>
      </c>
      <c r="I93" s="10"/>
      <c r="J93" s="207" t="s">
        <v>22</v>
      </c>
      <c r="L93" s="287" t="s">
        <v>34</v>
      </c>
      <c r="M93" s="279"/>
      <c r="N93" s="288"/>
      <c r="O93" s="69"/>
      <c r="P93" s="4"/>
      <c r="R93" s="285"/>
      <c r="S93" s="279"/>
      <c r="T93" s="279"/>
      <c r="U93" s="209"/>
      <c r="V93" s="209"/>
      <c r="X93" s="285"/>
      <c r="Y93" s="279"/>
      <c r="Z93" s="279"/>
    </row>
    <row r="94" spans="2:28" x14ac:dyDescent="0.25">
      <c r="B94" s="180" t="s">
        <v>1</v>
      </c>
      <c r="C94" s="102" t="s">
        <v>24</v>
      </c>
      <c r="D94" s="70" t="s">
        <v>25</v>
      </c>
      <c r="E94" s="226"/>
      <c r="F94" s="180" t="s">
        <v>1</v>
      </c>
      <c r="G94" s="102" t="s">
        <v>24</v>
      </c>
      <c r="H94" s="70" t="s">
        <v>25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27</v>
      </c>
      <c r="D95" s="227" t="e">
        <f ca="1">0.001*INDIRECT($B95&amp;"!E5")</f>
        <v>#REF!</v>
      </c>
      <c r="E95" s="226"/>
      <c r="F95" s="95">
        <f>F92</f>
        <v>0</v>
      </c>
      <c r="G95" s="102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28</v>
      </c>
      <c r="D96" s="227" t="e">
        <f ca="1">0.001*INDIRECT($B96&amp;"!E6")</f>
        <v>#REF!</v>
      </c>
      <c r="E96" s="226"/>
      <c r="F96" s="95">
        <f>F95</f>
        <v>0</v>
      </c>
      <c r="G96" s="102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29</v>
      </c>
      <c r="D97" s="227" t="e">
        <f ca="1">0.001*INDIRECT($B97&amp;"!E7")</f>
        <v>#REF!</v>
      </c>
      <c r="E97" s="226"/>
      <c r="F97" s="95">
        <f>F96</f>
        <v>0</v>
      </c>
      <c r="G97" s="102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31</v>
      </c>
      <c r="D98" s="227" t="e">
        <f ca="1">0.001*INDIRECT($B98&amp;"!E8")</f>
        <v>#REF!</v>
      </c>
      <c r="E98" s="226"/>
      <c r="F98" s="95">
        <f>F97</f>
        <v>0</v>
      </c>
      <c r="G98" s="102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8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5" customHeight="1" thickBot="1" x14ac:dyDescent="0.3"/>
    <row r="103" spans="2:28" x14ac:dyDescent="0.25">
      <c r="B103" s="282"/>
      <c r="C103" s="283"/>
      <c r="D103" s="284"/>
      <c r="E103" s="3"/>
      <c r="F103" s="282">
        <f>B103</f>
        <v>0</v>
      </c>
      <c r="G103" s="283"/>
      <c r="H103" s="284"/>
      <c r="I103" s="3"/>
      <c r="J103" s="208"/>
      <c r="L103" s="286">
        <f>F103</f>
        <v>0</v>
      </c>
      <c r="M103" s="283"/>
      <c r="N103" s="284"/>
      <c r="O103" s="183"/>
      <c r="P103" s="208"/>
      <c r="U103" s="204"/>
      <c r="V103" s="204"/>
      <c r="X103" s="281"/>
      <c r="Y103" s="279"/>
      <c r="Z103" s="279"/>
    </row>
    <row r="104" spans="2:28" x14ac:dyDescent="0.25">
      <c r="B104" s="278" t="s">
        <v>20</v>
      </c>
      <c r="C104" s="279"/>
      <c r="D104" s="71" t="s">
        <v>21</v>
      </c>
      <c r="E104" s="226"/>
      <c r="F104" s="278" t="s">
        <v>20</v>
      </c>
      <c r="G104" s="279"/>
      <c r="H104" s="71" t="s">
        <v>21</v>
      </c>
      <c r="I104" s="10"/>
      <c r="J104" s="207" t="s">
        <v>22</v>
      </c>
      <c r="L104" s="287" t="s">
        <v>34</v>
      </c>
      <c r="M104" s="279"/>
      <c r="N104" s="288"/>
      <c r="O104" s="69"/>
      <c r="P104" s="4"/>
      <c r="R104" s="285"/>
      <c r="S104" s="279"/>
      <c r="T104" s="279"/>
      <c r="U104" s="209"/>
      <c r="V104" s="209"/>
      <c r="X104" s="285"/>
      <c r="Y104" s="279"/>
      <c r="Z104" s="279"/>
    </row>
    <row r="105" spans="2:28" x14ac:dyDescent="0.25">
      <c r="B105" s="180" t="s">
        <v>1</v>
      </c>
      <c r="C105" s="102" t="s">
        <v>24</v>
      </c>
      <c r="D105" s="70" t="s">
        <v>25</v>
      </c>
      <c r="E105" s="226"/>
      <c r="F105" s="180" t="s">
        <v>1</v>
      </c>
      <c r="G105" s="102" t="s">
        <v>24</v>
      </c>
      <c r="H105" s="70" t="s">
        <v>25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27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28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29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31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8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L93:N93"/>
    <mergeCell ref="F16:G16"/>
    <mergeCell ref="R27:T27"/>
    <mergeCell ref="B93:C93"/>
    <mergeCell ref="F2:H2"/>
    <mergeCell ref="B37:D37"/>
    <mergeCell ref="B4:D4"/>
    <mergeCell ref="L37:N37"/>
    <mergeCell ref="F59:H59"/>
    <mergeCell ref="F15:H15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05" bestFit="1" customWidth="1"/>
    <col min="2" max="2" width="6.59765625" style="205" customWidth="1"/>
    <col min="3" max="3" width="9.3984375" style="205" customWidth="1"/>
    <col min="4" max="4" width="14.3984375" style="205" customWidth="1"/>
    <col min="5" max="5" width="4.59765625" style="205" customWidth="1"/>
    <col min="6" max="6" width="6.59765625" style="205" customWidth="1"/>
    <col min="7" max="7" width="9.3984375" style="205" customWidth="1"/>
    <col min="8" max="8" width="14.3984375" style="205" customWidth="1"/>
    <col min="9" max="9" width="4.59765625" style="205" customWidth="1"/>
    <col min="10" max="10" width="9.59765625" style="205" customWidth="1"/>
    <col min="11" max="11" width="4.59765625" style="205" customWidth="1"/>
    <col min="12" max="12" width="14.3984375" style="205" bestFit="1" customWidth="1"/>
    <col min="13" max="13" width="16.09765625" style="205" bestFit="1" customWidth="1"/>
    <col min="14" max="14" width="8" style="205" bestFit="1" customWidth="1"/>
    <col min="15" max="15" width="4.59765625" style="205" customWidth="1"/>
    <col min="16" max="16" width="9.69921875" style="205" bestFit="1" customWidth="1"/>
    <col min="17" max="17" width="4.59765625" style="205" customWidth="1"/>
    <col min="18" max="18" width="84.59765625" style="205" customWidth="1"/>
    <col min="19" max="19" width="6.5" style="205" bestFit="1" customWidth="1"/>
    <col min="20" max="20" width="9.59765625" style="205" bestFit="1" customWidth="1"/>
    <col min="21" max="21" width="1.59765625" style="205" bestFit="1" customWidth="1"/>
    <col min="22" max="22" width="7.59765625" style="205" bestFit="1" customWidth="1"/>
    <col min="23" max="23" width="1.59765625" style="205" bestFit="1" customWidth="1"/>
    <col min="24" max="24" width="14.3984375" style="205" bestFit="1" customWidth="1"/>
    <col min="25" max="25" width="16.09765625" style="205" bestFit="1" customWidth="1"/>
    <col min="26" max="26" width="5.09765625" style="205" bestFit="1" customWidth="1"/>
    <col min="27" max="27" width="1.59765625" style="205" bestFit="1" customWidth="1"/>
    <col min="28" max="28" width="8.09765625" style="204" bestFit="1" customWidth="1"/>
    <col min="29" max="29" width="9" style="205" customWidth="1"/>
    <col min="30" max="30" width="1.3984375" style="205" bestFit="1" customWidth="1"/>
    <col min="31" max="31" width="80.59765625" style="205" customWidth="1"/>
    <col min="32" max="32" width="1.3984375" style="205" bestFit="1" customWidth="1"/>
    <col min="33" max="38" width="9" style="205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0" t="str">
        <f>'Summary (auto)'!C3</f>
        <v>MPEG-151</v>
      </c>
      <c r="C2" s="279"/>
      <c r="D2" s="279"/>
      <c r="E2" s="206"/>
      <c r="F2" s="280" t="str">
        <f>'Summary (auto)'!C4</f>
        <v>my</v>
      </c>
      <c r="G2" s="279"/>
      <c r="H2" s="279"/>
      <c r="I2" s="204"/>
      <c r="J2" s="209" t="s">
        <v>15</v>
      </c>
      <c r="K2" s="204"/>
      <c r="L2" s="285" t="s">
        <v>16</v>
      </c>
      <c r="M2" s="279"/>
      <c r="N2" s="279"/>
      <c r="O2" s="204"/>
      <c r="P2" s="209" t="s">
        <v>17</v>
      </c>
      <c r="U2" s="209"/>
      <c r="V2" s="209"/>
    </row>
    <row r="3" spans="1:32" ht="16.5" customHeight="1" thickBot="1" x14ac:dyDescent="0.3">
      <c r="A3" s="178" t="s">
        <v>0</v>
      </c>
      <c r="B3" s="206"/>
      <c r="C3" s="206"/>
      <c r="D3" s="206"/>
      <c r="E3" s="206"/>
      <c r="F3" s="206"/>
      <c r="G3" s="206"/>
      <c r="H3" s="206"/>
      <c r="I3" s="204"/>
      <c r="J3" s="204"/>
      <c r="K3" s="179" t="s">
        <v>0</v>
      </c>
      <c r="L3" s="87" t="s">
        <v>35</v>
      </c>
      <c r="M3" s="87" t="s">
        <v>36</v>
      </c>
      <c r="N3" s="204"/>
      <c r="O3" s="179" t="s">
        <v>0</v>
      </c>
      <c r="P3" s="204"/>
      <c r="U3" s="178" t="s">
        <v>0</v>
      </c>
      <c r="W3" s="178" t="s">
        <v>0</v>
      </c>
    </row>
    <row r="4" spans="1:32" x14ac:dyDescent="0.25">
      <c r="B4" s="282" t="s">
        <v>10</v>
      </c>
      <c r="C4" s="283"/>
      <c r="D4" s="284"/>
      <c r="E4" s="3"/>
      <c r="F4" s="282" t="str">
        <f>B4</f>
        <v>breakfast_track</v>
      </c>
      <c r="G4" s="283"/>
      <c r="H4" s="284"/>
      <c r="I4" s="3"/>
      <c r="J4" s="208"/>
      <c r="L4" s="286" t="str">
        <f>F4</f>
        <v>breakfast_track</v>
      </c>
      <c r="M4" s="283"/>
      <c r="N4" s="284"/>
      <c r="O4" s="183"/>
      <c r="P4" s="208"/>
      <c r="Q4" s="183"/>
      <c r="R4" s="183"/>
      <c r="S4" s="183"/>
      <c r="T4" s="183"/>
      <c r="U4" s="204"/>
      <c r="V4" s="204"/>
      <c r="X4" s="281"/>
      <c r="Y4" s="279"/>
      <c r="Z4" s="279"/>
    </row>
    <row r="5" spans="1:32" x14ac:dyDescent="0.25">
      <c r="B5" s="278" t="s">
        <v>20</v>
      </c>
      <c r="C5" s="279"/>
      <c r="D5" s="71" t="s">
        <v>21</v>
      </c>
      <c r="E5" s="226"/>
      <c r="F5" s="278" t="s">
        <v>20</v>
      </c>
      <c r="G5" s="279"/>
      <c r="H5" s="71" t="s">
        <v>21</v>
      </c>
      <c r="I5" s="10"/>
      <c r="J5" s="207" t="s">
        <v>22</v>
      </c>
      <c r="L5" s="287" t="s">
        <v>37</v>
      </c>
      <c r="M5" s="279"/>
      <c r="N5" s="288"/>
      <c r="O5" s="69"/>
      <c r="P5" s="4"/>
      <c r="Q5" s="69"/>
      <c r="R5" s="285"/>
      <c r="S5" s="279"/>
      <c r="T5" s="279"/>
      <c r="U5" s="209"/>
      <c r="V5" s="209"/>
      <c r="X5" s="285"/>
      <c r="Y5" s="279"/>
      <c r="Z5" s="279"/>
    </row>
    <row r="6" spans="1:32" x14ac:dyDescent="0.25">
      <c r="B6" s="180" t="s">
        <v>1</v>
      </c>
      <c r="C6" s="102" t="s">
        <v>24</v>
      </c>
      <c r="D6" s="70" t="s">
        <v>25</v>
      </c>
      <c r="E6" s="226"/>
      <c r="F6" s="180" t="s">
        <v>1</v>
      </c>
      <c r="G6" s="102" t="s">
        <v>24</v>
      </c>
      <c r="H6" s="70" t="s">
        <v>25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27</v>
      </c>
      <c r="D7" s="227">
        <f ca="1">0.001*INDIRECT($B7&amp;"!E5")</f>
        <v>1107.962968</v>
      </c>
      <c r="E7" s="226"/>
      <c r="F7" s="95" t="str">
        <f>F4</f>
        <v>breakfast_track</v>
      </c>
      <c r="G7" s="102" t="s">
        <v>27</v>
      </c>
      <c r="H7" s="227">
        <f ca="1">0.001*INDIRECT($B7&amp;"!W5")</f>
        <v>0</v>
      </c>
      <c r="I7" s="10"/>
      <c r="J7" s="228">
        <f ca="1">H7/D7-1</f>
        <v>-1</v>
      </c>
      <c r="L7" s="76">
        <f ca="1">INDIRECT($B7&amp;"!"&amp;L$3&amp;"5")</f>
        <v>0.95855970824444436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28</v>
      </c>
      <c r="D8" s="227">
        <f ca="1">0.001*INDIRECT($B8&amp;"!E6")</f>
        <v>1592.8603360000002</v>
      </c>
      <c r="E8" s="226"/>
      <c r="F8" s="95" t="str">
        <f>F7</f>
        <v>breakfast_track</v>
      </c>
      <c r="G8" s="102" t="s">
        <v>28</v>
      </c>
      <c r="H8" s="227">
        <f ca="1">0.001*INDIRECT($B8&amp;"!W6")</f>
        <v>0</v>
      </c>
      <c r="I8" s="10"/>
      <c r="J8" s="228">
        <f ca="1">H8/D8-1</f>
        <v>-1</v>
      </c>
      <c r="L8" s="76">
        <f ca="1">INDIRECT($B8&amp;"!"&amp;L$3&amp;"6")</f>
        <v>0.97592982000000006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29</v>
      </c>
      <c r="D9" s="227">
        <f ca="1">0.001*INDIRECT($B9&amp;"!E7")</f>
        <v>2297.023952</v>
      </c>
      <c r="E9" s="226"/>
      <c r="F9" s="95" t="str">
        <f>F8</f>
        <v>breakfast_track</v>
      </c>
      <c r="G9" s="102" t="s">
        <v>29</v>
      </c>
      <c r="H9" s="227">
        <f ca="1">0.001*INDIRECT($B9&amp;"!W7")</f>
        <v>0</v>
      </c>
      <c r="I9" s="10"/>
      <c r="J9" s="228">
        <f ca="1">H9/D9-1</f>
        <v>-1</v>
      </c>
      <c r="L9" s="76">
        <f ca="1">INDIRECT($B9&amp;"!"&amp;L$3&amp;"7")</f>
        <v>0.98816916375555552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31</v>
      </c>
      <c r="D10" s="227">
        <f ca="1">0.001*INDIRECT($B10&amp;"!E8")</f>
        <v>3257.6030800000003</v>
      </c>
      <c r="E10" s="226"/>
      <c r="F10" s="95" t="str">
        <f>F9</f>
        <v>breakfast_track</v>
      </c>
      <c r="G10" s="102" t="s">
        <v>31</v>
      </c>
      <c r="H10" s="227">
        <f ca="1">0.001*INDIRECT($B10&amp;"!W8")</f>
        <v>0</v>
      </c>
      <c r="I10" s="10"/>
      <c r="J10" s="228">
        <f ca="1">H10/D10-1</f>
        <v>-1</v>
      </c>
      <c r="L10" s="76">
        <f ca="1">INDIRECT($B10&amp;"!"&amp;L$3&amp;"8")</f>
        <v>0.99238709775555556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8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3257.6030800000003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2" t="s">
        <v>11</v>
      </c>
      <c r="C15" s="283"/>
      <c r="D15" s="284"/>
      <c r="E15" s="3"/>
      <c r="F15" s="282" t="str">
        <f>B15</f>
        <v>breakfast_semitrack</v>
      </c>
      <c r="G15" s="283"/>
      <c r="H15" s="284"/>
      <c r="I15" s="3"/>
      <c r="J15" s="208"/>
      <c r="L15" s="286" t="str">
        <f>F15</f>
        <v>breakfast_semitrack</v>
      </c>
      <c r="M15" s="283"/>
      <c r="N15" s="284"/>
      <c r="O15" s="183"/>
      <c r="P15" s="208"/>
      <c r="Q15" s="183"/>
      <c r="R15" s="183"/>
      <c r="S15" s="183"/>
      <c r="T15" s="183"/>
      <c r="U15" s="204"/>
      <c r="V15" s="204"/>
      <c r="X15" s="281"/>
      <c r="Y15" s="279"/>
      <c r="Z15" s="279"/>
    </row>
    <row r="16" spans="1:32" x14ac:dyDescent="0.25">
      <c r="B16" s="278" t="s">
        <v>20</v>
      </c>
      <c r="C16" s="279"/>
      <c r="D16" s="71" t="s">
        <v>21</v>
      </c>
      <c r="E16" s="226"/>
      <c r="F16" s="278" t="s">
        <v>20</v>
      </c>
      <c r="G16" s="279"/>
      <c r="H16" s="71" t="s">
        <v>21</v>
      </c>
      <c r="I16" s="10"/>
      <c r="J16" s="207" t="s">
        <v>22</v>
      </c>
      <c r="L16" s="287" t="s">
        <v>37</v>
      </c>
      <c r="M16" s="279"/>
      <c r="N16" s="288"/>
      <c r="O16" s="69"/>
      <c r="P16" s="4"/>
      <c r="Q16" s="69"/>
      <c r="R16" s="285"/>
      <c r="S16" s="279"/>
      <c r="T16" s="279"/>
      <c r="U16" s="209"/>
      <c r="V16" s="209"/>
      <c r="X16" s="285"/>
      <c r="Y16" s="279"/>
      <c r="Z16" s="279"/>
    </row>
    <row r="17" spans="2:28" x14ac:dyDescent="0.25">
      <c r="B17" s="180" t="s">
        <v>1</v>
      </c>
      <c r="C17" s="102" t="s">
        <v>24</v>
      </c>
      <c r="D17" s="70" t="s">
        <v>25</v>
      </c>
      <c r="E17" s="226"/>
      <c r="F17" s="180" t="s">
        <v>1</v>
      </c>
      <c r="G17" s="102" t="s">
        <v>24</v>
      </c>
      <c r="H17" s="70" t="s">
        <v>25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27</v>
      </c>
      <c r="D18" s="227">
        <f ca="1">0.001*INDIRECT($B18&amp;"!E5")</f>
        <v>1133.9081600000002</v>
      </c>
      <c r="E18" s="226"/>
      <c r="F18" s="95" t="str">
        <f>F15</f>
        <v>breakfast_semitrack</v>
      </c>
      <c r="G18" s="102" t="s">
        <v>27</v>
      </c>
      <c r="H18" s="227">
        <f ca="1">0.001*INDIRECT($B18&amp;"!W5")</f>
        <v>0</v>
      </c>
      <c r="I18" s="10"/>
      <c r="J18" s="228">
        <f ca="1">H18/D18-1</f>
        <v>-1</v>
      </c>
      <c r="L18" s="76">
        <f ca="1">INDIRECT($B18&amp;"!"&amp;L$3&amp;"5")</f>
        <v>0.95702456904444444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28</v>
      </c>
      <c r="D19" s="227">
        <f ca="1">0.001*INDIRECT($B19&amp;"!E6")</f>
        <v>1634.1013279999997</v>
      </c>
      <c r="E19" s="226"/>
      <c r="F19" s="95" t="str">
        <f>F18</f>
        <v>breakfast_semitrack</v>
      </c>
      <c r="G19" s="102" t="s">
        <v>28</v>
      </c>
      <c r="H19" s="227">
        <f ca="1">0.001*INDIRECT($B19&amp;"!W6")</f>
        <v>0</v>
      </c>
      <c r="I19" s="10"/>
      <c r="J19" s="228">
        <f ca="1">H19/D19-1</f>
        <v>-1</v>
      </c>
      <c r="L19" s="76">
        <f ca="1">INDIRECT($B19&amp;"!"&amp;L$3&amp;"6")</f>
        <v>0.97510484182222223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29</v>
      </c>
      <c r="D20" s="227">
        <f ca="1">0.001*INDIRECT($B20&amp;"!E7")</f>
        <v>2362.7906160000007</v>
      </c>
      <c r="E20" s="226"/>
      <c r="F20" s="95" t="str">
        <f>F19</f>
        <v>breakfast_semitrack</v>
      </c>
      <c r="G20" s="102" t="s">
        <v>29</v>
      </c>
      <c r="H20" s="227">
        <f ca="1">0.001*INDIRECT($B20&amp;"!W7")</f>
        <v>0</v>
      </c>
      <c r="I20" s="10"/>
      <c r="J20" s="228">
        <f ca="1">H20/D20-1</f>
        <v>-1</v>
      </c>
      <c r="L20" s="76">
        <f ca="1">INDIRECT($B20&amp;"!"&amp;L$3&amp;"7")</f>
        <v>0.98761054593333342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31</v>
      </c>
      <c r="D21" s="227">
        <f ca="1">0.001*INDIRECT($B21&amp;"!E8")</f>
        <v>3353.4556240000002</v>
      </c>
      <c r="E21" s="226"/>
      <c r="F21" s="95" t="str">
        <f>F20</f>
        <v>breakfast_semitrack</v>
      </c>
      <c r="G21" s="102" t="s">
        <v>31</v>
      </c>
      <c r="H21" s="227">
        <f ca="1">0.001*INDIRECT($B21&amp;"!W8")</f>
        <v>0</v>
      </c>
      <c r="I21" s="10"/>
      <c r="J21" s="228">
        <f ca="1">H21/D21-1</f>
        <v>-1</v>
      </c>
      <c r="L21" s="76">
        <f ca="1">INDIRECT($B21&amp;"!"&amp;L$3&amp;"8")</f>
        <v>0.99191253126666667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8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3353.4556240000002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2" t="s">
        <v>12</v>
      </c>
      <c r="C26" s="283"/>
      <c r="D26" s="284"/>
      <c r="E26" s="3"/>
      <c r="F26" s="282" t="str">
        <f>B26</f>
        <v>cinema_track</v>
      </c>
      <c r="G26" s="283"/>
      <c r="H26" s="284"/>
      <c r="I26" s="3"/>
      <c r="J26" s="208"/>
      <c r="L26" s="286" t="str">
        <f>F26</f>
        <v>cinema_track</v>
      </c>
      <c r="M26" s="283"/>
      <c r="N26" s="284"/>
      <c r="O26" s="183"/>
      <c r="P26" s="208"/>
      <c r="U26" s="204"/>
      <c r="V26" s="204"/>
      <c r="X26" s="281"/>
      <c r="Y26" s="279"/>
      <c r="Z26" s="279"/>
    </row>
    <row r="27" spans="2:28" x14ac:dyDescent="0.25">
      <c r="B27" s="278" t="s">
        <v>20</v>
      </c>
      <c r="C27" s="279"/>
      <c r="D27" s="71" t="s">
        <v>21</v>
      </c>
      <c r="E27" s="226"/>
      <c r="F27" s="278" t="s">
        <v>20</v>
      </c>
      <c r="G27" s="279"/>
      <c r="H27" s="71" t="s">
        <v>21</v>
      </c>
      <c r="I27" s="10"/>
      <c r="J27" s="207" t="s">
        <v>22</v>
      </c>
      <c r="L27" s="287" t="s">
        <v>37</v>
      </c>
      <c r="M27" s="279"/>
      <c r="N27" s="288"/>
      <c r="O27" s="69"/>
      <c r="P27" s="4"/>
      <c r="R27" s="285"/>
      <c r="S27" s="279"/>
      <c r="T27" s="279"/>
      <c r="U27" s="209"/>
      <c r="V27" s="209"/>
      <c r="X27" s="285"/>
      <c r="Y27" s="279"/>
      <c r="Z27" s="279"/>
    </row>
    <row r="28" spans="2:28" x14ac:dyDescent="0.25">
      <c r="B28" s="180" t="s">
        <v>1</v>
      </c>
      <c r="C28" s="102" t="s">
        <v>24</v>
      </c>
      <c r="D28" s="70" t="s">
        <v>25</v>
      </c>
      <c r="E28" s="226"/>
      <c r="F28" s="180" t="s">
        <v>1</v>
      </c>
      <c r="G28" s="102" t="s">
        <v>24</v>
      </c>
      <c r="H28" s="70" t="s">
        <v>25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27</v>
      </c>
      <c r="D29" s="227">
        <f ca="1">0.001*INDIRECT($B29&amp;"!E5")</f>
        <v>821.71339999999998</v>
      </c>
      <c r="E29" s="226"/>
      <c r="F29" s="95" t="str">
        <f>F26</f>
        <v>cinema_track</v>
      </c>
      <c r="G29" s="102" t="s">
        <v>27</v>
      </c>
      <c r="H29" s="227">
        <f ca="1">0.001*INDIRECT($B29&amp;"!W5")</f>
        <v>0</v>
      </c>
      <c r="I29" s="10"/>
      <c r="J29" s="228">
        <f ca="1">H29/D29-1</f>
        <v>-1</v>
      </c>
      <c r="L29" s="76">
        <f ca="1">INDIRECT($B29&amp;"!"&amp;L$3&amp;"5")</f>
        <v>0.9672617974444444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28</v>
      </c>
      <c r="D30" s="227">
        <f ca="1">0.001*INDIRECT($B30&amp;"!E6")</f>
        <v>1189.1244799999999</v>
      </c>
      <c r="E30" s="226"/>
      <c r="F30" s="95" t="str">
        <f>F29</f>
        <v>cinema_track</v>
      </c>
      <c r="G30" s="102" t="s">
        <v>28</v>
      </c>
      <c r="H30" s="227">
        <f ca="1">0.001*INDIRECT($B30&amp;"!W6")</f>
        <v>0</v>
      </c>
      <c r="I30" s="10"/>
      <c r="J30" s="228">
        <f ca="1">H30/D30-1</f>
        <v>-1</v>
      </c>
      <c r="L30" s="76">
        <f ca="1">INDIRECT($B30&amp;"!"&amp;L$3&amp;"6")</f>
        <v>0.98004840450793673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29</v>
      </c>
      <c r="D31" s="227">
        <f ca="1">0.001*INDIRECT($B31&amp;"!E7")</f>
        <v>1782.1216480000001</v>
      </c>
      <c r="E31" s="226"/>
      <c r="F31" s="95" t="str">
        <f>F30</f>
        <v>cinema_track</v>
      </c>
      <c r="G31" s="102" t="s">
        <v>29</v>
      </c>
      <c r="H31" s="227">
        <f ca="1">0.001*INDIRECT($B31&amp;"!W7")</f>
        <v>0</v>
      </c>
      <c r="I31" s="10"/>
      <c r="J31" s="228">
        <f ca="1">H31/D31-1</f>
        <v>-1</v>
      </c>
      <c r="L31" s="76">
        <f ca="1">INDIRECT($B31&amp;"!"&amp;L$3&amp;"7")</f>
        <v>0.98914582128571438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31</v>
      </c>
      <c r="D32" s="227">
        <f ca="1">0.001*INDIRECT($B32&amp;"!E8")</f>
        <v>2601.3312159999996</v>
      </c>
      <c r="E32" s="226"/>
      <c r="F32" s="95" t="str">
        <f>F31</f>
        <v>cinema_track</v>
      </c>
      <c r="G32" s="102" t="s">
        <v>31</v>
      </c>
      <c r="H32" s="227">
        <f ca="1">0.001*INDIRECT($B32&amp;"!W8")</f>
        <v>0</v>
      </c>
      <c r="I32" s="10"/>
      <c r="J32" s="228">
        <f ca="1">H32/D32-1</f>
        <v>-1</v>
      </c>
      <c r="L32" s="76">
        <f ca="1">INDIRECT($B32&amp;"!"&amp;L$3&amp;"8")</f>
        <v>0.99376378057142867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8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2601.3312159999996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2" t="s">
        <v>13</v>
      </c>
      <c r="C37" s="283"/>
      <c r="D37" s="284"/>
      <c r="E37" s="3"/>
      <c r="F37" s="282" t="str">
        <f>B37</f>
        <v>cinema_semitrack</v>
      </c>
      <c r="G37" s="283"/>
      <c r="H37" s="284"/>
      <c r="I37" s="3"/>
      <c r="J37" s="208"/>
      <c r="L37" s="286" t="str">
        <f>F37</f>
        <v>cinema_semitrack</v>
      </c>
      <c r="M37" s="283"/>
      <c r="N37" s="284"/>
      <c r="O37" s="183"/>
      <c r="P37" s="208"/>
      <c r="U37" s="204"/>
      <c r="V37" s="204"/>
      <c r="X37" s="281"/>
      <c r="Y37" s="279"/>
      <c r="Z37" s="279"/>
    </row>
    <row r="38" spans="2:28" x14ac:dyDescent="0.25">
      <c r="B38" s="278" t="s">
        <v>20</v>
      </c>
      <c r="C38" s="279"/>
      <c r="D38" s="71" t="s">
        <v>21</v>
      </c>
      <c r="E38" s="226"/>
      <c r="F38" s="278" t="s">
        <v>20</v>
      </c>
      <c r="G38" s="279"/>
      <c r="H38" s="71" t="s">
        <v>21</v>
      </c>
      <c r="I38" s="10"/>
      <c r="J38" s="207" t="s">
        <v>22</v>
      </c>
      <c r="L38" s="287" t="s">
        <v>37</v>
      </c>
      <c r="M38" s="279"/>
      <c r="N38" s="288"/>
      <c r="O38" s="69"/>
      <c r="P38" s="4"/>
      <c r="R38" s="285"/>
      <c r="S38" s="279"/>
      <c r="T38" s="279"/>
      <c r="U38" s="209"/>
      <c r="V38" s="209"/>
      <c r="X38" s="285"/>
      <c r="Y38" s="279"/>
      <c r="Z38" s="279"/>
    </row>
    <row r="39" spans="2:28" x14ac:dyDescent="0.25">
      <c r="B39" s="180" t="s">
        <v>1</v>
      </c>
      <c r="C39" s="102" t="s">
        <v>24</v>
      </c>
      <c r="D39" s="70" t="s">
        <v>25</v>
      </c>
      <c r="E39" s="226"/>
      <c r="F39" s="180" t="s">
        <v>1</v>
      </c>
      <c r="G39" s="102" t="s">
        <v>24</v>
      </c>
      <c r="H39" s="70" t="s">
        <v>25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27</v>
      </c>
      <c r="D40" s="227">
        <f ca="1">0.001*INDIRECT($B40&amp;"!E5")</f>
        <v>845.74751200000003</v>
      </c>
      <c r="E40" s="226"/>
      <c r="F40" s="95" t="str">
        <f>F37</f>
        <v>cinema_semitrack</v>
      </c>
      <c r="G40" s="102" t="s">
        <v>27</v>
      </c>
      <c r="H40" s="227">
        <f ca="1">0.001*INDIRECT($B40&amp;"!W5")</f>
        <v>0</v>
      </c>
      <c r="I40" s="10"/>
      <c r="J40" s="228">
        <f ca="1">H40/D40-1</f>
        <v>-1</v>
      </c>
      <c r="L40" s="76">
        <f ca="1">INDIRECT($B40&amp;"!"&amp;L$3&amp;"5")</f>
        <v>0.96590289023809528</v>
      </c>
      <c r="M40" s="77" t="e">
        <f ca="1">INDIRECT($B40&amp;"!"&amp;M$3&amp;"5")</f>
        <v>#DIV/0!</v>
      </c>
      <c r="N40" s="78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28</v>
      </c>
      <c r="D41" s="227">
        <f ca="1">0.001*INDIRECT($B41&amp;"!E6")</f>
        <v>1228.4774640000003</v>
      </c>
      <c r="E41" s="226"/>
      <c r="F41" s="95" t="str">
        <f>F40</f>
        <v>cinema_semitrack</v>
      </c>
      <c r="G41" s="102" t="s">
        <v>28</v>
      </c>
      <c r="H41" s="227">
        <f ca="1">0.001*INDIRECT($B41&amp;"!W6")</f>
        <v>0</v>
      </c>
      <c r="I41" s="10"/>
      <c r="J41" s="228">
        <f ca="1">H41/D41-1</f>
        <v>-1</v>
      </c>
      <c r="L41" s="76">
        <f ca="1">INDIRECT($B41&amp;"!"&amp;L$3&amp;"6")</f>
        <v>0.97912883755555569</v>
      </c>
      <c r="M41" s="77" t="e">
        <f ca="1">INDIRECT($B41&amp;"!"&amp;M$3&amp;"6")</f>
        <v>#DIV/0!</v>
      </c>
      <c r="N41" s="78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29</v>
      </c>
      <c r="D42" s="227">
        <f ca="1">0.001*INDIRECT($B42&amp;"!E7")</f>
        <v>1847.8872159999999</v>
      </c>
      <c r="E42" s="226"/>
      <c r="F42" s="95" t="str">
        <f>F41</f>
        <v>cinema_semitrack</v>
      </c>
      <c r="G42" s="102" t="s">
        <v>29</v>
      </c>
      <c r="H42" s="227">
        <f ca="1">0.001*INDIRECT($B42&amp;"!W7")</f>
        <v>0</v>
      </c>
      <c r="I42" s="10"/>
      <c r="J42" s="228">
        <f ca="1">H42/D42-1</f>
        <v>-1</v>
      </c>
      <c r="L42" s="76">
        <f ca="1">INDIRECT($B42&amp;"!"&amp;L$3&amp;"7")</f>
        <v>0.98869275990476202</v>
      </c>
      <c r="M42" s="77" t="e">
        <f ca="1">INDIRECT($B42&amp;"!"&amp;M$3&amp;"7")</f>
        <v>#DIV/0!</v>
      </c>
      <c r="N42" s="78" t="e">
        <f ca="1">M42-L42</f>
        <v>#DIV/0!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31</v>
      </c>
      <c r="D43" s="227">
        <f ca="1">0.001*INDIRECT($B43&amp;"!E8")</f>
        <v>2700.5942639999998</v>
      </c>
      <c r="E43" s="226"/>
      <c r="F43" s="95" t="str">
        <f>F42</f>
        <v>cinema_semitrack</v>
      </c>
      <c r="G43" s="102" t="s">
        <v>31</v>
      </c>
      <c r="H43" s="227">
        <f ca="1">0.001*INDIRECT($B43&amp;"!W8")</f>
        <v>0</v>
      </c>
      <c r="I43" s="10"/>
      <c r="J43" s="228">
        <f ca="1">H43/D43-1</f>
        <v>-1</v>
      </c>
      <c r="L43" s="76">
        <f ca="1">INDIRECT($B43&amp;"!"&amp;L$3&amp;"8")</f>
        <v>0.99350967128571421</v>
      </c>
      <c r="M43" s="77" t="e">
        <f ca="1">INDIRECT($B43&amp;"!"&amp;M$3&amp;"8")</f>
        <v>#DIV/0!</v>
      </c>
      <c r="N43" s="78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0</v>
      </c>
      <c r="L45" s="81"/>
      <c r="M45" s="82"/>
      <c r="N45" s="83"/>
      <c r="O45" s="226"/>
      <c r="P45" s="208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2700.5942639999998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2"/>
      <c r="C48" s="283"/>
      <c r="D48" s="284"/>
      <c r="E48" s="3"/>
      <c r="F48" s="282">
        <f>B48</f>
        <v>0</v>
      </c>
      <c r="G48" s="283"/>
      <c r="H48" s="284"/>
      <c r="I48" s="3"/>
      <c r="J48" s="208"/>
      <c r="L48" s="286">
        <f>F48</f>
        <v>0</v>
      </c>
      <c r="M48" s="283"/>
      <c r="N48" s="284"/>
      <c r="O48" s="183"/>
      <c r="P48" s="208"/>
      <c r="U48" s="204"/>
      <c r="V48" s="204"/>
      <c r="X48" s="281"/>
      <c r="Y48" s="279"/>
      <c r="Z48" s="279"/>
    </row>
    <row r="49" spans="2:28" x14ac:dyDescent="0.25">
      <c r="B49" s="278" t="s">
        <v>20</v>
      </c>
      <c r="C49" s="279"/>
      <c r="D49" s="71" t="s">
        <v>21</v>
      </c>
      <c r="E49" s="226"/>
      <c r="F49" s="278" t="s">
        <v>20</v>
      </c>
      <c r="G49" s="279"/>
      <c r="H49" s="71" t="s">
        <v>21</v>
      </c>
      <c r="I49" s="10"/>
      <c r="J49" s="207" t="s">
        <v>22</v>
      </c>
      <c r="L49" s="287" t="s">
        <v>37</v>
      </c>
      <c r="M49" s="279"/>
      <c r="N49" s="288"/>
      <c r="O49" s="69"/>
      <c r="P49" s="4"/>
      <c r="R49" s="285"/>
      <c r="S49" s="279"/>
      <c r="T49" s="279"/>
      <c r="U49" s="209"/>
      <c r="V49" s="209"/>
      <c r="X49" s="285"/>
      <c r="Y49" s="279"/>
      <c r="Z49" s="279"/>
    </row>
    <row r="50" spans="2:28" x14ac:dyDescent="0.25">
      <c r="B50" s="180" t="s">
        <v>1</v>
      </c>
      <c r="C50" s="102" t="s">
        <v>24</v>
      </c>
      <c r="D50" s="70" t="s">
        <v>25</v>
      </c>
      <c r="E50" s="226"/>
      <c r="F50" s="180" t="s">
        <v>1</v>
      </c>
      <c r="G50" s="102" t="s">
        <v>24</v>
      </c>
      <c r="H50" s="70" t="s">
        <v>25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27</v>
      </c>
      <c r="D51" s="227" t="e">
        <f ca="1">0.001*INDIRECT($B51&amp;"!E5")</f>
        <v>#REF!</v>
      </c>
      <c r="E51" s="226"/>
      <c r="F51" s="95">
        <f>F48</f>
        <v>0</v>
      </c>
      <c r="G51" s="102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28</v>
      </c>
      <c r="D52" s="227" t="e">
        <f ca="1">0.001*INDIRECT($B52&amp;"!E6")</f>
        <v>#REF!</v>
      </c>
      <c r="E52" s="226"/>
      <c r="F52" s="95">
        <f>F51</f>
        <v>0</v>
      </c>
      <c r="G52" s="102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29</v>
      </c>
      <c r="D53" s="227" t="e">
        <f ca="1">0.001*INDIRECT($B53&amp;"!E7")</f>
        <v>#REF!</v>
      </c>
      <c r="E53" s="226"/>
      <c r="F53" s="95">
        <f>F52</f>
        <v>0</v>
      </c>
      <c r="G53" s="102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31</v>
      </c>
      <c r="D54" s="227" t="e">
        <f ca="1">0.001*INDIRECT($B54&amp;"!E8")</f>
        <v>#REF!</v>
      </c>
      <c r="E54" s="226"/>
      <c r="F54" s="95">
        <f>F53</f>
        <v>0</v>
      </c>
      <c r="G54" s="102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8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2"/>
      <c r="C59" s="283"/>
      <c r="D59" s="284"/>
      <c r="E59" s="3"/>
      <c r="F59" s="282">
        <f>B59</f>
        <v>0</v>
      </c>
      <c r="G59" s="283"/>
      <c r="H59" s="284"/>
      <c r="I59" s="3"/>
      <c r="J59" s="208"/>
      <c r="L59" s="286">
        <f>F59</f>
        <v>0</v>
      </c>
      <c r="M59" s="283"/>
      <c r="N59" s="284"/>
      <c r="O59" s="183"/>
      <c r="P59" s="208"/>
      <c r="U59" s="204"/>
      <c r="V59" s="204"/>
      <c r="X59" s="281"/>
      <c r="Y59" s="279"/>
      <c r="Z59" s="279"/>
    </row>
    <row r="60" spans="2:28" x14ac:dyDescent="0.25">
      <c r="B60" s="278" t="s">
        <v>20</v>
      </c>
      <c r="C60" s="279"/>
      <c r="D60" s="71" t="s">
        <v>21</v>
      </c>
      <c r="E60" s="226"/>
      <c r="F60" s="278" t="s">
        <v>20</v>
      </c>
      <c r="G60" s="279"/>
      <c r="H60" s="71" t="s">
        <v>21</v>
      </c>
      <c r="I60" s="10"/>
      <c r="J60" s="207" t="s">
        <v>22</v>
      </c>
      <c r="L60" s="287" t="s">
        <v>37</v>
      </c>
      <c r="M60" s="279"/>
      <c r="N60" s="288"/>
      <c r="O60" s="69"/>
      <c r="P60" s="4"/>
      <c r="R60" s="285"/>
      <c r="S60" s="279"/>
      <c r="T60" s="279"/>
      <c r="U60" s="209"/>
      <c r="V60" s="209"/>
      <c r="X60" s="285"/>
      <c r="Y60" s="279"/>
      <c r="Z60" s="279"/>
    </row>
    <row r="61" spans="2:28" x14ac:dyDescent="0.25">
      <c r="B61" s="180" t="s">
        <v>1</v>
      </c>
      <c r="C61" s="102" t="s">
        <v>24</v>
      </c>
      <c r="D61" s="70" t="s">
        <v>25</v>
      </c>
      <c r="E61" s="226"/>
      <c r="F61" s="180" t="s">
        <v>1</v>
      </c>
      <c r="G61" s="102" t="s">
        <v>24</v>
      </c>
      <c r="H61" s="70" t="s">
        <v>25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27</v>
      </c>
      <c r="D62" s="227" t="e">
        <f ca="1">0.001*INDIRECT($B62&amp;"!E5")</f>
        <v>#REF!</v>
      </c>
      <c r="E62" s="226"/>
      <c r="F62" s="95">
        <f>F59</f>
        <v>0</v>
      </c>
      <c r="G62" s="102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28</v>
      </c>
      <c r="D63" s="227" t="e">
        <f ca="1">0.001*INDIRECT($B63&amp;"!E6")</f>
        <v>#REF!</v>
      </c>
      <c r="E63" s="226"/>
      <c r="F63" s="95">
        <f>F62</f>
        <v>0</v>
      </c>
      <c r="G63" s="102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29</v>
      </c>
      <c r="D64" s="227" t="e">
        <f ca="1">0.001*INDIRECT($B64&amp;"!E7")</f>
        <v>#REF!</v>
      </c>
      <c r="E64" s="226"/>
      <c r="F64" s="95">
        <f>F63</f>
        <v>0</v>
      </c>
      <c r="G64" s="102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31</v>
      </c>
      <c r="D65" s="227" t="e">
        <f ca="1">0.001*INDIRECT($B65&amp;"!E8")</f>
        <v>#REF!</v>
      </c>
      <c r="E65" s="226"/>
      <c r="F65" s="95">
        <f>F64</f>
        <v>0</v>
      </c>
      <c r="G65" s="102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8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2"/>
      <c r="C70" s="283"/>
      <c r="D70" s="284"/>
      <c r="E70" s="3"/>
      <c r="F70" s="282">
        <f>B70</f>
        <v>0</v>
      </c>
      <c r="G70" s="283"/>
      <c r="H70" s="284"/>
      <c r="I70" s="3"/>
      <c r="J70" s="208"/>
      <c r="L70" s="286">
        <f>F70</f>
        <v>0</v>
      </c>
      <c r="M70" s="283"/>
      <c r="N70" s="284"/>
      <c r="O70" s="183"/>
      <c r="P70" s="208"/>
      <c r="U70" s="204"/>
      <c r="V70" s="204"/>
      <c r="X70" s="281"/>
      <c r="Y70" s="279"/>
      <c r="Z70" s="279"/>
    </row>
    <row r="71" spans="2:28" x14ac:dyDescent="0.25">
      <c r="B71" s="278" t="s">
        <v>20</v>
      </c>
      <c r="C71" s="279"/>
      <c r="D71" s="71" t="s">
        <v>21</v>
      </c>
      <c r="E71" s="226"/>
      <c r="F71" s="278" t="s">
        <v>20</v>
      </c>
      <c r="G71" s="279"/>
      <c r="H71" s="71" t="s">
        <v>21</v>
      </c>
      <c r="I71" s="10"/>
      <c r="J71" s="207" t="s">
        <v>22</v>
      </c>
      <c r="L71" s="287" t="s">
        <v>37</v>
      </c>
      <c r="M71" s="279"/>
      <c r="N71" s="288"/>
      <c r="O71" s="69"/>
      <c r="P71" s="4"/>
      <c r="R71" s="285"/>
      <c r="S71" s="279"/>
      <c r="T71" s="279"/>
      <c r="U71" s="209"/>
      <c r="V71" s="209"/>
      <c r="X71" s="285"/>
      <c r="Y71" s="279"/>
      <c r="Z71" s="279"/>
    </row>
    <row r="72" spans="2:28" x14ac:dyDescent="0.25">
      <c r="B72" s="180" t="s">
        <v>1</v>
      </c>
      <c r="C72" s="102" t="s">
        <v>24</v>
      </c>
      <c r="D72" s="70" t="s">
        <v>25</v>
      </c>
      <c r="E72" s="226"/>
      <c r="F72" s="180" t="s">
        <v>1</v>
      </c>
      <c r="G72" s="102" t="s">
        <v>24</v>
      </c>
      <c r="H72" s="70" t="s">
        <v>25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27</v>
      </c>
      <c r="D73" s="227" t="e">
        <f ca="1">0.001*INDIRECT($B73&amp;"!E5")</f>
        <v>#REF!</v>
      </c>
      <c r="E73" s="226"/>
      <c r="F73" s="95">
        <f>F70</f>
        <v>0</v>
      </c>
      <c r="G73" s="102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28</v>
      </c>
      <c r="D74" s="227" t="e">
        <f ca="1">0.001*INDIRECT($B74&amp;"!E6")</f>
        <v>#REF!</v>
      </c>
      <c r="E74" s="226"/>
      <c r="F74" s="95">
        <f>F73</f>
        <v>0</v>
      </c>
      <c r="G74" s="102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29</v>
      </c>
      <c r="D75" s="227" t="e">
        <f ca="1">0.001*INDIRECT($B75&amp;"!E7")</f>
        <v>#REF!</v>
      </c>
      <c r="E75" s="226"/>
      <c r="F75" s="95">
        <f>F74</f>
        <v>0</v>
      </c>
      <c r="G75" s="102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31</v>
      </c>
      <c r="D76" s="227" t="e">
        <f ca="1">0.001*INDIRECT($B76&amp;"!E8")</f>
        <v>#REF!</v>
      </c>
      <c r="E76" s="226"/>
      <c r="F76" s="95">
        <f>F75</f>
        <v>0</v>
      </c>
      <c r="G76" s="102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8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2"/>
      <c r="C81" s="283"/>
      <c r="D81" s="284"/>
      <c r="E81" s="3"/>
      <c r="F81" s="282">
        <f>B81</f>
        <v>0</v>
      </c>
      <c r="G81" s="283"/>
      <c r="H81" s="284"/>
      <c r="I81" s="3"/>
      <c r="J81" s="208"/>
      <c r="L81" s="286">
        <f>F81</f>
        <v>0</v>
      </c>
      <c r="M81" s="283"/>
      <c r="N81" s="284"/>
      <c r="O81" s="183"/>
      <c r="P81" s="208"/>
      <c r="U81" s="204"/>
      <c r="V81" s="204"/>
      <c r="X81" s="281"/>
      <c r="Y81" s="279"/>
      <c r="Z81" s="279"/>
    </row>
    <row r="82" spans="2:28" x14ac:dyDescent="0.25">
      <c r="B82" s="278" t="s">
        <v>20</v>
      </c>
      <c r="C82" s="279"/>
      <c r="D82" s="71" t="s">
        <v>21</v>
      </c>
      <c r="E82" s="226"/>
      <c r="F82" s="278" t="s">
        <v>20</v>
      </c>
      <c r="G82" s="279"/>
      <c r="H82" s="71" t="s">
        <v>21</v>
      </c>
      <c r="I82" s="10"/>
      <c r="J82" s="207" t="s">
        <v>22</v>
      </c>
      <c r="L82" s="287" t="s">
        <v>37</v>
      </c>
      <c r="M82" s="279"/>
      <c r="N82" s="288"/>
      <c r="O82" s="69"/>
      <c r="P82" s="4"/>
      <c r="R82" s="285"/>
      <c r="S82" s="279"/>
      <c r="T82" s="279"/>
      <c r="U82" s="209"/>
      <c r="V82" s="209"/>
      <c r="X82" s="285"/>
      <c r="Y82" s="279"/>
      <c r="Z82" s="279"/>
    </row>
    <row r="83" spans="2:28" x14ac:dyDescent="0.25">
      <c r="B83" s="180" t="s">
        <v>1</v>
      </c>
      <c r="C83" s="102" t="s">
        <v>24</v>
      </c>
      <c r="D83" s="70" t="s">
        <v>25</v>
      </c>
      <c r="E83" s="226"/>
      <c r="F83" s="180" t="s">
        <v>1</v>
      </c>
      <c r="G83" s="102" t="s">
        <v>24</v>
      </c>
      <c r="H83" s="70" t="s">
        <v>25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27</v>
      </c>
      <c r="D84" s="227" t="e">
        <f ca="1">0.001*INDIRECT($B84&amp;"!E5")</f>
        <v>#REF!</v>
      </c>
      <c r="E84" s="226"/>
      <c r="F84" s="95">
        <f>F81</f>
        <v>0</v>
      </c>
      <c r="G84" s="102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28</v>
      </c>
      <c r="D85" s="227" t="e">
        <f ca="1">0.001*INDIRECT($B85&amp;"!E6")</f>
        <v>#REF!</v>
      </c>
      <c r="E85" s="226"/>
      <c r="F85" s="95">
        <f>F84</f>
        <v>0</v>
      </c>
      <c r="G85" s="102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29</v>
      </c>
      <c r="D86" s="227" t="e">
        <f ca="1">0.001*INDIRECT($B86&amp;"!E7")</f>
        <v>#REF!</v>
      </c>
      <c r="E86" s="226"/>
      <c r="F86" s="95">
        <f>F85</f>
        <v>0</v>
      </c>
      <c r="G86" s="102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31</v>
      </c>
      <c r="D87" s="227" t="e">
        <f ca="1">0.001*INDIRECT($B87&amp;"!E8")</f>
        <v>#REF!</v>
      </c>
      <c r="E87" s="226"/>
      <c r="F87" s="95">
        <f>F86</f>
        <v>0</v>
      </c>
      <c r="G87" s="102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8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2"/>
      <c r="C92" s="283"/>
      <c r="D92" s="284"/>
      <c r="E92" s="3"/>
      <c r="F92" s="282">
        <f>B92</f>
        <v>0</v>
      </c>
      <c r="G92" s="283"/>
      <c r="H92" s="284"/>
      <c r="I92" s="3"/>
      <c r="J92" s="208"/>
      <c r="L92" s="286">
        <f>F92</f>
        <v>0</v>
      </c>
      <c r="M92" s="283"/>
      <c r="N92" s="284"/>
      <c r="O92" s="183"/>
      <c r="P92" s="208"/>
      <c r="U92" s="204"/>
      <c r="V92" s="204"/>
      <c r="X92" s="281"/>
      <c r="Y92" s="279"/>
      <c r="Z92" s="279"/>
    </row>
    <row r="93" spans="2:28" x14ac:dyDescent="0.25">
      <c r="B93" s="278" t="s">
        <v>20</v>
      </c>
      <c r="C93" s="279"/>
      <c r="D93" s="71" t="s">
        <v>21</v>
      </c>
      <c r="E93" s="226"/>
      <c r="F93" s="278" t="s">
        <v>20</v>
      </c>
      <c r="G93" s="279"/>
      <c r="H93" s="71" t="s">
        <v>21</v>
      </c>
      <c r="I93" s="10"/>
      <c r="J93" s="207" t="s">
        <v>22</v>
      </c>
      <c r="L93" s="287" t="s">
        <v>37</v>
      </c>
      <c r="M93" s="279"/>
      <c r="N93" s="288"/>
      <c r="O93" s="69"/>
      <c r="P93" s="4"/>
      <c r="R93" s="285"/>
      <c r="S93" s="279"/>
      <c r="T93" s="279"/>
      <c r="U93" s="209"/>
      <c r="V93" s="209"/>
      <c r="X93" s="285"/>
      <c r="Y93" s="279"/>
      <c r="Z93" s="279"/>
    </row>
    <row r="94" spans="2:28" x14ac:dyDescent="0.25">
      <c r="B94" s="180" t="s">
        <v>1</v>
      </c>
      <c r="C94" s="102" t="s">
        <v>24</v>
      </c>
      <c r="D94" s="70" t="s">
        <v>25</v>
      </c>
      <c r="E94" s="226"/>
      <c r="F94" s="180" t="s">
        <v>1</v>
      </c>
      <c r="G94" s="102" t="s">
        <v>24</v>
      </c>
      <c r="H94" s="70" t="s">
        <v>25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27</v>
      </c>
      <c r="D95" s="227" t="e">
        <f ca="1">0.001*INDIRECT($B95&amp;"!E5")</f>
        <v>#REF!</v>
      </c>
      <c r="E95" s="226"/>
      <c r="F95" s="95">
        <f>F92</f>
        <v>0</v>
      </c>
      <c r="G95" s="102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28</v>
      </c>
      <c r="D96" s="227" t="e">
        <f ca="1">0.001*INDIRECT($B96&amp;"!E6")</f>
        <v>#REF!</v>
      </c>
      <c r="E96" s="226"/>
      <c r="F96" s="95">
        <f>F95</f>
        <v>0</v>
      </c>
      <c r="G96" s="102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29</v>
      </c>
      <c r="D97" s="227" t="e">
        <f ca="1">0.001*INDIRECT($B97&amp;"!E7")</f>
        <v>#REF!</v>
      </c>
      <c r="E97" s="226"/>
      <c r="F97" s="95">
        <f>F96</f>
        <v>0</v>
      </c>
      <c r="G97" s="102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31</v>
      </c>
      <c r="D98" s="227" t="e">
        <f ca="1">0.001*INDIRECT($B98&amp;"!E8")</f>
        <v>#REF!</v>
      </c>
      <c r="E98" s="226"/>
      <c r="F98" s="95">
        <f>F97</f>
        <v>0</v>
      </c>
      <c r="G98" s="102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8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2"/>
      <c r="C103" s="283"/>
      <c r="D103" s="284"/>
      <c r="E103" s="3"/>
      <c r="F103" s="282">
        <f>B103</f>
        <v>0</v>
      </c>
      <c r="G103" s="283"/>
      <c r="H103" s="284"/>
      <c r="I103" s="3"/>
      <c r="J103" s="208"/>
      <c r="L103" s="286">
        <f>F103</f>
        <v>0</v>
      </c>
      <c r="M103" s="283"/>
      <c r="N103" s="284"/>
      <c r="O103" s="183"/>
      <c r="P103" s="208"/>
      <c r="U103" s="204"/>
      <c r="V103" s="204"/>
      <c r="X103" s="281"/>
      <c r="Y103" s="279"/>
      <c r="Z103" s="279"/>
    </row>
    <row r="104" spans="2:28" x14ac:dyDescent="0.25">
      <c r="B104" s="278" t="s">
        <v>20</v>
      </c>
      <c r="C104" s="279"/>
      <c r="D104" s="71" t="s">
        <v>21</v>
      </c>
      <c r="E104" s="226"/>
      <c r="F104" s="278" t="s">
        <v>20</v>
      </c>
      <c r="G104" s="279"/>
      <c r="H104" s="71" t="s">
        <v>21</v>
      </c>
      <c r="I104" s="10"/>
      <c r="J104" s="207" t="s">
        <v>22</v>
      </c>
      <c r="L104" s="287" t="s">
        <v>37</v>
      </c>
      <c r="M104" s="279"/>
      <c r="N104" s="288"/>
      <c r="O104" s="69"/>
      <c r="P104" s="4"/>
      <c r="R104" s="285"/>
      <c r="S104" s="279"/>
      <c r="T104" s="279"/>
      <c r="U104" s="209"/>
      <c r="V104" s="209"/>
      <c r="X104" s="285"/>
      <c r="Y104" s="279"/>
      <c r="Z104" s="279"/>
    </row>
    <row r="105" spans="2:28" x14ac:dyDescent="0.25">
      <c r="B105" s="180" t="s">
        <v>1</v>
      </c>
      <c r="C105" s="102" t="s">
        <v>24</v>
      </c>
      <c r="D105" s="70" t="s">
        <v>25</v>
      </c>
      <c r="E105" s="226"/>
      <c r="F105" s="180" t="s">
        <v>1</v>
      </c>
      <c r="G105" s="102" t="s">
        <v>24</v>
      </c>
      <c r="H105" s="70" t="s">
        <v>25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27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28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29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31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8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zoomScaleNormal="100" workbookViewId="0">
      <selection activeCell="G9" sqref="G9"/>
    </sheetView>
  </sheetViews>
  <sheetFormatPr defaultColWidth="9" defaultRowHeight="15.6" x14ac:dyDescent="0.25"/>
  <cols>
    <col min="1" max="1" width="1.59765625" style="205" bestFit="1" customWidth="1"/>
    <col min="2" max="2" width="6.59765625" style="205" customWidth="1"/>
    <col min="3" max="3" width="9.3984375" style="205" customWidth="1"/>
    <col min="4" max="4" width="14.3984375" style="205" customWidth="1"/>
    <col min="5" max="5" width="4.59765625" style="205" customWidth="1"/>
    <col min="6" max="6" width="6.59765625" style="205" customWidth="1"/>
    <col min="7" max="7" width="9.3984375" style="205" customWidth="1"/>
    <col min="8" max="8" width="14.3984375" style="205" customWidth="1"/>
    <col min="9" max="9" width="4.59765625" style="205" customWidth="1"/>
    <col min="10" max="10" width="9.59765625" style="205" customWidth="1"/>
    <col min="11" max="11" width="4.59765625" style="205" customWidth="1"/>
    <col min="12" max="12" width="43.09765625" style="205" customWidth="1"/>
    <col min="13" max="13" width="16.09765625" style="205" bestFit="1" customWidth="1"/>
    <col min="14" max="14" width="7.59765625" style="205" bestFit="1" customWidth="1"/>
    <col min="15" max="15" width="4.59765625" style="205" customWidth="1"/>
    <col min="16" max="16" width="9.59765625" style="205" bestFit="1" customWidth="1"/>
    <col min="17" max="17" width="4.59765625" style="205" customWidth="1"/>
    <col min="18" max="18" width="84.59765625" style="205" customWidth="1"/>
    <col min="19" max="19" width="6.5" style="205" bestFit="1" customWidth="1"/>
    <col min="20" max="20" width="9.59765625" style="205" bestFit="1" customWidth="1"/>
    <col min="21" max="21" width="1.59765625" style="205" bestFit="1" customWidth="1"/>
    <col min="22" max="22" width="7.59765625" style="205" bestFit="1" customWidth="1"/>
    <col min="23" max="23" width="1.59765625" style="205" bestFit="1" customWidth="1"/>
    <col min="24" max="24" width="14.3984375" style="205" bestFit="1" customWidth="1"/>
    <col min="25" max="25" width="16.09765625" style="205" bestFit="1" customWidth="1"/>
    <col min="26" max="26" width="5.09765625" style="205" bestFit="1" customWidth="1"/>
    <col min="27" max="27" width="1.59765625" style="205" bestFit="1" customWidth="1"/>
    <col min="28" max="28" width="8.09765625" style="204" bestFit="1" customWidth="1"/>
    <col min="29" max="29" width="9" style="205" customWidth="1"/>
    <col min="30" max="30" width="1.3984375" style="205" bestFit="1" customWidth="1"/>
    <col min="31" max="31" width="80.59765625" style="205" customWidth="1"/>
    <col min="32" max="32" width="1.3984375" style="205" bestFit="1" customWidth="1"/>
    <col min="33" max="38" width="9" style="205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0" t="str">
        <f>'Summary (auto)'!C3</f>
        <v>MPEG-151</v>
      </c>
      <c r="C2" s="279"/>
      <c r="D2" s="279"/>
      <c r="E2" s="206"/>
      <c r="F2" s="280" t="str">
        <f>'Summary (auto)'!C4</f>
        <v>my</v>
      </c>
      <c r="G2" s="279"/>
      <c r="H2" s="279"/>
      <c r="I2" s="204"/>
      <c r="J2" s="209" t="s">
        <v>15</v>
      </c>
      <c r="K2" s="204"/>
      <c r="L2" s="285" t="s">
        <v>16</v>
      </c>
      <c r="M2" s="279"/>
      <c r="N2" s="279"/>
      <c r="O2" s="204"/>
      <c r="P2" s="209" t="s">
        <v>17</v>
      </c>
      <c r="U2" s="209"/>
      <c r="V2" s="209"/>
    </row>
    <row r="3" spans="1:32" ht="16.5" customHeight="1" thickBot="1" x14ac:dyDescent="0.3">
      <c r="A3" s="178" t="s">
        <v>0</v>
      </c>
      <c r="B3" s="206"/>
      <c r="C3" s="206"/>
      <c r="D3" s="206"/>
      <c r="E3" s="206"/>
      <c r="F3" s="206"/>
      <c r="G3" s="206"/>
      <c r="H3" s="206"/>
      <c r="I3" s="204"/>
      <c r="J3" s="204"/>
      <c r="K3" s="179" t="s">
        <v>0</v>
      </c>
      <c r="L3" s="87" t="s">
        <v>38</v>
      </c>
      <c r="M3" s="87" t="s">
        <v>39</v>
      </c>
      <c r="N3" s="204"/>
      <c r="O3" s="179" t="s">
        <v>0</v>
      </c>
      <c r="P3" s="204"/>
      <c r="U3" s="178" t="s">
        <v>0</v>
      </c>
      <c r="W3" s="178" t="s">
        <v>0</v>
      </c>
    </row>
    <row r="4" spans="1:32" x14ac:dyDescent="0.25">
      <c r="B4" s="282" t="s">
        <v>10</v>
      </c>
      <c r="C4" s="283"/>
      <c r="D4" s="284"/>
      <c r="E4" s="3"/>
      <c r="F4" s="282" t="str">
        <f>B4</f>
        <v>breakfast_track</v>
      </c>
      <c r="G4" s="283"/>
      <c r="H4" s="284"/>
      <c r="I4" s="3"/>
      <c r="J4" s="208"/>
      <c r="L4" s="286" t="str">
        <f>F4</f>
        <v>breakfast_track</v>
      </c>
      <c r="M4" s="283"/>
      <c r="N4" s="284"/>
      <c r="O4" s="183"/>
      <c r="P4" s="208"/>
      <c r="Q4" s="183"/>
      <c r="R4" s="183"/>
      <c r="S4" s="183"/>
      <c r="T4" s="183"/>
      <c r="U4" s="204"/>
      <c r="V4" s="204"/>
      <c r="X4" s="281"/>
      <c r="Y4" s="279"/>
      <c r="Z4" s="279"/>
    </row>
    <row r="5" spans="1:32" x14ac:dyDescent="0.25">
      <c r="B5" s="278" t="s">
        <v>20</v>
      </c>
      <c r="C5" s="279"/>
      <c r="D5" s="71" t="s">
        <v>21</v>
      </c>
      <c r="E5" s="226"/>
      <c r="F5" s="278" t="s">
        <v>20</v>
      </c>
      <c r="G5" s="279"/>
      <c r="H5" s="71" t="s">
        <v>21</v>
      </c>
      <c r="I5" s="10"/>
      <c r="J5" s="207" t="s">
        <v>22</v>
      </c>
      <c r="L5" s="287" t="s">
        <v>40</v>
      </c>
      <c r="M5" s="279"/>
      <c r="N5" s="288"/>
      <c r="O5" s="69"/>
      <c r="P5" s="4"/>
      <c r="Q5" s="69"/>
      <c r="R5" s="285"/>
      <c r="S5" s="279"/>
      <c r="T5" s="279"/>
      <c r="U5" s="209"/>
      <c r="V5" s="209"/>
      <c r="X5" s="285"/>
      <c r="Y5" s="279"/>
      <c r="Z5" s="279"/>
    </row>
    <row r="6" spans="1:32" x14ac:dyDescent="0.25">
      <c r="B6" s="180" t="s">
        <v>1</v>
      </c>
      <c r="C6" s="102" t="s">
        <v>24</v>
      </c>
      <c r="D6" s="70" t="s">
        <v>25</v>
      </c>
      <c r="E6" s="226"/>
      <c r="F6" s="180" t="s">
        <v>1</v>
      </c>
      <c r="G6" s="102" t="s">
        <v>24</v>
      </c>
      <c r="H6" s="70" t="s">
        <v>25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27</v>
      </c>
      <c r="D7" s="227">
        <f ca="1">0.001*INDIRECT($B7&amp;"!E5")</f>
        <v>1107.962968</v>
      </c>
      <c r="E7" s="226"/>
      <c r="F7" s="95" t="str">
        <f>F4</f>
        <v>breakfast_track</v>
      </c>
      <c r="G7" s="102" t="s">
        <v>27</v>
      </c>
      <c r="H7" s="227">
        <f ca="1">0.001*INDIRECT($B7&amp;"!W5")</f>
        <v>0</v>
      </c>
      <c r="I7" s="10"/>
      <c r="J7" s="228">
        <f ca="1">H7/D7-1</f>
        <v>-1</v>
      </c>
      <c r="L7" s="76">
        <f ca="1">INDIRECT($B7&amp;"!"&amp;L$3&amp;"5")</f>
        <v>0.9567298571777777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28</v>
      </c>
      <c r="D8" s="227">
        <f ca="1">0.001*INDIRECT($B8&amp;"!E6")</f>
        <v>1592.8603360000002</v>
      </c>
      <c r="E8" s="226"/>
      <c r="F8" s="95" t="str">
        <f>F7</f>
        <v>breakfast_track</v>
      </c>
      <c r="G8" s="102" t="s">
        <v>28</v>
      </c>
      <c r="H8" s="227">
        <f ca="1">0.001*INDIRECT($B8&amp;"!W6")</f>
        <v>0</v>
      </c>
      <c r="I8" s="10"/>
      <c r="J8" s="228">
        <f ca="1">H8/D8-1</f>
        <v>-1</v>
      </c>
      <c r="L8" s="76">
        <f ca="1">INDIRECT($B8&amp;"!"&amp;L$3&amp;"6")</f>
        <v>0.97480343617777776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29</v>
      </c>
      <c r="D9" s="227">
        <f ca="1">0.001*INDIRECT($B9&amp;"!E7")</f>
        <v>2297.023952</v>
      </c>
      <c r="E9" s="226"/>
      <c r="F9" s="95" t="str">
        <f>F8</f>
        <v>breakfast_track</v>
      </c>
      <c r="G9" s="102" t="s">
        <v>29</v>
      </c>
      <c r="H9" s="227">
        <f ca="1">0.001*INDIRECT($B9&amp;"!W7")</f>
        <v>0</v>
      </c>
      <c r="I9" s="10"/>
      <c r="J9" s="228">
        <f ca="1">H9/D9-1</f>
        <v>-1</v>
      </c>
      <c r="L9" s="76">
        <f ca="1">INDIRECT($B9&amp;"!"&amp;L$3&amp;"7")</f>
        <v>0.99082304393333342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31</v>
      </c>
      <c r="D10" s="227">
        <f ca="1">0.001*INDIRECT($B10&amp;"!E8")</f>
        <v>3257.6030800000003</v>
      </c>
      <c r="E10" s="226"/>
      <c r="F10" s="95" t="str">
        <f>F9</f>
        <v>breakfast_track</v>
      </c>
      <c r="G10" s="102" t="s">
        <v>31</v>
      </c>
      <c r="H10" s="227">
        <f ca="1">0.001*INDIRECT($B10&amp;"!W8")</f>
        <v>0</v>
      </c>
      <c r="I10" s="10"/>
      <c r="J10" s="228">
        <f ca="1">H10/D10-1</f>
        <v>-1</v>
      </c>
      <c r="L10" s="76">
        <f ca="1">INDIRECT($B10&amp;"!"&amp;L$3&amp;"8")</f>
        <v>0.9953518116444442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8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3257.6030800000003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2" t="s">
        <v>11</v>
      </c>
      <c r="C15" s="283"/>
      <c r="D15" s="284"/>
      <c r="E15" s="3"/>
      <c r="F15" s="282" t="str">
        <f>B15</f>
        <v>breakfast_semitrack</v>
      </c>
      <c r="G15" s="283"/>
      <c r="H15" s="284"/>
      <c r="I15" s="3"/>
      <c r="J15" s="208"/>
      <c r="L15" s="286" t="str">
        <f>F15</f>
        <v>breakfast_semitrack</v>
      </c>
      <c r="M15" s="283"/>
      <c r="N15" s="284"/>
      <c r="O15" s="183"/>
      <c r="P15" s="208"/>
      <c r="Q15" s="183"/>
      <c r="R15" s="183"/>
      <c r="S15" s="183"/>
      <c r="T15" s="183"/>
      <c r="U15" s="204"/>
      <c r="V15" s="204"/>
      <c r="X15" s="281"/>
      <c r="Y15" s="279"/>
      <c r="Z15" s="279"/>
    </row>
    <row r="16" spans="1:32" x14ac:dyDescent="0.25">
      <c r="B16" s="278" t="s">
        <v>20</v>
      </c>
      <c r="C16" s="279"/>
      <c r="D16" s="71" t="s">
        <v>21</v>
      </c>
      <c r="E16" s="226"/>
      <c r="F16" s="278" t="s">
        <v>20</v>
      </c>
      <c r="G16" s="279"/>
      <c r="H16" s="71" t="s">
        <v>21</v>
      </c>
      <c r="I16" s="10"/>
      <c r="J16" s="207" t="s">
        <v>22</v>
      </c>
      <c r="L16" s="287" t="s">
        <v>40</v>
      </c>
      <c r="M16" s="279"/>
      <c r="N16" s="288"/>
      <c r="O16" s="69"/>
      <c r="P16" s="4"/>
      <c r="Q16" s="69"/>
      <c r="R16" s="285"/>
      <c r="S16" s="279"/>
      <c r="T16" s="279"/>
      <c r="U16" s="209"/>
      <c r="V16" s="209"/>
      <c r="X16" s="285"/>
      <c r="Y16" s="279"/>
      <c r="Z16" s="279"/>
    </row>
    <row r="17" spans="2:28" x14ac:dyDescent="0.25">
      <c r="B17" s="180" t="s">
        <v>1</v>
      </c>
      <c r="C17" s="102" t="s">
        <v>24</v>
      </c>
      <c r="D17" s="70" t="s">
        <v>25</v>
      </c>
      <c r="E17" s="226"/>
      <c r="F17" s="180" t="s">
        <v>1</v>
      </c>
      <c r="G17" s="102" t="s">
        <v>24</v>
      </c>
      <c r="H17" s="70" t="s">
        <v>25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27</v>
      </c>
      <c r="D18" s="227">
        <f ca="1">0.001*INDIRECT($B18&amp;"!E5")</f>
        <v>1133.9081600000002</v>
      </c>
      <c r="E18" s="226"/>
      <c r="F18" s="95" t="str">
        <f>F15</f>
        <v>breakfast_semitrack</v>
      </c>
      <c r="G18" s="102" t="s">
        <v>27</v>
      </c>
      <c r="H18" s="227">
        <f ca="1">0.001*INDIRECT($B18&amp;"!W5")</f>
        <v>0</v>
      </c>
      <c r="I18" s="10"/>
      <c r="J18" s="228">
        <f ca="1">H18/D18-1</f>
        <v>-1</v>
      </c>
      <c r="L18" s="76">
        <f ca="1">INDIRECT($B18&amp;"!"&amp;L$3&amp;"5")</f>
        <v>0.95616100659999992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28</v>
      </c>
      <c r="D19" s="227">
        <f ca="1">0.001*INDIRECT($B19&amp;"!E6")</f>
        <v>1634.1013279999997</v>
      </c>
      <c r="E19" s="226"/>
      <c r="F19" s="95" t="str">
        <f>F18</f>
        <v>breakfast_semitrack</v>
      </c>
      <c r="G19" s="102" t="s">
        <v>28</v>
      </c>
      <c r="H19" s="227">
        <f ca="1">0.001*INDIRECT($B19&amp;"!W6")</f>
        <v>0</v>
      </c>
      <c r="I19" s="10"/>
      <c r="J19" s="228">
        <f ca="1">H19/D19-1</f>
        <v>-1</v>
      </c>
      <c r="L19" s="76">
        <f ca="1">INDIRECT($B19&amp;"!"&amp;L$3&amp;"6")</f>
        <v>0.97464572662222237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29</v>
      </c>
      <c r="D20" s="227">
        <f ca="1">0.001*INDIRECT($B20&amp;"!E7")</f>
        <v>2362.7906160000007</v>
      </c>
      <c r="E20" s="226"/>
      <c r="F20" s="95" t="str">
        <f>F19</f>
        <v>breakfast_semitrack</v>
      </c>
      <c r="G20" s="102" t="s">
        <v>29</v>
      </c>
      <c r="H20" s="227">
        <f ca="1">0.001*INDIRECT($B20&amp;"!W7")</f>
        <v>0</v>
      </c>
      <c r="I20" s="10"/>
      <c r="J20" s="228">
        <f ca="1">H20/D20-1</f>
        <v>-1</v>
      </c>
      <c r="L20" s="76">
        <f ca="1">INDIRECT($B20&amp;"!"&amp;L$3&amp;"7")</f>
        <v>0.99054385355555552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31</v>
      </c>
      <c r="D21" s="227">
        <f ca="1">0.001*INDIRECT($B21&amp;"!E8")</f>
        <v>3353.4556240000002</v>
      </c>
      <c r="E21" s="226"/>
      <c r="F21" s="95" t="str">
        <f>F20</f>
        <v>breakfast_semitrack</v>
      </c>
      <c r="G21" s="102" t="s">
        <v>31</v>
      </c>
      <c r="H21" s="227">
        <f ca="1">0.001*INDIRECT($B21&amp;"!W8")</f>
        <v>0</v>
      </c>
      <c r="I21" s="10"/>
      <c r="J21" s="228">
        <f ca="1">H21/D21-1</f>
        <v>-1</v>
      </c>
      <c r="L21" s="76">
        <f ca="1">INDIRECT($B21&amp;"!"&amp;L$3&amp;"8")</f>
        <v>0.99516165544444435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8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3353.4556240000002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2" t="s">
        <v>12</v>
      </c>
      <c r="C26" s="283"/>
      <c r="D26" s="284"/>
      <c r="E26" s="3"/>
      <c r="F26" s="282" t="str">
        <f>B26</f>
        <v>cinema_track</v>
      </c>
      <c r="G26" s="283"/>
      <c r="H26" s="284"/>
      <c r="I26" s="3"/>
      <c r="J26" s="208"/>
      <c r="L26" s="286" t="str">
        <f>F26</f>
        <v>cinema_track</v>
      </c>
      <c r="M26" s="283"/>
      <c r="N26" s="284"/>
      <c r="O26" s="183"/>
      <c r="P26" s="208"/>
      <c r="U26" s="204"/>
      <c r="V26" s="204"/>
      <c r="X26" s="281"/>
      <c r="Y26" s="279"/>
      <c r="Z26" s="279"/>
    </row>
    <row r="27" spans="2:28" x14ac:dyDescent="0.25">
      <c r="B27" s="278" t="s">
        <v>20</v>
      </c>
      <c r="C27" s="279"/>
      <c r="D27" s="71" t="s">
        <v>21</v>
      </c>
      <c r="E27" s="226"/>
      <c r="F27" s="278" t="s">
        <v>20</v>
      </c>
      <c r="G27" s="279"/>
      <c r="H27" s="71" t="s">
        <v>21</v>
      </c>
      <c r="I27" s="10"/>
      <c r="J27" s="207" t="s">
        <v>22</v>
      </c>
      <c r="L27" s="287" t="s">
        <v>40</v>
      </c>
      <c r="M27" s="279"/>
      <c r="N27" s="288"/>
      <c r="O27" s="69"/>
      <c r="P27" s="4"/>
      <c r="R27" s="285"/>
      <c r="S27" s="279"/>
      <c r="T27" s="279"/>
      <c r="U27" s="209"/>
      <c r="V27" s="209"/>
      <c r="X27" s="285"/>
      <c r="Y27" s="279"/>
      <c r="Z27" s="279"/>
    </row>
    <row r="28" spans="2:28" x14ac:dyDescent="0.25">
      <c r="B28" s="180" t="s">
        <v>1</v>
      </c>
      <c r="C28" s="102" t="s">
        <v>24</v>
      </c>
      <c r="D28" s="70" t="s">
        <v>25</v>
      </c>
      <c r="E28" s="226"/>
      <c r="F28" s="180" t="s">
        <v>1</v>
      </c>
      <c r="G28" s="102" t="s">
        <v>24</v>
      </c>
      <c r="H28" s="70" t="s">
        <v>25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27</v>
      </c>
      <c r="D29" s="227">
        <f ca="1">0.001*INDIRECT($B29&amp;"!E5")</f>
        <v>821.71339999999998</v>
      </c>
      <c r="E29" s="226"/>
      <c r="F29" s="95" t="str">
        <f>F26</f>
        <v>cinema_track</v>
      </c>
      <c r="G29" s="102" t="s">
        <v>27</v>
      </c>
      <c r="H29" s="227">
        <f ca="1">0.001*INDIRECT($B29&amp;"!W5")</f>
        <v>0</v>
      </c>
      <c r="I29" s="10"/>
      <c r="J29" s="228">
        <f ca="1">H29/D29-1</f>
        <v>-1</v>
      </c>
      <c r="L29" s="76">
        <f ca="1">INDIRECT($B29&amp;"!"&amp;L$3&amp;"5")</f>
        <v>0.97362388774603181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28</v>
      </c>
      <c r="D30" s="227">
        <f ca="1">0.001*INDIRECT($B30&amp;"!E6")</f>
        <v>1189.1244799999999</v>
      </c>
      <c r="E30" s="226"/>
      <c r="F30" s="95" t="str">
        <f>F29</f>
        <v>cinema_track</v>
      </c>
      <c r="G30" s="102" t="s">
        <v>28</v>
      </c>
      <c r="H30" s="227">
        <f ca="1">0.001*INDIRECT($B30&amp;"!W6")</f>
        <v>0</v>
      </c>
      <c r="I30" s="10"/>
      <c r="J30" s="228">
        <f ca="1">H30/D30-1</f>
        <v>-1</v>
      </c>
      <c r="L30" s="76">
        <f ca="1">INDIRECT($B30&amp;"!"&amp;L$3&amp;"6")</f>
        <v>0.98443768150793631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29</v>
      </c>
      <c r="D31" s="227">
        <f ca="1">0.001*INDIRECT($B31&amp;"!E7")</f>
        <v>1782.1216480000001</v>
      </c>
      <c r="E31" s="226"/>
      <c r="F31" s="95" t="str">
        <f>F30</f>
        <v>cinema_track</v>
      </c>
      <c r="G31" s="102" t="s">
        <v>29</v>
      </c>
      <c r="H31" s="227">
        <f ca="1">0.001*INDIRECT($B31&amp;"!W7")</f>
        <v>0</v>
      </c>
      <c r="I31" s="10"/>
      <c r="J31" s="228">
        <f ca="1">H31/D31-1</f>
        <v>-1</v>
      </c>
      <c r="L31" s="76">
        <f ca="1">INDIRECT($B31&amp;"!"&amp;L$3&amp;"7")</f>
        <v>0.99231632271428571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31</v>
      </c>
      <c r="D32" s="227">
        <f ca="1">0.001*INDIRECT($B32&amp;"!E8")</f>
        <v>2601.3312159999996</v>
      </c>
      <c r="E32" s="226"/>
      <c r="F32" s="95" t="str">
        <f>F31</f>
        <v>cinema_track</v>
      </c>
      <c r="G32" s="102" t="s">
        <v>31</v>
      </c>
      <c r="H32" s="227">
        <f ca="1">0.001*INDIRECT($B32&amp;"!W8")</f>
        <v>0</v>
      </c>
      <c r="I32" s="10"/>
      <c r="J32" s="228">
        <f ca="1">H32/D32-1</f>
        <v>-1</v>
      </c>
      <c r="L32" s="76">
        <f ca="1">INDIRECT($B32&amp;"!"&amp;L$3&amp;"8")</f>
        <v>0.9959687949999998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8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2601.3312159999996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2" t="s">
        <v>13</v>
      </c>
      <c r="C37" s="283"/>
      <c r="D37" s="284"/>
      <c r="E37" s="3"/>
      <c r="F37" s="282" t="str">
        <f>B37</f>
        <v>cinema_semitrack</v>
      </c>
      <c r="G37" s="283"/>
      <c r="H37" s="284"/>
      <c r="I37" s="3"/>
      <c r="J37" s="208"/>
      <c r="L37" s="286" t="str">
        <f>F37</f>
        <v>cinema_semitrack</v>
      </c>
      <c r="M37" s="283"/>
      <c r="N37" s="284"/>
      <c r="O37" s="183"/>
      <c r="P37" s="208"/>
      <c r="U37" s="204"/>
      <c r="V37" s="204"/>
      <c r="X37" s="281"/>
      <c r="Y37" s="279"/>
      <c r="Z37" s="279"/>
    </row>
    <row r="38" spans="2:28" x14ac:dyDescent="0.25">
      <c r="B38" s="278" t="s">
        <v>20</v>
      </c>
      <c r="C38" s="279"/>
      <c r="D38" s="71" t="s">
        <v>21</v>
      </c>
      <c r="E38" s="226"/>
      <c r="F38" s="278" t="s">
        <v>20</v>
      </c>
      <c r="G38" s="279"/>
      <c r="H38" s="71" t="s">
        <v>21</v>
      </c>
      <c r="I38" s="10"/>
      <c r="J38" s="207" t="s">
        <v>22</v>
      </c>
      <c r="L38" s="287" t="s">
        <v>40</v>
      </c>
      <c r="M38" s="279"/>
      <c r="N38" s="288"/>
      <c r="O38" s="69"/>
      <c r="P38" s="4"/>
      <c r="R38" s="285"/>
      <c r="S38" s="279"/>
      <c r="T38" s="279"/>
      <c r="U38" s="209"/>
      <c r="V38" s="209"/>
      <c r="X38" s="285"/>
      <c r="Y38" s="279"/>
      <c r="Z38" s="279"/>
    </row>
    <row r="39" spans="2:28" x14ac:dyDescent="0.25">
      <c r="B39" s="180" t="s">
        <v>1</v>
      </c>
      <c r="C39" s="102" t="s">
        <v>24</v>
      </c>
      <c r="D39" s="70" t="s">
        <v>25</v>
      </c>
      <c r="E39" s="226"/>
      <c r="F39" s="180" t="s">
        <v>1</v>
      </c>
      <c r="G39" s="102" t="s">
        <v>24</v>
      </c>
      <c r="H39" s="70" t="s">
        <v>25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27</v>
      </c>
      <c r="D40" s="227">
        <f ca="1">0.001*INDIRECT($B40&amp;"!E5")</f>
        <v>845.74751200000003</v>
      </c>
      <c r="E40" s="226"/>
      <c r="F40" s="95" t="str">
        <f>F37</f>
        <v>cinema_semitrack</v>
      </c>
      <c r="G40" s="102" t="s">
        <v>27</v>
      </c>
      <c r="H40" s="227">
        <f ca="1">0.001*INDIRECT($B40&amp;"!W5")</f>
        <v>0</v>
      </c>
      <c r="I40" s="10"/>
      <c r="J40" s="228">
        <f ca="1">H40/D40-1</f>
        <v>-1</v>
      </c>
      <c r="L40" s="76">
        <f ca="1">INDIRECT($B40&amp;"!"&amp;L$3&amp;"5")</f>
        <v>0.97295868495238103</v>
      </c>
      <c r="M40" s="77" t="e">
        <f ca="1">INDIRECT($B40&amp;"!"&amp;M$3&amp;"5")</f>
        <v>#DIV/0!</v>
      </c>
      <c r="N40" s="78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28</v>
      </c>
      <c r="D41" s="227">
        <f ca="1">0.001*INDIRECT($B41&amp;"!E6")</f>
        <v>1228.4774640000003</v>
      </c>
      <c r="E41" s="226"/>
      <c r="F41" s="95" t="str">
        <f>F40</f>
        <v>cinema_semitrack</v>
      </c>
      <c r="G41" s="102" t="s">
        <v>28</v>
      </c>
      <c r="H41" s="227">
        <f ca="1">0.001*INDIRECT($B41&amp;"!W6")</f>
        <v>0</v>
      </c>
      <c r="I41" s="10"/>
      <c r="J41" s="228">
        <f ca="1">H41/D41-1</f>
        <v>-1</v>
      </c>
      <c r="L41" s="76">
        <f ca="1">INDIRECT($B41&amp;"!"&amp;L$3&amp;"6")</f>
        <v>0.98406331850793616</v>
      </c>
      <c r="M41" s="77" t="e">
        <f ca="1">INDIRECT($B41&amp;"!"&amp;M$3&amp;"6")</f>
        <v>#DIV/0!</v>
      </c>
      <c r="N41" s="78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29</v>
      </c>
      <c r="D42" s="227">
        <f ca="1">0.001*INDIRECT($B42&amp;"!E7")</f>
        <v>1847.8872159999999</v>
      </c>
      <c r="E42" s="226"/>
      <c r="F42" s="95" t="str">
        <f>F41</f>
        <v>cinema_semitrack</v>
      </c>
      <c r="G42" s="102" t="s">
        <v>29</v>
      </c>
      <c r="H42" s="227">
        <f ca="1">0.001*INDIRECT($B42&amp;"!W7")</f>
        <v>0</v>
      </c>
      <c r="I42" s="10"/>
      <c r="J42" s="228">
        <f ca="1">H42/D42-1</f>
        <v>-1</v>
      </c>
      <c r="L42" s="76">
        <f ca="1">INDIRECT($B42&amp;"!"&amp;L$3&amp;"7")</f>
        <v>0.99208217306349189</v>
      </c>
      <c r="M42" s="77" t="e">
        <f ca="1">INDIRECT($B42&amp;"!"&amp;M$3&amp;"7")</f>
        <v>#DIV/0!</v>
      </c>
      <c r="N42" s="78" t="e">
        <f ca="1">M42-L42</f>
        <v>#DIV/0!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31</v>
      </c>
      <c r="D43" s="227">
        <f ca="1">0.001*INDIRECT($B43&amp;"!E8")</f>
        <v>2700.5942639999998</v>
      </c>
      <c r="E43" s="226"/>
      <c r="F43" s="95" t="str">
        <f>F42</f>
        <v>cinema_semitrack</v>
      </c>
      <c r="G43" s="102" t="s">
        <v>31</v>
      </c>
      <c r="H43" s="227">
        <f ca="1">0.001*INDIRECT($B43&amp;"!W8")</f>
        <v>0</v>
      </c>
      <c r="I43" s="10"/>
      <c r="J43" s="228">
        <f ca="1">H43/D43-1</f>
        <v>-1</v>
      </c>
      <c r="L43" s="76">
        <f ca="1">INDIRECT($B43&amp;"!"&amp;L$3&amp;"8")</f>
        <v>0.99584707030158726</v>
      </c>
      <c r="M43" s="77" t="e">
        <f ca="1">INDIRECT($B43&amp;"!"&amp;M$3&amp;"8")</f>
        <v>#DIV/0!</v>
      </c>
      <c r="N43" s="78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0</v>
      </c>
      <c r="L45" s="81"/>
      <c r="M45" s="82"/>
      <c r="N45" s="83"/>
      <c r="O45" s="226"/>
      <c r="P45" s="208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2700.5942639999998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2"/>
      <c r="C48" s="283"/>
      <c r="D48" s="284"/>
      <c r="E48" s="3"/>
      <c r="F48" s="282">
        <f>B48</f>
        <v>0</v>
      </c>
      <c r="G48" s="283"/>
      <c r="H48" s="284"/>
      <c r="I48" s="3"/>
      <c r="J48" s="208"/>
      <c r="L48" s="286">
        <f>F48</f>
        <v>0</v>
      </c>
      <c r="M48" s="283"/>
      <c r="N48" s="284"/>
      <c r="O48" s="183"/>
      <c r="P48" s="208"/>
      <c r="U48" s="204"/>
      <c r="V48" s="204"/>
      <c r="X48" s="281"/>
      <c r="Y48" s="279"/>
      <c r="Z48" s="279"/>
    </row>
    <row r="49" spans="2:28" x14ac:dyDescent="0.25">
      <c r="B49" s="278" t="s">
        <v>20</v>
      </c>
      <c r="C49" s="279"/>
      <c r="D49" s="71" t="s">
        <v>21</v>
      </c>
      <c r="E49" s="226"/>
      <c r="F49" s="278" t="s">
        <v>20</v>
      </c>
      <c r="G49" s="279"/>
      <c r="H49" s="71" t="s">
        <v>21</v>
      </c>
      <c r="I49" s="10"/>
      <c r="J49" s="207" t="s">
        <v>22</v>
      </c>
      <c r="L49" s="287" t="s">
        <v>40</v>
      </c>
      <c r="M49" s="279"/>
      <c r="N49" s="288"/>
      <c r="O49" s="69"/>
      <c r="P49" s="4"/>
      <c r="R49" s="285"/>
      <c r="S49" s="279"/>
      <c r="T49" s="279"/>
      <c r="U49" s="209"/>
      <c r="V49" s="209"/>
      <c r="X49" s="285"/>
      <c r="Y49" s="279"/>
      <c r="Z49" s="279"/>
    </row>
    <row r="50" spans="2:28" x14ac:dyDescent="0.25">
      <c r="B50" s="180" t="s">
        <v>1</v>
      </c>
      <c r="C50" s="102" t="s">
        <v>24</v>
      </c>
      <c r="D50" s="70" t="s">
        <v>25</v>
      </c>
      <c r="E50" s="226"/>
      <c r="F50" s="180" t="s">
        <v>1</v>
      </c>
      <c r="G50" s="102" t="s">
        <v>24</v>
      </c>
      <c r="H50" s="70" t="s">
        <v>25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27</v>
      </c>
      <c r="D51" s="227" t="e">
        <f ca="1">0.001*INDIRECT($B51&amp;"!E5")</f>
        <v>#REF!</v>
      </c>
      <c r="E51" s="226"/>
      <c r="F51" s="95">
        <f>F48</f>
        <v>0</v>
      </c>
      <c r="G51" s="102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28</v>
      </c>
      <c r="D52" s="227" t="e">
        <f ca="1">0.001*INDIRECT($B52&amp;"!E6")</f>
        <v>#REF!</v>
      </c>
      <c r="E52" s="226"/>
      <c r="F52" s="95">
        <f>F51</f>
        <v>0</v>
      </c>
      <c r="G52" s="102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29</v>
      </c>
      <c r="D53" s="227" t="e">
        <f ca="1">0.001*INDIRECT($B53&amp;"!E7")</f>
        <v>#REF!</v>
      </c>
      <c r="E53" s="226"/>
      <c r="F53" s="95">
        <f>F52</f>
        <v>0</v>
      </c>
      <c r="G53" s="102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31</v>
      </c>
      <c r="D54" s="227" t="e">
        <f ca="1">0.001*INDIRECT($B54&amp;"!E8")</f>
        <v>#REF!</v>
      </c>
      <c r="E54" s="226"/>
      <c r="F54" s="95">
        <f>F53</f>
        <v>0</v>
      </c>
      <c r="G54" s="102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8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2"/>
      <c r="C59" s="283"/>
      <c r="D59" s="284"/>
      <c r="E59" s="3"/>
      <c r="F59" s="282">
        <f>B59</f>
        <v>0</v>
      </c>
      <c r="G59" s="283"/>
      <c r="H59" s="284"/>
      <c r="I59" s="3"/>
      <c r="J59" s="208"/>
      <c r="L59" s="286">
        <f>F59</f>
        <v>0</v>
      </c>
      <c r="M59" s="283"/>
      <c r="N59" s="284"/>
      <c r="O59" s="183"/>
      <c r="P59" s="208"/>
      <c r="U59" s="204"/>
      <c r="V59" s="204"/>
      <c r="X59" s="281"/>
      <c r="Y59" s="279"/>
      <c r="Z59" s="279"/>
    </row>
    <row r="60" spans="2:28" x14ac:dyDescent="0.25">
      <c r="B60" s="278" t="s">
        <v>20</v>
      </c>
      <c r="C60" s="279"/>
      <c r="D60" s="71" t="s">
        <v>21</v>
      </c>
      <c r="E60" s="226"/>
      <c r="F60" s="278" t="s">
        <v>20</v>
      </c>
      <c r="G60" s="279"/>
      <c r="H60" s="71" t="s">
        <v>21</v>
      </c>
      <c r="I60" s="10"/>
      <c r="J60" s="207" t="s">
        <v>22</v>
      </c>
      <c r="L60" s="287" t="s">
        <v>40</v>
      </c>
      <c r="M60" s="279"/>
      <c r="N60" s="288"/>
      <c r="O60" s="69"/>
      <c r="P60" s="4"/>
      <c r="R60" s="285"/>
      <c r="S60" s="279"/>
      <c r="T60" s="279"/>
      <c r="U60" s="209"/>
      <c r="V60" s="209"/>
      <c r="X60" s="285"/>
      <c r="Y60" s="279"/>
      <c r="Z60" s="279"/>
    </row>
    <row r="61" spans="2:28" x14ac:dyDescent="0.25">
      <c r="B61" s="180" t="s">
        <v>1</v>
      </c>
      <c r="C61" s="102" t="s">
        <v>24</v>
      </c>
      <c r="D61" s="70" t="s">
        <v>25</v>
      </c>
      <c r="E61" s="226"/>
      <c r="F61" s="180" t="s">
        <v>1</v>
      </c>
      <c r="G61" s="102" t="s">
        <v>24</v>
      </c>
      <c r="H61" s="70" t="s">
        <v>25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27</v>
      </c>
      <c r="D62" s="227" t="e">
        <f ca="1">0.001*INDIRECT($B62&amp;"!E5")</f>
        <v>#REF!</v>
      </c>
      <c r="E62" s="226"/>
      <c r="F62" s="95">
        <f>F59</f>
        <v>0</v>
      </c>
      <c r="G62" s="102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28</v>
      </c>
      <c r="D63" s="227" t="e">
        <f ca="1">0.001*INDIRECT($B63&amp;"!E6")</f>
        <v>#REF!</v>
      </c>
      <c r="E63" s="226"/>
      <c r="F63" s="95">
        <f>F62</f>
        <v>0</v>
      </c>
      <c r="G63" s="102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29</v>
      </c>
      <c r="D64" s="227" t="e">
        <f ca="1">0.001*INDIRECT($B64&amp;"!E7")</f>
        <v>#REF!</v>
      </c>
      <c r="E64" s="226"/>
      <c r="F64" s="95">
        <f>F63</f>
        <v>0</v>
      </c>
      <c r="G64" s="102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31</v>
      </c>
      <c r="D65" s="227" t="e">
        <f ca="1">0.001*INDIRECT($B65&amp;"!E8")</f>
        <v>#REF!</v>
      </c>
      <c r="E65" s="226"/>
      <c r="F65" s="95">
        <f>F64</f>
        <v>0</v>
      </c>
      <c r="G65" s="102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8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2"/>
      <c r="C70" s="283"/>
      <c r="D70" s="284"/>
      <c r="E70" s="3"/>
      <c r="F70" s="282">
        <f>B70</f>
        <v>0</v>
      </c>
      <c r="G70" s="283"/>
      <c r="H70" s="284"/>
      <c r="I70" s="3"/>
      <c r="J70" s="208"/>
      <c r="L70" s="286">
        <f>F70</f>
        <v>0</v>
      </c>
      <c r="M70" s="283"/>
      <c r="N70" s="284"/>
      <c r="O70" s="183"/>
      <c r="P70" s="208"/>
      <c r="U70" s="204"/>
      <c r="V70" s="204"/>
      <c r="X70" s="281"/>
      <c r="Y70" s="279"/>
      <c r="Z70" s="279"/>
    </row>
    <row r="71" spans="2:28" x14ac:dyDescent="0.25">
      <c r="B71" s="278" t="s">
        <v>20</v>
      </c>
      <c r="C71" s="279"/>
      <c r="D71" s="71" t="s">
        <v>21</v>
      </c>
      <c r="E71" s="226"/>
      <c r="F71" s="278" t="s">
        <v>20</v>
      </c>
      <c r="G71" s="279"/>
      <c r="H71" s="71" t="s">
        <v>21</v>
      </c>
      <c r="I71" s="10"/>
      <c r="J71" s="207" t="s">
        <v>22</v>
      </c>
      <c r="L71" s="287" t="s">
        <v>40</v>
      </c>
      <c r="M71" s="279"/>
      <c r="N71" s="288"/>
      <c r="O71" s="69"/>
      <c r="P71" s="4"/>
      <c r="R71" s="285"/>
      <c r="S71" s="279"/>
      <c r="T71" s="279"/>
      <c r="U71" s="209"/>
      <c r="V71" s="209"/>
      <c r="X71" s="285"/>
      <c r="Y71" s="279"/>
      <c r="Z71" s="279"/>
    </row>
    <row r="72" spans="2:28" x14ac:dyDescent="0.25">
      <c r="B72" s="180" t="s">
        <v>1</v>
      </c>
      <c r="C72" s="102" t="s">
        <v>24</v>
      </c>
      <c r="D72" s="70" t="s">
        <v>25</v>
      </c>
      <c r="E72" s="226"/>
      <c r="F72" s="180" t="s">
        <v>1</v>
      </c>
      <c r="G72" s="102" t="s">
        <v>24</v>
      </c>
      <c r="H72" s="70" t="s">
        <v>25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27</v>
      </c>
      <c r="D73" s="227" t="e">
        <f ca="1">0.001*INDIRECT($B73&amp;"!E5")</f>
        <v>#REF!</v>
      </c>
      <c r="E73" s="226"/>
      <c r="F73" s="95">
        <f>F70</f>
        <v>0</v>
      </c>
      <c r="G73" s="102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28</v>
      </c>
      <c r="D74" s="227" t="e">
        <f ca="1">0.001*INDIRECT($B74&amp;"!E6")</f>
        <v>#REF!</v>
      </c>
      <c r="E74" s="226"/>
      <c r="F74" s="95">
        <f>F73</f>
        <v>0</v>
      </c>
      <c r="G74" s="102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29</v>
      </c>
      <c r="D75" s="227" t="e">
        <f ca="1">0.001*INDIRECT($B75&amp;"!E7")</f>
        <v>#REF!</v>
      </c>
      <c r="E75" s="226"/>
      <c r="F75" s="95">
        <f>F74</f>
        <v>0</v>
      </c>
      <c r="G75" s="102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31</v>
      </c>
      <c r="D76" s="227" t="e">
        <f ca="1">0.001*INDIRECT($B76&amp;"!E8")</f>
        <v>#REF!</v>
      </c>
      <c r="E76" s="226"/>
      <c r="F76" s="95">
        <f>F75</f>
        <v>0</v>
      </c>
      <c r="G76" s="102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8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2"/>
      <c r="C81" s="283"/>
      <c r="D81" s="284"/>
      <c r="E81" s="3"/>
      <c r="F81" s="282">
        <f>B81</f>
        <v>0</v>
      </c>
      <c r="G81" s="283"/>
      <c r="H81" s="284"/>
      <c r="I81" s="3"/>
      <c r="J81" s="208"/>
      <c r="L81" s="286">
        <f>F81</f>
        <v>0</v>
      </c>
      <c r="M81" s="283"/>
      <c r="N81" s="284"/>
      <c r="O81" s="183"/>
      <c r="P81" s="208"/>
      <c r="U81" s="204"/>
      <c r="V81" s="204"/>
      <c r="X81" s="281"/>
      <c r="Y81" s="279"/>
      <c r="Z81" s="279"/>
    </row>
    <row r="82" spans="2:28" x14ac:dyDescent="0.25">
      <c r="B82" s="278" t="s">
        <v>20</v>
      </c>
      <c r="C82" s="279"/>
      <c r="D82" s="71" t="s">
        <v>21</v>
      </c>
      <c r="E82" s="226"/>
      <c r="F82" s="278" t="s">
        <v>20</v>
      </c>
      <c r="G82" s="279"/>
      <c r="H82" s="71" t="s">
        <v>21</v>
      </c>
      <c r="I82" s="10"/>
      <c r="J82" s="207" t="s">
        <v>22</v>
      </c>
      <c r="L82" s="287" t="s">
        <v>40</v>
      </c>
      <c r="M82" s="279"/>
      <c r="N82" s="288"/>
      <c r="O82" s="69"/>
      <c r="P82" s="4"/>
      <c r="R82" s="285"/>
      <c r="S82" s="279"/>
      <c r="T82" s="279"/>
      <c r="U82" s="209"/>
      <c r="V82" s="209"/>
      <c r="X82" s="285"/>
      <c r="Y82" s="279"/>
      <c r="Z82" s="279"/>
    </row>
    <row r="83" spans="2:28" x14ac:dyDescent="0.25">
      <c r="B83" s="180" t="s">
        <v>1</v>
      </c>
      <c r="C83" s="102" t="s">
        <v>24</v>
      </c>
      <c r="D83" s="70" t="s">
        <v>25</v>
      </c>
      <c r="E83" s="226"/>
      <c r="F83" s="180" t="s">
        <v>1</v>
      </c>
      <c r="G83" s="102" t="s">
        <v>24</v>
      </c>
      <c r="H83" s="70" t="s">
        <v>25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27</v>
      </c>
      <c r="D84" s="227" t="e">
        <f ca="1">0.001*INDIRECT($B84&amp;"!E5")</f>
        <v>#REF!</v>
      </c>
      <c r="E84" s="226"/>
      <c r="F84" s="95">
        <f>F81</f>
        <v>0</v>
      </c>
      <c r="G84" s="102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28</v>
      </c>
      <c r="D85" s="227" t="e">
        <f ca="1">0.001*INDIRECT($B85&amp;"!E6")</f>
        <v>#REF!</v>
      </c>
      <c r="E85" s="226"/>
      <c r="F85" s="95">
        <f>F84</f>
        <v>0</v>
      </c>
      <c r="G85" s="102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29</v>
      </c>
      <c r="D86" s="227" t="e">
        <f ca="1">0.001*INDIRECT($B86&amp;"!E7")</f>
        <v>#REF!</v>
      </c>
      <c r="E86" s="226"/>
      <c r="F86" s="95">
        <f>F85</f>
        <v>0</v>
      </c>
      <c r="G86" s="102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31</v>
      </c>
      <c r="D87" s="227" t="e">
        <f ca="1">0.001*INDIRECT($B87&amp;"!E8")</f>
        <v>#REF!</v>
      </c>
      <c r="E87" s="226"/>
      <c r="F87" s="95">
        <f>F86</f>
        <v>0</v>
      </c>
      <c r="G87" s="102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8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2"/>
      <c r="C92" s="283"/>
      <c r="D92" s="284"/>
      <c r="E92" s="3"/>
      <c r="F92" s="282">
        <f>B92</f>
        <v>0</v>
      </c>
      <c r="G92" s="283"/>
      <c r="H92" s="284"/>
      <c r="I92" s="3"/>
      <c r="J92" s="208"/>
      <c r="L92" s="286">
        <f>F92</f>
        <v>0</v>
      </c>
      <c r="M92" s="283"/>
      <c r="N92" s="284"/>
      <c r="O92" s="183"/>
      <c r="P92" s="208"/>
      <c r="U92" s="204"/>
      <c r="V92" s="204"/>
      <c r="X92" s="281"/>
      <c r="Y92" s="279"/>
      <c r="Z92" s="279"/>
    </row>
    <row r="93" spans="2:28" x14ac:dyDescent="0.25">
      <c r="B93" s="278" t="s">
        <v>20</v>
      </c>
      <c r="C93" s="279"/>
      <c r="D93" s="71" t="s">
        <v>21</v>
      </c>
      <c r="E93" s="226"/>
      <c r="F93" s="278" t="s">
        <v>20</v>
      </c>
      <c r="G93" s="279"/>
      <c r="H93" s="71" t="s">
        <v>21</v>
      </c>
      <c r="I93" s="10"/>
      <c r="J93" s="207" t="s">
        <v>22</v>
      </c>
      <c r="L93" s="287" t="s">
        <v>40</v>
      </c>
      <c r="M93" s="279"/>
      <c r="N93" s="288"/>
      <c r="O93" s="69"/>
      <c r="P93" s="4"/>
      <c r="R93" s="285"/>
      <c r="S93" s="279"/>
      <c r="T93" s="279"/>
      <c r="U93" s="209"/>
      <c r="V93" s="209"/>
      <c r="X93" s="285"/>
      <c r="Y93" s="279"/>
      <c r="Z93" s="279"/>
    </row>
    <row r="94" spans="2:28" x14ac:dyDescent="0.25">
      <c r="B94" s="180" t="s">
        <v>1</v>
      </c>
      <c r="C94" s="102" t="s">
        <v>24</v>
      </c>
      <c r="D94" s="70" t="s">
        <v>25</v>
      </c>
      <c r="E94" s="226"/>
      <c r="F94" s="180" t="s">
        <v>1</v>
      </c>
      <c r="G94" s="102" t="s">
        <v>24</v>
      </c>
      <c r="H94" s="70" t="s">
        <v>25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27</v>
      </c>
      <c r="D95" s="227" t="e">
        <f ca="1">0.001*INDIRECT($B95&amp;"!E5")</f>
        <v>#REF!</v>
      </c>
      <c r="E95" s="226"/>
      <c r="F95" s="95">
        <f>F92</f>
        <v>0</v>
      </c>
      <c r="G95" s="102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28</v>
      </c>
      <c r="D96" s="227" t="e">
        <f ca="1">0.001*INDIRECT($B96&amp;"!E6")</f>
        <v>#REF!</v>
      </c>
      <c r="E96" s="226"/>
      <c r="F96" s="95">
        <f>F95</f>
        <v>0</v>
      </c>
      <c r="G96" s="102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29</v>
      </c>
      <c r="D97" s="227" t="e">
        <f ca="1">0.001*INDIRECT($B97&amp;"!E7")</f>
        <v>#REF!</v>
      </c>
      <c r="E97" s="226"/>
      <c r="F97" s="95">
        <f>F96</f>
        <v>0</v>
      </c>
      <c r="G97" s="102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31</v>
      </c>
      <c r="D98" s="227" t="e">
        <f ca="1">0.001*INDIRECT($B98&amp;"!E8")</f>
        <v>#REF!</v>
      </c>
      <c r="E98" s="226"/>
      <c r="F98" s="95">
        <f>F97</f>
        <v>0</v>
      </c>
      <c r="G98" s="102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8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2"/>
      <c r="C103" s="283"/>
      <c r="D103" s="284"/>
      <c r="E103" s="3"/>
      <c r="F103" s="282">
        <f>B103</f>
        <v>0</v>
      </c>
      <c r="G103" s="283"/>
      <c r="H103" s="284"/>
      <c r="I103" s="3"/>
      <c r="J103" s="208"/>
      <c r="L103" s="286">
        <f>F103</f>
        <v>0</v>
      </c>
      <c r="M103" s="283"/>
      <c r="N103" s="284"/>
      <c r="O103" s="183"/>
      <c r="P103" s="208"/>
      <c r="U103" s="204"/>
      <c r="V103" s="204"/>
      <c r="X103" s="281"/>
      <c r="Y103" s="279"/>
      <c r="Z103" s="279"/>
    </row>
    <row r="104" spans="2:28" x14ac:dyDescent="0.25">
      <c r="B104" s="278" t="s">
        <v>20</v>
      </c>
      <c r="C104" s="279"/>
      <c r="D104" s="71" t="s">
        <v>21</v>
      </c>
      <c r="E104" s="226"/>
      <c r="F104" s="278" t="s">
        <v>20</v>
      </c>
      <c r="G104" s="279"/>
      <c r="H104" s="71" t="s">
        <v>21</v>
      </c>
      <c r="I104" s="10"/>
      <c r="J104" s="207" t="s">
        <v>22</v>
      </c>
      <c r="L104" s="287" t="s">
        <v>40</v>
      </c>
      <c r="M104" s="279"/>
      <c r="N104" s="288"/>
      <c r="O104" s="69"/>
      <c r="P104" s="4"/>
      <c r="R104" s="285"/>
      <c r="S104" s="279"/>
      <c r="T104" s="279"/>
      <c r="U104" s="209"/>
      <c r="V104" s="209"/>
      <c r="X104" s="285"/>
      <c r="Y104" s="279"/>
      <c r="Z104" s="279"/>
    </row>
    <row r="105" spans="2:28" x14ac:dyDescent="0.25">
      <c r="B105" s="180" t="s">
        <v>1</v>
      </c>
      <c r="C105" s="102" t="s">
        <v>24</v>
      </c>
      <c r="D105" s="70" t="s">
        <v>25</v>
      </c>
      <c r="E105" s="226"/>
      <c r="F105" s="180" t="s">
        <v>1</v>
      </c>
      <c r="G105" s="102" t="s">
        <v>24</v>
      </c>
      <c r="H105" s="70" t="s">
        <v>25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27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28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29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31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8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L93:N93"/>
    <mergeCell ref="F16:G16"/>
    <mergeCell ref="R27:T27"/>
    <mergeCell ref="B93:C93"/>
    <mergeCell ref="F2:H2"/>
    <mergeCell ref="B37:D37"/>
    <mergeCell ref="B4:D4"/>
    <mergeCell ref="L37:N37"/>
    <mergeCell ref="F59:H59"/>
    <mergeCell ref="F15:H15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zoomScale="85" zoomScaleNormal="85" workbookViewId="0">
      <selection activeCell="C7" sqref="C7"/>
    </sheetView>
  </sheetViews>
  <sheetFormatPr defaultColWidth="9" defaultRowHeight="15.6" x14ac:dyDescent="0.25"/>
  <cols>
    <col min="1" max="1" width="1.59765625" style="205" bestFit="1" customWidth="1"/>
    <col min="2" max="2" width="25.19921875" style="205" customWidth="1"/>
    <col min="3" max="3" width="17.796875" style="205" customWidth="1"/>
    <col min="4" max="4" width="14.3984375" style="205" customWidth="1"/>
    <col min="5" max="5" width="4.59765625" style="205" customWidth="1"/>
    <col min="6" max="6" width="21.5" style="205" customWidth="1"/>
    <col min="7" max="7" width="19.19921875" style="205" customWidth="1"/>
    <col min="8" max="8" width="14.3984375" style="205" customWidth="1"/>
    <col min="9" max="9" width="4.59765625" style="205" customWidth="1"/>
    <col min="10" max="10" width="9.59765625" style="205" customWidth="1"/>
    <col min="11" max="11" width="4.59765625" style="205" customWidth="1"/>
    <col min="12" max="12" width="14.3984375" style="205" bestFit="1" customWidth="1"/>
    <col min="13" max="13" width="16.09765625" style="205" bestFit="1" customWidth="1"/>
    <col min="14" max="14" width="7.59765625" style="205" bestFit="1" customWidth="1"/>
    <col min="15" max="15" width="4.59765625" style="205" customWidth="1"/>
    <col min="16" max="16" width="9.59765625" style="205" bestFit="1" customWidth="1"/>
    <col min="17" max="17" width="4.59765625" style="205" customWidth="1"/>
    <col min="18" max="18" width="84.59765625" style="205" customWidth="1"/>
    <col min="19" max="19" width="6.5" style="205" bestFit="1" customWidth="1"/>
    <col min="20" max="20" width="9.59765625" style="205" bestFit="1" customWidth="1"/>
    <col min="21" max="21" width="1.59765625" style="205" bestFit="1" customWidth="1"/>
    <col min="22" max="22" width="7.59765625" style="205" bestFit="1" customWidth="1"/>
    <col min="23" max="23" width="1.59765625" style="205" bestFit="1" customWidth="1"/>
    <col min="24" max="24" width="14.3984375" style="205" bestFit="1" customWidth="1"/>
    <col min="25" max="25" width="16.09765625" style="205" bestFit="1" customWidth="1"/>
    <col min="26" max="26" width="5.09765625" style="205" bestFit="1" customWidth="1"/>
    <col min="27" max="27" width="1.59765625" style="205" bestFit="1" customWidth="1"/>
    <col min="28" max="28" width="8.09765625" style="204" bestFit="1" customWidth="1"/>
    <col min="29" max="29" width="9" style="205" customWidth="1"/>
    <col min="30" max="30" width="1.3984375" style="205" bestFit="1" customWidth="1"/>
    <col min="31" max="31" width="80.59765625" style="205" customWidth="1"/>
    <col min="32" max="32" width="1.3984375" style="205" bestFit="1" customWidth="1"/>
    <col min="33" max="39" width="9" style="205" customWidth="1"/>
    <col min="40" max="16384" width="9" style="205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0" t="str">
        <f>'Summary (auto)'!C3</f>
        <v>MPEG-151</v>
      </c>
      <c r="C2" s="279"/>
      <c r="D2" s="279"/>
      <c r="E2" s="206"/>
      <c r="F2" s="280" t="str">
        <f>'Summary (auto)'!C4</f>
        <v>my</v>
      </c>
      <c r="G2" s="279"/>
      <c r="H2" s="279"/>
      <c r="I2" s="204"/>
      <c r="J2" s="209" t="s">
        <v>15</v>
      </c>
      <c r="K2" s="204"/>
      <c r="L2" s="285" t="s">
        <v>16</v>
      </c>
      <c r="M2" s="279"/>
      <c r="N2" s="279"/>
      <c r="O2" s="204"/>
      <c r="P2" s="209" t="s">
        <v>17</v>
      </c>
      <c r="U2" s="209"/>
      <c r="V2" s="209"/>
    </row>
    <row r="3" spans="1:32" ht="16.5" customHeight="1" thickBot="1" x14ac:dyDescent="0.3">
      <c r="A3" s="178" t="s">
        <v>0</v>
      </c>
      <c r="B3" s="206"/>
      <c r="C3" s="206"/>
      <c r="D3" s="206"/>
      <c r="E3" s="206"/>
      <c r="F3" s="206"/>
      <c r="G3" s="206"/>
      <c r="H3" s="206"/>
      <c r="I3" s="204"/>
      <c r="J3" s="204"/>
      <c r="K3" s="179" t="s">
        <v>0</v>
      </c>
      <c r="L3" s="87" t="s">
        <v>41</v>
      </c>
      <c r="M3" s="87" t="s">
        <v>42</v>
      </c>
      <c r="N3" s="204"/>
      <c r="O3" s="179" t="s">
        <v>0</v>
      </c>
      <c r="P3" s="204"/>
      <c r="U3" s="178" t="s">
        <v>0</v>
      </c>
      <c r="W3" s="178" t="s">
        <v>0</v>
      </c>
    </row>
    <row r="4" spans="1:32" x14ac:dyDescent="0.25">
      <c r="B4" s="282" t="s">
        <v>10</v>
      </c>
      <c r="C4" s="283"/>
      <c r="D4" s="284"/>
      <c r="E4" s="3"/>
      <c r="F4" s="282" t="str">
        <f>B4</f>
        <v>breakfast_track</v>
      </c>
      <c r="G4" s="283"/>
      <c r="H4" s="284"/>
      <c r="I4" s="3"/>
      <c r="J4" s="208"/>
      <c r="L4" s="286" t="str">
        <f>F4</f>
        <v>breakfast_track</v>
      </c>
      <c r="M4" s="283"/>
      <c r="N4" s="284"/>
      <c r="O4" s="183"/>
      <c r="P4" s="208"/>
      <c r="Q4" s="183"/>
      <c r="R4" s="183"/>
      <c r="S4" s="183"/>
      <c r="T4" s="183"/>
      <c r="U4" s="204"/>
      <c r="V4" s="204"/>
      <c r="X4" s="281"/>
      <c r="Y4" s="279"/>
      <c r="Z4" s="279"/>
    </row>
    <row r="5" spans="1:32" x14ac:dyDescent="0.25">
      <c r="B5" s="278" t="s">
        <v>20</v>
      </c>
      <c r="C5" s="279"/>
      <c r="D5" s="71" t="s">
        <v>21</v>
      </c>
      <c r="E5" s="226"/>
      <c r="F5" s="278" t="s">
        <v>20</v>
      </c>
      <c r="G5" s="279"/>
      <c r="H5" s="71" t="s">
        <v>21</v>
      </c>
      <c r="I5" s="10"/>
      <c r="J5" s="207" t="s">
        <v>22</v>
      </c>
      <c r="L5" s="287" t="s">
        <v>40</v>
      </c>
      <c r="M5" s="279"/>
      <c r="N5" s="288"/>
      <c r="O5" s="69"/>
      <c r="P5" s="4"/>
      <c r="Q5" s="69"/>
      <c r="R5" s="285"/>
      <c r="S5" s="279"/>
      <c r="T5" s="279"/>
      <c r="U5" s="209"/>
      <c r="V5" s="209"/>
      <c r="X5" s="285"/>
      <c r="Y5" s="279"/>
      <c r="Z5" s="279"/>
    </row>
    <row r="6" spans="1:32" x14ac:dyDescent="0.25">
      <c r="B6" s="180" t="s">
        <v>1</v>
      </c>
      <c r="C6" s="102" t="s">
        <v>24</v>
      </c>
      <c r="D6" s="70" t="s">
        <v>25</v>
      </c>
      <c r="E6" s="226"/>
      <c r="F6" s="180" t="s">
        <v>1</v>
      </c>
      <c r="G6" s="102" t="s">
        <v>24</v>
      </c>
      <c r="H6" s="70" t="s">
        <v>25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27</v>
      </c>
      <c r="D7" s="227">
        <f ca="1">0.001*INDIRECT($B7&amp;"!E5")</f>
        <v>1107.962968</v>
      </c>
      <c r="E7" s="226"/>
      <c r="F7" s="95" t="str">
        <f>F4</f>
        <v>breakfast_track</v>
      </c>
      <c r="G7" s="102" t="s">
        <v>27</v>
      </c>
      <c r="H7" s="227">
        <f ca="1">0.001*INDIRECT($B7&amp;"!W5")</f>
        <v>0</v>
      </c>
      <c r="I7" s="10"/>
      <c r="J7" s="228">
        <f ca="1">H7/D7-1</f>
        <v>-1</v>
      </c>
      <c r="L7" s="76">
        <f ca="1">INDIRECT($B7&amp;"!"&amp;L$3&amp;"5")</f>
        <v>6.2831988915555553E-2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28</v>
      </c>
      <c r="D8" s="227">
        <f ca="1">0.001*INDIRECT($B8&amp;"!E6")</f>
        <v>1592.8603360000002</v>
      </c>
      <c r="E8" s="226"/>
      <c r="F8" s="95" t="str">
        <f>F7</f>
        <v>breakfast_track</v>
      </c>
      <c r="G8" s="102" t="s">
        <v>28</v>
      </c>
      <c r="H8" s="227">
        <f ca="1">0.001*INDIRECT($B8&amp;"!W6")</f>
        <v>0</v>
      </c>
      <c r="I8" s="10"/>
      <c r="J8" s="228">
        <f ca="1">H8/D8-1</f>
        <v>-1</v>
      </c>
      <c r="L8" s="76">
        <f ca="1">INDIRECT($B8&amp;"!"&amp;L$3&amp;"6")</f>
        <v>3.8636367297777779E-2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29</v>
      </c>
      <c r="D9" s="227">
        <f ca="1">0.001*INDIRECT($B9&amp;"!E7")</f>
        <v>2297.023952</v>
      </c>
      <c r="E9" s="226"/>
      <c r="F9" s="95" t="str">
        <f>F8</f>
        <v>breakfast_track</v>
      </c>
      <c r="G9" s="102" t="s">
        <v>29</v>
      </c>
      <c r="H9" s="227">
        <f ca="1">0.001*INDIRECT($B9&amp;"!W7")</f>
        <v>0</v>
      </c>
      <c r="I9" s="10"/>
      <c r="J9" s="228">
        <f ca="1">H9/D9-1</f>
        <v>-1</v>
      </c>
      <c r="L9" s="76">
        <f ca="1">INDIRECT($B9&amp;"!"&amp;L$3&amp;"7")</f>
        <v>2.2814882277777782E-2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31</v>
      </c>
      <c r="D10" s="227">
        <f ca="1">0.001*INDIRECT($B10&amp;"!E8")</f>
        <v>3257.6030800000003</v>
      </c>
      <c r="E10" s="226"/>
      <c r="F10" s="95" t="str">
        <f>F9</f>
        <v>breakfast_track</v>
      </c>
      <c r="G10" s="102" t="s">
        <v>31</v>
      </c>
      <c r="H10" s="227">
        <f ca="1">0.001*INDIRECT($B10&amp;"!W8")</f>
        <v>0</v>
      </c>
      <c r="I10" s="10"/>
      <c r="J10" s="228">
        <f ca="1">H10/D10-1</f>
        <v>-1</v>
      </c>
      <c r="L10" s="76">
        <f ca="1">INDIRECT($B10&amp;"!"&amp;L$3&amp;"8")</f>
        <v>1.600675221111111E-2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8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3257.6030800000003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2" t="s">
        <v>11</v>
      </c>
      <c r="C15" s="283"/>
      <c r="D15" s="284"/>
      <c r="E15" s="3"/>
      <c r="F15" s="282" t="str">
        <f>B15</f>
        <v>breakfast_semitrack</v>
      </c>
      <c r="G15" s="283"/>
      <c r="H15" s="284"/>
      <c r="I15" s="3"/>
      <c r="J15" s="208"/>
      <c r="L15" s="286" t="str">
        <f>F15</f>
        <v>breakfast_semitrack</v>
      </c>
      <c r="M15" s="283"/>
      <c r="N15" s="284"/>
      <c r="O15" s="183"/>
      <c r="P15" s="208"/>
      <c r="Q15" s="183"/>
      <c r="R15" s="183"/>
      <c r="S15" s="183"/>
      <c r="T15" s="183"/>
      <c r="U15" s="204"/>
      <c r="V15" s="204"/>
      <c r="X15" s="281"/>
      <c r="Y15" s="279"/>
      <c r="Z15" s="279"/>
    </row>
    <row r="16" spans="1:32" x14ac:dyDescent="0.25">
      <c r="B16" s="278" t="s">
        <v>20</v>
      </c>
      <c r="C16" s="279"/>
      <c r="D16" s="71" t="s">
        <v>21</v>
      </c>
      <c r="E16" s="226"/>
      <c r="F16" s="278" t="s">
        <v>20</v>
      </c>
      <c r="G16" s="279"/>
      <c r="H16" s="71" t="s">
        <v>21</v>
      </c>
      <c r="I16" s="10"/>
      <c r="J16" s="207" t="s">
        <v>22</v>
      </c>
      <c r="L16" s="287" t="s">
        <v>40</v>
      </c>
      <c r="M16" s="279"/>
      <c r="N16" s="288"/>
      <c r="O16" s="69"/>
      <c r="P16" s="4"/>
      <c r="Q16" s="69"/>
      <c r="R16" s="285"/>
      <c r="S16" s="279"/>
      <c r="T16" s="279"/>
      <c r="U16" s="209"/>
      <c r="V16" s="209"/>
      <c r="X16" s="285"/>
      <c r="Y16" s="279"/>
      <c r="Z16" s="279"/>
    </row>
    <row r="17" spans="2:28" x14ac:dyDescent="0.25">
      <c r="B17" s="180" t="s">
        <v>1</v>
      </c>
      <c r="C17" s="102" t="s">
        <v>24</v>
      </c>
      <c r="D17" s="70" t="s">
        <v>25</v>
      </c>
      <c r="E17" s="226"/>
      <c r="F17" s="180" t="s">
        <v>1</v>
      </c>
      <c r="G17" s="102" t="s">
        <v>24</v>
      </c>
      <c r="H17" s="70" t="s">
        <v>25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27</v>
      </c>
      <c r="D18" s="227">
        <f ca="1">0.001*INDIRECT($B18&amp;"!E5")</f>
        <v>1133.9081600000002</v>
      </c>
      <c r="E18" s="226"/>
      <c r="F18" s="95" t="str">
        <f>F15</f>
        <v>breakfast_semitrack</v>
      </c>
      <c r="G18" s="102" t="s">
        <v>27</v>
      </c>
      <c r="H18" s="227">
        <f ca="1">0.001*INDIRECT($B18&amp;"!W5")</f>
        <v>0</v>
      </c>
      <c r="I18" s="10"/>
      <c r="J18" s="228">
        <f ca="1">H18/D18-1</f>
        <v>-1</v>
      </c>
      <c r="L18" s="76">
        <f ca="1">INDIRECT($B18&amp;"!"&amp;L$3&amp;"5")</f>
        <v>6.5988666977777777E-2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28</v>
      </c>
      <c r="D19" s="227">
        <f ca="1">0.001*INDIRECT($B19&amp;"!E6")</f>
        <v>1634.1013279999997</v>
      </c>
      <c r="E19" s="226"/>
      <c r="F19" s="95" t="str">
        <f>F18</f>
        <v>breakfast_semitrack</v>
      </c>
      <c r="G19" s="102" t="s">
        <v>28</v>
      </c>
      <c r="H19" s="227">
        <f ca="1">0.001*INDIRECT($B19&amp;"!W6")</f>
        <v>0</v>
      </c>
      <c r="I19" s="10"/>
      <c r="J19" s="228">
        <f ca="1">H19/D19-1</f>
        <v>-1</v>
      </c>
      <c r="L19" s="76">
        <f ca="1">INDIRECT($B19&amp;"!"&amp;L$3&amp;"6")</f>
        <v>4.0328444448888903E-2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29</v>
      </c>
      <c r="D20" s="227">
        <f ca="1">0.001*INDIRECT($B20&amp;"!E7")</f>
        <v>2362.7906160000007</v>
      </c>
      <c r="E20" s="226"/>
      <c r="F20" s="95" t="str">
        <f>F19</f>
        <v>breakfast_semitrack</v>
      </c>
      <c r="G20" s="102" t="s">
        <v>29</v>
      </c>
      <c r="H20" s="227">
        <f ca="1">0.001*INDIRECT($B20&amp;"!W7")</f>
        <v>0</v>
      </c>
      <c r="I20" s="10"/>
      <c r="J20" s="228">
        <f ca="1">H20/D20-1</f>
        <v>-1</v>
      </c>
      <c r="L20" s="76">
        <f ca="1">INDIRECT($B20&amp;"!"&amp;L$3&amp;"7")</f>
        <v>2.3846373431111113E-2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31</v>
      </c>
      <c r="D21" s="227">
        <f ca="1">0.001*INDIRECT($B21&amp;"!E8")</f>
        <v>3353.4556240000002</v>
      </c>
      <c r="E21" s="226"/>
      <c r="F21" s="95" t="str">
        <f>F20</f>
        <v>breakfast_semitrack</v>
      </c>
      <c r="G21" s="102" t="s">
        <v>31</v>
      </c>
      <c r="H21" s="227">
        <f ca="1">0.001*INDIRECT($B21&amp;"!W8")</f>
        <v>0</v>
      </c>
      <c r="I21" s="10"/>
      <c r="J21" s="228">
        <f ca="1">H21/D21-1</f>
        <v>-1</v>
      </c>
      <c r="L21" s="76">
        <f ca="1">INDIRECT($B21&amp;"!"&amp;L$3&amp;"8")</f>
        <v>1.7047529992222223E-2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8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3353.4556240000002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2" t="s">
        <v>12</v>
      </c>
      <c r="C26" s="283"/>
      <c r="D26" s="284"/>
      <c r="E26" s="3"/>
      <c r="F26" s="282" t="str">
        <f>B26</f>
        <v>cinema_track</v>
      </c>
      <c r="G26" s="283"/>
      <c r="H26" s="284"/>
      <c r="I26" s="3"/>
      <c r="J26" s="208"/>
      <c r="L26" s="286" t="str">
        <f>F26</f>
        <v>cinema_track</v>
      </c>
      <c r="M26" s="283"/>
      <c r="N26" s="284"/>
      <c r="O26" s="183"/>
      <c r="P26" s="208"/>
      <c r="U26" s="204"/>
      <c r="V26" s="204"/>
      <c r="X26" s="281"/>
      <c r="Y26" s="279"/>
      <c r="Z26" s="279"/>
    </row>
    <row r="27" spans="2:28" x14ac:dyDescent="0.25">
      <c r="B27" s="278" t="s">
        <v>20</v>
      </c>
      <c r="C27" s="279"/>
      <c r="D27" s="71" t="s">
        <v>21</v>
      </c>
      <c r="E27" s="226"/>
      <c r="F27" s="278" t="s">
        <v>20</v>
      </c>
      <c r="G27" s="279"/>
      <c r="H27" s="71" t="s">
        <v>21</v>
      </c>
      <c r="I27" s="10"/>
      <c r="J27" s="207" t="s">
        <v>22</v>
      </c>
      <c r="L27" s="287" t="s">
        <v>40</v>
      </c>
      <c r="M27" s="279"/>
      <c r="N27" s="288"/>
      <c r="O27" s="69"/>
      <c r="P27" s="4"/>
      <c r="R27" s="285"/>
      <c r="S27" s="279"/>
      <c r="T27" s="279"/>
      <c r="U27" s="209"/>
      <c r="V27" s="209"/>
      <c r="X27" s="285"/>
      <c r="Y27" s="279"/>
      <c r="Z27" s="279"/>
    </row>
    <row r="28" spans="2:28" x14ac:dyDescent="0.25">
      <c r="B28" s="180" t="s">
        <v>1</v>
      </c>
      <c r="C28" s="102" t="s">
        <v>24</v>
      </c>
      <c r="D28" s="70" t="s">
        <v>25</v>
      </c>
      <c r="E28" s="226"/>
      <c r="F28" s="180" t="s">
        <v>1</v>
      </c>
      <c r="G28" s="102" t="s">
        <v>24</v>
      </c>
      <c r="H28" s="70" t="s">
        <v>25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27</v>
      </c>
      <c r="D29" s="227">
        <f ca="1">0.001*INDIRECT($B29&amp;"!E5")</f>
        <v>821.71339999999998</v>
      </c>
      <c r="E29" s="226"/>
      <c r="F29" s="95" t="str">
        <f>F26</f>
        <v>cinema_track</v>
      </c>
      <c r="G29" s="102" t="s">
        <v>27</v>
      </c>
      <c r="H29" s="227">
        <f ca="1">0.001*INDIRECT($B29&amp;"!W5")</f>
        <v>0</v>
      </c>
      <c r="I29" s="10"/>
      <c r="J29" s="228">
        <f ca="1">H29/D29-1</f>
        <v>-1</v>
      </c>
      <c r="L29" s="76">
        <f ca="1">INDIRECT($B29&amp;"!"&amp;L$3&amp;"5")</f>
        <v>6.1379322865079369E-2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28</v>
      </c>
      <c r="D30" s="227">
        <f ca="1">0.001*INDIRECT($B30&amp;"!E6")</f>
        <v>1189.1244799999999</v>
      </c>
      <c r="E30" s="226"/>
      <c r="F30" s="95" t="str">
        <f>F29</f>
        <v>cinema_track</v>
      </c>
      <c r="G30" s="102" t="s">
        <v>28</v>
      </c>
      <c r="H30" s="227">
        <f ca="1">0.001*INDIRECT($B30&amp;"!W6")</f>
        <v>0</v>
      </c>
      <c r="I30" s="10"/>
      <c r="J30" s="228">
        <f ca="1">H30/D30-1</f>
        <v>-1</v>
      </c>
      <c r="L30" s="76">
        <f ca="1">INDIRECT($B30&amp;"!"&amp;L$3&amp;"6")</f>
        <v>4.1767743874603178E-2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29</v>
      </c>
      <c r="D31" s="227">
        <f ca="1">0.001*INDIRECT($B31&amp;"!E7")</f>
        <v>1782.1216480000001</v>
      </c>
      <c r="E31" s="226"/>
      <c r="F31" s="95" t="str">
        <f>F30</f>
        <v>cinema_track</v>
      </c>
      <c r="G31" s="102" t="s">
        <v>29</v>
      </c>
      <c r="H31" s="227">
        <f ca="1">0.001*INDIRECT($B31&amp;"!W7")</f>
        <v>0</v>
      </c>
      <c r="I31" s="10"/>
      <c r="J31" s="228">
        <f ca="1">H31/D31-1</f>
        <v>-1</v>
      </c>
      <c r="L31" s="76">
        <f ca="1">INDIRECT($B31&amp;"!"&amp;L$3&amp;"7")</f>
        <v>2.5756665719047615E-2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31</v>
      </c>
      <c r="D32" s="227">
        <f ca="1">0.001*INDIRECT($B32&amp;"!E8")</f>
        <v>2601.3312159999996</v>
      </c>
      <c r="E32" s="226"/>
      <c r="F32" s="95" t="str">
        <f>F31</f>
        <v>cinema_track</v>
      </c>
      <c r="G32" s="102" t="s">
        <v>31</v>
      </c>
      <c r="H32" s="227">
        <f ca="1">0.001*INDIRECT($B32&amp;"!W8")</f>
        <v>0</v>
      </c>
      <c r="I32" s="10"/>
      <c r="J32" s="228">
        <f ca="1">H32/D32-1</f>
        <v>-1</v>
      </c>
      <c r="L32" s="76">
        <f ca="1">INDIRECT($B32&amp;"!"&amp;L$3&amp;"8")</f>
        <v>1.4191066442063492E-2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8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2601.3312159999996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2" t="s">
        <v>13</v>
      </c>
      <c r="C37" s="283"/>
      <c r="D37" s="284"/>
      <c r="E37" s="3"/>
      <c r="F37" s="282" t="str">
        <f>B37</f>
        <v>cinema_semitrack</v>
      </c>
      <c r="G37" s="283"/>
      <c r="H37" s="284"/>
      <c r="I37" s="3"/>
      <c r="J37" s="208"/>
      <c r="L37" s="286" t="str">
        <f>F37</f>
        <v>cinema_semitrack</v>
      </c>
      <c r="M37" s="283"/>
      <c r="N37" s="284"/>
      <c r="O37" s="183"/>
      <c r="P37" s="208"/>
      <c r="U37" s="204"/>
      <c r="V37" s="204"/>
      <c r="X37" s="281"/>
      <c r="Y37" s="279"/>
      <c r="Z37" s="279"/>
    </row>
    <row r="38" spans="2:28" x14ac:dyDescent="0.25">
      <c r="B38" s="278" t="s">
        <v>20</v>
      </c>
      <c r="C38" s="279"/>
      <c r="D38" s="71" t="s">
        <v>21</v>
      </c>
      <c r="E38" s="226"/>
      <c r="F38" s="278" t="s">
        <v>20</v>
      </c>
      <c r="G38" s="279"/>
      <c r="H38" s="71" t="s">
        <v>21</v>
      </c>
      <c r="I38" s="10"/>
      <c r="J38" s="207" t="s">
        <v>22</v>
      </c>
      <c r="L38" s="287" t="s">
        <v>40</v>
      </c>
      <c r="M38" s="279"/>
      <c r="N38" s="288"/>
      <c r="O38" s="69"/>
      <c r="P38" s="4"/>
      <c r="R38" s="285"/>
      <c r="S38" s="279"/>
      <c r="T38" s="279"/>
      <c r="U38" s="209"/>
      <c r="V38" s="209"/>
      <c r="X38" s="285"/>
      <c r="Y38" s="279"/>
      <c r="Z38" s="279"/>
    </row>
    <row r="39" spans="2:28" x14ac:dyDescent="0.25">
      <c r="B39" s="180" t="s">
        <v>1</v>
      </c>
      <c r="C39" s="102" t="s">
        <v>24</v>
      </c>
      <c r="D39" s="70" t="s">
        <v>25</v>
      </c>
      <c r="E39" s="226"/>
      <c r="F39" s="180" t="s">
        <v>1</v>
      </c>
      <c r="G39" s="102" t="s">
        <v>24</v>
      </c>
      <c r="H39" s="70" t="s">
        <v>25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27</v>
      </c>
      <c r="D40" s="227">
        <f ca="1">0.001*INDIRECT($B40&amp;"!E5")</f>
        <v>845.74751200000003</v>
      </c>
      <c r="E40" s="226"/>
      <c r="F40" s="95" t="str">
        <f>F37</f>
        <v>cinema_semitrack</v>
      </c>
      <c r="G40" s="102" t="s">
        <v>27</v>
      </c>
      <c r="H40" s="227">
        <f ca="1">0.001*INDIRECT($B40&amp;"!W5")</f>
        <v>0</v>
      </c>
      <c r="I40" s="10"/>
      <c r="J40" s="228">
        <f ca="1">H40/D40-1</f>
        <v>-1</v>
      </c>
      <c r="L40" s="76">
        <f ca="1">INDIRECT($B40&amp;"!"&amp;L$3&amp;"5")</f>
        <v>6.262357097301588E-2</v>
      </c>
      <c r="M40" s="77" t="e">
        <f ca="1">INDIRECT($B40&amp;"!"&amp;M$3&amp;"5")</f>
        <v>#DIV/0!</v>
      </c>
      <c r="N40" s="78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28</v>
      </c>
      <c r="D41" s="227">
        <f ca="1">0.001*INDIRECT($B41&amp;"!E6")</f>
        <v>1228.4774640000003</v>
      </c>
      <c r="E41" s="226"/>
      <c r="F41" s="95" t="str">
        <f>F40</f>
        <v>cinema_semitrack</v>
      </c>
      <c r="G41" s="102" t="s">
        <v>28</v>
      </c>
      <c r="H41" s="227">
        <f ca="1">0.001*INDIRECT($B41&amp;"!W6")</f>
        <v>0</v>
      </c>
      <c r="I41" s="10"/>
      <c r="J41" s="228">
        <f ca="1">H41/D41-1</f>
        <v>-1</v>
      </c>
      <c r="L41" s="76">
        <f ca="1">INDIRECT($B41&amp;"!"&amp;L$3&amp;"6")</f>
        <v>4.2635829165079367E-2</v>
      </c>
      <c r="M41" s="77" t="e">
        <f ca="1">INDIRECT($B41&amp;"!"&amp;M$3&amp;"6")</f>
        <v>#DIV/0!</v>
      </c>
      <c r="N41" s="78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29</v>
      </c>
      <c r="D42" s="227">
        <f ca="1">0.001*INDIRECT($B42&amp;"!E7")</f>
        <v>1847.8872159999999</v>
      </c>
      <c r="E42" s="226"/>
      <c r="F42" s="95" t="str">
        <f>F41</f>
        <v>cinema_semitrack</v>
      </c>
      <c r="G42" s="102" t="s">
        <v>29</v>
      </c>
      <c r="H42" s="227">
        <f ca="1">0.001*INDIRECT($B42&amp;"!W7")</f>
        <v>0</v>
      </c>
      <c r="I42" s="10"/>
      <c r="J42" s="228">
        <f ca="1">H42/D42-1</f>
        <v>-1</v>
      </c>
      <c r="L42" s="76">
        <f ca="1">INDIRECT($B42&amp;"!"&amp;L$3&amp;"7")</f>
        <v>2.6237598503174604E-2</v>
      </c>
      <c r="M42" s="77" t="e">
        <f ca="1">INDIRECT($B42&amp;"!"&amp;M$3&amp;"7")</f>
        <v>#DIV/0!</v>
      </c>
      <c r="N42" s="78" t="e">
        <f ca="1">M42-L42</f>
        <v>#DIV/0!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31</v>
      </c>
      <c r="D43" s="227">
        <f ca="1">0.001*INDIRECT($B43&amp;"!E8")</f>
        <v>2700.5942639999998</v>
      </c>
      <c r="E43" s="226"/>
      <c r="F43" s="95" t="str">
        <f>F42</f>
        <v>cinema_semitrack</v>
      </c>
      <c r="G43" s="102" t="s">
        <v>31</v>
      </c>
      <c r="H43" s="227">
        <f ca="1">0.001*INDIRECT($B43&amp;"!W8")</f>
        <v>0</v>
      </c>
      <c r="I43" s="10"/>
      <c r="J43" s="228">
        <f ca="1">H43/D43-1</f>
        <v>-1</v>
      </c>
      <c r="L43" s="76">
        <f ca="1">INDIRECT($B43&amp;"!"&amp;L$3&amp;"8")</f>
        <v>1.4405928774603175E-2</v>
      </c>
      <c r="M43" s="77" t="e">
        <f ca="1">INDIRECT($B43&amp;"!"&amp;M$3&amp;"8")</f>
        <v>#DIV/0!</v>
      </c>
      <c r="N43" s="78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0</v>
      </c>
      <c r="L45" s="81"/>
      <c r="M45" s="82"/>
      <c r="N45" s="83"/>
      <c r="O45" s="226"/>
      <c r="P45" s="208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2700.5942639999998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2"/>
      <c r="C48" s="283"/>
      <c r="D48" s="284"/>
      <c r="E48" s="3"/>
      <c r="F48" s="282">
        <f>B48</f>
        <v>0</v>
      </c>
      <c r="G48" s="283"/>
      <c r="H48" s="284"/>
      <c r="I48" s="3"/>
      <c r="J48" s="208"/>
      <c r="L48" s="286">
        <f>F48</f>
        <v>0</v>
      </c>
      <c r="M48" s="283"/>
      <c r="N48" s="284"/>
      <c r="O48" s="183"/>
      <c r="P48" s="208"/>
      <c r="U48" s="204"/>
      <c r="V48" s="204"/>
      <c r="X48" s="281"/>
      <c r="Y48" s="279"/>
      <c r="Z48" s="279"/>
    </row>
    <row r="49" spans="2:28" x14ac:dyDescent="0.25">
      <c r="B49" s="278" t="s">
        <v>20</v>
      </c>
      <c r="C49" s="279"/>
      <c r="D49" s="71" t="s">
        <v>21</v>
      </c>
      <c r="E49" s="226"/>
      <c r="F49" s="278" t="s">
        <v>20</v>
      </c>
      <c r="G49" s="279"/>
      <c r="H49" s="71" t="s">
        <v>21</v>
      </c>
      <c r="I49" s="10"/>
      <c r="J49" s="207" t="s">
        <v>22</v>
      </c>
      <c r="L49" s="287" t="s">
        <v>40</v>
      </c>
      <c r="M49" s="279"/>
      <c r="N49" s="288"/>
      <c r="O49" s="69"/>
      <c r="P49" s="4"/>
      <c r="R49" s="285"/>
      <c r="S49" s="279"/>
      <c r="T49" s="279"/>
      <c r="U49" s="209"/>
      <c r="V49" s="209"/>
      <c r="X49" s="285"/>
      <c r="Y49" s="279"/>
      <c r="Z49" s="279"/>
    </row>
    <row r="50" spans="2:28" x14ac:dyDescent="0.25">
      <c r="B50" s="180" t="s">
        <v>1</v>
      </c>
      <c r="C50" s="102" t="s">
        <v>24</v>
      </c>
      <c r="D50" s="70" t="s">
        <v>25</v>
      </c>
      <c r="E50" s="226"/>
      <c r="F50" s="180" t="s">
        <v>1</v>
      </c>
      <c r="G50" s="102" t="s">
        <v>24</v>
      </c>
      <c r="H50" s="70" t="s">
        <v>25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27</v>
      </c>
      <c r="D51" s="227" t="e">
        <f ca="1">0.001*INDIRECT($B51&amp;"!E5")</f>
        <v>#REF!</v>
      </c>
      <c r="E51" s="226"/>
      <c r="F51" s="95">
        <f>F48</f>
        <v>0</v>
      </c>
      <c r="G51" s="102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28</v>
      </c>
      <c r="D52" s="227" t="e">
        <f ca="1">0.001*INDIRECT($B52&amp;"!E6")</f>
        <v>#REF!</v>
      </c>
      <c r="E52" s="226"/>
      <c r="F52" s="95">
        <f>F51</f>
        <v>0</v>
      </c>
      <c r="G52" s="102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29</v>
      </c>
      <c r="D53" s="227" t="e">
        <f ca="1">0.001*INDIRECT($B53&amp;"!E7")</f>
        <v>#REF!</v>
      </c>
      <c r="E53" s="226"/>
      <c r="F53" s="95">
        <f>F52</f>
        <v>0</v>
      </c>
      <c r="G53" s="102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31</v>
      </c>
      <c r="D54" s="227" t="e">
        <f ca="1">0.001*INDIRECT($B54&amp;"!E8")</f>
        <v>#REF!</v>
      </c>
      <c r="E54" s="226"/>
      <c r="F54" s="95">
        <f>F53</f>
        <v>0</v>
      </c>
      <c r="G54" s="102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8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2"/>
      <c r="C59" s="283"/>
      <c r="D59" s="284"/>
      <c r="E59" s="3"/>
      <c r="F59" s="282">
        <f>B59</f>
        <v>0</v>
      </c>
      <c r="G59" s="283"/>
      <c r="H59" s="284"/>
      <c r="I59" s="3"/>
      <c r="J59" s="208"/>
      <c r="L59" s="286">
        <f>F59</f>
        <v>0</v>
      </c>
      <c r="M59" s="283"/>
      <c r="N59" s="284"/>
      <c r="O59" s="183"/>
      <c r="P59" s="208"/>
      <c r="U59" s="204"/>
      <c r="V59" s="204"/>
      <c r="X59" s="281"/>
      <c r="Y59" s="279"/>
      <c r="Z59" s="279"/>
    </row>
    <row r="60" spans="2:28" x14ac:dyDescent="0.25">
      <c r="B60" s="278" t="s">
        <v>20</v>
      </c>
      <c r="C60" s="279"/>
      <c r="D60" s="71" t="s">
        <v>21</v>
      </c>
      <c r="E60" s="226"/>
      <c r="F60" s="278" t="s">
        <v>20</v>
      </c>
      <c r="G60" s="279"/>
      <c r="H60" s="71" t="s">
        <v>21</v>
      </c>
      <c r="I60" s="10"/>
      <c r="J60" s="207" t="s">
        <v>22</v>
      </c>
      <c r="L60" s="287" t="s">
        <v>40</v>
      </c>
      <c r="M60" s="279"/>
      <c r="N60" s="288"/>
      <c r="O60" s="69"/>
      <c r="P60" s="4"/>
      <c r="R60" s="285"/>
      <c r="S60" s="279"/>
      <c r="T60" s="279"/>
      <c r="U60" s="209"/>
      <c r="V60" s="209"/>
      <c r="X60" s="285"/>
      <c r="Y60" s="279"/>
      <c r="Z60" s="279"/>
    </row>
    <row r="61" spans="2:28" x14ac:dyDescent="0.25">
      <c r="B61" s="180" t="s">
        <v>1</v>
      </c>
      <c r="C61" s="102" t="s">
        <v>24</v>
      </c>
      <c r="D61" s="70" t="s">
        <v>25</v>
      </c>
      <c r="E61" s="226"/>
      <c r="F61" s="180" t="s">
        <v>1</v>
      </c>
      <c r="G61" s="102" t="s">
        <v>24</v>
      </c>
      <c r="H61" s="70" t="s">
        <v>25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27</v>
      </c>
      <c r="D62" s="227" t="e">
        <f ca="1">0.001*INDIRECT($B62&amp;"!E5")</f>
        <v>#REF!</v>
      </c>
      <c r="E62" s="226"/>
      <c r="F62" s="95">
        <f>F59</f>
        <v>0</v>
      </c>
      <c r="G62" s="102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28</v>
      </c>
      <c r="D63" s="227" t="e">
        <f ca="1">0.001*INDIRECT($B63&amp;"!E6")</f>
        <v>#REF!</v>
      </c>
      <c r="E63" s="226"/>
      <c r="F63" s="95">
        <f>F62</f>
        <v>0</v>
      </c>
      <c r="G63" s="102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29</v>
      </c>
      <c r="D64" s="227" t="e">
        <f ca="1">0.001*INDIRECT($B64&amp;"!E7")</f>
        <v>#REF!</v>
      </c>
      <c r="E64" s="226"/>
      <c r="F64" s="95">
        <f>F63</f>
        <v>0</v>
      </c>
      <c r="G64" s="102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31</v>
      </c>
      <c r="D65" s="227" t="e">
        <f ca="1">0.001*INDIRECT($B65&amp;"!E8")</f>
        <v>#REF!</v>
      </c>
      <c r="E65" s="226"/>
      <c r="F65" s="95">
        <f>F64</f>
        <v>0</v>
      </c>
      <c r="G65" s="102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8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2"/>
      <c r="C70" s="283"/>
      <c r="D70" s="284"/>
      <c r="E70" s="3"/>
      <c r="F70" s="282">
        <f>B70</f>
        <v>0</v>
      </c>
      <c r="G70" s="283"/>
      <c r="H70" s="284"/>
      <c r="I70" s="3"/>
      <c r="J70" s="208"/>
      <c r="L70" s="286">
        <f>F70</f>
        <v>0</v>
      </c>
      <c r="M70" s="283"/>
      <c r="N70" s="284"/>
      <c r="O70" s="183"/>
      <c r="P70" s="208"/>
      <c r="U70" s="204"/>
      <c r="V70" s="204"/>
      <c r="X70" s="281"/>
      <c r="Y70" s="279"/>
      <c r="Z70" s="279"/>
    </row>
    <row r="71" spans="2:28" x14ac:dyDescent="0.25">
      <c r="B71" s="278" t="s">
        <v>20</v>
      </c>
      <c r="C71" s="279"/>
      <c r="D71" s="71" t="s">
        <v>21</v>
      </c>
      <c r="E71" s="226"/>
      <c r="F71" s="278" t="s">
        <v>20</v>
      </c>
      <c r="G71" s="279"/>
      <c r="H71" s="71" t="s">
        <v>21</v>
      </c>
      <c r="I71" s="10"/>
      <c r="J71" s="207" t="s">
        <v>22</v>
      </c>
      <c r="L71" s="287" t="s">
        <v>40</v>
      </c>
      <c r="M71" s="279"/>
      <c r="N71" s="288"/>
      <c r="O71" s="69"/>
      <c r="P71" s="4"/>
      <c r="R71" s="285"/>
      <c r="S71" s="279"/>
      <c r="T71" s="279"/>
      <c r="U71" s="209"/>
      <c r="V71" s="209"/>
      <c r="X71" s="285"/>
      <c r="Y71" s="279"/>
      <c r="Z71" s="279"/>
    </row>
    <row r="72" spans="2:28" x14ac:dyDescent="0.25">
      <c r="B72" s="180" t="s">
        <v>1</v>
      </c>
      <c r="C72" s="102" t="s">
        <v>24</v>
      </c>
      <c r="D72" s="70" t="s">
        <v>25</v>
      </c>
      <c r="E72" s="226"/>
      <c r="F72" s="180" t="s">
        <v>1</v>
      </c>
      <c r="G72" s="102" t="s">
        <v>24</v>
      </c>
      <c r="H72" s="70" t="s">
        <v>25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27</v>
      </c>
      <c r="D73" s="227" t="e">
        <f ca="1">0.001*INDIRECT($B73&amp;"!E5")</f>
        <v>#REF!</v>
      </c>
      <c r="E73" s="226"/>
      <c r="F73" s="95">
        <f>F70</f>
        <v>0</v>
      </c>
      <c r="G73" s="102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28</v>
      </c>
      <c r="D74" s="227" t="e">
        <f ca="1">0.001*INDIRECT($B74&amp;"!E6")</f>
        <v>#REF!</v>
      </c>
      <c r="E74" s="226"/>
      <c r="F74" s="95">
        <f>F73</f>
        <v>0</v>
      </c>
      <c r="G74" s="102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29</v>
      </c>
      <c r="D75" s="227" t="e">
        <f ca="1">0.001*INDIRECT($B75&amp;"!E7")</f>
        <v>#REF!</v>
      </c>
      <c r="E75" s="226"/>
      <c r="F75" s="95">
        <f>F74</f>
        <v>0</v>
      </c>
      <c r="G75" s="102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31</v>
      </c>
      <c r="D76" s="227" t="e">
        <f ca="1">0.001*INDIRECT($B76&amp;"!E8")</f>
        <v>#REF!</v>
      </c>
      <c r="E76" s="226"/>
      <c r="F76" s="95">
        <f>F75</f>
        <v>0</v>
      </c>
      <c r="G76" s="102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8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2"/>
      <c r="C81" s="283"/>
      <c r="D81" s="284"/>
      <c r="E81" s="3"/>
      <c r="F81" s="282">
        <f>B81</f>
        <v>0</v>
      </c>
      <c r="G81" s="283"/>
      <c r="H81" s="284"/>
      <c r="I81" s="3"/>
      <c r="J81" s="208"/>
      <c r="L81" s="286">
        <f>F81</f>
        <v>0</v>
      </c>
      <c r="M81" s="283"/>
      <c r="N81" s="284"/>
      <c r="O81" s="183"/>
      <c r="P81" s="208"/>
      <c r="U81" s="204"/>
      <c r="V81" s="204"/>
      <c r="X81" s="281"/>
      <c r="Y81" s="279"/>
      <c r="Z81" s="279"/>
    </row>
    <row r="82" spans="2:28" x14ac:dyDescent="0.25">
      <c r="B82" s="278" t="s">
        <v>20</v>
      </c>
      <c r="C82" s="279"/>
      <c r="D82" s="71" t="s">
        <v>21</v>
      </c>
      <c r="E82" s="226"/>
      <c r="F82" s="278" t="s">
        <v>20</v>
      </c>
      <c r="G82" s="279"/>
      <c r="H82" s="71" t="s">
        <v>21</v>
      </c>
      <c r="I82" s="10"/>
      <c r="J82" s="207" t="s">
        <v>22</v>
      </c>
      <c r="L82" s="287" t="s">
        <v>40</v>
      </c>
      <c r="M82" s="279"/>
      <c r="N82" s="288"/>
      <c r="O82" s="69"/>
      <c r="P82" s="4"/>
      <c r="R82" s="285"/>
      <c r="S82" s="279"/>
      <c r="T82" s="279"/>
      <c r="U82" s="209"/>
      <c r="V82" s="209"/>
      <c r="X82" s="285"/>
      <c r="Y82" s="279"/>
      <c r="Z82" s="279"/>
    </row>
    <row r="83" spans="2:28" x14ac:dyDescent="0.25">
      <c r="B83" s="180" t="s">
        <v>1</v>
      </c>
      <c r="C83" s="102" t="s">
        <v>24</v>
      </c>
      <c r="D83" s="70" t="s">
        <v>25</v>
      </c>
      <c r="E83" s="226"/>
      <c r="F83" s="180" t="s">
        <v>1</v>
      </c>
      <c r="G83" s="102" t="s">
        <v>24</v>
      </c>
      <c r="H83" s="70" t="s">
        <v>25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27</v>
      </c>
      <c r="D84" s="227" t="e">
        <f ca="1">0.001*INDIRECT($B84&amp;"!E5")</f>
        <v>#REF!</v>
      </c>
      <c r="E84" s="226"/>
      <c r="F84" s="95">
        <f>F81</f>
        <v>0</v>
      </c>
      <c r="G84" s="102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28</v>
      </c>
      <c r="D85" s="227" t="e">
        <f ca="1">0.001*INDIRECT($B85&amp;"!E6")</f>
        <v>#REF!</v>
      </c>
      <c r="E85" s="226"/>
      <c r="F85" s="95">
        <f>F84</f>
        <v>0</v>
      </c>
      <c r="G85" s="102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29</v>
      </c>
      <c r="D86" s="227" t="e">
        <f ca="1">0.001*INDIRECT($B86&amp;"!E7")</f>
        <v>#REF!</v>
      </c>
      <c r="E86" s="226"/>
      <c r="F86" s="95">
        <f>F85</f>
        <v>0</v>
      </c>
      <c r="G86" s="102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31</v>
      </c>
      <c r="D87" s="227" t="e">
        <f ca="1">0.001*INDIRECT($B87&amp;"!E8")</f>
        <v>#REF!</v>
      </c>
      <c r="E87" s="226"/>
      <c r="F87" s="95">
        <f>F86</f>
        <v>0</v>
      </c>
      <c r="G87" s="102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8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2"/>
      <c r="C92" s="283"/>
      <c r="D92" s="284"/>
      <c r="E92" s="3"/>
      <c r="F92" s="282">
        <f>B92</f>
        <v>0</v>
      </c>
      <c r="G92" s="283"/>
      <c r="H92" s="284"/>
      <c r="I92" s="3"/>
      <c r="J92" s="208"/>
      <c r="L92" s="286">
        <f>F92</f>
        <v>0</v>
      </c>
      <c r="M92" s="283"/>
      <c r="N92" s="284"/>
      <c r="O92" s="183"/>
      <c r="P92" s="208"/>
      <c r="U92" s="204"/>
      <c r="V92" s="204"/>
      <c r="X92" s="281"/>
      <c r="Y92" s="279"/>
      <c r="Z92" s="279"/>
    </row>
    <row r="93" spans="2:28" x14ac:dyDescent="0.25">
      <c r="B93" s="278" t="s">
        <v>20</v>
      </c>
      <c r="C93" s="279"/>
      <c r="D93" s="71" t="s">
        <v>21</v>
      </c>
      <c r="E93" s="226"/>
      <c r="F93" s="278" t="s">
        <v>20</v>
      </c>
      <c r="G93" s="279"/>
      <c r="H93" s="71" t="s">
        <v>21</v>
      </c>
      <c r="I93" s="10"/>
      <c r="J93" s="207" t="s">
        <v>22</v>
      </c>
      <c r="L93" s="287" t="s">
        <v>40</v>
      </c>
      <c r="M93" s="279"/>
      <c r="N93" s="288"/>
      <c r="O93" s="69"/>
      <c r="P93" s="4"/>
      <c r="R93" s="285"/>
      <c r="S93" s="279"/>
      <c r="T93" s="279"/>
      <c r="U93" s="209"/>
      <c r="V93" s="209"/>
      <c r="X93" s="285"/>
      <c r="Y93" s="279"/>
      <c r="Z93" s="279"/>
    </row>
    <row r="94" spans="2:28" x14ac:dyDescent="0.25">
      <c r="B94" s="180" t="s">
        <v>1</v>
      </c>
      <c r="C94" s="102" t="s">
        <v>24</v>
      </c>
      <c r="D94" s="70" t="s">
        <v>25</v>
      </c>
      <c r="E94" s="226"/>
      <c r="F94" s="180" t="s">
        <v>1</v>
      </c>
      <c r="G94" s="102" t="s">
        <v>24</v>
      </c>
      <c r="H94" s="70" t="s">
        <v>25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27</v>
      </c>
      <c r="D95" s="227" t="e">
        <f ca="1">0.001*INDIRECT($B95&amp;"!E5")</f>
        <v>#REF!</v>
      </c>
      <c r="E95" s="226"/>
      <c r="F95" s="95">
        <f>F92</f>
        <v>0</v>
      </c>
      <c r="G95" s="102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28</v>
      </c>
      <c r="D96" s="227" t="e">
        <f ca="1">0.001*INDIRECT($B96&amp;"!E6")</f>
        <v>#REF!</v>
      </c>
      <c r="E96" s="226"/>
      <c r="F96" s="95">
        <f>F95</f>
        <v>0</v>
      </c>
      <c r="G96" s="102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29</v>
      </c>
      <c r="D97" s="227" t="e">
        <f ca="1">0.001*INDIRECT($B97&amp;"!E7")</f>
        <v>#REF!</v>
      </c>
      <c r="E97" s="226"/>
      <c r="F97" s="95">
        <f>F96</f>
        <v>0</v>
      </c>
      <c r="G97" s="102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31</v>
      </c>
      <c r="D98" s="227" t="e">
        <f ca="1">0.001*INDIRECT($B98&amp;"!E8")</f>
        <v>#REF!</v>
      </c>
      <c r="E98" s="226"/>
      <c r="F98" s="95">
        <f>F97</f>
        <v>0</v>
      </c>
      <c r="G98" s="102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8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2"/>
      <c r="C103" s="283"/>
      <c r="D103" s="284"/>
      <c r="E103" s="3"/>
      <c r="F103" s="282">
        <f>B103</f>
        <v>0</v>
      </c>
      <c r="G103" s="283"/>
      <c r="H103" s="284"/>
      <c r="I103" s="3"/>
      <c r="J103" s="208"/>
      <c r="L103" s="286">
        <f>F103</f>
        <v>0</v>
      </c>
      <c r="M103" s="283"/>
      <c r="N103" s="284"/>
      <c r="O103" s="183"/>
      <c r="P103" s="208"/>
      <c r="U103" s="204"/>
      <c r="V103" s="204"/>
      <c r="X103" s="281"/>
      <c r="Y103" s="279"/>
      <c r="Z103" s="279"/>
    </row>
    <row r="104" spans="2:28" x14ac:dyDescent="0.25">
      <c r="B104" s="278" t="s">
        <v>20</v>
      </c>
      <c r="C104" s="279"/>
      <c r="D104" s="71" t="s">
        <v>21</v>
      </c>
      <c r="E104" s="226"/>
      <c r="F104" s="278" t="s">
        <v>20</v>
      </c>
      <c r="G104" s="279"/>
      <c r="H104" s="71" t="s">
        <v>21</v>
      </c>
      <c r="I104" s="10"/>
      <c r="J104" s="207" t="s">
        <v>22</v>
      </c>
      <c r="L104" s="287" t="s">
        <v>40</v>
      </c>
      <c r="M104" s="279"/>
      <c r="N104" s="288"/>
      <c r="O104" s="69"/>
      <c r="P104" s="4"/>
      <c r="R104" s="285"/>
      <c r="S104" s="279"/>
      <c r="T104" s="279"/>
      <c r="U104" s="209"/>
      <c r="V104" s="209"/>
      <c r="X104" s="285"/>
      <c r="Y104" s="279"/>
      <c r="Z104" s="279"/>
    </row>
    <row r="105" spans="2:28" x14ac:dyDescent="0.25">
      <c r="B105" s="180" t="s">
        <v>1</v>
      </c>
      <c r="C105" s="102" t="s">
        <v>24</v>
      </c>
      <c r="D105" s="70" t="s">
        <v>25</v>
      </c>
      <c r="E105" s="226"/>
      <c r="F105" s="180" t="s">
        <v>1</v>
      </c>
      <c r="G105" s="102" t="s">
        <v>24</v>
      </c>
      <c r="H105" s="70" t="s">
        <v>25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27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28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29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31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8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L93:N93"/>
    <mergeCell ref="F16:G16"/>
    <mergeCell ref="R27:T27"/>
    <mergeCell ref="F2:H2"/>
    <mergeCell ref="B93:C93"/>
    <mergeCell ref="B37:D37"/>
    <mergeCell ref="B4:D4"/>
    <mergeCell ref="L37:N37"/>
    <mergeCell ref="F15:H15"/>
    <mergeCell ref="F59:H59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10</v>
      </c>
      <c r="C2" s="308" t="str">
        <f>CONCATENATE("Summary [ ",'Summary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0"/>
      <c r="T2" s="144" t="str">
        <f>$B$2</f>
        <v>breakfast_track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12"/>
      <c r="AL2" s="164" t="str">
        <f>$B$2</f>
        <v>breakfast_track</v>
      </c>
      <c r="AM2" s="302" t="s">
        <v>43</v>
      </c>
      <c r="AN2" s="273"/>
      <c r="AO2" s="273"/>
      <c r="AP2" s="273"/>
      <c r="AQ2" s="298"/>
      <c r="AR2" s="39"/>
      <c r="AS2" s="238"/>
      <c r="AT2" s="39"/>
    </row>
    <row r="3" spans="1:58" ht="13.5" customHeight="1" x14ac:dyDescent="0.3">
      <c r="B3" s="158"/>
      <c r="C3" s="215"/>
      <c r="D3" s="96"/>
      <c r="E3" s="239" t="s">
        <v>25</v>
      </c>
      <c r="F3" s="32" t="s">
        <v>44</v>
      </c>
      <c r="G3" s="216" t="s">
        <v>44</v>
      </c>
      <c r="H3" s="216" t="s">
        <v>44</v>
      </c>
      <c r="I3" s="216" t="s">
        <v>44</v>
      </c>
      <c r="J3" s="216" t="s">
        <v>44</v>
      </c>
      <c r="K3" s="216"/>
      <c r="L3" s="216"/>
      <c r="M3" s="216"/>
      <c r="N3" s="216"/>
      <c r="O3" s="240"/>
      <c r="P3" s="304" t="s">
        <v>45</v>
      </c>
      <c r="Q3" s="304" t="s">
        <v>46</v>
      </c>
      <c r="R3" s="310" t="s">
        <v>47</v>
      </c>
      <c r="S3" s="210"/>
      <c r="T3" s="142"/>
      <c r="U3" s="215"/>
      <c r="V3" s="96"/>
      <c r="W3" s="239" t="s">
        <v>25</v>
      </c>
      <c r="X3" s="32" t="s">
        <v>44</v>
      </c>
      <c r="Y3" s="216" t="s">
        <v>44</v>
      </c>
      <c r="Z3" s="216" t="s">
        <v>44</v>
      </c>
      <c r="AA3" s="216" t="s">
        <v>44</v>
      </c>
      <c r="AB3" s="216" t="s">
        <v>44</v>
      </c>
      <c r="AC3" s="216"/>
      <c r="AD3" s="216"/>
      <c r="AE3" s="216"/>
      <c r="AF3" s="216"/>
      <c r="AG3" s="240"/>
      <c r="AH3" s="304" t="s">
        <v>45</v>
      </c>
      <c r="AI3" s="304" t="s">
        <v>46</v>
      </c>
      <c r="AJ3" s="310" t="s">
        <v>47</v>
      </c>
      <c r="AK3" s="212"/>
      <c r="AL3" s="142"/>
      <c r="AM3" s="165"/>
      <c r="AN3" s="165"/>
      <c r="AO3" s="165"/>
      <c r="AP3" s="165"/>
      <c r="AQ3" s="166"/>
      <c r="AR3" s="44"/>
      <c r="AS3" s="52"/>
      <c r="AT3" s="21" t="s">
        <v>48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3"/>
      <c r="C4" s="212"/>
      <c r="D4" s="34"/>
      <c r="E4" s="241" t="s">
        <v>49</v>
      </c>
      <c r="F4" s="35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21"/>
      <c r="M4" s="121"/>
      <c r="N4" s="94"/>
      <c r="O4" s="242"/>
      <c r="P4" s="277"/>
      <c r="Q4" s="277"/>
      <c r="R4" s="311"/>
      <c r="S4" s="210"/>
      <c r="T4" s="143"/>
      <c r="U4" s="212"/>
      <c r="V4" s="34"/>
      <c r="W4" s="241" t="s">
        <v>49</v>
      </c>
      <c r="X4" s="35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4"/>
      <c r="AG4" s="242"/>
      <c r="AH4" s="277"/>
      <c r="AI4" s="277"/>
      <c r="AJ4" s="311"/>
      <c r="AK4" s="210"/>
      <c r="AL4" s="214"/>
      <c r="AM4" s="93" t="s">
        <v>23</v>
      </c>
      <c r="AN4" s="93" t="s">
        <v>34</v>
      </c>
      <c r="AO4" s="93" t="s">
        <v>37</v>
      </c>
      <c r="AP4" s="93" t="s">
        <v>40</v>
      </c>
      <c r="AQ4" s="167" t="s">
        <v>50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5"/>
      <c r="C5" s="27" t="s">
        <v>27</v>
      </c>
      <c r="D5" s="28"/>
      <c r="E5" s="128">
        <f>E23</f>
        <v>1107962.9680000001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27.629005880000001</v>
      </c>
      <c r="G5" s="32">
        <f t="shared" si="0"/>
        <v>32.884041604444448</v>
      </c>
      <c r="H5" s="32">
        <f t="shared" si="0"/>
        <v>0.95855970824444436</v>
      </c>
      <c r="I5" s="93">
        <f t="shared" si="0"/>
        <v>0.9567298571777777</v>
      </c>
      <c r="J5" s="93">
        <f t="shared" si="0"/>
        <v>6.2831988915555553E-2</v>
      </c>
      <c r="K5" s="57"/>
      <c r="L5" s="57"/>
      <c r="M5" s="57"/>
      <c r="N5" s="28"/>
      <c r="O5" s="58"/>
      <c r="P5" s="133">
        <f t="shared" ref="P5:Q8" si="1">P16</f>
        <v>0</v>
      </c>
      <c r="Q5" s="154">
        <f t="shared" si="1"/>
        <v>0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0"/>
      <c r="T5" s="306"/>
      <c r="U5" s="27" t="s">
        <v>27</v>
      </c>
      <c r="V5" s="28"/>
      <c r="W5" s="129">
        <f>W16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2"/>
      <c r="AL5" s="161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3"/>
      <c r="AT5" s="21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9" t="s">
        <v>28</v>
      </c>
      <c r="D6" s="30"/>
      <c r="E6" s="159">
        <f>E24</f>
        <v>1592860.3360000001</v>
      </c>
      <c r="F6" s="93">
        <f t="shared" si="0"/>
        <v>31.179395786666664</v>
      </c>
      <c r="G6" s="93">
        <f t="shared" si="0"/>
        <v>35.777388195555559</v>
      </c>
      <c r="H6" s="93">
        <f t="shared" si="0"/>
        <v>0.97592982000000006</v>
      </c>
      <c r="I6" s="93">
        <f t="shared" si="0"/>
        <v>0.97480343617777776</v>
      </c>
      <c r="J6" s="93">
        <f t="shared" si="0"/>
        <v>3.8636367297777779E-2</v>
      </c>
      <c r="K6" s="58"/>
      <c r="L6" s="58"/>
      <c r="M6" s="58"/>
      <c r="N6" s="30"/>
      <c r="O6" s="58"/>
      <c r="P6" s="133">
        <f t="shared" si="1"/>
        <v>0</v>
      </c>
      <c r="Q6" s="133">
        <f t="shared" si="1"/>
        <v>0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0"/>
      <c r="T6" s="294"/>
      <c r="U6" s="29" t="s">
        <v>28</v>
      </c>
      <c r="V6" s="30"/>
      <c r="W6" s="130">
        <f>W17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2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9" t="s">
        <v>29</v>
      </c>
      <c r="D7" s="30"/>
      <c r="E7" s="159">
        <f>E25</f>
        <v>2297023.952</v>
      </c>
      <c r="F7" s="93">
        <f t="shared" si="0"/>
        <v>35.614324493333335</v>
      </c>
      <c r="G7" s="93">
        <f t="shared" si="0"/>
        <v>39.665003586666671</v>
      </c>
      <c r="H7" s="93">
        <f t="shared" si="0"/>
        <v>0.98816916375555552</v>
      </c>
      <c r="I7" s="93">
        <f t="shared" si="0"/>
        <v>0.99082304393333342</v>
      </c>
      <c r="J7" s="93">
        <f t="shared" si="0"/>
        <v>2.2814882277777782E-2</v>
      </c>
      <c r="K7" s="58"/>
      <c r="L7" s="58"/>
      <c r="M7" s="58"/>
      <c r="N7" s="30"/>
      <c r="O7" s="58"/>
      <c r="P7" s="133">
        <f t="shared" si="1"/>
        <v>0</v>
      </c>
      <c r="Q7" s="133">
        <f t="shared" si="1"/>
        <v>0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0"/>
      <c r="T7" s="294"/>
      <c r="U7" s="29" t="s">
        <v>29</v>
      </c>
      <c r="V7" s="30"/>
      <c r="W7" s="130">
        <f>W18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2"/>
      <c r="AL7" s="161"/>
      <c r="AM7" s="249"/>
      <c r="AN7" s="250"/>
      <c r="AO7" s="162"/>
      <c r="AP7" s="162"/>
      <c r="AQ7" s="45"/>
      <c r="AR7" s="247"/>
      <c r="AS7" s="54"/>
      <c r="AT7" s="21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9" t="s">
        <v>31</v>
      </c>
      <c r="D8" s="30"/>
      <c r="E8" s="159">
        <f>E26</f>
        <v>3257603.08</v>
      </c>
      <c r="F8" s="93">
        <f t="shared" si="0"/>
        <v>38.223492680000007</v>
      </c>
      <c r="G8" s="93">
        <f t="shared" si="0"/>
        <v>42.22452804444444</v>
      </c>
      <c r="H8" s="93">
        <f t="shared" si="0"/>
        <v>0.99238709775555556</v>
      </c>
      <c r="I8" s="93">
        <f t="shared" si="0"/>
        <v>0.9953518116444442</v>
      </c>
      <c r="J8" s="93">
        <f t="shared" si="0"/>
        <v>1.600675221111111E-2</v>
      </c>
      <c r="K8" s="58"/>
      <c r="L8" s="58"/>
      <c r="M8" s="58"/>
      <c r="N8" s="30"/>
      <c r="O8" s="58"/>
      <c r="P8" s="133">
        <f t="shared" si="1"/>
        <v>0</v>
      </c>
      <c r="Q8" s="133">
        <f t="shared" si="1"/>
        <v>0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0"/>
      <c r="T8" s="294"/>
      <c r="U8" s="29" t="s">
        <v>31</v>
      </c>
      <c r="V8" s="30"/>
      <c r="W8" s="130">
        <f>W19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2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0"/>
      <c r="T9" s="294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2"/>
      <c r="AL9" s="161"/>
      <c r="AM9" s="47"/>
      <c r="AN9" s="153"/>
      <c r="AO9" s="153"/>
      <c r="AP9" s="153"/>
      <c r="AQ9" s="48"/>
      <c r="AR9" s="212"/>
      <c r="AS9" s="212"/>
      <c r="AT9" s="212"/>
      <c r="BF9" s="12"/>
    </row>
    <row r="10" spans="1:58" ht="13.5" customHeight="1" thickBot="1" x14ac:dyDescent="0.2">
      <c r="B10" s="156" t="s">
        <v>53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 t="e">
        <f>GEOMEAN(P5:P8)</f>
        <v>#NUM!</v>
      </c>
      <c r="Q10" s="157" t="e">
        <f>GEOMEAN(Q5:Q8)</f>
        <v>#NUM!</v>
      </c>
      <c r="R10" s="137" t="e">
        <f>AVERAGE(R5:R8)</f>
        <v>#DIV/0!</v>
      </c>
      <c r="S10" s="210"/>
      <c r="T10" s="156" t="s">
        <v>53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2"/>
      <c r="AL10" s="163"/>
      <c r="AM10" s="49"/>
      <c r="AN10" s="50"/>
      <c r="AO10" s="50"/>
      <c r="AP10" s="50"/>
      <c r="AQ10" s="51"/>
      <c r="AR10" s="212"/>
      <c r="AS10" s="212"/>
      <c r="AT10" s="212"/>
      <c r="BF10" s="12"/>
    </row>
    <row r="11" spans="1:58" ht="13.5" customHeight="1" x14ac:dyDescent="0.15">
      <c r="B11" s="210"/>
      <c r="C11" s="210"/>
      <c r="D11" s="210"/>
      <c r="E11" s="253"/>
      <c r="F11" s="93"/>
      <c r="G11" s="93"/>
      <c r="H11" s="93"/>
      <c r="I11" s="93"/>
      <c r="J11" s="93"/>
      <c r="K11" s="93"/>
      <c r="L11" s="210"/>
      <c r="M11" s="94"/>
      <c r="N11" s="94"/>
      <c r="O11" s="254"/>
      <c r="P11" s="93"/>
      <c r="Q11" s="93"/>
      <c r="R11" s="133"/>
      <c r="S11" s="210"/>
      <c r="T11" s="210"/>
      <c r="U11" s="210"/>
      <c r="V11" s="210"/>
      <c r="W11" s="253"/>
      <c r="X11" s="93"/>
      <c r="Y11" s="93"/>
      <c r="Z11" s="93"/>
      <c r="AA11" s="93"/>
      <c r="AB11" s="93"/>
      <c r="AC11" s="93"/>
      <c r="AD11" s="210"/>
      <c r="AE11" s="94"/>
      <c r="AF11" s="94"/>
      <c r="AG11" s="254"/>
      <c r="AH11" s="93"/>
      <c r="AI11" s="93"/>
      <c r="AJ11" s="133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BF11" s="12"/>
    </row>
    <row r="12" spans="1:58" ht="13.5" customHeight="1" thickBot="1" x14ac:dyDescent="0.2">
      <c r="B12" s="210"/>
      <c r="C12" s="210"/>
      <c r="D12" s="210"/>
      <c r="E12" s="253"/>
      <c r="F12" s="93"/>
      <c r="G12" s="93"/>
      <c r="H12" s="93"/>
      <c r="I12" s="93"/>
      <c r="J12" s="93"/>
      <c r="K12" s="93"/>
      <c r="L12" s="210"/>
      <c r="M12" s="94"/>
      <c r="N12" s="94"/>
      <c r="O12" s="254"/>
      <c r="P12" s="93"/>
      <c r="Q12" s="93"/>
      <c r="R12" s="133"/>
      <c r="S12" s="210"/>
      <c r="T12" s="210"/>
      <c r="U12" s="210"/>
      <c r="V12" s="210"/>
      <c r="W12" s="253"/>
      <c r="X12" s="93"/>
      <c r="Y12" s="93"/>
      <c r="Z12" s="93"/>
      <c r="AA12" s="93"/>
      <c r="AB12" s="93"/>
      <c r="AC12" s="93"/>
      <c r="AD12" s="210"/>
      <c r="AE12" s="94"/>
      <c r="AF12" s="94"/>
      <c r="AG12" s="254"/>
      <c r="AH12" s="93"/>
      <c r="AI12" s="93"/>
      <c r="AJ12" s="133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BF12" s="12"/>
    </row>
    <row r="13" spans="1:58" ht="16.2" customHeight="1" thickBot="1" x14ac:dyDescent="0.3">
      <c r="B13" s="152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3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8"/>
      <c r="C14" s="104"/>
      <c r="D14" s="104"/>
      <c r="E14" s="255" t="s">
        <v>54</v>
      </c>
      <c r="F14" s="138" t="s">
        <v>55</v>
      </c>
      <c r="G14" s="138" t="s">
        <v>56</v>
      </c>
      <c r="H14" s="138" t="s">
        <v>57</v>
      </c>
      <c r="I14" s="138" t="s">
        <v>58</v>
      </c>
      <c r="J14" s="138" t="s">
        <v>59</v>
      </c>
      <c r="K14" s="138" t="s">
        <v>60</v>
      </c>
      <c r="L14" s="138" t="s">
        <v>61</v>
      </c>
      <c r="M14" s="105" t="s">
        <v>62</v>
      </c>
      <c r="N14" s="105"/>
      <c r="O14" s="256"/>
      <c r="P14" s="105"/>
      <c r="Q14" s="106"/>
      <c r="R14" s="107"/>
      <c r="S14" s="212"/>
      <c r="T14" s="158"/>
      <c r="U14" s="104"/>
      <c r="V14" s="104"/>
      <c r="W14" s="255" t="s">
        <v>54</v>
      </c>
      <c r="X14" s="138" t="s">
        <v>55</v>
      </c>
      <c r="Y14" s="138" t="s">
        <v>56</v>
      </c>
      <c r="Z14" s="138" t="s">
        <v>57</v>
      </c>
      <c r="AA14" s="138" t="s">
        <v>58</v>
      </c>
      <c r="AB14" s="138" t="s">
        <v>59</v>
      </c>
      <c r="AC14" s="138" t="s">
        <v>60</v>
      </c>
      <c r="AD14" s="138" t="s">
        <v>61</v>
      </c>
      <c r="AE14" s="105" t="s">
        <v>62</v>
      </c>
      <c r="AF14" s="105"/>
      <c r="AG14" s="256"/>
      <c r="AH14" s="105"/>
      <c r="AI14" s="106"/>
      <c r="AJ14" s="107"/>
      <c r="AK14" s="212"/>
      <c r="AL14" s="21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5"/>
      <c r="O15" s="242"/>
      <c r="P15" s="217" t="s">
        <v>45</v>
      </c>
      <c r="Q15" s="217" t="s">
        <v>46</v>
      </c>
      <c r="R15" s="36"/>
      <c r="S15" s="210"/>
      <c r="T15" s="151"/>
      <c r="U15" s="34"/>
      <c r="V15" s="34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5"/>
      <c r="AG15" s="242"/>
      <c r="AH15" s="217" t="s">
        <v>45</v>
      </c>
      <c r="AI15" s="217" t="s">
        <v>46</v>
      </c>
      <c r="AJ15" s="36"/>
      <c r="AK15" s="210"/>
      <c r="AL15" s="210"/>
      <c r="AM15" s="93"/>
      <c r="AN15" s="93"/>
      <c r="AO15" s="93"/>
      <c r="AP15" s="210"/>
      <c r="AQ15" s="210"/>
      <c r="AR15" s="210"/>
      <c r="AS15" s="210"/>
      <c r="AT15" s="210"/>
      <c r="AZ15" s="17"/>
      <c r="BA15" s="17"/>
      <c r="BB15" s="213"/>
      <c r="BC15" s="213"/>
    </row>
    <row r="16" spans="1:58" ht="12.75" customHeight="1" x14ac:dyDescent="0.25">
      <c r="B16" s="307"/>
      <c r="C16" s="27" t="s">
        <v>27</v>
      </c>
      <c r="D16" s="28"/>
      <c r="E16" s="131">
        <v>177784.6</v>
      </c>
      <c r="F16" s="169">
        <v>208076.5040000001</v>
      </c>
      <c r="G16" s="169">
        <v>74232.512000000017</v>
      </c>
      <c r="H16" s="169">
        <v>27624.080000000009</v>
      </c>
      <c r="I16" s="169">
        <v>3175.768</v>
      </c>
      <c r="J16" s="169">
        <v>331454.40000000002</v>
      </c>
      <c r="K16" s="62">
        <v>214475.33600000001</v>
      </c>
      <c r="L16" s="62">
        <v>71139.767999999982</v>
      </c>
      <c r="M16" s="62">
        <v>0</v>
      </c>
      <c r="N16" s="57"/>
      <c r="O16" s="257"/>
      <c r="P16" s="132"/>
      <c r="Q16" s="132"/>
      <c r="R16" s="145"/>
      <c r="S16" s="210"/>
      <c r="T16" s="307"/>
      <c r="U16" s="27" t="s">
        <v>27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2"/>
      <c r="AL16" s="212"/>
      <c r="AP16" s="22"/>
      <c r="AQ16" s="22"/>
      <c r="AR16" s="212"/>
      <c r="AS16" s="212"/>
      <c r="AT16" s="212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4"/>
      <c r="C17" s="29" t="s">
        <v>28</v>
      </c>
      <c r="D17" s="30"/>
      <c r="E17" s="146">
        <v>177784.6</v>
      </c>
      <c r="F17" s="170">
        <v>275362.152</v>
      </c>
      <c r="G17" s="170">
        <v>200116.67199999999</v>
      </c>
      <c r="H17" s="170">
        <v>103209.944</v>
      </c>
      <c r="I17" s="170">
        <v>31745.536</v>
      </c>
      <c r="J17" s="170">
        <v>426688.83199999999</v>
      </c>
      <c r="K17" s="64">
        <v>284178.55200000003</v>
      </c>
      <c r="L17" s="64">
        <v>93774.04800000001</v>
      </c>
      <c r="M17" s="64">
        <v>0</v>
      </c>
      <c r="N17" s="58"/>
      <c r="O17" s="243"/>
      <c r="P17" s="147"/>
      <c r="Q17" s="147"/>
      <c r="R17" s="148"/>
      <c r="S17" s="210"/>
      <c r="T17" s="294"/>
      <c r="U17" s="29" t="s">
        <v>28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2"/>
      <c r="AL17" s="212"/>
      <c r="AN17" s="22"/>
      <c r="AO17" s="22"/>
      <c r="AP17" s="22"/>
      <c r="AQ17" s="22"/>
      <c r="AR17" s="212"/>
      <c r="AS17" s="212"/>
      <c r="AT17" s="212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4"/>
      <c r="C18" s="29" t="s">
        <v>29</v>
      </c>
      <c r="D18" s="30"/>
      <c r="E18" s="146">
        <v>177784.6</v>
      </c>
      <c r="F18" s="170">
        <v>344385.48</v>
      </c>
      <c r="G18" s="170">
        <v>369183.92800000001</v>
      </c>
      <c r="H18" s="170">
        <v>256426.11200000011</v>
      </c>
      <c r="I18" s="170">
        <v>149997.48800000001</v>
      </c>
      <c r="J18" s="170">
        <v>525407.95199999993</v>
      </c>
      <c r="K18" s="64">
        <v>356858.09600000008</v>
      </c>
      <c r="L18" s="64">
        <v>116980.296</v>
      </c>
      <c r="M18" s="64">
        <v>0</v>
      </c>
      <c r="N18" s="58"/>
      <c r="O18" s="243"/>
      <c r="P18" s="147"/>
      <c r="Q18" s="147"/>
      <c r="R18" s="148"/>
      <c r="S18" s="210"/>
      <c r="T18" s="294"/>
      <c r="U18" s="29" t="s">
        <v>29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2"/>
      <c r="AL18" s="212"/>
      <c r="AP18" s="22"/>
      <c r="AQ18" s="22"/>
      <c r="AR18" s="212"/>
      <c r="AS18" s="212"/>
      <c r="AT18" s="212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4"/>
      <c r="C19" s="29" t="s">
        <v>31</v>
      </c>
      <c r="D19" s="30"/>
      <c r="E19" s="146">
        <v>177784.6</v>
      </c>
      <c r="F19" s="170">
        <v>410023.11200000002</v>
      </c>
      <c r="G19" s="170">
        <v>554775.34400000004</v>
      </c>
      <c r="H19" s="170">
        <v>494168.61599999992</v>
      </c>
      <c r="I19" s="170">
        <v>419198.28</v>
      </c>
      <c r="J19" s="170">
        <v>627407.11199999996</v>
      </c>
      <c r="K19" s="64">
        <v>433051.76</v>
      </c>
      <c r="L19" s="64">
        <v>141194.25599999999</v>
      </c>
      <c r="M19" s="64">
        <v>0</v>
      </c>
      <c r="N19" s="58"/>
      <c r="O19" s="243"/>
      <c r="P19" s="147"/>
      <c r="Q19" s="147"/>
      <c r="R19" s="148"/>
      <c r="S19" s="210"/>
      <c r="T19" s="294"/>
      <c r="U19" s="29" t="s">
        <v>31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2"/>
      <c r="AL19" s="212"/>
      <c r="AN19" s="22"/>
      <c r="AO19" s="21"/>
      <c r="AP19" s="22"/>
      <c r="AQ19" s="22"/>
      <c r="AR19" s="212"/>
      <c r="AS19" s="212"/>
      <c r="AT19" s="212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4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0"/>
      <c r="T20" s="294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2"/>
      <c r="AL20" s="212"/>
      <c r="AN20" s="22"/>
      <c r="AO20" s="22"/>
      <c r="AP20" s="22"/>
      <c r="AQ20" s="22"/>
      <c r="AR20" s="212"/>
      <c r="AS20" s="212"/>
      <c r="AT20" s="212"/>
      <c r="AX20" s="12"/>
      <c r="AZ20" s="213"/>
      <c r="BA20" s="213"/>
      <c r="BD20" s="9"/>
    </row>
    <row r="21" spans="2:56" ht="13.5" customHeight="1" x14ac:dyDescent="0.15">
      <c r="B21" s="291"/>
      <c r="C21" s="96"/>
      <c r="D21" s="96"/>
      <c r="E21" s="239" t="s">
        <v>25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6"/>
      <c r="R21" s="33"/>
      <c r="S21" s="210"/>
      <c r="T21" s="291"/>
      <c r="U21" s="96"/>
      <c r="V21" s="96"/>
      <c r="W21" s="259" t="s">
        <v>25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6"/>
      <c r="AJ21" s="33"/>
      <c r="AK21" s="212"/>
      <c r="AL21" s="212"/>
      <c r="AP21" s="22"/>
      <c r="AQ21" s="22"/>
      <c r="AR21" s="211"/>
      <c r="AS21" s="211"/>
      <c r="AT21" s="211"/>
      <c r="AV21" s="289"/>
      <c r="AW21" s="290"/>
      <c r="AX21" s="290"/>
    </row>
    <row r="22" spans="2:56" s="8" customFormat="1" ht="13.5" customHeight="1" thickBot="1" x14ac:dyDescent="0.3">
      <c r="B22" s="292"/>
      <c r="C22" s="34"/>
      <c r="D22" s="34"/>
      <c r="E22" s="241" t="s">
        <v>49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7"/>
      <c r="R22" s="36"/>
      <c r="S22" s="210"/>
      <c r="T22" s="292"/>
      <c r="U22" s="34"/>
      <c r="V22" s="34"/>
      <c r="W22" s="260" t="s">
        <v>49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7"/>
      <c r="AJ22" s="36"/>
      <c r="AK22" s="210"/>
      <c r="AL22" s="210"/>
      <c r="AM22" s="93"/>
      <c r="AN22" s="93"/>
      <c r="AO22" s="93"/>
      <c r="AP22" s="210"/>
      <c r="AQ22" s="210"/>
      <c r="AR22" s="210"/>
      <c r="AS22" s="210"/>
      <c r="AT22" s="210"/>
      <c r="AZ22" s="213"/>
      <c r="BA22" s="56"/>
    </row>
    <row r="23" spans="2:56" ht="13.5" customHeight="1" x14ac:dyDescent="0.15">
      <c r="B23" s="305"/>
      <c r="C23" s="27" t="s">
        <v>27</v>
      </c>
      <c r="D23" s="28"/>
      <c r="E23" s="130">
        <f>SUM(E16:L16)</f>
        <v>1107962.9680000001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0"/>
      <c r="T23" s="305"/>
      <c r="U23" s="27" t="s">
        <v>27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2"/>
      <c r="AL23" s="212"/>
      <c r="AM23" s="38"/>
      <c r="AN23" s="38"/>
      <c r="AO23" s="38"/>
      <c r="AP23" s="212"/>
      <c r="AQ23" s="212"/>
      <c r="AR23" s="212"/>
      <c r="AS23" s="212"/>
      <c r="AT23" s="212"/>
      <c r="AX23" s="12"/>
    </row>
    <row r="24" spans="2:56" x14ac:dyDescent="0.15">
      <c r="B24" s="294"/>
      <c r="C24" s="29" t="s">
        <v>28</v>
      </c>
      <c r="D24" s="30"/>
      <c r="E24" s="130">
        <f>SUM(E17:L17)</f>
        <v>1592860.3360000001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0"/>
      <c r="T24" s="294"/>
      <c r="U24" s="29" t="s">
        <v>28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2"/>
      <c r="AL24" s="212"/>
      <c r="AM24" s="38"/>
      <c r="AN24" s="38"/>
      <c r="AO24" s="38"/>
      <c r="AP24" s="212"/>
      <c r="AQ24" s="212"/>
      <c r="AR24" s="212"/>
      <c r="AS24" s="212"/>
      <c r="AT24" s="212"/>
      <c r="AX24" s="12"/>
      <c r="AZ24" s="8"/>
      <c r="BA24" s="8"/>
    </row>
    <row r="25" spans="2:56" x14ac:dyDescent="0.15">
      <c r="B25" s="294"/>
      <c r="C25" s="29" t="s">
        <v>29</v>
      </c>
      <c r="D25" s="30"/>
      <c r="E25" s="130">
        <f>SUM(E18:L18)</f>
        <v>2297023.952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0"/>
      <c r="T25" s="294"/>
      <c r="U25" s="29" t="s">
        <v>29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  <c r="AX25" s="12"/>
    </row>
    <row r="26" spans="2:56" x14ac:dyDescent="0.15">
      <c r="B26" s="294"/>
      <c r="C26" s="29" t="s">
        <v>31</v>
      </c>
      <c r="D26" s="30"/>
      <c r="E26" s="130">
        <f>SUM(E19:L19)</f>
        <v>3257603.08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0"/>
      <c r="T26" s="294"/>
      <c r="U26" s="29" t="s">
        <v>31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X26" s="12"/>
    </row>
    <row r="27" spans="2:56" ht="13.5" customHeight="1" thickBot="1" x14ac:dyDescent="0.2">
      <c r="B27" s="295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0"/>
      <c r="T27" s="295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2"/>
      <c r="AL27" s="212"/>
      <c r="AM27" s="212"/>
      <c r="AN27" s="212"/>
      <c r="AO27" s="212"/>
      <c r="AP27" s="212"/>
      <c r="AQ27" s="212"/>
      <c r="AR27" s="212"/>
      <c r="AS27" s="212"/>
      <c r="AT27" s="212"/>
      <c r="AX27" s="12"/>
    </row>
    <row r="28" spans="2:56" x14ac:dyDescent="0.15">
      <c r="B28" s="210"/>
      <c r="C28" s="210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0"/>
      <c r="T28" s="210"/>
      <c r="U28" s="210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2"/>
      <c r="AL28" s="212"/>
      <c r="AM28" s="212"/>
      <c r="AN28" s="212"/>
      <c r="AO28" s="212"/>
      <c r="AP28" s="212"/>
      <c r="AQ28" s="212"/>
      <c r="AR28" s="212"/>
      <c r="AS28" s="212"/>
      <c r="AT28" s="212"/>
      <c r="AX28" s="12"/>
    </row>
    <row r="29" spans="2:56" ht="13.5" customHeight="1" x14ac:dyDescent="0.15">
      <c r="B29" s="210"/>
      <c r="C29" s="210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54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210"/>
      <c r="AA29" s="210"/>
      <c r="AB29" s="210"/>
      <c r="AC29" s="210"/>
      <c r="AD29" s="210"/>
      <c r="AE29" s="210"/>
      <c r="AF29" s="210"/>
      <c r="AG29" s="254"/>
      <c r="AH29" s="210"/>
      <c r="AI29" s="210"/>
      <c r="AJ29" s="210"/>
      <c r="AK29" s="212"/>
      <c r="AL29" s="212"/>
      <c r="AM29" s="212"/>
      <c r="AN29" s="212"/>
      <c r="AO29" s="212"/>
      <c r="AP29" s="212"/>
      <c r="AQ29" s="212"/>
      <c r="AR29" s="212"/>
      <c r="AS29" s="212"/>
      <c r="AT29" s="212"/>
    </row>
    <row r="30" spans="2:56" ht="13.5" customHeight="1" thickBot="1" x14ac:dyDescent="0.2">
      <c r="B30" s="210"/>
      <c r="C30" s="210"/>
      <c r="D30" s="210"/>
      <c r="E30" s="253"/>
      <c r="F30" s="210"/>
      <c r="G30" s="210"/>
      <c r="H30" s="210"/>
      <c r="I30" s="210"/>
      <c r="J30" s="210"/>
      <c r="K30" s="210"/>
      <c r="L30" s="210"/>
      <c r="M30" s="210"/>
      <c r="N30" s="210"/>
      <c r="O30" s="254"/>
      <c r="P30" s="210"/>
      <c r="Q30" s="210"/>
      <c r="R30" s="210"/>
      <c r="S30" s="210"/>
      <c r="T30" s="210"/>
      <c r="U30" s="210"/>
      <c r="V30" s="210"/>
      <c r="W30" s="253"/>
      <c r="X30" s="210"/>
      <c r="Y30" s="210"/>
      <c r="Z30" s="210"/>
      <c r="AA30" s="210"/>
      <c r="AB30" s="210"/>
      <c r="AC30" s="210"/>
      <c r="AD30" s="210"/>
      <c r="AE30" s="210"/>
      <c r="AF30" s="210"/>
      <c r="AG30" s="254"/>
      <c r="AH30" s="210"/>
      <c r="AI30" s="210"/>
      <c r="AJ30" s="210"/>
      <c r="AK30" s="212"/>
      <c r="AL30" s="212"/>
      <c r="AM30" s="212"/>
      <c r="AN30" s="212"/>
      <c r="AO30" s="212"/>
      <c r="AP30" s="212"/>
      <c r="AQ30" s="212"/>
      <c r="AR30" s="212"/>
      <c r="AS30" s="212"/>
      <c r="AT30" s="212"/>
    </row>
    <row r="31" spans="2:56" ht="13.5" customHeight="1" thickBot="1" x14ac:dyDescent="0.3">
      <c r="B31" s="23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0"/>
      <c r="T31" s="23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12"/>
      <c r="AL31" s="212"/>
      <c r="AM31" s="309" t="s">
        <v>63</v>
      </c>
      <c r="AN31" s="283"/>
      <c r="AO31" s="283"/>
      <c r="AP31" s="283"/>
      <c r="AQ31" s="155"/>
      <c r="AR31" s="212"/>
      <c r="AS31" s="212"/>
      <c r="AT31" s="212"/>
    </row>
    <row r="32" spans="2:56" ht="13.5" customHeight="1" thickBot="1" x14ac:dyDescent="0.2">
      <c r="B32" s="26" t="s">
        <v>64</v>
      </c>
      <c r="C32" s="97"/>
      <c r="D32" s="97"/>
      <c r="E32" s="210"/>
      <c r="F32" s="24" t="s">
        <v>23</v>
      </c>
      <c r="G32" s="24" t="s">
        <v>34</v>
      </c>
      <c r="H32" s="24" t="s">
        <v>37</v>
      </c>
      <c r="I32" s="24" t="s">
        <v>40</v>
      </c>
      <c r="J32" s="24" t="s">
        <v>50</v>
      </c>
      <c r="K32" s="24"/>
      <c r="L32" s="121"/>
      <c r="M32" s="121"/>
      <c r="N32" s="24"/>
      <c r="O32" s="261"/>
      <c r="P32" s="24"/>
      <c r="Q32" s="24"/>
      <c r="R32" s="25" t="s">
        <v>47</v>
      </c>
      <c r="S32" s="210"/>
      <c r="T32" s="26" t="s">
        <v>64</v>
      </c>
      <c r="U32" s="97"/>
      <c r="V32" s="97"/>
      <c r="W32" s="210"/>
      <c r="X32" s="24" t="s">
        <v>23</v>
      </c>
      <c r="Y32" s="24" t="s">
        <v>34</v>
      </c>
      <c r="Z32" s="24" t="s">
        <v>37</v>
      </c>
      <c r="AA32" s="24" t="s">
        <v>40</v>
      </c>
      <c r="AB32" s="24" t="s">
        <v>50</v>
      </c>
      <c r="AC32" s="24"/>
      <c r="AD32" s="210"/>
      <c r="AE32" s="210"/>
      <c r="AF32" s="24"/>
      <c r="AG32" s="261"/>
      <c r="AH32" s="24"/>
      <c r="AI32" s="24"/>
      <c r="AJ32" s="25" t="s">
        <v>47</v>
      </c>
      <c r="AK32" s="212"/>
      <c r="AL32" s="26" t="s">
        <v>64</v>
      </c>
      <c r="AM32" s="101" t="s">
        <v>23</v>
      </c>
      <c r="AN32" s="32" t="s">
        <v>34</v>
      </c>
      <c r="AO32" s="32" t="s">
        <v>37</v>
      </c>
      <c r="AP32" s="32" t="s">
        <v>40</v>
      </c>
      <c r="AQ32" s="100" t="s">
        <v>50</v>
      </c>
      <c r="AR32" s="93"/>
      <c r="AS32" s="254"/>
      <c r="AT32" s="93"/>
    </row>
    <row r="33" spans="2:52" x14ac:dyDescent="0.15">
      <c r="B33" s="296" t="s">
        <v>65</v>
      </c>
      <c r="C33" s="27" t="s">
        <v>27</v>
      </c>
      <c r="D33" s="41"/>
      <c r="E33" s="57"/>
      <c r="F33" s="99">
        <v>27.25922846666667</v>
      </c>
      <c r="G33" s="99">
        <v>32.537396700000002</v>
      </c>
      <c r="H33" s="99">
        <v>0.95805963233333324</v>
      </c>
      <c r="I33" s="62">
        <v>0.9526840333333334</v>
      </c>
      <c r="J33" s="62">
        <v>6.7220855533333346E-2</v>
      </c>
      <c r="K33" s="63"/>
      <c r="L33" s="262"/>
      <c r="M33" s="262"/>
      <c r="N33" s="57"/>
      <c r="O33" s="28"/>
      <c r="P33" s="57"/>
      <c r="Q33" s="28"/>
      <c r="R33" s="134"/>
      <c r="S33" s="210"/>
      <c r="T33" s="296" t="s">
        <v>65</v>
      </c>
      <c r="U33" s="27" t="s">
        <v>27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2"/>
      <c r="AL33" s="296" t="s">
        <v>65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9" t="s">
        <v>28</v>
      </c>
      <c r="D34" s="191"/>
      <c r="E34" s="58"/>
      <c r="F34" s="192">
        <v>31.147000200000001</v>
      </c>
      <c r="G34" s="192">
        <v>35.64865726666666</v>
      </c>
      <c r="H34" s="192">
        <v>0.9756287743333335</v>
      </c>
      <c r="I34" s="64">
        <v>0.97413182366666684</v>
      </c>
      <c r="J34" s="64">
        <v>4.13731372E-2</v>
      </c>
      <c r="K34" s="193"/>
      <c r="L34" s="263"/>
      <c r="M34" s="263"/>
      <c r="N34" s="58"/>
      <c r="O34" s="30"/>
      <c r="P34" s="58"/>
      <c r="Q34" s="30"/>
      <c r="R34" s="135"/>
      <c r="S34" s="210"/>
      <c r="T34" s="294"/>
      <c r="U34" s="29" t="s">
        <v>28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2"/>
      <c r="AL34" s="294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4"/>
      <c r="C35" s="29" t="s">
        <v>29</v>
      </c>
      <c r="D35" s="191"/>
      <c r="E35" s="58"/>
      <c r="F35" s="192">
        <v>35.6714409</v>
      </c>
      <c r="G35" s="192">
        <v>39.69515573333333</v>
      </c>
      <c r="H35" s="192">
        <v>0.98799141033333349</v>
      </c>
      <c r="I35" s="64">
        <v>0.99083942599999986</v>
      </c>
      <c r="J35" s="64">
        <v>2.4535291466666671E-2</v>
      </c>
      <c r="K35" s="193"/>
      <c r="L35" s="263"/>
      <c r="M35" s="263"/>
      <c r="N35" s="58"/>
      <c r="O35" s="30"/>
      <c r="P35" s="58"/>
      <c r="Q35" s="30"/>
      <c r="R35" s="135"/>
      <c r="S35" s="210"/>
      <c r="T35" s="294"/>
      <c r="U35" s="29" t="s">
        <v>29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2"/>
      <c r="AL35" s="294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4"/>
      <c r="C36" s="29" t="s">
        <v>31</v>
      </c>
      <c r="D36" s="191"/>
      <c r="E36" s="58"/>
      <c r="F36" s="192">
        <v>38.402761966666667</v>
      </c>
      <c r="G36" s="192">
        <v>42.405930733333342</v>
      </c>
      <c r="H36" s="192">
        <v>0.99228174700000016</v>
      </c>
      <c r="I36" s="64">
        <v>0.99537446299999977</v>
      </c>
      <c r="J36" s="64">
        <v>1.6742479333333331E-2</v>
      </c>
      <c r="K36" s="193"/>
      <c r="L36" s="263"/>
      <c r="M36" s="263"/>
      <c r="N36" s="58"/>
      <c r="O36" s="30"/>
      <c r="P36" s="58"/>
      <c r="Q36" s="30"/>
      <c r="R36" s="135"/>
      <c r="S36" s="210"/>
      <c r="T36" s="294"/>
      <c r="U36" s="29" t="s">
        <v>31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2"/>
      <c r="AL36" s="294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4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0"/>
      <c r="T37" s="294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2"/>
      <c r="AL37" s="294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6" t="s">
        <v>66</v>
      </c>
      <c r="C38" s="27" t="s">
        <v>27</v>
      </c>
      <c r="D38" s="41"/>
      <c r="E38" s="57"/>
      <c r="F38" s="99">
        <v>27.38406603333333</v>
      </c>
      <c r="G38" s="99">
        <v>32.636217100000003</v>
      </c>
      <c r="H38" s="99">
        <v>0.95865530666666643</v>
      </c>
      <c r="I38" s="62">
        <v>0.95454666199999993</v>
      </c>
      <c r="J38" s="62">
        <v>6.5119308166666653E-2</v>
      </c>
      <c r="K38" s="63"/>
      <c r="L38" s="262"/>
      <c r="M38" s="262"/>
      <c r="N38" s="57"/>
      <c r="O38" s="28"/>
      <c r="P38" s="57"/>
      <c r="Q38" s="28"/>
      <c r="R38" s="134"/>
      <c r="S38" s="210"/>
      <c r="T38" s="296" t="s">
        <v>66</v>
      </c>
      <c r="U38" s="27" t="s">
        <v>27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2"/>
      <c r="AL38" s="296" t="s">
        <v>66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4"/>
      <c r="C39" s="29" t="s">
        <v>28</v>
      </c>
      <c r="D39" s="191"/>
      <c r="E39" s="58"/>
      <c r="F39" s="192">
        <v>31.052562166666672</v>
      </c>
      <c r="G39" s="192">
        <v>35.589288833333327</v>
      </c>
      <c r="H39" s="192">
        <v>0.97548517999999995</v>
      </c>
      <c r="I39" s="64">
        <v>0.97440100333333346</v>
      </c>
      <c r="J39" s="64">
        <v>4.0549712100000003E-2</v>
      </c>
      <c r="K39" s="193"/>
      <c r="L39" s="263"/>
      <c r="M39" s="263"/>
      <c r="N39" s="58"/>
      <c r="O39" s="30"/>
      <c r="P39" s="58"/>
      <c r="Q39" s="30"/>
      <c r="R39" s="135"/>
      <c r="S39" s="210"/>
      <c r="T39" s="294"/>
      <c r="U39" s="29" t="s">
        <v>28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2"/>
      <c r="AL39" s="294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4"/>
      <c r="C40" s="29" t="s">
        <v>29</v>
      </c>
      <c r="D40" s="191"/>
      <c r="E40" s="58"/>
      <c r="F40" s="192">
        <v>35.528846299999998</v>
      </c>
      <c r="G40" s="192">
        <v>39.572808433333329</v>
      </c>
      <c r="H40" s="192">
        <v>0.98775492899999995</v>
      </c>
      <c r="I40" s="64">
        <v>0.99087358399999992</v>
      </c>
      <c r="J40" s="64">
        <v>2.4413539666666671E-2</v>
      </c>
      <c r="K40" s="193"/>
      <c r="L40" s="263"/>
      <c r="M40" s="263"/>
      <c r="N40" s="58"/>
      <c r="O40" s="30"/>
      <c r="P40" s="58"/>
      <c r="Q40" s="30"/>
      <c r="R40" s="135"/>
      <c r="S40" s="210"/>
      <c r="T40" s="294"/>
      <c r="U40" s="29" t="s">
        <v>29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2"/>
      <c r="AL40" s="294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4"/>
      <c r="C41" s="29" t="s">
        <v>31</v>
      </c>
      <c r="D41" s="191"/>
      <c r="E41" s="58"/>
      <c r="F41" s="192">
        <v>38.160161466666672</v>
      </c>
      <c r="G41" s="192">
        <v>42.187493966666679</v>
      </c>
      <c r="H41" s="192">
        <v>0.99198827233333342</v>
      </c>
      <c r="I41" s="64">
        <v>0.99537375733333322</v>
      </c>
      <c r="J41" s="64">
        <v>1.715642076666667E-2</v>
      </c>
      <c r="K41" s="193"/>
      <c r="L41" s="263"/>
      <c r="M41" s="263"/>
      <c r="N41" s="58"/>
      <c r="O41" s="30"/>
      <c r="P41" s="58"/>
      <c r="Q41" s="30"/>
      <c r="R41" s="135"/>
      <c r="S41" s="210"/>
      <c r="T41" s="294"/>
      <c r="U41" s="29" t="s">
        <v>31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2"/>
      <c r="AL41" s="294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4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0"/>
      <c r="T42" s="294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2"/>
      <c r="AL42" s="294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6" t="s">
        <v>67</v>
      </c>
      <c r="C43" s="27" t="s">
        <v>27</v>
      </c>
      <c r="D43" s="41"/>
      <c r="E43" s="57"/>
      <c r="F43" s="99">
        <v>27.62702543333333</v>
      </c>
      <c r="G43" s="99">
        <v>32.816093766666668</v>
      </c>
      <c r="H43" s="99">
        <v>0.95867545033333312</v>
      </c>
      <c r="I43" s="62">
        <v>0.95648210766666664</v>
      </c>
      <c r="J43" s="62">
        <v>6.1592571333333318E-2</v>
      </c>
      <c r="K43" s="63"/>
      <c r="L43" s="262"/>
      <c r="M43" s="262"/>
      <c r="N43" s="57"/>
      <c r="O43" s="28"/>
      <c r="P43" s="57"/>
      <c r="Q43" s="28"/>
      <c r="R43" s="134"/>
      <c r="S43" s="210"/>
      <c r="T43" s="296" t="s">
        <v>67</v>
      </c>
      <c r="U43" s="27" t="s">
        <v>27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2"/>
      <c r="AL43" s="296" t="s">
        <v>67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4"/>
      <c r="C44" s="29" t="s">
        <v>28</v>
      </c>
      <c r="D44" s="191"/>
      <c r="E44" s="58"/>
      <c r="F44" s="192">
        <v>31.127737566666671</v>
      </c>
      <c r="G44" s="192">
        <v>35.649266300000008</v>
      </c>
      <c r="H44" s="192">
        <v>0.97555878366666682</v>
      </c>
      <c r="I44" s="64">
        <v>0.97476362833333341</v>
      </c>
      <c r="J44" s="64">
        <v>3.848656613333333E-2</v>
      </c>
      <c r="K44" s="193"/>
      <c r="L44" s="263"/>
      <c r="M44" s="263"/>
      <c r="N44" s="58"/>
      <c r="O44" s="30"/>
      <c r="P44" s="58"/>
      <c r="Q44" s="30"/>
      <c r="R44" s="135"/>
      <c r="S44" s="210"/>
      <c r="T44" s="294"/>
      <c r="U44" s="29" t="s">
        <v>28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2"/>
      <c r="AL44" s="294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4"/>
      <c r="C45" s="29" t="s">
        <v>29</v>
      </c>
      <c r="D45" s="191"/>
      <c r="E45" s="58"/>
      <c r="F45" s="192">
        <v>35.605796233333322</v>
      </c>
      <c r="G45" s="192">
        <v>39.627332166666662</v>
      </c>
      <c r="H45" s="192">
        <v>0.98784293200000006</v>
      </c>
      <c r="I45" s="64">
        <v>0.99092727700000005</v>
      </c>
      <c r="J45" s="64">
        <v>2.3081431833333329E-2</v>
      </c>
      <c r="K45" s="193"/>
      <c r="L45" s="263"/>
      <c r="M45" s="263"/>
      <c r="N45" s="58"/>
      <c r="O45" s="30"/>
      <c r="P45" s="58"/>
      <c r="Q45" s="30"/>
      <c r="R45" s="135"/>
      <c r="S45" s="210"/>
      <c r="T45" s="294"/>
      <c r="U45" s="29" t="s">
        <v>29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2"/>
      <c r="AL45" s="294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4"/>
      <c r="C46" s="29" t="s">
        <v>31</v>
      </c>
      <c r="D46" s="191"/>
      <c r="E46" s="58"/>
      <c r="F46" s="192">
        <v>38.187855999999996</v>
      </c>
      <c r="G46" s="192">
        <v>42.203194733333333</v>
      </c>
      <c r="H46" s="192">
        <v>0.99206237399999997</v>
      </c>
      <c r="I46" s="64">
        <v>0.99535294366666649</v>
      </c>
      <c r="J46" s="64">
        <v>1.6273973683333331E-2</v>
      </c>
      <c r="K46" s="193"/>
      <c r="L46" s="263"/>
      <c r="M46" s="263"/>
      <c r="N46" s="58"/>
      <c r="O46" s="30"/>
      <c r="P46" s="58"/>
      <c r="Q46" s="30"/>
      <c r="R46" s="135"/>
      <c r="S46" s="210"/>
      <c r="T46" s="294"/>
      <c r="U46" s="29" t="s">
        <v>31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2"/>
      <c r="AL46" s="294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4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0"/>
      <c r="T47" s="294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2"/>
      <c r="AL47" s="294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6" t="s">
        <v>68</v>
      </c>
      <c r="C48" s="27" t="s">
        <v>27</v>
      </c>
      <c r="D48" s="41"/>
      <c r="E48" s="57"/>
      <c r="F48" s="99">
        <v>27.706228333333328</v>
      </c>
      <c r="G48" s="99">
        <v>32.869734100000002</v>
      </c>
      <c r="H48" s="99">
        <v>0.95850219433333328</v>
      </c>
      <c r="I48" s="62">
        <v>0.95653825133333314</v>
      </c>
      <c r="J48" s="62">
        <v>6.3111981133333328E-2</v>
      </c>
      <c r="K48" s="63"/>
      <c r="L48" s="262"/>
      <c r="M48" s="262"/>
      <c r="N48" s="57"/>
      <c r="O48" s="28"/>
      <c r="P48" s="57"/>
      <c r="Q48" s="28"/>
      <c r="R48" s="134"/>
      <c r="S48" s="210"/>
      <c r="T48" s="296" t="s">
        <v>68</v>
      </c>
      <c r="U48" s="27" t="s">
        <v>27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2"/>
      <c r="AL48" s="296" t="s">
        <v>68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4"/>
      <c r="C49" s="29" t="s">
        <v>28</v>
      </c>
      <c r="D49" s="191"/>
      <c r="E49" s="58"/>
      <c r="F49" s="192">
        <v>31.00372483333333</v>
      </c>
      <c r="G49" s="192">
        <v>35.530232733333328</v>
      </c>
      <c r="H49" s="192">
        <v>0.9752167233333332</v>
      </c>
      <c r="I49" s="64">
        <v>0.9740356446666667</v>
      </c>
      <c r="J49" s="64">
        <v>4.0197394666666678E-2</v>
      </c>
      <c r="K49" s="193"/>
      <c r="L49" s="263"/>
      <c r="M49" s="263"/>
      <c r="N49" s="58"/>
      <c r="O49" s="30"/>
      <c r="P49" s="58"/>
      <c r="Q49" s="30"/>
      <c r="R49" s="135"/>
      <c r="S49" s="210"/>
      <c r="T49" s="294"/>
      <c r="U49" s="29" t="s">
        <v>28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2"/>
      <c r="AL49" s="294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4"/>
      <c r="C50" s="29" t="s">
        <v>29</v>
      </c>
      <c r="D50" s="191"/>
      <c r="E50" s="58"/>
      <c r="F50" s="192">
        <v>35.612453800000011</v>
      </c>
      <c r="G50" s="192">
        <v>39.6159812</v>
      </c>
      <c r="H50" s="192">
        <v>0.98774099100000001</v>
      </c>
      <c r="I50" s="64">
        <v>0.99078819333333334</v>
      </c>
      <c r="J50" s="64">
        <v>2.390888313333334E-2</v>
      </c>
      <c r="K50" s="193"/>
      <c r="L50" s="263"/>
      <c r="M50" s="263"/>
      <c r="N50" s="58"/>
      <c r="O50" s="30"/>
      <c r="P50" s="58"/>
      <c r="Q50" s="30"/>
      <c r="R50" s="135"/>
      <c r="S50" s="210"/>
      <c r="T50" s="294"/>
      <c r="U50" s="29" t="s">
        <v>29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2"/>
      <c r="AL50" s="294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4"/>
      <c r="C51" s="29" t="s">
        <v>31</v>
      </c>
      <c r="D51" s="191"/>
      <c r="E51" s="58"/>
      <c r="F51" s="192">
        <v>38.150688533333337</v>
      </c>
      <c r="G51" s="192">
        <v>42.15644533333333</v>
      </c>
      <c r="H51" s="192">
        <v>0.99197001333333323</v>
      </c>
      <c r="I51" s="64">
        <v>0.9952674246666664</v>
      </c>
      <c r="J51" s="64">
        <v>1.691612273333333E-2</v>
      </c>
      <c r="K51" s="193"/>
      <c r="L51" s="263"/>
      <c r="M51" s="263"/>
      <c r="N51" s="58"/>
      <c r="O51" s="30"/>
      <c r="P51" s="58"/>
      <c r="Q51" s="30"/>
      <c r="R51" s="135"/>
      <c r="S51" s="210"/>
      <c r="T51" s="294"/>
      <c r="U51" s="29" t="s">
        <v>31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2"/>
      <c r="AL51" s="294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4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0"/>
      <c r="T52" s="294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2"/>
      <c r="AL52" s="294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6" t="s">
        <v>69</v>
      </c>
      <c r="C53" s="27" t="s">
        <v>27</v>
      </c>
      <c r="D53" s="41"/>
      <c r="E53" s="57"/>
      <c r="F53" s="99">
        <v>27.816387333333331</v>
      </c>
      <c r="G53" s="99">
        <v>32.893045033333337</v>
      </c>
      <c r="H53" s="99">
        <v>0.9566662680000001</v>
      </c>
      <c r="I53" s="62">
        <v>0.9577556823333333</v>
      </c>
      <c r="J53" s="62">
        <v>6.5474242000000002E-2</v>
      </c>
      <c r="K53" s="63"/>
      <c r="L53" s="262"/>
      <c r="M53" s="262"/>
      <c r="N53" s="57"/>
      <c r="O53" s="28"/>
      <c r="P53" s="57"/>
      <c r="Q53" s="28"/>
      <c r="R53" s="134"/>
      <c r="S53" s="210"/>
      <c r="T53" s="296" t="s">
        <v>69</v>
      </c>
      <c r="U53" s="27" t="s">
        <v>27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2"/>
      <c r="AL53" s="296" t="s">
        <v>69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4"/>
      <c r="C54" s="29" t="s">
        <v>28</v>
      </c>
      <c r="D54" s="191"/>
      <c r="E54" s="58"/>
      <c r="F54" s="192">
        <v>30.951734266666669</v>
      </c>
      <c r="G54" s="192">
        <v>35.440276333333337</v>
      </c>
      <c r="H54" s="192">
        <v>0.9743724869999999</v>
      </c>
      <c r="I54" s="64">
        <v>0.97460310299999997</v>
      </c>
      <c r="J54" s="64">
        <v>4.2454671033333329E-2</v>
      </c>
      <c r="K54" s="193"/>
      <c r="L54" s="263"/>
      <c r="M54" s="263"/>
      <c r="N54" s="58"/>
      <c r="O54" s="30"/>
      <c r="P54" s="58"/>
      <c r="Q54" s="30"/>
      <c r="R54" s="135"/>
      <c r="S54" s="210"/>
      <c r="T54" s="294"/>
      <c r="U54" s="29" t="s">
        <v>28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2"/>
      <c r="AL54" s="294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4"/>
      <c r="C55" s="29" t="s">
        <v>29</v>
      </c>
      <c r="D55" s="191"/>
      <c r="E55" s="58"/>
      <c r="F55" s="192">
        <v>35.423878266666662</v>
      </c>
      <c r="G55" s="192">
        <v>39.415208200000002</v>
      </c>
      <c r="H55" s="192">
        <v>0.98714516533333319</v>
      </c>
      <c r="I55" s="64">
        <v>0.9906268513333335</v>
      </c>
      <c r="J55" s="64">
        <v>2.5687250000000009E-2</v>
      </c>
      <c r="K55" s="193"/>
      <c r="L55" s="263"/>
      <c r="M55" s="263"/>
      <c r="N55" s="58"/>
      <c r="O55" s="30"/>
      <c r="P55" s="58"/>
      <c r="Q55" s="30"/>
      <c r="R55" s="135"/>
      <c r="S55" s="210"/>
      <c r="T55" s="294"/>
      <c r="U55" s="29" t="s">
        <v>29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2"/>
      <c r="AL55" s="294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4"/>
      <c r="C56" s="29" t="s">
        <v>31</v>
      </c>
      <c r="D56" s="191"/>
      <c r="E56" s="58"/>
      <c r="F56" s="192">
        <v>37.840280266666667</v>
      </c>
      <c r="G56" s="192">
        <v>41.824035433333343</v>
      </c>
      <c r="H56" s="192">
        <v>0.99148961066666674</v>
      </c>
      <c r="I56" s="64">
        <v>0.99502034500000014</v>
      </c>
      <c r="J56" s="64">
        <v>1.8255231099999991E-2</v>
      </c>
      <c r="K56" s="193"/>
      <c r="L56" s="263"/>
      <c r="M56" s="263"/>
      <c r="N56" s="58"/>
      <c r="O56" s="30"/>
      <c r="P56" s="58"/>
      <c r="Q56" s="30"/>
      <c r="R56" s="135"/>
      <c r="S56" s="210"/>
      <c r="T56" s="294"/>
      <c r="U56" s="29" t="s">
        <v>31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2"/>
      <c r="AL56" s="294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4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0"/>
      <c r="T57" s="294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2"/>
      <c r="AL57" s="294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6" t="s">
        <v>70</v>
      </c>
      <c r="C58" s="27" t="s">
        <v>27</v>
      </c>
      <c r="D58" s="41"/>
      <c r="E58" s="57"/>
      <c r="F58" s="99">
        <v>27.304061000000001</v>
      </c>
      <c r="G58" s="99">
        <v>32.701702733333327</v>
      </c>
      <c r="H58" s="99">
        <v>0.95917223633333337</v>
      </c>
      <c r="I58" s="62">
        <v>0.95709079566666633</v>
      </c>
      <c r="J58" s="62">
        <v>6.5427352999999994E-2</v>
      </c>
      <c r="K58" s="63"/>
      <c r="L58" s="262"/>
      <c r="M58" s="262"/>
      <c r="N58" s="57"/>
      <c r="O58" s="28"/>
      <c r="P58" s="57"/>
      <c r="Q58" s="28"/>
      <c r="R58" s="134"/>
      <c r="S58" s="210"/>
      <c r="T58" s="296" t="s">
        <v>70</v>
      </c>
      <c r="U58" s="27" t="s">
        <v>27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2"/>
      <c r="AL58" s="296" t="s">
        <v>70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4"/>
      <c r="C59" s="29" t="s">
        <v>28</v>
      </c>
      <c r="D59" s="191"/>
      <c r="E59" s="58"/>
      <c r="F59" s="192">
        <v>31.27528873333334</v>
      </c>
      <c r="G59" s="192">
        <v>35.910914566666662</v>
      </c>
      <c r="H59" s="192">
        <v>0.9766675023333331</v>
      </c>
      <c r="I59" s="64">
        <v>0.97698040333333347</v>
      </c>
      <c r="J59" s="64">
        <v>3.8103790800000009E-2</v>
      </c>
      <c r="K59" s="193"/>
      <c r="L59" s="263"/>
      <c r="M59" s="263"/>
      <c r="N59" s="58"/>
      <c r="O59" s="30"/>
      <c r="P59" s="58"/>
      <c r="Q59" s="30"/>
      <c r="R59" s="135"/>
      <c r="S59" s="210"/>
      <c r="T59" s="294"/>
      <c r="U59" s="29" t="s">
        <v>28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2"/>
      <c r="AL59" s="294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4"/>
      <c r="C60" s="29" t="s">
        <v>29</v>
      </c>
      <c r="D60" s="191"/>
      <c r="E60" s="58"/>
      <c r="F60" s="192">
        <v>35.700615366666668</v>
      </c>
      <c r="G60" s="192">
        <v>39.759404800000013</v>
      </c>
      <c r="H60" s="192">
        <v>0.98869893866666669</v>
      </c>
      <c r="I60" s="64">
        <v>0.9914493756666668</v>
      </c>
      <c r="J60" s="64">
        <v>2.24301511E-2</v>
      </c>
      <c r="K60" s="193"/>
      <c r="L60" s="263"/>
      <c r="M60" s="263"/>
      <c r="N60" s="58"/>
      <c r="O60" s="30"/>
      <c r="P60" s="58"/>
      <c r="Q60" s="30"/>
      <c r="R60" s="135"/>
      <c r="S60" s="210"/>
      <c r="T60" s="294"/>
      <c r="U60" s="29" t="s">
        <v>29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2"/>
      <c r="AL60" s="294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4"/>
      <c r="C61" s="29" t="s">
        <v>31</v>
      </c>
      <c r="D61" s="191"/>
      <c r="E61" s="58"/>
      <c r="F61" s="192">
        <v>38.362799799999998</v>
      </c>
      <c r="G61" s="192">
        <v>42.373069466666657</v>
      </c>
      <c r="H61" s="192">
        <v>0.992828025</v>
      </c>
      <c r="I61" s="64">
        <v>0.99569669566666663</v>
      </c>
      <c r="J61" s="64">
        <v>1.5604375950000001E-2</v>
      </c>
      <c r="K61" s="193"/>
      <c r="L61" s="263"/>
      <c r="M61" s="263"/>
      <c r="N61" s="58"/>
      <c r="O61" s="30"/>
      <c r="P61" s="58"/>
      <c r="Q61" s="30"/>
      <c r="R61" s="135"/>
      <c r="S61" s="210"/>
      <c r="T61" s="294"/>
      <c r="U61" s="29" t="s">
        <v>31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2"/>
      <c r="AL61" s="294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4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0"/>
      <c r="T62" s="294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2"/>
      <c r="AL62" s="294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6" t="s">
        <v>71</v>
      </c>
      <c r="C63" s="27" t="s">
        <v>27</v>
      </c>
      <c r="D63" s="41"/>
      <c r="E63" s="57"/>
      <c r="F63" s="99">
        <v>27.458092666666669</v>
      </c>
      <c r="G63" s="99">
        <v>32.830214400000003</v>
      </c>
      <c r="H63" s="99">
        <v>0.9597924463333336</v>
      </c>
      <c r="I63" s="62">
        <v>0.95636643566666679</v>
      </c>
      <c r="J63" s="62">
        <v>6.1345364099999987E-2</v>
      </c>
      <c r="K63" s="63"/>
      <c r="L63" s="262"/>
      <c r="M63" s="262"/>
      <c r="N63" s="57"/>
      <c r="O63" s="28"/>
      <c r="P63" s="57"/>
      <c r="Q63" s="28"/>
      <c r="R63" s="134"/>
      <c r="S63" s="210"/>
      <c r="T63" s="296" t="s">
        <v>71</v>
      </c>
      <c r="U63" s="27" t="s">
        <v>27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2"/>
      <c r="AL63" s="296" t="s">
        <v>71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4"/>
      <c r="C64" s="29" t="s">
        <v>28</v>
      </c>
      <c r="D64" s="191"/>
      <c r="E64" s="58"/>
      <c r="F64" s="192">
        <v>31.214667266666659</v>
      </c>
      <c r="G64" s="192">
        <v>35.883316533333343</v>
      </c>
      <c r="H64" s="192">
        <v>0.97652639333333335</v>
      </c>
      <c r="I64" s="64">
        <v>0.97445362733333341</v>
      </c>
      <c r="J64" s="64">
        <v>3.7060701766666669E-2</v>
      </c>
      <c r="K64" s="193"/>
      <c r="L64" s="263"/>
      <c r="M64" s="263"/>
      <c r="N64" s="58"/>
      <c r="O64" s="30"/>
      <c r="P64" s="58"/>
      <c r="Q64" s="30"/>
      <c r="R64" s="135"/>
      <c r="S64" s="210"/>
      <c r="T64" s="294"/>
      <c r="U64" s="29" t="s">
        <v>28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2"/>
      <c r="AL64" s="294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4"/>
      <c r="C65" s="29" t="s">
        <v>29</v>
      </c>
      <c r="D65" s="191"/>
      <c r="E65" s="58"/>
      <c r="F65" s="192">
        <v>35.713181066666671</v>
      </c>
      <c r="G65" s="192">
        <v>39.786202000000003</v>
      </c>
      <c r="H65" s="192">
        <v>0.98860943499999998</v>
      </c>
      <c r="I65" s="64">
        <v>0.99095855233333341</v>
      </c>
      <c r="J65" s="64">
        <v>2.1689409566666672E-2</v>
      </c>
      <c r="K65" s="193"/>
      <c r="L65" s="263"/>
      <c r="M65" s="263"/>
      <c r="N65" s="58"/>
      <c r="O65" s="30"/>
      <c r="P65" s="58"/>
      <c r="Q65" s="30"/>
      <c r="R65" s="135"/>
      <c r="S65" s="210"/>
      <c r="T65" s="294"/>
      <c r="U65" s="29" t="s">
        <v>29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2"/>
      <c r="AL65" s="294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9" t="s">
        <v>31</v>
      </c>
      <c r="D66" s="191"/>
      <c r="E66" s="58"/>
      <c r="F66" s="192">
        <v>38.332559600000003</v>
      </c>
      <c r="G66" s="192">
        <v>42.35387866666666</v>
      </c>
      <c r="H66" s="192">
        <v>0.99270362933333312</v>
      </c>
      <c r="I66" s="64">
        <v>0.99543944333333323</v>
      </c>
      <c r="J66" s="64">
        <v>1.520581438333333E-2</v>
      </c>
      <c r="K66" s="193"/>
      <c r="L66" s="263"/>
      <c r="M66" s="263"/>
      <c r="N66" s="58"/>
      <c r="O66" s="30"/>
      <c r="P66" s="58"/>
      <c r="Q66" s="30"/>
      <c r="R66" s="135"/>
      <c r="S66" s="210"/>
      <c r="T66" s="294"/>
      <c r="U66" s="29" t="s">
        <v>31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2"/>
      <c r="AL66" s="294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4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0"/>
      <c r="T67" s="294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2"/>
      <c r="AL67" s="294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6" t="s">
        <v>72</v>
      </c>
      <c r="C68" s="27" t="s">
        <v>27</v>
      </c>
      <c r="D68" s="41"/>
      <c r="E68" s="57"/>
      <c r="F68" s="99">
        <v>27.704188933333331</v>
      </c>
      <c r="G68" s="99">
        <v>33.012358766666672</v>
      </c>
      <c r="H68" s="99">
        <v>0.95984570533333324</v>
      </c>
      <c r="I68" s="62">
        <v>0.95626649699999999</v>
      </c>
      <c r="J68" s="62">
        <v>5.9010381833333327E-2</v>
      </c>
      <c r="K68" s="63"/>
      <c r="L68" s="262"/>
      <c r="M68" s="262"/>
      <c r="N68" s="57"/>
      <c r="O68" s="28"/>
      <c r="P68" s="57"/>
      <c r="Q68" s="28"/>
      <c r="R68" s="134"/>
      <c r="S68" s="210"/>
      <c r="T68" s="296" t="s">
        <v>72</v>
      </c>
      <c r="U68" s="27" t="s">
        <v>27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2"/>
      <c r="AL68" s="296" t="s">
        <v>72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4"/>
      <c r="C69" s="29" t="s">
        <v>28</v>
      </c>
      <c r="D69" s="191"/>
      <c r="E69" s="58"/>
      <c r="F69" s="192">
        <v>31.313230066666669</v>
      </c>
      <c r="G69" s="192">
        <v>35.973578600000003</v>
      </c>
      <c r="H69" s="192">
        <v>0.97631134000000031</v>
      </c>
      <c r="I69" s="64">
        <v>0.97399031833333327</v>
      </c>
      <c r="J69" s="64">
        <v>3.6467733866666671E-2</v>
      </c>
      <c r="K69" s="193"/>
      <c r="L69" s="263"/>
      <c r="M69" s="263"/>
      <c r="N69" s="58"/>
      <c r="O69" s="30"/>
      <c r="P69" s="58"/>
      <c r="Q69" s="30"/>
      <c r="R69" s="135"/>
      <c r="S69" s="210"/>
      <c r="T69" s="294"/>
      <c r="U69" s="29" t="s">
        <v>28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2"/>
      <c r="AL69" s="294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4"/>
      <c r="C70" s="29" t="s">
        <v>29</v>
      </c>
      <c r="D70" s="191"/>
      <c r="E70" s="58"/>
      <c r="F70" s="192">
        <v>35.734651733333337</v>
      </c>
      <c r="G70" s="192">
        <v>39.809001833333333</v>
      </c>
      <c r="H70" s="192">
        <v>0.98843122633333325</v>
      </c>
      <c r="I70" s="64">
        <v>0.99063216433333323</v>
      </c>
      <c r="J70" s="64">
        <v>2.1479703733333341E-2</v>
      </c>
      <c r="K70" s="193"/>
      <c r="L70" s="263"/>
      <c r="M70" s="263"/>
      <c r="N70" s="58"/>
      <c r="O70" s="30"/>
      <c r="P70" s="58"/>
      <c r="Q70" s="30"/>
      <c r="R70" s="135"/>
      <c r="S70" s="210"/>
      <c r="T70" s="294"/>
      <c r="U70" s="29" t="s">
        <v>29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2"/>
      <c r="AL70" s="294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4"/>
      <c r="C71" s="29" t="s">
        <v>31</v>
      </c>
      <c r="D71" s="191"/>
      <c r="E71" s="58"/>
      <c r="F71" s="192">
        <v>38.272642533333332</v>
      </c>
      <c r="G71" s="192">
        <v>42.287313033333326</v>
      </c>
      <c r="H71" s="192">
        <v>0.99252610966666677</v>
      </c>
      <c r="I71" s="64">
        <v>0.99524512600000004</v>
      </c>
      <c r="J71" s="64">
        <v>1.521628303333333E-2</v>
      </c>
      <c r="K71" s="193"/>
      <c r="L71" s="263"/>
      <c r="M71" s="263"/>
      <c r="N71" s="58"/>
      <c r="O71" s="30"/>
      <c r="P71" s="58"/>
      <c r="Q71" s="30"/>
      <c r="R71" s="135"/>
      <c r="S71" s="210"/>
      <c r="T71" s="294"/>
      <c r="U71" s="29" t="s">
        <v>31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2"/>
      <c r="AL71" s="294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4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0"/>
      <c r="T72" s="294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2"/>
      <c r="AL72" s="294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6" t="s">
        <v>73</v>
      </c>
      <c r="C73" s="27" t="s">
        <v>27</v>
      </c>
      <c r="D73" s="41"/>
      <c r="E73" s="57"/>
      <c r="F73" s="99">
        <v>27.806062266666672</v>
      </c>
      <c r="G73" s="99">
        <v>33.075912466666672</v>
      </c>
      <c r="H73" s="99">
        <v>0.95954799333333363</v>
      </c>
      <c r="I73" s="62">
        <v>0.9562363306666668</v>
      </c>
      <c r="J73" s="62">
        <v>5.9465751900000023E-2</v>
      </c>
      <c r="K73" s="63"/>
      <c r="L73" s="262"/>
      <c r="M73" s="262"/>
      <c r="N73" s="57"/>
      <c r="O73" s="28"/>
      <c r="P73" s="57"/>
      <c r="Q73" s="28"/>
      <c r="R73" s="134"/>
      <c r="S73" s="210"/>
      <c r="T73" s="296" t="s">
        <v>73</v>
      </c>
      <c r="U73" s="27" t="s">
        <v>27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2"/>
      <c r="AL73" s="296" t="s">
        <v>73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4"/>
      <c r="C74" s="29" t="s">
        <v>28</v>
      </c>
      <c r="D74" s="191"/>
      <c r="E74" s="58"/>
      <c r="F74" s="192">
        <v>31.30686953333333</v>
      </c>
      <c r="G74" s="192">
        <v>35.944591299999999</v>
      </c>
      <c r="H74" s="192">
        <v>0.97612298866666658</v>
      </c>
      <c r="I74" s="64">
        <v>0.9737128496666666</v>
      </c>
      <c r="J74" s="64">
        <v>3.7156586699999987E-2</v>
      </c>
      <c r="K74" s="193"/>
      <c r="L74" s="263"/>
      <c r="M74" s="263"/>
      <c r="N74" s="58"/>
      <c r="O74" s="30"/>
      <c r="P74" s="58"/>
      <c r="Q74" s="30"/>
      <c r="R74" s="135"/>
      <c r="S74" s="210"/>
      <c r="T74" s="294"/>
      <c r="U74" s="29" t="s">
        <v>28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2"/>
      <c r="AL74" s="294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4"/>
      <c r="C75" s="29" t="s">
        <v>29</v>
      </c>
      <c r="D75" s="191"/>
      <c r="E75" s="58"/>
      <c r="F75" s="192">
        <v>35.743844566666667</v>
      </c>
      <c r="G75" s="192">
        <v>39.802474033333333</v>
      </c>
      <c r="H75" s="192">
        <v>0.9883271853333333</v>
      </c>
      <c r="I75" s="64">
        <v>0.99058062033333316</v>
      </c>
      <c r="J75" s="64">
        <v>2.1857877899999999E-2</v>
      </c>
      <c r="K75" s="193"/>
      <c r="L75" s="263"/>
      <c r="M75" s="263"/>
      <c r="N75" s="58"/>
      <c r="O75" s="30"/>
      <c r="P75" s="58"/>
      <c r="Q75" s="30"/>
      <c r="R75" s="135"/>
      <c r="S75" s="210"/>
      <c r="T75" s="294"/>
      <c r="U75" s="29" t="s">
        <v>29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2"/>
      <c r="AL75" s="294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4"/>
      <c r="C76" s="29" t="s">
        <v>31</v>
      </c>
      <c r="D76" s="191"/>
      <c r="E76" s="58"/>
      <c r="F76" s="192">
        <v>38.252020600000009</v>
      </c>
      <c r="G76" s="192">
        <v>42.260129233333338</v>
      </c>
      <c r="H76" s="192">
        <v>0.99244286866666653</v>
      </c>
      <c r="I76" s="64">
        <v>0.99526125366666685</v>
      </c>
      <c r="J76" s="64">
        <v>1.5613302016666671E-2</v>
      </c>
      <c r="K76" s="193"/>
      <c r="L76" s="263"/>
      <c r="M76" s="263"/>
      <c r="N76" s="58"/>
      <c r="O76" s="30"/>
      <c r="P76" s="58"/>
      <c r="Q76" s="30"/>
      <c r="R76" s="135"/>
      <c r="S76" s="210"/>
      <c r="T76" s="294"/>
      <c r="U76" s="29" t="s">
        <v>31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2"/>
      <c r="AL76" s="294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4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0"/>
      <c r="T77" s="294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2"/>
      <c r="AL77" s="294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6" t="s">
        <v>74</v>
      </c>
      <c r="C78" s="27" t="s">
        <v>27</v>
      </c>
      <c r="D78" s="41"/>
      <c r="E78" s="57"/>
      <c r="F78" s="99">
        <v>27.871442166666661</v>
      </c>
      <c r="G78" s="99">
        <v>33.040479900000001</v>
      </c>
      <c r="H78" s="99">
        <v>0.95759396633333316</v>
      </c>
      <c r="I78" s="62">
        <v>0.95726745133333346</v>
      </c>
      <c r="J78" s="62">
        <v>6.2645692166666656E-2</v>
      </c>
      <c r="K78" s="63"/>
      <c r="L78" s="262"/>
      <c r="M78" s="262"/>
      <c r="N78" s="57"/>
      <c r="O78" s="28"/>
      <c r="P78" s="57"/>
      <c r="Q78" s="28"/>
      <c r="R78" s="134"/>
      <c r="S78" s="210"/>
      <c r="T78" s="296" t="s">
        <v>74</v>
      </c>
      <c r="U78" s="27" t="s">
        <v>27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2"/>
      <c r="AL78" s="296" t="s">
        <v>74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4"/>
      <c r="C79" s="29" t="s">
        <v>28</v>
      </c>
      <c r="D79" s="191"/>
      <c r="E79" s="58"/>
      <c r="F79" s="192">
        <v>31.206209166666671</v>
      </c>
      <c r="G79" s="192">
        <v>35.781378366666672</v>
      </c>
      <c r="H79" s="192">
        <v>0.97502112166666655</v>
      </c>
      <c r="I79" s="64">
        <v>0.97435642866666683</v>
      </c>
      <c r="J79" s="64">
        <v>4.0029993899999991E-2</v>
      </c>
      <c r="K79" s="193"/>
      <c r="L79" s="263"/>
      <c r="M79" s="263"/>
      <c r="N79" s="58"/>
      <c r="O79" s="30"/>
      <c r="P79" s="58"/>
      <c r="Q79" s="30"/>
      <c r="R79" s="135"/>
      <c r="S79" s="210"/>
      <c r="T79" s="294"/>
      <c r="U79" s="29" t="s">
        <v>28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2"/>
      <c r="AL79" s="294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4"/>
      <c r="C80" s="29" t="s">
        <v>29</v>
      </c>
      <c r="D80" s="191"/>
      <c r="E80" s="58"/>
      <c r="F80" s="192">
        <v>35.568046833333327</v>
      </c>
      <c r="G80" s="192">
        <v>39.593293933333342</v>
      </c>
      <c r="H80" s="192">
        <v>0.98748517033333316</v>
      </c>
      <c r="I80" s="64">
        <v>0.99058073466666663</v>
      </c>
      <c r="J80" s="64">
        <v>2.3901411633333342E-2</v>
      </c>
      <c r="K80" s="193"/>
      <c r="L80" s="263"/>
      <c r="M80" s="263"/>
      <c r="N80" s="58"/>
      <c r="O80" s="30"/>
      <c r="P80" s="58"/>
      <c r="Q80" s="30"/>
      <c r="R80" s="135"/>
      <c r="S80" s="210"/>
      <c r="T80" s="294"/>
      <c r="U80" s="29" t="s">
        <v>29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2"/>
      <c r="AL80" s="294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4"/>
      <c r="C81" s="29" t="s">
        <v>31</v>
      </c>
      <c r="D81" s="191"/>
      <c r="E81" s="58"/>
      <c r="F81" s="192">
        <v>37.967548833333332</v>
      </c>
      <c r="G81" s="192">
        <v>41.937727966666671</v>
      </c>
      <c r="H81" s="192">
        <v>0.99173623966666657</v>
      </c>
      <c r="I81" s="64">
        <v>0.99507203333333316</v>
      </c>
      <c r="J81" s="64">
        <v>1.7237341616666669E-2</v>
      </c>
      <c r="K81" s="193"/>
      <c r="L81" s="263"/>
      <c r="M81" s="263"/>
      <c r="N81" s="58"/>
      <c r="O81" s="30"/>
      <c r="P81" s="58"/>
      <c r="Q81" s="30"/>
      <c r="R81" s="135"/>
      <c r="S81" s="210"/>
      <c r="T81" s="294"/>
      <c r="U81" s="29" t="s">
        <v>31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2"/>
      <c r="AL81" s="294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4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0"/>
      <c r="T82" s="294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2"/>
      <c r="AL82" s="294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93" t="s">
        <v>75</v>
      </c>
      <c r="C83" s="27" t="s">
        <v>27</v>
      </c>
      <c r="D83" s="41"/>
      <c r="E83" s="57"/>
      <c r="F83" s="99">
        <v>27.422565066666671</v>
      </c>
      <c r="G83" s="99">
        <v>32.761189799999997</v>
      </c>
      <c r="H83" s="99">
        <v>0.95741547866666665</v>
      </c>
      <c r="I83" s="62">
        <v>0.95904896366666703</v>
      </c>
      <c r="J83" s="62">
        <v>6.5988078633333336E-2</v>
      </c>
      <c r="K83" s="63"/>
      <c r="L83" s="262"/>
      <c r="M83" s="262"/>
      <c r="N83" s="57"/>
      <c r="O83" s="28"/>
      <c r="P83" s="57"/>
      <c r="Q83" s="28"/>
      <c r="R83" s="134"/>
      <c r="S83" s="210"/>
      <c r="T83" s="293" t="s">
        <v>75</v>
      </c>
      <c r="U83" s="27" t="s">
        <v>27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2"/>
      <c r="AL83" s="293" t="s">
        <v>75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4"/>
      <c r="C84" s="29" t="s">
        <v>28</v>
      </c>
      <c r="D84" s="191"/>
      <c r="E84" s="58"/>
      <c r="F84" s="192">
        <v>31.062784733333331</v>
      </c>
      <c r="G84" s="192">
        <v>35.742159333333333</v>
      </c>
      <c r="H84" s="192">
        <v>0.9763166040000002</v>
      </c>
      <c r="I84" s="64">
        <v>0.97707020500000008</v>
      </c>
      <c r="J84" s="64">
        <v>3.8677132533333339E-2</v>
      </c>
      <c r="K84" s="193"/>
      <c r="L84" s="263"/>
      <c r="M84" s="263"/>
      <c r="N84" s="58"/>
      <c r="O84" s="30"/>
      <c r="P84" s="58"/>
      <c r="Q84" s="30"/>
      <c r="R84" s="135"/>
      <c r="S84" s="210"/>
      <c r="T84" s="294"/>
      <c r="U84" s="29" t="s">
        <v>28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2"/>
      <c r="AL84" s="294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4"/>
      <c r="C85" s="29" t="s">
        <v>29</v>
      </c>
      <c r="D85" s="191"/>
      <c r="E85" s="58"/>
      <c r="F85" s="192">
        <v>35.447775433333327</v>
      </c>
      <c r="G85" s="192">
        <v>39.543248700000007</v>
      </c>
      <c r="H85" s="192">
        <v>0.98860036733333334</v>
      </c>
      <c r="I85" s="64">
        <v>0.99139922999999974</v>
      </c>
      <c r="J85" s="64">
        <v>2.2153963533333331E-2</v>
      </c>
      <c r="K85" s="193"/>
      <c r="L85" s="263"/>
      <c r="M85" s="263"/>
      <c r="N85" s="58"/>
      <c r="O85" s="30"/>
      <c r="P85" s="58"/>
      <c r="Q85" s="30"/>
      <c r="R85" s="135"/>
      <c r="S85" s="210"/>
      <c r="T85" s="294"/>
      <c r="U85" s="29" t="s">
        <v>29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2"/>
      <c r="AL85" s="294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4"/>
      <c r="C86" s="29" t="s">
        <v>31</v>
      </c>
      <c r="D86" s="191"/>
      <c r="E86" s="58"/>
      <c r="F86" s="192">
        <v>38.217803233333328</v>
      </c>
      <c r="G86" s="192">
        <v>42.208177366666661</v>
      </c>
      <c r="H86" s="192">
        <v>0.99292077733333317</v>
      </c>
      <c r="I86" s="64">
        <v>0.9956916979999999</v>
      </c>
      <c r="J86" s="64">
        <v>1.518759116666667E-2</v>
      </c>
      <c r="K86" s="193"/>
      <c r="L86" s="263"/>
      <c r="M86" s="263"/>
      <c r="N86" s="58"/>
      <c r="O86" s="30"/>
      <c r="P86" s="58"/>
      <c r="Q86" s="30"/>
      <c r="R86" s="135"/>
      <c r="S86" s="210"/>
      <c r="T86" s="294"/>
      <c r="U86" s="29" t="s">
        <v>31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2"/>
      <c r="AL86" s="294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5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0"/>
      <c r="T87" s="295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2"/>
      <c r="AL87" s="295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93" t="s">
        <v>76</v>
      </c>
      <c r="C88" s="27" t="s">
        <v>27</v>
      </c>
      <c r="D88" s="41"/>
      <c r="E88" s="57"/>
      <c r="F88" s="99">
        <v>27.572154566666661</v>
      </c>
      <c r="G88" s="99">
        <v>32.907927566666679</v>
      </c>
      <c r="H88" s="99">
        <v>0.95873776966666679</v>
      </c>
      <c r="I88" s="62">
        <v>0.95804830666666663</v>
      </c>
      <c r="J88" s="62">
        <v>6.2692542033333312E-2</v>
      </c>
      <c r="K88" s="63"/>
      <c r="L88" s="262"/>
      <c r="M88" s="262"/>
      <c r="N88" s="57"/>
      <c r="O88" s="28"/>
      <c r="P88" s="57"/>
      <c r="Q88" s="28"/>
      <c r="R88" s="134"/>
      <c r="S88" s="210"/>
      <c r="T88" s="293" t="s">
        <v>76</v>
      </c>
      <c r="U88" s="27" t="s">
        <v>27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2"/>
      <c r="AL88" s="293" t="s">
        <v>76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4"/>
      <c r="C89" s="29" t="s">
        <v>28</v>
      </c>
      <c r="D89" s="191"/>
      <c r="E89" s="58"/>
      <c r="F89" s="192">
        <v>31.186822366666672</v>
      </c>
      <c r="G89" s="192">
        <v>35.867481366666659</v>
      </c>
      <c r="H89" s="192">
        <v>0.9765034290000002</v>
      </c>
      <c r="I89" s="64">
        <v>0.97572990966666662</v>
      </c>
      <c r="J89" s="64">
        <v>3.7809940366666663E-2</v>
      </c>
      <c r="K89" s="193"/>
      <c r="L89" s="263"/>
      <c r="M89" s="263"/>
      <c r="N89" s="58"/>
      <c r="O89" s="30"/>
      <c r="P89" s="58"/>
      <c r="Q89" s="30"/>
      <c r="R89" s="135"/>
      <c r="S89" s="210"/>
      <c r="T89" s="294"/>
      <c r="U89" s="29" t="s">
        <v>28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2"/>
      <c r="AL89" s="294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4"/>
      <c r="C90" s="29" t="s">
        <v>29</v>
      </c>
      <c r="D90" s="191"/>
      <c r="E90" s="58"/>
      <c r="F90" s="192">
        <v>35.576350700000013</v>
      </c>
      <c r="G90" s="192">
        <v>39.67953</v>
      </c>
      <c r="H90" s="192">
        <v>0.98859222399999991</v>
      </c>
      <c r="I90" s="64">
        <v>0.99101656166666718</v>
      </c>
      <c r="J90" s="64">
        <v>2.20316708E-2</v>
      </c>
      <c r="K90" s="193"/>
      <c r="L90" s="263"/>
      <c r="M90" s="263"/>
      <c r="N90" s="58"/>
      <c r="O90" s="30"/>
      <c r="P90" s="58"/>
      <c r="Q90" s="30"/>
      <c r="R90" s="135"/>
      <c r="S90" s="210"/>
      <c r="T90" s="294"/>
      <c r="U90" s="29" t="s">
        <v>29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2"/>
      <c r="AL90" s="294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4"/>
      <c r="C91" s="29" t="s">
        <v>31</v>
      </c>
      <c r="D91" s="191"/>
      <c r="E91" s="58"/>
      <c r="F91" s="192">
        <v>38.306634000000003</v>
      </c>
      <c r="G91" s="192">
        <v>42.318309599999999</v>
      </c>
      <c r="H91" s="192">
        <v>0.99284206500000027</v>
      </c>
      <c r="I91" s="64">
        <v>0.99550905966666692</v>
      </c>
      <c r="J91" s="64">
        <v>1.5296908916666661E-2</v>
      </c>
      <c r="K91" s="193"/>
      <c r="L91" s="263"/>
      <c r="M91" s="263"/>
      <c r="N91" s="58"/>
      <c r="O91" s="30"/>
      <c r="P91" s="58"/>
      <c r="Q91" s="30"/>
      <c r="R91" s="135"/>
      <c r="S91" s="210"/>
      <c r="T91" s="294"/>
      <c r="U91" s="29" t="s">
        <v>31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2"/>
      <c r="AL91" s="294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5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0"/>
      <c r="T92" s="295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2"/>
      <c r="AL92" s="295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93" t="s">
        <v>77</v>
      </c>
      <c r="C93" s="27" t="s">
        <v>27</v>
      </c>
      <c r="D93" s="41"/>
      <c r="E93" s="57"/>
      <c r="F93" s="99">
        <v>27.670609933333321</v>
      </c>
      <c r="G93" s="99">
        <v>33.003999800000003</v>
      </c>
      <c r="H93" s="99">
        <v>0.95911730800000028</v>
      </c>
      <c r="I93" s="62">
        <v>0.95653028433333342</v>
      </c>
      <c r="J93" s="62">
        <v>5.9866800733333322E-2</v>
      </c>
      <c r="K93" s="63"/>
      <c r="L93" s="262"/>
      <c r="M93" s="262"/>
      <c r="N93" s="57"/>
      <c r="O93" s="28"/>
      <c r="P93" s="57"/>
      <c r="Q93" s="28"/>
      <c r="R93" s="134"/>
      <c r="S93" s="210"/>
      <c r="T93" s="293" t="s">
        <v>77</v>
      </c>
      <c r="U93" s="27" t="s">
        <v>27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2"/>
      <c r="AL93" s="293" t="s">
        <v>77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4"/>
      <c r="C94" s="29" t="s">
        <v>28</v>
      </c>
      <c r="D94" s="191"/>
      <c r="E94" s="58"/>
      <c r="F94" s="192">
        <v>31.293326300000011</v>
      </c>
      <c r="G94" s="192">
        <v>35.961862933333343</v>
      </c>
      <c r="H94" s="192">
        <v>0.97665408333333326</v>
      </c>
      <c r="I94" s="64">
        <v>0.97401135699999986</v>
      </c>
      <c r="J94" s="64">
        <v>3.592901673333334E-2</v>
      </c>
      <c r="K94" s="193"/>
      <c r="L94" s="263"/>
      <c r="M94" s="263"/>
      <c r="N94" s="58"/>
      <c r="O94" s="30"/>
      <c r="P94" s="58"/>
      <c r="Q94" s="30"/>
      <c r="R94" s="135"/>
      <c r="S94" s="210"/>
      <c r="T94" s="294"/>
      <c r="U94" s="29" t="s">
        <v>28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2"/>
      <c r="AL94" s="294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4"/>
      <c r="C95" s="29" t="s">
        <v>29</v>
      </c>
      <c r="D95" s="191"/>
      <c r="E95" s="58"/>
      <c r="F95" s="192">
        <v>35.746131866666673</v>
      </c>
      <c r="G95" s="192">
        <v>39.824731933333332</v>
      </c>
      <c r="H95" s="192">
        <v>0.9886860976666666</v>
      </c>
      <c r="I95" s="64">
        <v>0.99052976833333317</v>
      </c>
      <c r="J95" s="64">
        <v>2.0849418333333331E-2</v>
      </c>
      <c r="K95" s="193"/>
      <c r="L95" s="263"/>
      <c r="M95" s="263"/>
      <c r="N95" s="58"/>
      <c r="O95" s="30"/>
      <c r="P95" s="58"/>
      <c r="Q95" s="30"/>
      <c r="R95" s="135"/>
      <c r="S95" s="210"/>
      <c r="T95" s="294"/>
      <c r="U95" s="29" t="s">
        <v>29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2"/>
      <c r="AL95" s="294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4"/>
      <c r="C96" s="29" t="s">
        <v>31</v>
      </c>
      <c r="D96" s="191"/>
      <c r="E96" s="58"/>
      <c r="F96" s="192">
        <v>38.417140333333343</v>
      </c>
      <c r="G96" s="192">
        <v>42.414630433333329</v>
      </c>
      <c r="H96" s="192">
        <v>0.992855245</v>
      </c>
      <c r="I96" s="64">
        <v>0.99531762066666662</v>
      </c>
      <c r="J96" s="64">
        <v>1.4501149366666671E-2</v>
      </c>
      <c r="K96" s="193"/>
      <c r="L96" s="263"/>
      <c r="M96" s="263"/>
      <c r="N96" s="58"/>
      <c r="O96" s="30"/>
      <c r="P96" s="58"/>
      <c r="Q96" s="30"/>
      <c r="R96" s="135"/>
      <c r="S96" s="210"/>
      <c r="T96" s="294"/>
      <c r="U96" s="29" t="s">
        <v>31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2"/>
      <c r="AL96" s="294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5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0"/>
      <c r="T97" s="295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2"/>
      <c r="AL97" s="295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93" t="s">
        <v>78</v>
      </c>
      <c r="C98" s="27" t="s">
        <v>27</v>
      </c>
      <c r="D98" s="41"/>
      <c r="E98" s="57"/>
      <c r="F98" s="99">
        <v>27.962250099999999</v>
      </c>
      <c r="G98" s="99">
        <v>33.216819066666673</v>
      </c>
      <c r="H98" s="99">
        <v>0.95918030233333318</v>
      </c>
      <c r="I98" s="62">
        <v>0.95788711966666684</v>
      </c>
      <c r="J98" s="62">
        <v>6.0909717366666657E-2</v>
      </c>
      <c r="K98" s="63"/>
      <c r="L98" s="262"/>
      <c r="M98" s="262"/>
      <c r="N98" s="57"/>
      <c r="O98" s="28"/>
      <c r="P98" s="57"/>
      <c r="Q98" s="28"/>
      <c r="R98" s="134"/>
      <c r="S98" s="210"/>
      <c r="T98" s="293" t="s">
        <v>78</v>
      </c>
      <c r="U98" s="27" t="s">
        <v>27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2"/>
      <c r="AL98" s="293" t="s">
        <v>78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4"/>
      <c r="C99" s="29" t="s">
        <v>28</v>
      </c>
      <c r="D99" s="191"/>
      <c r="E99" s="58"/>
      <c r="F99" s="192">
        <v>31.375298400000009</v>
      </c>
      <c r="G99" s="192">
        <v>36.025473899999987</v>
      </c>
      <c r="H99" s="192">
        <v>0.97670401866666667</v>
      </c>
      <c r="I99" s="64">
        <v>0.9746026069999999</v>
      </c>
      <c r="J99" s="64">
        <v>3.6900822100000001E-2</v>
      </c>
      <c r="K99" s="193"/>
      <c r="L99" s="263"/>
      <c r="M99" s="263"/>
      <c r="N99" s="58"/>
      <c r="O99" s="30"/>
      <c r="P99" s="58"/>
      <c r="Q99" s="30"/>
      <c r="R99" s="135"/>
      <c r="S99" s="210"/>
      <c r="T99" s="294"/>
      <c r="U99" s="29" t="s">
        <v>28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2"/>
      <c r="AL99" s="294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4"/>
      <c r="C100" s="29" t="s">
        <v>29</v>
      </c>
      <c r="D100" s="191"/>
      <c r="E100" s="58"/>
      <c r="F100" s="192">
        <v>35.716222599999988</v>
      </c>
      <c r="G100" s="192">
        <v>39.797199866666674</v>
      </c>
      <c r="H100" s="192">
        <v>0.98865130133333345</v>
      </c>
      <c r="I100" s="64">
        <v>0.99062058500000005</v>
      </c>
      <c r="J100" s="64">
        <v>2.157762173333333E-2</v>
      </c>
      <c r="K100" s="193"/>
      <c r="L100" s="263"/>
      <c r="M100" s="263"/>
      <c r="N100" s="58"/>
      <c r="O100" s="30"/>
      <c r="P100" s="58"/>
      <c r="Q100" s="30"/>
      <c r="R100" s="135"/>
      <c r="S100" s="210"/>
      <c r="T100" s="294"/>
      <c r="U100" s="29" t="s">
        <v>29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2"/>
      <c r="AL100" s="294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4"/>
      <c r="C101" s="29" t="s">
        <v>31</v>
      </c>
      <c r="D101" s="191"/>
      <c r="E101" s="58"/>
      <c r="F101" s="192">
        <v>38.382583933333329</v>
      </c>
      <c r="G101" s="192">
        <v>42.38178886666666</v>
      </c>
      <c r="H101" s="192">
        <v>0.99280025199999999</v>
      </c>
      <c r="I101" s="64">
        <v>0.99540684033333326</v>
      </c>
      <c r="J101" s="64">
        <v>1.5127838899999999E-2</v>
      </c>
      <c r="K101" s="193"/>
      <c r="L101" s="263"/>
      <c r="M101" s="263"/>
      <c r="N101" s="58"/>
      <c r="O101" s="30"/>
      <c r="P101" s="58"/>
      <c r="Q101" s="30"/>
      <c r="R101" s="135"/>
      <c r="S101" s="210"/>
      <c r="T101" s="294"/>
      <c r="U101" s="29" t="s">
        <v>31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2"/>
      <c r="AL101" s="294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5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0"/>
      <c r="T102" s="295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2"/>
      <c r="AL102" s="295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93" t="s">
        <v>79</v>
      </c>
      <c r="C103" s="27" t="s">
        <v>27</v>
      </c>
      <c r="D103" s="41"/>
      <c r="E103" s="57"/>
      <c r="F103" s="99">
        <v>27.870725900000011</v>
      </c>
      <c r="G103" s="99">
        <v>32.957532866666668</v>
      </c>
      <c r="H103" s="99">
        <v>0.95743356566666649</v>
      </c>
      <c r="I103" s="62">
        <v>0.95819893633333342</v>
      </c>
      <c r="J103" s="62">
        <v>6.260919379999999E-2</v>
      </c>
      <c r="K103" s="63"/>
      <c r="L103" s="262"/>
      <c r="M103" s="262"/>
      <c r="N103" s="57"/>
      <c r="O103" s="28"/>
      <c r="P103" s="57"/>
      <c r="Q103" s="28"/>
      <c r="R103" s="134"/>
      <c r="S103" s="210"/>
      <c r="T103" s="293" t="s">
        <v>79</v>
      </c>
      <c r="U103" s="27" t="s">
        <v>27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2"/>
      <c r="AL103" s="293" t="s">
        <v>79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4"/>
      <c r="C104" s="29" t="s">
        <v>28</v>
      </c>
      <c r="D104" s="191"/>
      <c r="E104" s="58"/>
      <c r="F104" s="192">
        <v>31.173681200000001</v>
      </c>
      <c r="G104" s="192">
        <v>35.712344566666658</v>
      </c>
      <c r="H104" s="192">
        <v>0.97585787066666718</v>
      </c>
      <c r="I104" s="64">
        <v>0.97520863366666677</v>
      </c>
      <c r="J104" s="64">
        <v>3.8348309566666662E-2</v>
      </c>
      <c r="K104" s="193"/>
      <c r="L104" s="263"/>
      <c r="M104" s="263"/>
      <c r="N104" s="58"/>
      <c r="O104" s="30"/>
      <c r="P104" s="58"/>
      <c r="Q104" s="30"/>
      <c r="R104" s="135"/>
      <c r="S104" s="210"/>
      <c r="T104" s="294"/>
      <c r="U104" s="29" t="s">
        <v>28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2"/>
      <c r="AL104" s="294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4"/>
      <c r="C105" s="29" t="s">
        <v>29</v>
      </c>
      <c r="D105" s="191"/>
      <c r="E105" s="58"/>
      <c r="F105" s="192">
        <v>35.42563173333334</v>
      </c>
      <c r="G105" s="192">
        <v>39.453480966666667</v>
      </c>
      <c r="H105" s="192">
        <v>0.9879800826666667</v>
      </c>
      <c r="I105" s="64">
        <v>0.9905227350000001</v>
      </c>
      <c r="J105" s="64">
        <v>2.2625609733333329E-2</v>
      </c>
      <c r="K105" s="193"/>
      <c r="L105" s="263"/>
      <c r="M105" s="263"/>
      <c r="N105" s="58"/>
      <c r="O105" s="30"/>
      <c r="P105" s="58"/>
      <c r="Q105" s="30"/>
      <c r="R105" s="135"/>
      <c r="S105" s="210"/>
      <c r="T105" s="294"/>
      <c r="U105" s="29" t="s">
        <v>29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2"/>
      <c r="AL105" s="294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4"/>
      <c r="C106" s="29" t="s">
        <v>31</v>
      </c>
      <c r="D106" s="191"/>
      <c r="E106" s="58"/>
      <c r="F106" s="192">
        <v>38.098909100000007</v>
      </c>
      <c r="G106" s="192">
        <v>42.055795833333327</v>
      </c>
      <c r="H106" s="192">
        <v>0.99235923733333364</v>
      </c>
      <c r="I106" s="64">
        <v>0.99524847033333352</v>
      </c>
      <c r="J106" s="64">
        <v>1.57664502E-2</v>
      </c>
      <c r="K106" s="193"/>
      <c r="L106" s="263"/>
      <c r="M106" s="263"/>
      <c r="N106" s="58"/>
      <c r="O106" s="30"/>
      <c r="P106" s="58"/>
      <c r="Q106" s="30"/>
      <c r="R106" s="135"/>
      <c r="S106" s="210"/>
      <c r="T106" s="294"/>
      <c r="U106" s="29" t="s">
        <v>31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2"/>
      <c r="AL106" s="294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5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0"/>
      <c r="T107" s="295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2"/>
      <c r="AL107" s="295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93" t="s">
        <v>80</v>
      </c>
      <c r="C108" s="27" t="s">
        <v>27</v>
      </c>
      <c r="D108" s="41"/>
      <c r="E108" s="57"/>
      <c r="F108" s="99"/>
      <c r="G108" s="99"/>
      <c r="H108" s="99"/>
      <c r="I108" s="62"/>
      <c r="J108" s="62"/>
      <c r="K108" s="63"/>
      <c r="L108" s="262"/>
      <c r="M108" s="262"/>
      <c r="N108" s="57"/>
      <c r="O108" s="28"/>
      <c r="P108" s="57"/>
      <c r="Q108" s="28"/>
      <c r="R108" s="134"/>
      <c r="S108" s="210"/>
      <c r="T108" s="293" t="s">
        <v>80</v>
      </c>
      <c r="U108" s="27" t="s">
        <v>27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2"/>
      <c r="AL108" s="293" t="s">
        <v>80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4"/>
      <c r="C109" s="29" t="s">
        <v>28</v>
      </c>
      <c r="D109" s="191"/>
      <c r="E109" s="58"/>
      <c r="F109" s="192"/>
      <c r="G109" s="192"/>
      <c r="H109" s="192"/>
      <c r="I109" s="64"/>
      <c r="J109" s="64"/>
      <c r="K109" s="193"/>
      <c r="L109" s="263"/>
      <c r="M109" s="263"/>
      <c r="N109" s="58"/>
      <c r="O109" s="30"/>
      <c r="P109" s="58"/>
      <c r="Q109" s="30"/>
      <c r="R109" s="135"/>
      <c r="S109" s="210"/>
      <c r="T109" s="294"/>
      <c r="U109" s="29" t="s">
        <v>28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2"/>
      <c r="AL109" s="294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4"/>
      <c r="C110" s="29" t="s">
        <v>29</v>
      </c>
      <c r="D110" s="191"/>
      <c r="E110" s="58"/>
      <c r="F110" s="192"/>
      <c r="G110" s="192"/>
      <c r="H110" s="192"/>
      <c r="I110" s="64"/>
      <c r="J110" s="64"/>
      <c r="K110" s="193"/>
      <c r="L110" s="263"/>
      <c r="M110" s="263"/>
      <c r="N110" s="58"/>
      <c r="O110" s="30"/>
      <c r="P110" s="58"/>
      <c r="Q110" s="30"/>
      <c r="R110" s="135"/>
      <c r="S110" s="210"/>
      <c r="T110" s="294"/>
      <c r="U110" s="29" t="s">
        <v>29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2"/>
      <c r="AL110" s="294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4"/>
      <c r="C111" s="29" t="s">
        <v>31</v>
      </c>
      <c r="D111" s="191"/>
      <c r="E111" s="58"/>
      <c r="F111" s="192"/>
      <c r="G111" s="192"/>
      <c r="H111" s="192"/>
      <c r="I111" s="64"/>
      <c r="J111" s="64"/>
      <c r="K111" s="193"/>
      <c r="L111" s="263"/>
      <c r="M111" s="263"/>
      <c r="N111" s="58"/>
      <c r="O111" s="30"/>
      <c r="P111" s="58"/>
      <c r="Q111" s="30"/>
      <c r="R111" s="135"/>
      <c r="S111" s="210"/>
      <c r="T111" s="294"/>
      <c r="U111" s="29" t="s">
        <v>31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2"/>
      <c r="AL111" s="294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5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0"/>
      <c r="T112" s="295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2"/>
      <c r="AL112" s="295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93" t="s">
        <v>81</v>
      </c>
      <c r="C113" s="27" t="s">
        <v>27</v>
      </c>
      <c r="D113" s="41"/>
      <c r="E113" s="57"/>
      <c r="F113" s="99"/>
      <c r="G113" s="99"/>
      <c r="H113" s="99"/>
      <c r="I113" s="62"/>
      <c r="J113" s="62"/>
      <c r="K113" s="63"/>
      <c r="L113" s="262"/>
      <c r="M113" s="262"/>
      <c r="N113" s="57"/>
      <c r="O113" s="28"/>
      <c r="P113" s="57"/>
      <c r="Q113" s="28"/>
      <c r="R113" s="134"/>
      <c r="S113" s="210"/>
      <c r="T113" s="293" t="s">
        <v>81</v>
      </c>
      <c r="U113" s="27" t="s">
        <v>27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2"/>
      <c r="AL113" s="293" t="s">
        <v>81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4"/>
      <c r="C114" s="29" t="s">
        <v>28</v>
      </c>
      <c r="D114" s="191"/>
      <c r="E114" s="58"/>
      <c r="F114" s="192"/>
      <c r="G114" s="192"/>
      <c r="H114" s="192"/>
      <c r="I114" s="64"/>
      <c r="J114" s="64"/>
      <c r="K114" s="193"/>
      <c r="L114" s="263"/>
      <c r="M114" s="263"/>
      <c r="N114" s="58"/>
      <c r="O114" s="30"/>
      <c r="P114" s="58"/>
      <c r="Q114" s="30"/>
      <c r="R114" s="135"/>
      <c r="S114" s="210"/>
      <c r="T114" s="294"/>
      <c r="U114" s="29" t="s">
        <v>28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2"/>
      <c r="AL114" s="294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4"/>
      <c r="C115" s="29" t="s">
        <v>29</v>
      </c>
      <c r="D115" s="191"/>
      <c r="E115" s="58"/>
      <c r="F115" s="192"/>
      <c r="G115" s="192"/>
      <c r="H115" s="192"/>
      <c r="I115" s="64"/>
      <c r="J115" s="64"/>
      <c r="K115" s="193"/>
      <c r="L115" s="263"/>
      <c r="M115" s="263"/>
      <c r="N115" s="58"/>
      <c r="O115" s="30"/>
      <c r="P115" s="58"/>
      <c r="Q115" s="30"/>
      <c r="R115" s="135"/>
      <c r="S115" s="210"/>
      <c r="T115" s="294"/>
      <c r="U115" s="29" t="s">
        <v>29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2"/>
      <c r="AL115" s="294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4"/>
      <c r="C116" s="29" t="s">
        <v>31</v>
      </c>
      <c r="D116" s="191"/>
      <c r="E116" s="58"/>
      <c r="F116" s="192"/>
      <c r="G116" s="192"/>
      <c r="H116" s="192"/>
      <c r="I116" s="64"/>
      <c r="J116" s="64"/>
      <c r="K116" s="193"/>
      <c r="L116" s="263"/>
      <c r="M116" s="263"/>
      <c r="N116" s="58"/>
      <c r="O116" s="30"/>
      <c r="P116" s="58"/>
      <c r="Q116" s="30"/>
      <c r="R116" s="135"/>
      <c r="S116" s="210"/>
      <c r="T116" s="294"/>
      <c r="U116" s="29" t="s">
        <v>31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2"/>
      <c r="AL116" s="294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5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0"/>
      <c r="T117" s="295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2"/>
      <c r="AL117" s="295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93" t="s">
        <v>82</v>
      </c>
      <c r="C118" s="27" t="s">
        <v>27</v>
      </c>
      <c r="D118" s="41"/>
      <c r="E118" s="57"/>
      <c r="F118" s="99"/>
      <c r="G118" s="99"/>
      <c r="H118" s="99"/>
      <c r="I118" s="62"/>
      <c r="J118" s="62"/>
      <c r="K118" s="63"/>
      <c r="L118" s="262"/>
      <c r="M118" s="262"/>
      <c r="N118" s="57"/>
      <c r="O118" s="28"/>
      <c r="P118" s="57"/>
      <c r="Q118" s="28"/>
      <c r="R118" s="134"/>
      <c r="S118" s="210"/>
      <c r="T118" s="293" t="s">
        <v>82</v>
      </c>
      <c r="U118" s="27" t="s">
        <v>27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2"/>
      <c r="AL118" s="293" t="s">
        <v>82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4"/>
      <c r="C119" s="29" t="s">
        <v>28</v>
      </c>
      <c r="D119" s="191"/>
      <c r="E119" s="58"/>
      <c r="F119" s="192"/>
      <c r="G119" s="192"/>
      <c r="H119" s="192"/>
      <c r="I119" s="64"/>
      <c r="J119" s="64"/>
      <c r="K119" s="193"/>
      <c r="L119" s="263"/>
      <c r="M119" s="263"/>
      <c r="N119" s="58"/>
      <c r="O119" s="30"/>
      <c r="P119" s="58"/>
      <c r="Q119" s="30"/>
      <c r="R119" s="135"/>
      <c r="S119" s="210"/>
      <c r="T119" s="294"/>
      <c r="U119" s="29" t="s">
        <v>28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2"/>
      <c r="AL119" s="294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4"/>
      <c r="C120" s="29" t="s">
        <v>29</v>
      </c>
      <c r="D120" s="191"/>
      <c r="E120" s="58"/>
      <c r="F120" s="192"/>
      <c r="G120" s="192"/>
      <c r="H120" s="192"/>
      <c r="I120" s="64"/>
      <c r="J120" s="64"/>
      <c r="K120" s="193"/>
      <c r="L120" s="263"/>
      <c r="M120" s="263"/>
      <c r="N120" s="58"/>
      <c r="O120" s="30"/>
      <c r="P120" s="58"/>
      <c r="Q120" s="30"/>
      <c r="R120" s="135"/>
      <c r="S120" s="210"/>
      <c r="T120" s="294"/>
      <c r="U120" s="29" t="s">
        <v>29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2"/>
      <c r="AL120" s="294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4"/>
      <c r="C121" s="29" t="s">
        <v>31</v>
      </c>
      <c r="D121" s="191"/>
      <c r="E121" s="58"/>
      <c r="F121" s="192"/>
      <c r="G121" s="192"/>
      <c r="H121" s="192"/>
      <c r="I121" s="64"/>
      <c r="J121" s="64"/>
      <c r="K121" s="193"/>
      <c r="L121" s="263"/>
      <c r="M121" s="263"/>
      <c r="N121" s="58"/>
      <c r="O121" s="30"/>
      <c r="P121" s="58"/>
      <c r="Q121" s="30"/>
      <c r="R121" s="135"/>
      <c r="S121" s="210"/>
      <c r="T121" s="294"/>
      <c r="U121" s="29" t="s">
        <v>31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2"/>
      <c r="AL121" s="294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5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0"/>
      <c r="T122" s="295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2"/>
      <c r="AL122" s="295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93" t="s">
        <v>83</v>
      </c>
      <c r="C123" s="27" t="s">
        <v>27</v>
      </c>
      <c r="D123" s="41"/>
      <c r="E123" s="57"/>
      <c r="F123" s="99"/>
      <c r="G123" s="99"/>
      <c r="H123" s="99"/>
      <c r="I123" s="62"/>
      <c r="J123" s="62"/>
      <c r="K123" s="63"/>
      <c r="L123" s="262"/>
      <c r="M123" s="262"/>
      <c r="N123" s="57"/>
      <c r="O123" s="28"/>
      <c r="P123" s="57"/>
      <c r="Q123" s="28"/>
      <c r="R123" s="134"/>
      <c r="S123" s="210"/>
      <c r="T123" s="293" t="s">
        <v>83</v>
      </c>
      <c r="U123" s="27" t="s">
        <v>27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2"/>
      <c r="AL123" s="293" t="s">
        <v>83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4"/>
      <c r="C124" s="29" t="s">
        <v>28</v>
      </c>
      <c r="D124" s="191"/>
      <c r="E124" s="58"/>
      <c r="F124" s="192"/>
      <c r="G124" s="192"/>
      <c r="H124" s="192"/>
      <c r="I124" s="64"/>
      <c r="J124" s="64"/>
      <c r="K124" s="193"/>
      <c r="L124" s="263"/>
      <c r="M124" s="263"/>
      <c r="N124" s="58"/>
      <c r="O124" s="30"/>
      <c r="P124" s="58"/>
      <c r="Q124" s="30"/>
      <c r="R124" s="135"/>
      <c r="S124" s="210"/>
      <c r="T124" s="294"/>
      <c r="U124" s="29" t="s">
        <v>28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2"/>
      <c r="AL124" s="294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4"/>
      <c r="C125" s="29" t="s">
        <v>29</v>
      </c>
      <c r="D125" s="191"/>
      <c r="E125" s="58"/>
      <c r="F125" s="192"/>
      <c r="G125" s="192"/>
      <c r="H125" s="192"/>
      <c r="I125" s="64"/>
      <c r="J125" s="64"/>
      <c r="K125" s="193"/>
      <c r="L125" s="263"/>
      <c r="M125" s="263"/>
      <c r="N125" s="58"/>
      <c r="O125" s="30"/>
      <c r="P125" s="58"/>
      <c r="Q125" s="30"/>
      <c r="R125" s="135"/>
      <c r="S125" s="210"/>
      <c r="T125" s="294"/>
      <c r="U125" s="29" t="s">
        <v>29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2"/>
      <c r="AL125" s="294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4"/>
      <c r="C126" s="29" t="s">
        <v>31</v>
      </c>
      <c r="D126" s="191"/>
      <c r="E126" s="58"/>
      <c r="F126" s="192"/>
      <c r="G126" s="192"/>
      <c r="H126" s="192"/>
      <c r="I126" s="64"/>
      <c r="J126" s="64"/>
      <c r="K126" s="193"/>
      <c r="L126" s="263"/>
      <c r="M126" s="263"/>
      <c r="N126" s="58"/>
      <c r="O126" s="30"/>
      <c r="P126" s="58"/>
      <c r="Q126" s="30"/>
      <c r="R126" s="135"/>
      <c r="S126" s="210"/>
      <c r="T126" s="294"/>
      <c r="U126" s="29" t="s">
        <v>31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2"/>
      <c r="AL126" s="294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5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0"/>
      <c r="T127" s="295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2"/>
      <c r="AL127" s="295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93" t="s">
        <v>84</v>
      </c>
      <c r="C128" s="27" t="s">
        <v>27</v>
      </c>
      <c r="D128" s="41"/>
      <c r="E128" s="57"/>
      <c r="F128" s="99"/>
      <c r="G128" s="99"/>
      <c r="H128" s="99"/>
      <c r="I128" s="62"/>
      <c r="J128" s="62"/>
      <c r="K128" s="63"/>
      <c r="L128" s="262"/>
      <c r="M128" s="262"/>
      <c r="N128" s="57"/>
      <c r="O128" s="28"/>
      <c r="P128" s="57"/>
      <c r="Q128" s="28"/>
      <c r="R128" s="134"/>
      <c r="S128" s="210"/>
      <c r="T128" s="293" t="s">
        <v>84</v>
      </c>
      <c r="U128" s="27" t="s">
        <v>27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2"/>
      <c r="AL128" s="293" t="s">
        <v>84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4"/>
      <c r="C129" s="29" t="s">
        <v>28</v>
      </c>
      <c r="D129" s="191"/>
      <c r="E129" s="58"/>
      <c r="F129" s="192"/>
      <c r="G129" s="192"/>
      <c r="H129" s="192"/>
      <c r="I129" s="64"/>
      <c r="J129" s="64"/>
      <c r="K129" s="193"/>
      <c r="L129" s="263"/>
      <c r="M129" s="263"/>
      <c r="N129" s="58"/>
      <c r="O129" s="30"/>
      <c r="P129" s="58"/>
      <c r="Q129" s="30"/>
      <c r="R129" s="135"/>
      <c r="S129" s="210"/>
      <c r="T129" s="294"/>
      <c r="U129" s="29" t="s">
        <v>28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2"/>
      <c r="AL129" s="294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4"/>
      <c r="C130" s="29" t="s">
        <v>29</v>
      </c>
      <c r="D130" s="191"/>
      <c r="E130" s="58"/>
      <c r="F130" s="192"/>
      <c r="G130" s="192"/>
      <c r="H130" s="192"/>
      <c r="I130" s="64"/>
      <c r="J130" s="64"/>
      <c r="K130" s="193"/>
      <c r="L130" s="263"/>
      <c r="M130" s="263"/>
      <c r="N130" s="58"/>
      <c r="O130" s="30"/>
      <c r="P130" s="58"/>
      <c r="Q130" s="30"/>
      <c r="R130" s="135"/>
      <c r="S130" s="210"/>
      <c r="T130" s="294"/>
      <c r="U130" s="29" t="s">
        <v>29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2"/>
      <c r="AL130" s="294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4"/>
      <c r="C131" s="29" t="s">
        <v>31</v>
      </c>
      <c r="D131" s="191"/>
      <c r="E131" s="58"/>
      <c r="F131" s="192"/>
      <c r="G131" s="192"/>
      <c r="H131" s="192"/>
      <c r="I131" s="64"/>
      <c r="J131" s="64"/>
      <c r="K131" s="193"/>
      <c r="L131" s="263"/>
      <c r="M131" s="263"/>
      <c r="N131" s="58"/>
      <c r="O131" s="30"/>
      <c r="P131" s="58"/>
      <c r="Q131" s="30"/>
      <c r="R131" s="135"/>
      <c r="S131" s="210"/>
      <c r="T131" s="294"/>
      <c r="U131" s="29" t="s">
        <v>31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2"/>
      <c r="AL131" s="294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5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0"/>
      <c r="T132" s="295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2"/>
      <c r="AL132" s="295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93" t="s">
        <v>85</v>
      </c>
      <c r="C133" s="27" t="s">
        <v>27</v>
      </c>
      <c r="D133" s="41"/>
      <c r="E133" s="57"/>
      <c r="F133" s="99"/>
      <c r="G133" s="99"/>
      <c r="H133" s="99"/>
      <c r="I133" s="62"/>
      <c r="J133" s="62"/>
      <c r="K133" s="63"/>
      <c r="L133" s="262"/>
      <c r="M133" s="262"/>
      <c r="N133" s="57"/>
      <c r="O133" s="28"/>
      <c r="P133" s="57"/>
      <c r="Q133" s="28"/>
      <c r="R133" s="134"/>
      <c r="S133" s="210"/>
      <c r="T133" s="293" t="s">
        <v>85</v>
      </c>
      <c r="U133" s="27" t="s">
        <v>27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2"/>
      <c r="AL133" s="293" t="s">
        <v>85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4"/>
      <c r="C134" s="29" t="s">
        <v>28</v>
      </c>
      <c r="D134" s="191"/>
      <c r="E134" s="58"/>
      <c r="F134" s="192"/>
      <c r="G134" s="192"/>
      <c r="H134" s="192"/>
      <c r="I134" s="64"/>
      <c r="J134" s="64"/>
      <c r="K134" s="193"/>
      <c r="L134" s="263"/>
      <c r="M134" s="263"/>
      <c r="N134" s="58"/>
      <c r="O134" s="30"/>
      <c r="P134" s="58"/>
      <c r="Q134" s="30"/>
      <c r="R134" s="135"/>
      <c r="S134" s="210"/>
      <c r="T134" s="294"/>
      <c r="U134" s="29" t="s">
        <v>28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2"/>
      <c r="AL134" s="294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4"/>
      <c r="C135" s="29" t="s">
        <v>29</v>
      </c>
      <c r="D135" s="191"/>
      <c r="E135" s="58"/>
      <c r="F135" s="192"/>
      <c r="G135" s="192"/>
      <c r="H135" s="192"/>
      <c r="I135" s="64"/>
      <c r="J135" s="64"/>
      <c r="K135" s="193"/>
      <c r="L135" s="263"/>
      <c r="M135" s="263"/>
      <c r="N135" s="58"/>
      <c r="O135" s="30"/>
      <c r="P135" s="58"/>
      <c r="Q135" s="30"/>
      <c r="R135" s="135"/>
      <c r="S135" s="210"/>
      <c r="T135" s="294"/>
      <c r="U135" s="29" t="s">
        <v>29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2"/>
      <c r="AL135" s="294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4"/>
      <c r="C136" s="29" t="s">
        <v>31</v>
      </c>
      <c r="D136" s="191"/>
      <c r="E136" s="58"/>
      <c r="F136" s="192"/>
      <c r="G136" s="192"/>
      <c r="H136" s="192"/>
      <c r="I136" s="64"/>
      <c r="J136" s="64"/>
      <c r="K136" s="193"/>
      <c r="L136" s="263"/>
      <c r="M136" s="263"/>
      <c r="N136" s="58"/>
      <c r="O136" s="30"/>
      <c r="P136" s="58"/>
      <c r="Q136" s="30"/>
      <c r="R136" s="135"/>
      <c r="S136" s="210"/>
      <c r="T136" s="294"/>
      <c r="U136" s="29" t="s">
        <v>31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2"/>
      <c r="AL136" s="294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5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0"/>
      <c r="T137" s="295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2"/>
      <c r="AL137" s="295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93" t="s">
        <v>86</v>
      </c>
      <c r="C138" s="27" t="s">
        <v>27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0"/>
      <c r="T138" s="293" t="s">
        <v>86</v>
      </c>
      <c r="U138" s="27" t="s">
        <v>27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2"/>
      <c r="AL138" s="293" t="s">
        <v>86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4"/>
      <c r="C139" s="29" t="s">
        <v>28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0"/>
      <c r="T139" s="294"/>
      <c r="U139" s="29" t="s">
        <v>28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2"/>
      <c r="AL139" s="294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4"/>
      <c r="C140" s="29" t="s">
        <v>29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0"/>
      <c r="T140" s="294"/>
      <c r="U140" s="29" t="s">
        <v>29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2"/>
      <c r="AL140" s="294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4"/>
      <c r="C141" s="29" t="s">
        <v>31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0"/>
      <c r="T141" s="294"/>
      <c r="U141" s="29" t="s">
        <v>31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2"/>
      <c r="AL141" s="294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5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0"/>
      <c r="T142" s="295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2"/>
      <c r="AL142" s="295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93" t="s">
        <v>87</v>
      </c>
      <c r="C143" s="27" t="s">
        <v>27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0"/>
      <c r="T143" s="293" t="s">
        <v>87</v>
      </c>
      <c r="U143" s="27" t="s">
        <v>27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2"/>
      <c r="AL143" s="293" t="s">
        <v>87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4"/>
      <c r="C144" s="29" t="s">
        <v>28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0"/>
      <c r="T144" s="294"/>
      <c r="U144" s="29" t="s">
        <v>28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2"/>
      <c r="AL144" s="294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4"/>
      <c r="C145" s="29" t="s">
        <v>29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0"/>
      <c r="T145" s="294"/>
      <c r="U145" s="29" t="s">
        <v>29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2"/>
      <c r="AL145" s="294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4"/>
      <c r="C146" s="29" t="s">
        <v>31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0"/>
      <c r="T146" s="294"/>
      <c r="U146" s="29" t="s">
        <v>31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2"/>
      <c r="AL146" s="294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5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0"/>
      <c r="T147" s="295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2"/>
      <c r="AL147" s="295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93" t="s">
        <v>88</v>
      </c>
      <c r="C148" s="27" t="s">
        <v>27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0"/>
      <c r="T148" s="293" t="s">
        <v>88</v>
      </c>
      <c r="U148" s="27" t="s">
        <v>27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2"/>
      <c r="AL148" s="293" t="s">
        <v>88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4"/>
      <c r="C149" s="29" t="s">
        <v>28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0"/>
      <c r="T149" s="294"/>
      <c r="U149" s="29" t="s">
        <v>28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2"/>
      <c r="AL149" s="294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4"/>
      <c r="C150" s="29" t="s">
        <v>29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0"/>
      <c r="T150" s="294"/>
      <c r="U150" s="29" t="s">
        <v>29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2"/>
      <c r="AL150" s="294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4"/>
      <c r="C151" s="29" t="s">
        <v>31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0"/>
      <c r="T151" s="294"/>
      <c r="U151" s="29" t="s">
        <v>31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2"/>
      <c r="AL151" s="294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5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0"/>
      <c r="T152" s="295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2"/>
      <c r="AL152" s="295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93" t="s">
        <v>89</v>
      </c>
      <c r="C153" s="27" t="s">
        <v>27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0"/>
      <c r="T153" s="293" t="s">
        <v>89</v>
      </c>
      <c r="U153" s="27" t="s">
        <v>27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2"/>
      <c r="AL153" s="293" t="s">
        <v>89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4"/>
      <c r="C154" s="29" t="s">
        <v>28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0"/>
      <c r="T154" s="294"/>
      <c r="U154" s="29" t="s">
        <v>28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2"/>
      <c r="AL154" s="294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4"/>
      <c r="C155" s="29" t="s">
        <v>29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0"/>
      <c r="T155" s="294"/>
      <c r="U155" s="29" t="s">
        <v>29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2"/>
      <c r="AL155" s="294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4"/>
      <c r="C156" s="29" t="s">
        <v>31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0"/>
      <c r="T156" s="294"/>
      <c r="U156" s="29" t="s">
        <v>31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2"/>
      <c r="AL156" s="294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5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0"/>
      <c r="T157" s="295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2"/>
      <c r="AL157" s="295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93" t="s">
        <v>90</v>
      </c>
      <c r="C158" s="27" t="s">
        <v>27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0"/>
      <c r="T158" s="293" t="s">
        <v>90</v>
      </c>
      <c r="U158" s="27" t="s">
        <v>27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2"/>
      <c r="AL158" s="293" t="s">
        <v>90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4"/>
      <c r="C159" s="29" t="s">
        <v>28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0"/>
      <c r="T159" s="294"/>
      <c r="U159" s="29" t="s">
        <v>28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2"/>
      <c r="AL159" s="294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4"/>
      <c r="C160" s="29" t="s">
        <v>29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0"/>
      <c r="T160" s="294"/>
      <c r="U160" s="29" t="s">
        <v>29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2"/>
      <c r="AL160" s="294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4"/>
      <c r="C161" s="29" t="s">
        <v>31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0"/>
      <c r="T161" s="294"/>
      <c r="U161" s="29" t="s">
        <v>31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2"/>
      <c r="AL161" s="294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5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0"/>
      <c r="T162" s="295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2"/>
      <c r="AL162" s="295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93" t="s">
        <v>91</v>
      </c>
      <c r="C163" s="27" t="s">
        <v>27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0"/>
      <c r="T163" s="293" t="s">
        <v>91</v>
      </c>
      <c r="U163" s="27" t="s">
        <v>27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2"/>
      <c r="AL163" s="293" t="s">
        <v>91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4"/>
      <c r="C164" s="29" t="s">
        <v>28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0"/>
      <c r="T164" s="294"/>
      <c r="U164" s="29" t="s">
        <v>28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2"/>
      <c r="AL164" s="294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4"/>
      <c r="C165" s="29" t="s">
        <v>29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0"/>
      <c r="T165" s="294"/>
      <c r="U165" s="29" t="s">
        <v>29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2"/>
      <c r="AL165" s="294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4"/>
      <c r="C166" s="29" t="s">
        <v>31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0"/>
      <c r="T166" s="294"/>
      <c r="U166" s="29" t="s">
        <v>31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2"/>
      <c r="AL166" s="294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5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0"/>
      <c r="T167" s="295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2"/>
      <c r="AL167" s="295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93" t="s">
        <v>92</v>
      </c>
      <c r="C168" s="27" t="s">
        <v>27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0"/>
      <c r="T168" s="293" t="s">
        <v>92</v>
      </c>
      <c r="U168" s="27" t="s">
        <v>27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2"/>
      <c r="AL168" s="293" t="s">
        <v>92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4"/>
      <c r="C169" s="29" t="s">
        <v>28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0"/>
      <c r="T169" s="294"/>
      <c r="U169" s="29" t="s">
        <v>28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2"/>
      <c r="AL169" s="294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4"/>
      <c r="C170" s="29" t="s">
        <v>29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0"/>
      <c r="T170" s="294"/>
      <c r="U170" s="29" t="s">
        <v>29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2"/>
      <c r="AL170" s="294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4"/>
      <c r="C171" s="29" t="s">
        <v>31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0"/>
      <c r="T171" s="294"/>
      <c r="U171" s="29" t="s">
        <v>31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2"/>
      <c r="AL171" s="294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5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0"/>
      <c r="T172" s="295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2"/>
      <c r="AL172" s="295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93" t="s">
        <v>93</v>
      </c>
      <c r="C173" s="27" t="s">
        <v>27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0"/>
      <c r="T173" s="293" t="s">
        <v>93</v>
      </c>
      <c r="U173" s="27" t="s">
        <v>27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2"/>
      <c r="AL173" s="293" t="s">
        <v>93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4"/>
      <c r="C174" s="29" t="s">
        <v>28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0"/>
      <c r="T174" s="294"/>
      <c r="U174" s="29" t="s">
        <v>28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2"/>
      <c r="AL174" s="294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4"/>
      <c r="C175" s="29" t="s">
        <v>29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0"/>
      <c r="T175" s="294"/>
      <c r="U175" s="29" t="s">
        <v>29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2"/>
      <c r="AL175" s="294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4"/>
      <c r="C176" s="29" t="s">
        <v>31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0"/>
      <c r="T176" s="294"/>
      <c r="U176" s="29" t="s">
        <v>31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2"/>
      <c r="AL176" s="294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5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0"/>
      <c r="T177" s="295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2"/>
      <c r="AL177" s="295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93" t="s">
        <v>94</v>
      </c>
      <c r="C178" s="27" t="s">
        <v>27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0"/>
      <c r="T178" s="293" t="s">
        <v>94</v>
      </c>
      <c r="U178" s="27" t="s">
        <v>27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2"/>
      <c r="AL178" s="293" t="s">
        <v>94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4"/>
      <c r="C179" s="29" t="s">
        <v>28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0"/>
      <c r="T179" s="294"/>
      <c r="U179" s="29" t="s">
        <v>28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2"/>
      <c r="AL179" s="294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4"/>
      <c r="C180" s="29" t="s">
        <v>29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0"/>
      <c r="T180" s="294"/>
      <c r="U180" s="29" t="s">
        <v>29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2"/>
      <c r="AL180" s="294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4"/>
      <c r="C181" s="29" t="s">
        <v>31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0"/>
      <c r="T181" s="294"/>
      <c r="U181" s="29" t="s">
        <v>31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2"/>
      <c r="AL181" s="294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5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0"/>
      <c r="T182" s="295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2"/>
      <c r="AL182" s="295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93" t="s">
        <v>95</v>
      </c>
      <c r="C183" s="27" t="s">
        <v>27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0"/>
      <c r="T183" s="293" t="s">
        <v>95</v>
      </c>
      <c r="U183" s="27" t="s">
        <v>27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2"/>
      <c r="AL183" s="293" t="s">
        <v>95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4"/>
      <c r="C184" s="29" t="s">
        <v>28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0"/>
      <c r="T184" s="294"/>
      <c r="U184" s="29" t="s">
        <v>28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2"/>
      <c r="AL184" s="294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4"/>
      <c r="C185" s="29" t="s">
        <v>29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0"/>
      <c r="T185" s="294"/>
      <c r="U185" s="29" t="s">
        <v>29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2"/>
      <c r="AL185" s="294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4"/>
      <c r="C186" s="29" t="s">
        <v>31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0"/>
      <c r="T186" s="294"/>
      <c r="U186" s="29" t="s">
        <v>31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2"/>
      <c r="AL186" s="294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5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0"/>
      <c r="T187" s="295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2"/>
      <c r="AL187" s="295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93" t="s">
        <v>96</v>
      </c>
      <c r="C188" s="27" t="s">
        <v>27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0"/>
      <c r="T188" s="293" t="s">
        <v>96</v>
      </c>
      <c r="U188" s="27" t="s">
        <v>27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2"/>
      <c r="AL188" s="293" t="s">
        <v>96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4"/>
      <c r="C189" s="29" t="s">
        <v>28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0"/>
      <c r="T189" s="294"/>
      <c r="U189" s="29" t="s">
        <v>28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2"/>
      <c r="AL189" s="294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4"/>
      <c r="C190" s="29" t="s">
        <v>29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0"/>
      <c r="T190" s="294"/>
      <c r="U190" s="29" t="s">
        <v>29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2"/>
      <c r="AL190" s="294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4"/>
      <c r="C191" s="29" t="s">
        <v>31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0"/>
      <c r="T191" s="294"/>
      <c r="U191" s="29" t="s">
        <v>31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2"/>
      <c r="AL191" s="294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5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0"/>
      <c r="T192" s="295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2"/>
      <c r="AL192" s="295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93" t="s">
        <v>97</v>
      </c>
      <c r="C193" s="27" t="s">
        <v>27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0"/>
      <c r="T193" s="293" t="s">
        <v>97</v>
      </c>
      <c r="U193" s="27" t="s">
        <v>27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2"/>
      <c r="AL193" s="293" t="s">
        <v>97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4"/>
      <c r="C194" s="29" t="s">
        <v>28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0"/>
      <c r="T194" s="294"/>
      <c r="U194" s="29" t="s">
        <v>28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2"/>
      <c r="AL194" s="294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4"/>
      <c r="C195" s="29" t="s">
        <v>29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0"/>
      <c r="T195" s="294"/>
      <c r="U195" s="29" t="s">
        <v>29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2"/>
      <c r="AL195" s="294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4"/>
      <c r="C196" s="29" t="s">
        <v>31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0"/>
      <c r="T196" s="294"/>
      <c r="U196" s="29" t="s">
        <v>31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2"/>
      <c r="AL196" s="294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5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0"/>
      <c r="T197" s="295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2"/>
      <c r="AL197" s="295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93" t="s">
        <v>98</v>
      </c>
      <c r="C198" s="27" t="s">
        <v>27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0"/>
      <c r="T198" s="293" t="s">
        <v>98</v>
      </c>
      <c r="U198" s="27" t="s">
        <v>27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2"/>
      <c r="AL198" s="293" t="s">
        <v>98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4"/>
      <c r="C199" s="29" t="s">
        <v>28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0"/>
      <c r="T199" s="294"/>
      <c r="U199" s="29" t="s">
        <v>28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2"/>
      <c r="AL199" s="294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4"/>
      <c r="C200" s="29" t="s">
        <v>29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0"/>
      <c r="T200" s="294"/>
      <c r="U200" s="29" t="s">
        <v>29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2"/>
      <c r="AL200" s="294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4"/>
      <c r="C201" s="29" t="s">
        <v>31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0"/>
      <c r="T201" s="294"/>
      <c r="U201" s="29" t="s">
        <v>31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2"/>
      <c r="AL201" s="294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5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0"/>
      <c r="T202" s="295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2"/>
      <c r="AL202" s="295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93" t="s">
        <v>99</v>
      </c>
      <c r="C203" s="27" t="s">
        <v>27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0"/>
      <c r="T203" s="293" t="s">
        <v>99</v>
      </c>
      <c r="U203" s="27" t="s">
        <v>27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2"/>
      <c r="AL203" s="293" t="s">
        <v>99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4"/>
      <c r="C204" s="29" t="s">
        <v>28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0"/>
      <c r="T204" s="294"/>
      <c r="U204" s="29" t="s">
        <v>28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2"/>
      <c r="AL204" s="294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4"/>
      <c r="C205" s="29" t="s">
        <v>29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0"/>
      <c r="T205" s="294"/>
      <c r="U205" s="29" t="s">
        <v>29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2"/>
      <c r="AL205" s="294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4"/>
      <c r="C206" s="29" t="s">
        <v>31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0"/>
      <c r="T206" s="294"/>
      <c r="U206" s="29" t="s">
        <v>31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2"/>
      <c r="AL206" s="294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5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0"/>
      <c r="T207" s="295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2"/>
      <c r="AL207" s="295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93" t="s">
        <v>100</v>
      </c>
      <c r="C208" s="27" t="s">
        <v>27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0"/>
      <c r="T208" s="293" t="s">
        <v>100</v>
      </c>
      <c r="U208" s="27" t="s">
        <v>27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2"/>
      <c r="AL208" s="293" t="s">
        <v>100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4"/>
      <c r="C209" s="29" t="s">
        <v>28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0"/>
      <c r="T209" s="294"/>
      <c r="U209" s="29" t="s">
        <v>28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2"/>
      <c r="AL209" s="294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4"/>
      <c r="C210" s="29" t="s">
        <v>29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0"/>
      <c r="T210" s="294"/>
      <c r="U210" s="29" t="s">
        <v>29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2"/>
      <c r="AL210" s="294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4"/>
      <c r="C211" s="29" t="s">
        <v>31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0"/>
      <c r="T211" s="294"/>
      <c r="U211" s="29" t="s">
        <v>31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2"/>
      <c r="AL211" s="294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5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0"/>
      <c r="T212" s="295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2"/>
      <c r="AL212" s="295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93" t="s">
        <v>101</v>
      </c>
      <c r="C213" s="27" t="s">
        <v>27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0"/>
      <c r="T213" s="293" t="s">
        <v>101</v>
      </c>
      <c r="U213" s="27" t="s">
        <v>27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2"/>
      <c r="AL213" s="293" t="s">
        <v>101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4"/>
      <c r="C214" s="29" t="s">
        <v>28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0"/>
      <c r="T214" s="294"/>
      <c r="U214" s="29" t="s">
        <v>28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2"/>
      <c r="AL214" s="294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4"/>
      <c r="C215" s="29" t="s">
        <v>29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0"/>
      <c r="T215" s="294"/>
      <c r="U215" s="29" t="s">
        <v>29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2"/>
      <c r="AL215" s="294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4"/>
      <c r="C216" s="29" t="s">
        <v>31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0"/>
      <c r="T216" s="294"/>
      <c r="U216" s="29" t="s">
        <v>31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2"/>
      <c r="AL216" s="294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5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0"/>
      <c r="T217" s="295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2"/>
      <c r="AL217" s="295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93" t="s">
        <v>102</v>
      </c>
      <c r="C218" s="27" t="s">
        <v>27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0"/>
      <c r="T218" s="293" t="s">
        <v>102</v>
      </c>
      <c r="U218" s="27" t="s">
        <v>27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2"/>
      <c r="AL218" s="293" t="s">
        <v>102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4"/>
      <c r="C219" s="29" t="s">
        <v>28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0"/>
      <c r="T219" s="294"/>
      <c r="U219" s="29" t="s">
        <v>28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2"/>
      <c r="AL219" s="294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4"/>
      <c r="C220" s="29" t="s">
        <v>29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0"/>
      <c r="T220" s="294"/>
      <c r="U220" s="29" t="s">
        <v>29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2"/>
      <c r="AL220" s="294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4"/>
      <c r="C221" s="29" t="s">
        <v>31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0"/>
      <c r="T221" s="294"/>
      <c r="U221" s="29" t="s">
        <v>31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2"/>
      <c r="AL221" s="294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5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0"/>
      <c r="T222" s="295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2"/>
      <c r="AL222" s="295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93" t="s">
        <v>103</v>
      </c>
      <c r="C223" s="27" t="s">
        <v>27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0"/>
      <c r="T223" s="293" t="s">
        <v>103</v>
      </c>
      <c r="U223" s="27" t="s">
        <v>27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2"/>
      <c r="AL223" s="293" t="s">
        <v>103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4"/>
      <c r="C224" s="29" t="s">
        <v>28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0"/>
      <c r="T224" s="294"/>
      <c r="U224" s="29" t="s">
        <v>28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2"/>
      <c r="AL224" s="294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4"/>
      <c r="C225" s="29" t="s">
        <v>29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0"/>
      <c r="T225" s="294"/>
      <c r="U225" s="29" t="s">
        <v>29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2"/>
      <c r="AL225" s="294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4"/>
      <c r="C226" s="29" t="s">
        <v>31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0"/>
      <c r="T226" s="294"/>
      <c r="U226" s="29" t="s">
        <v>31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2"/>
      <c r="AL226" s="294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5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0"/>
      <c r="T227" s="295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2"/>
      <c r="AL227" s="295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93" t="s">
        <v>104</v>
      </c>
      <c r="C228" s="27" t="s">
        <v>27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0"/>
      <c r="T228" s="293" t="s">
        <v>104</v>
      </c>
      <c r="U228" s="27" t="s">
        <v>27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2"/>
      <c r="AL228" s="293" t="s">
        <v>104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4"/>
      <c r="C229" s="29" t="s">
        <v>28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0"/>
      <c r="T229" s="294"/>
      <c r="U229" s="29" t="s">
        <v>28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2"/>
      <c r="AL229" s="294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4"/>
      <c r="C230" s="29" t="s">
        <v>29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0"/>
      <c r="T230" s="294"/>
      <c r="U230" s="29" t="s">
        <v>29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2"/>
      <c r="AL230" s="294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4"/>
      <c r="C231" s="29" t="s">
        <v>31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0"/>
      <c r="T231" s="294"/>
      <c r="U231" s="29" t="s">
        <v>31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2"/>
      <c r="AL231" s="294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5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0"/>
      <c r="T232" s="295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2"/>
      <c r="AL232" s="295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93" t="s">
        <v>105</v>
      </c>
      <c r="C233" s="27" t="s">
        <v>27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0"/>
      <c r="T233" s="293" t="s">
        <v>105</v>
      </c>
      <c r="U233" s="27" t="s">
        <v>27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2"/>
      <c r="AL233" s="293" t="s">
        <v>105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4"/>
      <c r="C234" s="29" t="s">
        <v>28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0"/>
      <c r="T234" s="294"/>
      <c r="U234" s="29" t="s">
        <v>28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2"/>
      <c r="AL234" s="294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4"/>
      <c r="C235" s="29" t="s">
        <v>29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0"/>
      <c r="T235" s="294"/>
      <c r="U235" s="29" t="s">
        <v>29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2"/>
      <c r="AL235" s="294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4"/>
      <c r="C236" s="29" t="s">
        <v>31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0"/>
      <c r="T236" s="294"/>
      <c r="U236" s="29" t="s">
        <v>31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2"/>
      <c r="AL236" s="294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5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0"/>
      <c r="T237" s="295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2"/>
      <c r="AL237" s="295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93" t="s">
        <v>106</v>
      </c>
      <c r="C238" s="27" t="s">
        <v>27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0"/>
      <c r="T238" s="293" t="s">
        <v>106</v>
      </c>
      <c r="U238" s="27" t="s">
        <v>27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2"/>
      <c r="AL238" s="293" t="s">
        <v>106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4"/>
      <c r="C239" s="29" t="s">
        <v>28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0"/>
      <c r="T239" s="294"/>
      <c r="U239" s="29" t="s">
        <v>28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2"/>
      <c r="AL239" s="294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4"/>
      <c r="C240" s="29" t="s">
        <v>29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0"/>
      <c r="T240" s="294"/>
      <c r="U240" s="29" t="s">
        <v>29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2"/>
      <c r="AL240" s="294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4"/>
      <c r="C241" s="29" t="s">
        <v>31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0"/>
      <c r="T241" s="294"/>
      <c r="U241" s="29" t="s">
        <v>31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2"/>
      <c r="AL241" s="294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5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0"/>
      <c r="T242" s="295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2"/>
      <c r="AL242" s="295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93" t="s">
        <v>107</v>
      </c>
      <c r="C243" s="27" t="s">
        <v>27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0"/>
      <c r="T243" s="293" t="s">
        <v>107</v>
      </c>
      <c r="U243" s="27" t="s">
        <v>27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2"/>
      <c r="AL243" s="293" t="s">
        <v>107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4"/>
      <c r="C244" s="29" t="s">
        <v>28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0"/>
      <c r="T244" s="294"/>
      <c r="U244" s="29" t="s">
        <v>28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2"/>
      <c r="AL244" s="294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4"/>
      <c r="C245" s="29" t="s">
        <v>29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0"/>
      <c r="T245" s="294"/>
      <c r="U245" s="29" t="s">
        <v>29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2"/>
      <c r="AL245" s="294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4"/>
      <c r="C246" s="29" t="s">
        <v>31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0"/>
      <c r="T246" s="294"/>
      <c r="U246" s="29" t="s">
        <v>31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2"/>
      <c r="AL246" s="294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5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0"/>
      <c r="T247" s="295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2"/>
      <c r="AL247" s="295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93" t="s">
        <v>108</v>
      </c>
      <c r="C248" s="27" t="s">
        <v>27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0"/>
      <c r="T248" s="293" t="s">
        <v>108</v>
      </c>
      <c r="U248" s="27" t="s">
        <v>27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2"/>
      <c r="AL248" s="293" t="s">
        <v>108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4"/>
      <c r="C249" s="29" t="s">
        <v>28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0"/>
      <c r="T249" s="294"/>
      <c r="U249" s="29" t="s">
        <v>28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2"/>
      <c r="AL249" s="294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4"/>
      <c r="C250" s="29" t="s">
        <v>29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0"/>
      <c r="T250" s="294"/>
      <c r="U250" s="29" t="s">
        <v>29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2"/>
      <c r="AL250" s="294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4"/>
      <c r="C251" s="29" t="s">
        <v>31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0"/>
      <c r="T251" s="294"/>
      <c r="U251" s="29" t="s">
        <v>31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2"/>
      <c r="AL251" s="294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5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0"/>
      <c r="T252" s="295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2"/>
      <c r="AL252" s="295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93" t="s">
        <v>109</v>
      </c>
      <c r="C253" s="27" t="s">
        <v>27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0"/>
      <c r="T253" s="293" t="s">
        <v>109</v>
      </c>
      <c r="U253" s="27" t="s">
        <v>27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2"/>
      <c r="AL253" s="293" t="s">
        <v>109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4"/>
      <c r="C254" s="29" t="s">
        <v>28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0"/>
      <c r="T254" s="294"/>
      <c r="U254" s="29" t="s">
        <v>28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2"/>
      <c r="AL254" s="294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4"/>
      <c r="C255" s="29" t="s">
        <v>29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0"/>
      <c r="T255" s="294"/>
      <c r="U255" s="29" t="s">
        <v>29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2"/>
      <c r="AL255" s="294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4"/>
      <c r="C256" s="29" t="s">
        <v>31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0"/>
      <c r="T256" s="294"/>
      <c r="U256" s="29" t="s">
        <v>31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2"/>
      <c r="AL256" s="294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5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0"/>
      <c r="T257" s="295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2"/>
      <c r="AL257" s="295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93" t="s">
        <v>110</v>
      </c>
      <c r="C258" s="27" t="s">
        <v>27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0"/>
      <c r="T258" s="293" t="s">
        <v>110</v>
      </c>
      <c r="U258" s="27" t="s">
        <v>27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2"/>
      <c r="AL258" s="293" t="s">
        <v>110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4"/>
      <c r="C259" s="29" t="s">
        <v>28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0"/>
      <c r="T259" s="294"/>
      <c r="U259" s="29" t="s">
        <v>28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2"/>
      <c r="AL259" s="294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4"/>
      <c r="C260" s="29" t="s">
        <v>29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0"/>
      <c r="T260" s="294"/>
      <c r="U260" s="29" t="s">
        <v>29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2"/>
      <c r="AL260" s="294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4"/>
      <c r="C261" s="29" t="s">
        <v>31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0"/>
      <c r="T261" s="294"/>
      <c r="U261" s="29" t="s">
        <v>31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2"/>
      <c r="AL261" s="294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5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0"/>
      <c r="T262" s="295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2"/>
      <c r="AL262" s="295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93" t="s">
        <v>111</v>
      </c>
      <c r="C263" s="27" t="s">
        <v>27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0"/>
      <c r="T263" s="293" t="s">
        <v>111</v>
      </c>
      <c r="U263" s="27" t="s">
        <v>27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2"/>
      <c r="AL263" s="293" t="s">
        <v>111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4"/>
      <c r="C264" s="29" t="s">
        <v>28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0"/>
      <c r="T264" s="294"/>
      <c r="U264" s="29" t="s">
        <v>28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2"/>
      <c r="AL264" s="294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4"/>
      <c r="C265" s="29" t="s">
        <v>29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0"/>
      <c r="T265" s="294"/>
      <c r="U265" s="29" t="s">
        <v>29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2"/>
      <c r="AL265" s="294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4"/>
      <c r="C266" s="29" t="s">
        <v>31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0"/>
      <c r="T266" s="294"/>
      <c r="U266" s="29" t="s">
        <v>31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2"/>
      <c r="AL266" s="294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5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0"/>
      <c r="T267" s="295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2"/>
      <c r="AL267" s="295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93" t="s">
        <v>112</v>
      </c>
      <c r="C268" s="27" t="s">
        <v>27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0"/>
      <c r="T268" s="293" t="s">
        <v>112</v>
      </c>
      <c r="U268" s="27" t="s">
        <v>27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2"/>
      <c r="AL268" s="293" t="s">
        <v>112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4"/>
      <c r="C269" s="29" t="s">
        <v>28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0"/>
      <c r="T269" s="294"/>
      <c r="U269" s="29" t="s">
        <v>28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2"/>
      <c r="AL269" s="294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4"/>
      <c r="C270" s="29" t="s">
        <v>29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0"/>
      <c r="T270" s="294"/>
      <c r="U270" s="29" t="s">
        <v>29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2"/>
      <c r="AL270" s="294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4"/>
      <c r="C271" s="29" t="s">
        <v>31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0"/>
      <c r="T271" s="294"/>
      <c r="U271" s="29" t="s">
        <v>31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2"/>
      <c r="AL271" s="294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5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0"/>
      <c r="T272" s="295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2"/>
      <c r="AL272" s="295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93" t="s">
        <v>113</v>
      </c>
      <c r="C273" s="27" t="s">
        <v>27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0"/>
      <c r="T273" s="293" t="s">
        <v>113</v>
      </c>
      <c r="U273" s="27" t="s">
        <v>27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2"/>
      <c r="AL273" s="293" t="s">
        <v>113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4"/>
      <c r="C274" s="29" t="s">
        <v>28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0"/>
      <c r="T274" s="294"/>
      <c r="U274" s="29" t="s">
        <v>28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2"/>
      <c r="AL274" s="294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4"/>
      <c r="C275" s="29" t="s">
        <v>29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0"/>
      <c r="T275" s="294"/>
      <c r="U275" s="29" t="s">
        <v>29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2"/>
      <c r="AL275" s="294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4"/>
      <c r="C276" s="29" t="s">
        <v>31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0"/>
      <c r="T276" s="294"/>
      <c r="U276" s="29" t="s">
        <v>31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2"/>
      <c r="AL276" s="294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5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0"/>
      <c r="T277" s="295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2"/>
      <c r="AL277" s="295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93" t="s">
        <v>114</v>
      </c>
      <c r="C278" s="27" t="s">
        <v>27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0"/>
      <c r="T278" s="293" t="s">
        <v>114</v>
      </c>
      <c r="U278" s="27" t="s">
        <v>27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2"/>
      <c r="AL278" s="293" t="s">
        <v>114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4"/>
      <c r="C279" s="29" t="s">
        <v>28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0"/>
      <c r="T279" s="294"/>
      <c r="U279" s="29" t="s">
        <v>28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2"/>
      <c r="AL279" s="294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4"/>
      <c r="C280" s="29" t="s">
        <v>29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0"/>
      <c r="T280" s="294"/>
      <c r="U280" s="29" t="s">
        <v>29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2"/>
      <c r="AL280" s="294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4"/>
      <c r="C281" s="29" t="s">
        <v>31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0"/>
      <c r="T281" s="294"/>
      <c r="U281" s="29" t="s">
        <v>31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2"/>
      <c r="AL281" s="294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5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0"/>
      <c r="T282" s="295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2"/>
      <c r="AL282" s="295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93" t="s">
        <v>115</v>
      </c>
      <c r="C283" s="27" t="s">
        <v>27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0"/>
      <c r="T283" s="293" t="s">
        <v>115</v>
      </c>
      <c r="U283" s="27" t="s">
        <v>27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2"/>
      <c r="AL283" s="293" t="s">
        <v>115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4"/>
      <c r="C284" s="29" t="s">
        <v>28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0"/>
      <c r="T284" s="294"/>
      <c r="U284" s="29" t="s">
        <v>28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2"/>
      <c r="AL284" s="294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4"/>
      <c r="C285" s="29" t="s">
        <v>29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0"/>
      <c r="T285" s="294"/>
      <c r="U285" s="29" t="s">
        <v>29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2"/>
      <c r="AL285" s="294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4"/>
      <c r="C286" s="29" t="s">
        <v>31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0"/>
      <c r="T286" s="294"/>
      <c r="U286" s="29" t="s">
        <v>31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2"/>
      <c r="AL286" s="294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5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0"/>
      <c r="T287" s="295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2"/>
      <c r="AL287" s="295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93" t="s">
        <v>116</v>
      </c>
      <c r="C288" s="27" t="s">
        <v>27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0"/>
      <c r="T288" s="293" t="s">
        <v>116</v>
      </c>
      <c r="U288" s="27" t="s">
        <v>27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2"/>
      <c r="AL288" s="293" t="s">
        <v>116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4"/>
      <c r="C289" s="29" t="s">
        <v>28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0"/>
      <c r="T289" s="294"/>
      <c r="U289" s="29" t="s">
        <v>28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2"/>
      <c r="AL289" s="294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4"/>
      <c r="C290" s="29" t="s">
        <v>29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0"/>
      <c r="T290" s="294"/>
      <c r="U290" s="29" t="s">
        <v>29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2"/>
      <c r="AL290" s="294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4"/>
      <c r="C291" s="29" t="s">
        <v>31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0"/>
      <c r="T291" s="294"/>
      <c r="U291" s="29" t="s">
        <v>31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2"/>
      <c r="AL291" s="294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5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0"/>
      <c r="T292" s="295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2"/>
      <c r="AL292" s="295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93" t="s">
        <v>117</v>
      </c>
      <c r="C293" s="27" t="s">
        <v>27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0"/>
      <c r="T293" s="293" t="s">
        <v>117</v>
      </c>
      <c r="U293" s="27" t="s">
        <v>27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2"/>
      <c r="AL293" s="293" t="s">
        <v>117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4"/>
      <c r="C294" s="29" t="s">
        <v>28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0"/>
      <c r="T294" s="294"/>
      <c r="U294" s="29" t="s">
        <v>28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2"/>
      <c r="AL294" s="294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4"/>
      <c r="C295" s="29" t="s">
        <v>29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0"/>
      <c r="T295" s="294"/>
      <c r="U295" s="29" t="s">
        <v>29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2"/>
      <c r="AL295" s="294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4"/>
      <c r="C296" s="29" t="s">
        <v>31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0"/>
      <c r="T296" s="294"/>
      <c r="U296" s="29" t="s">
        <v>31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2"/>
      <c r="AL296" s="294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5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0"/>
      <c r="T297" s="295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2"/>
      <c r="AL297" s="295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93" t="s">
        <v>118</v>
      </c>
      <c r="C298" s="27" t="s">
        <v>27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0"/>
      <c r="T298" s="293" t="s">
        <v>118</v>
      </c>
      <c r="U298" s="27" t="s">
        <v>27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2"/>
      <c r="AL298" s="293" t="s">
        <v>118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4"/>
      <c r="C299" s="29" t="s">
        <v>28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0"/>
      <c r="T299" s="294"/>
      <c r="U299" s="29" t="s">
        <v>28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2"/>
      <c r="AL299" s="294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4"/>
      <c r="C300" s="29" t="s">
        <v>29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0"/>
      <c r="T300" s="294"/>
      <c r="U300" s="29" t="s">
        <v>29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2"/>
      <c r="AL300" s="294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4"/>
      <c r="C301" s="29" t="s">
        <v>31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0"/>
      <c r="T301" s="294"/>
      <c r="U301" s="29" t="s">
        <v>31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2"/>
      <c r="AL301" s="294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5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0"/>
      <c r="T302" s="295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2"/>
      <c r="AL302" s="295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93" t="s">
        <v>119</v>
      </c>
      <c r="C303" s="27" t="s">
        <v>27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0"/>
      <c r="T303" s="293" t="s">
        <v>119</v>
      </c>
      <c r="U303" s="27" t="s">
        <v>27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2"/>
      <c r="AL303" s="293" t="s">
        <v>119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4"/>
      <c r="C304" s="29" t="s">
        <v>28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0"/>
      <c r="T304" s="294"/>
      <c r="U304" s="29" t="s">
        <v>28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2"/>
      <c r="AL304" s="294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4"/>
      <c r="C305" s="29" t="s">
        <v>29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0"/>
      <c r="T305" s="294"/>
      <c r="U305" s="29" t="s">
        <v>29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2"/>
      <c r="AL305" s="294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4"/>
      <c r="C306" s="29" t="s">
        <v>31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0"/>
      <c r="T306" s="294"/>
      <c r="U306" s="29" t="s">
        <v>31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2"/>
      <c r="AL306" s="294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5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0"/>
      <c r="T307" s="295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2"/>
      <c r="AL307" s="295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93" t="s">
        <v>120</v>
      </c>
      <c r="C308" s="27" t="s">
        <v>27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0"/>
      <c r="T308" s="293" t="s">
        <v>120</v>
      </c>
      <c r="U308" s="27" t="s">
        <v>27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2"/>
      <c r="AL308" s="293" t="s">
        <v>120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4"/>
      <c r="C309" s="29" t="s">
        <v>28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0"/>
      <c r="T309" s="294"/>
      <c r="U309" s="29" t="s">
        <v>28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2"/>
      <c r="AL309" s="294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4"/>
      <c r="C310" s="29" t="s">
        <v>29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0"/>
      <c r="T310" s="294"/>
      <c r="U310" s="29" t="s">
        <v>29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2"/>
      <c r="AL310" s="294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4"/>
      <c r="C311" s="29" t="s">
        <v>31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0"/>
      <c r="T311" s="294"/>
      <c r="U311" s="29" t="s">
        <v>31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2"/>
      <c r="AL311" s="294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5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0"/>
      <c r="T312" s="295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2"/>
      <c r="AL312" s="295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93" t="s">
        <v>121</v>
      </c>
      <c r="C313" s="27" t="s">
        <v>27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0"/>
      <c r="T313" s="293" t="s">
        <v>121</v>
      </c>
      <c r="U313" s="27" t="s">
        <v>27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2"/>
      <c r="AL313" s="293" t="s">
        <v>121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4"/>
      <c r="C314" s="29" t="s">
        <v>28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0"/>
      <c r="T314" s="294"/>
      <c r="U314" s="29" t="s">
        <v>28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2"/>
      <c r="AL314" s="294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4"/>
      <c r="C315" s="29" t="s">
        <v>29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0"/>
      <c r="T315" s="294"/>
      <c r="U315" s="29" t="s">
        <v>29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2"/>
      <c r="AL315" s="294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4"/>
      <c r="C316" s="29" t="s">
        <v>31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0"/>
      <c r="T316" s="294"/>
      <c r="U316" s="29" t="s">
        <v>31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2"/>
      <c r="AL316" s="294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5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0"/>
      <c r="T317" s="295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2"/>
      <c r="AL317" s="295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93" t="s">
        <v>122</v>
      </c>
      <c r="C318" s="27" t="s">
        <v>27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0"/>
      <c r="T318" s="293" t="s">
        <v>122</v>
      </c>
      <c r="U318" s="27" t="s">
        <v>27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2"/>
      <c r="AL318" s="293" t="s">
        <v>122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4"/>
      <c r="C319" s="29" t="s">
        <v>28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0"/>
      <c r="T319" s="294"/>
      <c r="U319" s="29" t="s">
        <v>28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2"/>
      <c r="AL319" s="294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4"/>
      <c r="C320" s="29" t="s">
        <v>29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0"/>
      <c r="T320" s="294"/>
      <c r="U320" s="29" t="s">
        <v>29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2"/>
      <c r="AL320" s="294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4"/>
      <c r="C321" s="29" t="s">
        <v>31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0"/>
      <c r="T321" s="294"/>
      <c r="U321" s="29" t="s">
        <v>31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2"/>
      <c r="AL321" s="294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5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0"/>
      <c r="T322" s="295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2"/>
      <c r="AL322" s="295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93" t="s">
        <v>123</v>
      </c>
      <c r="C323" s="27" t="s">
        <v>27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0"/>
      <c r="T323" s="293" t="s">
        <v>123</v>
      </c>
      <c r="U323" s="27" t="s">
        <v>27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2"/>
      <c r="AL323" s="293" t="s">
        <v>123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4"/>
      <c r="C324" s="29" t="s">
        <v>28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0"/>
      <c r="T324" s="294"/>
      <c r="U324" s="29" t="s">
        <v>28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2"/>
      <c r="AL324" s="294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4"/>
      <c r="C325" s="29" t="s">
        <v>29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0"/>
      <c r="T325" s="294"/>
      <c r="U325" s="29" t="s">
        <v>29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2"/>
      <c r="AL325" s="294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4"/>
      <c r="C326" s="29" t="s">
        <v>31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0"/>
      <c r="T326" s="294"/>
      <c r="U326" s="29" t="s">
        <v>31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2"/>
      <c r="AL326" s="294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5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0"/>
      <c r="T327" s="295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2"/>
      <c r="AL327" s="295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93" t="s">
        <v>124</v>
      </c>
      <c r="C328" s="27" t="s">
        <v>27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0"/>
      <c r="T328" s="293" t="s">
        <v>124</v>
      </c>
      <c r="U328" s="27" t="s">
        <v>27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2"/>
      <c r="AL328" s="293" t="s">
        <v>124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4"/>
      <c r="C329" s="29" t="s">
        <v>28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0"/>
      <c r="T329" s="294"/>
      <c r="U329" s="29" t="s">
        <v>28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2"/>
      <c r="AL329" s="294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4"/>
      <c r="C330" s="29" t="s">
        <v>29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0"/>
      <c r="T330" s="294"/>
      <c r="U330" s="29" t="s">
        <v>29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2"/>
      <c r="AL330" s="294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4"/>
      <c r="C331" s="29" t="s">
        <v>31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0"/>
      <c r="T331" s="294"/>
      <c r="U331" s="29" t="s">
        <v>31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2"/>
      <c r="AL331" s="294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5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0"/>
      <c r="T332" s="295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2"/>
      <c r="AL332" s="295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93" t="s">
        <v>125</v>
      </c>
      <c r="C333" s="27" t="s">
        <v>27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0"/>
      <c r="T333" s="293" t="s">
        <v>125</v>
      </c>
      <c r="U333" s="27" t="s">
        <v>27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2"/>
      <c r="AL333" s="293" t="s">
        <v>125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4"/>
      <c r="C334" s="29" t="s">
        <v>28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0"/>
      <c r="T334" s="294"/>
      <c r="U334" s="29" t="s">
        <v>28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2"/>
      <c r="AL334" s="294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4"/>
      <c r="C335" s="29" t="s">
        <v>29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0"/>
      <c r="T335" s="294"/>
      <c r="U335" s="29" t="s">
        <v>29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2"/>
      <c r="AL335" s="294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4"/>
      <c r="C336" s="29" t="s">
        <v>31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0"/>
      <c r="T336" s="294"/>
      <c r="U336" s="29" t="s">
        <v>31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2"/>
      <c r="AL336" s="294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5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0"/>
      <c r="T337" s="295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2"/>
      <c r="AL337" s="295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93" t="s">
        <v>126</v>
      </c>
      <c r="C338" s="27" t="s">
        <v>27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0"/>
      <c r="T338" s="293" t="s">
        <v>126</v>
      </c>
      <c r="U338" s="27" t="s">
        <v>27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2"/>
      <c r="AL338" s="293" t="s">
        <v>126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4"/>
      <c r="C339" s="29" t="s">
        <v>28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0"/>
      <c r="T339" s="294"/>
      <c r="U339" s="29" t="s">
        <v>28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2"/>
      <c r="AL339" s="294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4"/>
      <c r="C340" s="29" t="s">
        <v>29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0"/>
      <c r="T340" s="294"/>
      <c r="U340" s="29" t="s">
        <v>29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2"/>
      <c r="AL340" s="294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4"/>
      <c r="C341" s="29" t="s">
        <v>31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0"/>
      <c r="T341" s="294"/>
      <c r="U341" s="29" t="s">
        <v>31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2"/>
      <c r="AL341" s="294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5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0"/>
      <c r="T342" s="295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2"/>
      <c r="AL342" s="295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93" t="s">
        <v>127</v>
      </c>
      <c r="C343" s="27" t="s">
        <v>27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0"/>
      <c r="T343" s="293" t="s">
        <v>127</v>
      </c>
      <c r="U343" s="27" t="s">
        <v>27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2"/>
      <c r="AL343" s="293" t="s">
        <v>127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4"/>
      <c r="C344" s="29" t="s">
        <v>28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0"/>
      <c r="T344" s="294"/>
      <c r="U344" s="29" t="s">
        <v>28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2"/>
      <c r="AL344" s="294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4"/>
      <c r="C345" s="29" t="s">
        <v>29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0"/>
      <c r="T345" s="294"/>
      <c r="U345" s="29" t="s">
        <v>29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2"/>
      <c r="AL345" s="294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4"/>
      <c r="C346" s="29" t="s">
        <v>31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0"/>
      <c r="T346" s="294"/>
      <c r="U346" s="29" t="s">
        <v>31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2"/>
      <c r="AL346" s="294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5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0"/>
      <c r="T347" s="295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2"/>
      <c r="AL347" s="295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93" t="s">
        <v>128</v>
      </c>
      <c r="C348" s="27" t="s">
        <v>27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0"/>
      <c r="T348" s="293" t="s">
        <v>128</v>
      </c>
      <c r="U348" s="27" t="s">
        <v>27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2"/>
      <c r="AL348" s="293" t="s">
        <v>128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4"/>
      <c r="C349" s="29" t="s">
        <v>28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0"/>
      <c r="T349" s="294"/>
      <c r="U349" s="29" t="s">
        <v>28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2"/>
      <c r="AL349" s="294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4"/>
      <c r="C350" s="29" t="s">
        <v>29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0"/>
      <c r="T350" s="294"/>
      <c r="U350" s="29" t="s">
        <v>29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2"/>
      <c r="AL350" s="294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4"/>
      <c r="C351" s="29" t="s">
        <v>31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0"/>
      <c r="T351" s="294"/>
      <c r="U351" s="29" t="s">
        <v>31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2"/>
      <c r="AL351" s="294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5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0"/>
      <c r="T352" s="295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2"/>
      <c r="AL352" s="295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93" t="s">
        <v>129</v>
      </c>
      <c r="C353" s="27" t="s">
        <v>27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0"/>
      <c r="T353" s="293" t="s">
        <v>129</v>
      </c>
      <c r="U353" s="27" t="s">
        <v>27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2"/>
      <c r="AL353" s="293" t="s">
        <v>129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4"/>
      <c r="C354" s="29" t="s">
        <v>28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0"/>
      <c r="T354" s="294"/>
      <c r="U354" s="29" t="s">
        <v>28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2"/>
      <c r="AL354" s="294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4"/>
      <c r="C355" s="29" t="s">
        <v>29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0"/>
      <c r="T355" s="294"/>
      <c r="U355" s="29" t="s">
        <v>29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2"/>
      <c r="AL355" s="294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4"/>
      <c r="C356" s="29" t="s">
        <v>31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0"/>
      <c r="T356" s="294"/>
      <c r="U356" s="29" t="s">
        <v>31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2"/>
      <c r="AL356" s="294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5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0"/>
      <c r="T357" s="295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2"/>
      <c r="AL357" s="295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93" t="s">
        <v>130</v>
      </c>
      <c r="C358" s="27" t="s">
        <v>27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0"/>
      <c r="T358" s="293" t="s">
        <v>130</v>
      </c>
      <c r="U358" s="27" t="s">
        <v>27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2"/>
      <c r="AL358" s="293" t="s">
        <v>130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4"/>
      <c r="C359" s="29" t="s">
        <v>28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0"/>
      <c r="T359" s="294"/>
      <c r="U359" s="29" t="s">
        <v>28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2"/>
      <c r="AL359" s="294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4"/>
      <c r="C360" s="29" t="s">
        <v>29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0"/>
      <c r="T360" s="294"/>
      <c r="U360" s="29" t="s">
        <v>29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2"/>
      <c r="AL360" s="294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4"/>
      <c r="C361" s="29" t="s">
        <v>31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0"/>
      <c r="T361" s="294"/>
      <c r="U361" s="29" t="s">
        <v>31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2"/>
      <c r="AL361" s="294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5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0"/>
      <c r="T362" s="295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2"/>
      <c r="AL362" s="295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93" t="s">
        <v>131</v>
      </c>
      <c r="C363" s="27" t="s">
        <v>27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0"/>
      <c r="T363" s="293" t="s">
        <v>131</v>
      </c>
      <c r="U363" s="27" t="s">
        <v>27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2"/>
      <c r="AL363" s="293" t="s">
        <v>131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4"/>
      <c r="C364" s="29" t="s">
        <v>28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0"/>
      <c r="T364" s="294"/>
      <c r="U364" s="29" t="s">
        <v>28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2"/>
      <c r="AL364" s="294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4"/>
      <c r="C365" s="29" t="s">
        <v>29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0"/>
      <c r="T365" s="294"/>
      <c r="U365" s="29" t="s">
        <v>29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2"/>
      <c r="AL365" s="294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4"/>
      <c r="C366" s="29" t="s">
        <v>31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0"/>
      <c r="T366" s="294"/>
      <c r="U366" s="29" t="s">
        <v>31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2"/>
      <c r="AL366" s="294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5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0"/>
      <c r="T367" s="295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2"/>
      <c r="AL367" s="295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93" t="s">
        <v>132</v>
      </c>
      <c r="C368" s="27" t="s">
        <v>27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0"/>
      <c r="T368" s="293" t="s">
        <v>132</v>
      </c>
      <c r="U368" s="27" t="s">
        <v>27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2"/>
      <c r="AL368" s="293" t="s">
        <v>132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4"/>
      <c r="C369" s="29" t="s">
        <v>28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0"/>
      <c r="T369" s="294"/>
      <c r="U369" s="29" t="s">
        <v>28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2"/>
      <c r="AL369" s="294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4"/>
      <c r="C370" s="29" t="s">
        <v>29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0"/>
      <c r="T370" s="294"/>
      <c r="U370" s="29" t="s">
        <v>29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2"/>
      <c r="AL370" s="294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4"/>
      <c r="C371" s="29" t="s">
        <v>31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0"/>
      <c r="T371" s="294"/>
      <c r="U371" s="29" t="s">
        <v>31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2"/>
      <c r="AL371" s="294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5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0"/>
      <c r="T372" s="295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2"/>
      <c r="AL372" s="295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93" t="s">
        <v>133</v>
      </c>
      <c r="C373" s="27" t="s">
        <v>27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0"/>
      <c r="T373" s="293" t="s">
        <v>133</v>
      </c>
      <c r="U373" s="27" t="s">
        <v>27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2"/>
      <c r="AL373" s="293" t="s">
        <v>133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4"/>
      <c r="C374" s="29" t="s">
        <v>28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0"/>
      <c r="T374" s="294"/>
      <c r="U374" s="29" t="s">
        <v>28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2"/>
      <c r="AL374" s="294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4"/>
      <c r="C375" s="29" t="s">
        <v>29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0"/>
      <c r="T375" s="294"/>
      <c r="U375" s="29" t="s">
        <v>29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2"/>
      <c r="AL375" s="294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4"/>
      <c r="C376" s="29" t="s">
        <v>31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0"/>
      <c r="T376" s="294"/>
      <c r="U376" s="29" t="s">
        <v>31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2"/>
      <c r="AL376" s="294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5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0"/>
      <c r="T377" s="295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2"/>
      <c r="AL377" s="295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93" t="s">
        <v>134</v>
      </c>
      <c r="C378" s="27" t="s">
        <v>27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0"/>
      <c r="T378" s="293" t="s">
        <v>134</v>
      </c>
      <c r="U378" s="27" t="s">
        <v>27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2"/>
      <c r="AL378" s="293" t="s">
        <v>134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4"/>
      <c r="C379" s="29" t="s">
        <v>28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0"/>
      <c r="T379" s="294"/>
      <c r="U379" s="29" t="s">
        <v>28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2"/>
      <c r="AL379" s="294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4"/>
      <c r="C380" s="29" t="s">
        <v>29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0"/>
      <c r="T380" s="294"/>
      <c r="U380" s="29" t="s">
        <v>29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2"/>
      <c r="AL380" s="294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4"/>
      <c r="C381" s="29" t="s">
        <v>31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0"/>
      <c r="T381" s="294"/>
      <c r="U381" s="29" t="s">
        <v>31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2"/>
      <c r="AL381" s="294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5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0"/>
      <c r="T382" s="295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2"/>
      <c r="AL382" s="295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93" t="s">
        <v>135</v>
      </c>
      <c r="C383" s="27" t="s">
        <v>27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0"/>
      <c r="T383" s="293" t="s">
        <v>135</v>
      </c>
      <c r="U383" s="27" t="s">
        <v>27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2"/>
      <c r="AL383" s="293" t="s">
        <v>135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4"/>
      <c r="C384" s="29" t="s">
        <v>28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0"/>
      <c r="T384" s="294"/>
      <c r="U384" s="29" t="s">
        <v>28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2"/>
      <c r="AL384" s="294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4"/>
      <c r="C385" s="29" t="s">
        <v>29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0"/>
      <c r="T385" s="294"/>
      <c r="U385" s="29" t="s">
        <v>29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2"/>
      <c r="AL385" s="294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4"/>
      <c r="C386" s="29" t="s">
        <v>31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0"/>
      <c r="T386" s="294"/>
      <c r="U386" s="29" t="s">
        <v>31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2"/>
      <c r="AL386" s="294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5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0"/>
      <c r="T387" s="295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2"/>
      <c r="AL387" s="295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93" t="s">
        <v>136</v>
      </c>
      <c r="C388" s="27" t="s">
        <v>27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0"/>
      <c r="T388" s="293" t="s">
        <v>136</v>
      </c>
      <c r="U388" s="27" t="s">
        <v>27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2"/>
      <c r="AL388" s="293" t="s">
        <v>136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4"/>
      <c r="C389" s="29" t="s">
        <v>28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0"/>
      <c r="T389" s="294"/>
      <c r="U389" s="29" t="s">
        <v>28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2"/>
      <c r="AL389" s="294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4"/>
      <c r="C390" s="29" t="s">
        <v>29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0"/>
      <c r="T390" s="294"/>
      <c r="U390" s="29" t="s">
        <v>29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2"/>
      <c r="AL390" s="294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4"/>
      <c r="C391" s="29" t="s">
        <v>31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0"/>
      <c r="T391" s="294"/>
      <c r="U391" s="29" t="s">
        <v>31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2"/>
      <c r="AL391" s="294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5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0"/>
      <c r="T392" s="295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2"/>
      <c r="AL392" s="295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93" t="s">
        <v>137</v>
      </c>
      <c r="C393" s="27" t="s">
        <v>27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0"/>
      <c r="T393" s="293" t="s">
        <v>137</v>
      </c>
      <c r="U393" s="27" t="s">
        <v>27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2"/>
      <c r="AL393" s="293" t="s">
        <v>137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4"/>
      <c r="C394" s="29" t="s">
        <v>28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0"/>
      <c r="T394" s="294"/>
      <c r="U394" s="29" t="s">
        <v>28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2"/>
      <c r="AL394" s="294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4"/>
      <c r="C395" s="29" t="s">
        <v>29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0"/>
      <c r="T395" s="294"/>
      <c r="U395" s="29" t="s">
        <v>29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2"/>
      <c r="AL395" s="294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4"/>
      <c r="C396" s="29" t="s">
        <v>31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0"/>
      <c r="T396" s="294"/>
      <c r="U396" s="29" t="s">
        <v>31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2"/>
      <c r="AL396" s="294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5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0"/>
      <c r="T397" s="295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2"/>
      <c r="AL397" s="295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93" t="s">
        <v>138</v>
      </c>
      <c r="C398" s="27" t="s">
        <v>27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0"/>
      <c r="T398" s="293" t="s">
        <v>138</v>
      </c>
      <c r="U398" s="27" t="s">
        <v>27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2"/>
      <c r="AL398" s="293" t="s">
        <v>138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4"/>
      <c r="C399" s="29" t="s">
        <v>28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0"/>
      <c r="T399" s="294"/>
      <c r="U399" s="29" t="s">
        <v>28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2"/>
      <c r="AL399" s="294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4"/>
      <c r="C400" s="29" t="s">
        <v>29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0"/>
      <c r="T400" s="294"/>
      <c r="U400" s="29" t="s">
        <v>29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2"/>
      <c r="AL400" s="294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4"/>
      <c r="C401" s="29" t="s">
        <v>31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0"/>
      <c r="T401" s="294"/>
      <c r="U401" s="29" t="s">
        <v>31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2"/>
      <c r="AL401" s="294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5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0"/>
      <c r="T402" s="295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2"/>
      <c r="AL402" s="295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93" t="s">
        <v>139</v>
      </c>
      <c r="C403" s="27" t="s">
        <v>27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0"/>
      <c r="T403" s="293" t="s">
        <v>139</v>
      </c>
      <c r="U403" s="27" t="s">
        <v>27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2"/>
      <c r="AL403" s="293" t="s">
        <v>139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4"/>
      <c r="C404" s="29" t="s">
        <v>28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0"/>
      <c r="T404" s="294"/>
      <c r="U404" s="29" t="s">
        <v>28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2"/>
      <c r="AL404" s="294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4"/>
      <c r="C405" s="29" t="s">
        <v>29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0"/>
      <c r="T405" s="294"/>
      <c r="U405" s="29" t="s">
        <v>29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2"/>
      <c r="AL405" s="294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4"/>
      <c r="C406" s="29" t="s">
        <v>31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0"/>
      <c r="T406" s="294"/>
      <c r="U406" s="29" t="s">
        <v>31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2"/>
      <c r="AL406" s="294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5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0"/>
      <c r="T407" s="295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2"/>
      <c r="AL407" s="295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93" t="s">
        <v>140</v>
      </c>
      <c r="C408" s="27" t="s">
        <v>27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0"/>
      <c r="T408" s="293" t="s">
        <v>140</v>
      </c>
      <c r="U408" s="27" t="s">
        <v>27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2"/>
      <c r="AL408" s="293" t="s">
        <v>140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4"/>
      <c r="C409" s="29" t="s">
        <v>28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0"/>
      <c r="T409" s="294"/>
      <c r="U409" s="29" t="s">
        <v>28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2"/>
      <c r="AL409" s="294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4"/>
      <c r="C410" s="29" t="s">
        <v>29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0"/>
      <c r="T410" s="294"/>
      <c r="U410" s="29" t="s">
        <v>29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2"/>
      <c r="AL410" s="294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4"/>
      <c r="C411" s="29" t="s">
        <v>31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0"/>
      <c r="T411" s="294"/>
      <c r="U411" s="29" t="s">
        <v>31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2"/>
      <c r="AL411" s="294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5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0"/>
      <c r="T412" s="295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2"/>
      <c r="AL412" s="295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93" t="s">
        <v>141</v>
      </c>
      <c r="C413" s="27" t="s">
        <v>27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0"/>
      <c r="T413" s="293" t="s">
        <v>141</v>
      </c>
      <c r="U413" s="27" t="s">
        <v>27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2"/>
      <c r="AL413" s="293" t="s">
        <v>141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4"/>
      <c r="C414" s="29" t="s">
        <v>28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0"/>
      <c r="T414" s="294"/>
      <c r="U414" s="29" t="s">
        <v>28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2"/>
      <c r="AL414" s="294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4"/>
      <c r="C415" s="29" t="s">
        <v>29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0"/>
      <c r="T415" s="294"/>
      <c r="U415" s="29" t="s">
        <v>29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2"/>
      <c r="AL415" s="294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4"/>
      <c r="C416" s="29" t="s">
        <v>31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0"/>
      <c r="T416" s="294"/>
      <c r="U416" s="29" t="s">
        <v>31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2"/>
      <c r="AL416" s="294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5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0"/>
      <c r="T417" s="295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2"/>
      <c r="AL417" s="295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93" t="s">
        <v>142</v>
      </c>
      <c r="C418" s="27" t="s">
        <v>27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0"/>
      <c r="T418" s="293" t="s">
        <v>142</v>
      </c>
      <c r="U418" s="27" t="s">
        <v>27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2"/>
      <c r="AL418" s="293" t="s">
        <v>142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4"/>
      <c r="C419" s="29" t="s">
        <v>28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0"/>
      <c r="T419" s="294"/>
      <c r="U419" s="29" t="s">
        <v>28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2"/>
      <c r="AL419" s="294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4"/>
      <c r="C420" s="29" t="s">
        <v>29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0"/>
      <c r="T420" s="294"/>
      <c r="U420" s="29" t="s">
        <v>29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2"/>
      <c r="AL420" s="294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4"/>
      <c r="C421" s="29" t="s">
        <v>31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0"/>
      <c r="T421" s="294"/>
      <c r="U421" s="29" t="s">
        <v>31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2"/>
      <c r="AL421" s="294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5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0"/>
      <c r="T422" s="295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2"/>
      <c r="AL422" s="295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93" t="s">
        <v>143</v>
      </c>
      <c r="C423" s="27" t="s">
        <v>27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0"/>
      <c r="T423" s="293" t="s">
        <v>143</v>
      </c>
      <c r="U423" s="27" t="s">
        <v>27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2"/>
      <c r="AL423" s="293" t="s">
        <v>143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4"/>
      <c r="C424" s="29" t="s">
        <v>28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0"/>
      <c r="T424" s="294"/>
      <c r="U424" s="29" t="s">
        <v>28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2"/>
      <c r="AL424" s="294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4"/>
      <c r="C425" s="29" t="s">
        <v>29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0"/>
      <c r="T425" s="294"/>
      <c r="U425" s="29" t="s">
        <v>29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2"/>
      <c r="AL425" s="294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4"/>
      <c r="C426" s="29" t="s">
        <v>31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0"/>
      <c r="T426" s="294"/>
      <c r="U426" s="29" t="s">
        <v>31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2"/>
      <c r="AL426" s="294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5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0"/>
      <c r="T427" s="295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2"/>
      <c r="AL427" s="295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93" t="s">
        <v>144</v>
      </c>
      <c r="C428" s="27" t="s">
        <v>27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0"/>
      <c r="T428" s="293" t="s">
        <v>144</v>
      </c>
      <c r="U428" s="27" t="s">
        <v>27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2"/>
      <c r="AL428" s="293" t="s">
        <v>144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4"/>
      <c r="C429" s="29" t="s">
        <v>28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0"/>
      <c r="T429" s="294"/>
      <c r="U429" s="29" t="s">
        <v>28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2"/>
      <c r="AL429" s="294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4"/>
      <c r="C430" s="29" t="s">
        <v>29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0"/>
      <c r="T430" s="294"/>
      <c r="U430" s="29" t="s">
        <v>29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2"/>
      <c r="AL430" s="294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4"/>
      <c r="C431" s="29" t="s">
        <v>31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0"/>
      <c r="T431" s="294"/>
      <c r="U431" s="29" t="s">
        <v>31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2"/>
      <c r="AL431" s="294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5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0"/>
      <c r="T432" s="295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2"/>
      <c r="AL432" s="295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93" t="s">
        <v>145</v>
      </c>
      <c r="C433" s="27" t="s">
        <v>27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0"/>
      <c r="T433" s="293" t="s">
        <v>145</v>
      </c>
      <c r="U433" s="27" t="s">
        <v>27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2"/>
      <c r="AL433" s="293" t="s">
        <v>145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4"/>
      <c r="C434" s="29" t="s">
        <v>28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0"/>
      <c r="T434" s="294"/>
      <c r="U434" s="29" t="s">
        <v>28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2"/>
      <c r="AL434" s="294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4"/>
      <c r="C435" s="29" t="s">
        <v>29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0"/>
      <c r="T435" s="294"/>
      <c r="U435" s="29" t="s">
        <v>29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2"/>
      <c r="AL435" s="294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4"/>
      <c r="C436" s="29" t="s">
        <v>31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0"/>
      <c r="T436" s="294"/>
      <c r="U436" s="29" t="s">
        <v>31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2"/>
      <c r="AL436" s="294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5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0"/>
      <c r="T437" s="295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2"/>
      <c r="AL437" s="295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93" t="s">
        <v>146</v>
      </c>
      <c r="C438" s="27" t="s">
        <v>27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0"/>
      <c r="T438" s="293" t="s">
        <v>146</v>
      </c>
      <c r="U438" s="27" t="s">
        <v>27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2"/>
      <c r="AL438" s="293" t="s">
        <v>146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4"/>
      <c r="C439" s="29" t="s">
        <v>28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0"/>
      <c r="T439" s="294"/>
      <c r="U439" s="29" t="s">
        <v>28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2"/>
      <c r="AL439" s="294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4"/>
      <c r="C440" s="29" t="s">
        <v>29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0"/>
      <c r="T440" s="294"/>
      <c r="U440" s="29" t="s">
        <v>29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2"/>
      <c r="AL440" s="294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4"/>
      <c r="C441" s="29" t="s">
        <v>31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0"/>
      <c r="T441" s="294"/>
      <c r="U441" s="29" t="s">
        <v>31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2"/>
      <c r="AL441" s="294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5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0"/>
      <c r="T442" s="295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2"/>
      <c r="AL442" s="295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93" t="s">
        <v>147</v>
      </c>
      <c r="C443" s="27" t="s">
        <v>27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0"/>
      <c r="T443" s="293" t="s">
        <v>147</v>
      </c>
      <c r="U443" s="27" t="s">
        <v>27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2"/>
      <c r="AL443" s="293" t="s">
        <v>147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4"/>
      <c r="C444" s="29" t="s">
        <v>28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0"/>
      <c r="T444" s="294"/>
      <c r="U444" s="29" t="s">
        <v>28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2"/>
      <c r="AL444" s="294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4"/>
      <c r="C445" s="29" t="s">
        <v>29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0"/>
      <c r="T445" s="294"/>
      <c r="U445" s="29" t="s">
        <v>29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2"/>
      <c r="AL445" s="294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4"/>
      <c r="C446" s="29" t="s">
        <v>31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0"/>
      <c r="T446" s="294"/>
      <c r="U446" s="29" t="s">
        <v>31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2"/>
      <c r="AL446" s="294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5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0"/>
      <c r="T447" s="295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2"/>
      <c r="AL447" s="295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93" t="s">
        <v>148</v>
      </c>
      <c r="C448" s="27" t="s">
        <v>27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0"/>
      <c r="T448" s="293" t="s">
        <v>148</v>
      </c>
      <c r="U448" s="27" t="s">
        <v>27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2"/>
      <c r="AL448" s="293" t="s">
        <v>148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4"/>
      <c r="C449" s="29" t="s">
        <v>28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0"/>
      <c r="T449" s="294"/>
      <c r="U449" s="29" t="s">
        <v>28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2"/>
      <c r="AL449" s="294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4"/>
      <c r="C450" s="29" t="s">
        <v>29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0"/>
      <c r="T450" s="294"/>
      <c r="U450" s="29" t="s">
        <v>29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2"/>
      <c r="AL450" s="294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4"/>
      <c r="C451" s="29" t="s">
        <v>31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0"/>
      <c r="T451" s="294"/>
      <c r="U451" s="29" t="s">
        <v>31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2"/>
      <c r="AL451" s="294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5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0"/>
      <c r="T452" s="295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2"/>
      <c r="AL452" s="295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93" t="s">
        <v>149</v>
      </c>
      <c r="C453" s="27" t="s">
        <v>27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0"/>
      <c r="T453" s="293" t="s">
        <v>149</v>
      </c>
      <c r="U453" s="27" t="s">
        <v>27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2"/>
      <c r="AL453" s="293" t="s">
        <v>149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4"/>
      <c r="C454" s="29" t="s">
        <v>28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0"/>
      <c r="T454" s="294"/>
      <c r="U454" s="29" t="s">
        <v>28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2"/>
      <c r="AL454" s="294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4"/>
      <c r="C455" s="29" t="s">
        <v>29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0"/>
      <c r="T455" s="294"/>
      <c r="U455" s="29" t="s">
        <v>29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2"/>
      <c r="AL455" s="294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4"/>
      <c r="C456" s="29" t="s">
        <v>31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0"/>
      <c r="T456" s="294"/>
      <c r="U456" s="29" t="s">
        <v>31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2"/>
      <c r="AL456" s="294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5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0"/>
      <c r="T457" s="295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2"/>
      <c r="AL457" s="295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93" t="s">
        <v>150</v>
      </c>
      <c r="C458" s="27" t="s">
        <v>27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0"/>
      <c r="T458" s="293" t="s">
        <v>150</v>
      </c>
      <c r="U458" s="27" t="s">
        <v>27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2"/>
      <c r="AL458" s="293" t="s">
        <v>150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4"/>
      <c r="C459" s="29" t="s">
        <v>28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0"/>
      <c r="T459" s="294"/>
      <c r="U459" s="29" t="s">
        <v>28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2"/>
      <c r="AL459" s="294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4"/>
      <c r="C460" s="29" t="s">
        <v>29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0"/>
      <c r="T460" s="294"/>
      <c r="U460" s="29" t="s">
        <v>29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2"/>
      <c r="AL460" s="294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4"/>
      <c r="C461" s="29" t="s">
        <v>31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0"/>
      <c r="T461" s="294"/>
      <c r="U461" s="29" t="s">
        <v>31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2"/>
      <c r="AL461" s="294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5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0"/>
      <c r="T462" s="295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2"/>
      <c r="AL462" s="295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93" t="s">
        <v>151</v>
      </c>
      <c r="C463" s="27" t="s">
        <v>27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0"/>
      <c r="T463" s="293" t="s">
        <v>151</v>
      </c>
      <c r="U463" s="27" t="s">
        <v>27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2"/>
      <c r="AL463" s="293" t="s">
        <v>151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4"/>
      <c r="C464" s="29" t="s">
        <v>28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0"/>
      <c r="T464" s="294"/>
      <c r="U464" s="29" t="s">
        <v>28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2"/>
      <c r="AL464" s="294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4"/>
      <c r="C465" s="29" t="s">
        <v>29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0"/>
      <c r="T465" s="294"/>
      <c r="U465" s="29" t="s">
        <v>29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2"/>
      <c r="AL465" s="294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4"/>
      <c r="C466" s="29" t="s">
        <v>31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0"/>
      <c r="T466" s="294"/>
      <c r="U466" s="29" t="s">
        <v>31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2"/>
      <c r="AL466" s="294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5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0"/>
      <c r="T467" s="295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2"/>
      <c r="AL467" s="295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93" t="s">
        <v>152</v>
      </c>
      <c r="C468" s="27" t="s">
        <v>27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0"/>
      <c r="T468" s="293" t="s">
        <v>152</v>
      </c>
      <c r="U468" s="27" t="s">
        <v>27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2"/>
      <c r="AL468" s="293" t="s">
        <v>152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4"/>
      <c r="C469" s="29" t="s">
        <v>28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0"/>
      <c r="T469" s="294"/>
      <c r="U469" s="29" t="s">
        <v>28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2"/>
      <c r="AL469" s="294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4"/>
      <c r="C470" s="29" t="s">
        <v>29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0"/>
      <c r="T470" s="294"/>
      <c r="U470" s="29" t="s">
        <v>29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2"/>
      <c r="AL470" s="294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4"/>
      <c r="C471" s="29" t="s">
        <v>31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0"/>
      <c r="T471" s="294"/>
      <c r="U471" s="29" t="s">
        <v>31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2"/>
      <c r="AL471" s="294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5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0"/>
      <c r="T472" s="295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2"/>
      <c r="AL472" s="295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93" t="s">
        <v>153</v>
      </c>
      <c r="C473" s="27" t="s">
        <v>27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0"/>
      <c r="T473" s="293" t="s">
        <v>153</v>
      </c>
      <c r="U473" s="27" t="s">
        <v>27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2"/>
      <c r="AL473" s="293" t="s">
        <v>153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4"/>
      <c r="C474" s="29" t="s">
        <v>28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0"/>
      <c r="T474" s="294"/>
      <c r="U474" s="29" t="s">
        <v>28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2"/>
      <c r="AL474" s="294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4"/>
      <c r="C475" s="29" t="s">
        <v>29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0"/>
      <c r="T475" s="294"/>
      <c r="U475" s="29" t="s">
        <v>29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2"/>
      <c r="AL475" s="294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4"/>
      <c r="C476" s="29" t="s">
        <v>31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0"/>
      <c r="T476" s="294"/>
      <c r="U476" s="29" t="s">
        <v>31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2"/>
      <c r="AL476" s="294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5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0"/>
      <c r="T477" s="295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2"/>
      <c r="AL477" s="295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93" t="s">
        <v>154</v>
      </c>
      <c r="C478" s="27" t="s">
        <v>27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0"/>
      <c r="T478" s="293" t="s">
        <v>154</v>
      </c>
      <c r="U478" s="27" t="s">
        <v>27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2"/>
      <c r="AL478" s="293" t="s">
        <v>154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4"/>
      <c r="C479" s="29" t="s">
        <v>28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0"/>
      <c r="T479" s="294"/>
      <c r="U479" s="29" t="s">
        <v>28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2"/>
      <c r="AL479" s="294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4"/>
      <c r="C480" s="29" t="s">
        <v>29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0"/>
      <c r="T480" s="294"/>
      <c r="U480" s="29" t="s">
        <v>29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2"/>
      <c r="AL480" s="294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4"/>
      <c r="C481" s="29" t="s">
        <v>31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0"/>
      <c r="T481" s="294"/>
      <c r="U481" s="29" t="s">
        <v>31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2"/>
      <c r="AL481" s="294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5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0"/>
      <c r="T482" s="295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2"/>
      <c r="AL482" s="295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93" t="s">
        <v>155</v>
      </c>
      <c r="C483" s="27" t="s">
        <v>27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0"/>
      <c r="T483" s="293" t="s">
        <v>155</v>
      </c>
      <c r="U483" s="27" t="s">
        <v>27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2"/>
      <c r="AL483" s="293" t="s">
        <v>155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4"/>
      <c r="C484" s="29" t="s">
        <v>28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0"/>
      <c r="T484" s="294"/>
      <c r="U484" s="29" t="s">
        <v>28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2"/>
      <c r="AL484" s="294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4"/>
      <c r="C485" s="29" t="s">
        <v>29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0"/>
      <c r="T485" s="294"/>
      <c r="U485" s="29" t="s">
        <v>29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2"/>
      <c r="AL485" s="294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4"/>
      <c r="C486" s="29" t="s">
        <v>31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0"/>
      <c r="T486" s="294"/>
      <c r="U486" s="29" t="s">
        <v>31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2"/>
      <c r="AL486" s="294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5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0"/>
      <c r="T487" s="295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2"/>
      <c r="AL487" s="295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93" t="s">
        <v>156</v>
      </c>
      <c r="C488" s="27" t="s">
        <v>27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0"/>
      <c r="T488" s="293" t="s">
        <v>156</v>
      </c>
      <c r="U488" s="27" t="s">
        <v>27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2"/>
      <c r="AL488" s="293" t="s">
        <v>156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4"/>
      <c r="C489" s="29" t="s">
        <v>28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0"/>
      <c r="T489" s="294"/>
      <c r="U489" s="29" t="s">
        <v>28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2"/>
      <c r="AL489" s="294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4"/>
      <c r="C490" s="29" t="s">
        <v>29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0"/>
      <c r="T490" s="294"/>
      <c r="U490" s="29" t="s">
        <v>29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2"/>
      <c r="AL490" s="294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4"/>
      <c r="C491" s="29" t="s">
        <v>31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0"/>
      <c r="T491" s="294"/>
      <c r="U491" s="29" t="s">
        <v>31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2"/>
      <c r="AL491" s="294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5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0"/>
      <c r="T492" s="295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2"/>
      <c r="AL492" s="295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93" t="s">
        <v>157</v>
      </c>
      <c r="C493" s="27" t="s">
        <v>27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0"/>
      <c r="T493" s="293" t="s">
        <v>157</v>
      </c>
      <c r="U493" s="27" t="s">
        <v>27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2"/>
      <c r="AL493" s="293" t="s">
        <v>157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4"/>
      <c r="C494" s="29" t="s">
        <v>28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0"/>
      <c r="T494" s="294"/>
      <c r="U494" s="29" t="s">
        <v>28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2"/>
      <c r="AL494" s="294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4"/>
      <c r="C495" s="29" t="s">
        <v>29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0"/>
      <c r="T495" s="294"/>
      <c r="U495" s="29" t="s">
        <v>29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2"/>
      <c r="AL495" s="294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4"/>
      <c r="C496" s="29" t="s">
        <v>31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0"/>
      <c r="T496" s="294"/>
      <c r="U496" s="29" t="s">
        <v>31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2"/>
      <c r="AL496" s="294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5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0"/>
      <c r="T497" s="295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2"/>
      <c r="AL497" s="295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93" t="s">
        <v>158</v>
      </c>
      <c r="C498" s="27" t="s">
        <v>27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0"/>
      <c r="T498" s="293" t="s">
        <v>158</v>
      </c>
      <c r="U498" s="27" t="s">
        <v>27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2"/>
      <c r="AL498" s="293" t="s">
        <v>158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4"/>
      <c r="C499" s="29" t="s">
        <v>28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0"/>
      <c r="T499" s="294"/>
      <c r="U499" s="29" t="s">
        <v>28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2"/>
      <c r="AL499" s="294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4"/>
      <c r="C500" s="29" t="s">
        <v>29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0"/>
      <c r="T500" s="294"/>
      <c r="U500" s="29" t="s">
        <v>29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2"/>
      <c r="AL500" s="294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4"/>
      <c r="C501" s="29" t="s">
        <v>31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0"/>
      <c r="T501" s="294"/>
      <c r="U501" s="29" t="s">
        <v>31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2"/>
      <c r="AL501" s="294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5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0"/>
      <c r="T502" s="295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2"/>
      <c r="AL502" s="295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93" t="s">
        <v>159</v>
      </c>
      <c r="C503" s="27" t="s">
        <v>27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0"/>
      <c r="T503" s="293" t="s">
        <v>159</v>
      </c>
      <c r="U503" s="27" t="s">
        <v>27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2"/>
      <c r="AL503" s="293" t="s">
        <v>159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4"/>
      <c r="C504" s="29" t="s">
        <v>28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0"/>
      <c r="T504" s="294"/>
      <c r="U504" s="29" t="s">
        <v>28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2"/>
      <c r="AL504" s="294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4"/>
      <c r="C505" s="29" t="s">
        <v>29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0"/>
      <c r="T505" s="294"/>
      <c r="U505" s="29" t="s">
        <v>29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2"/>
      <c r="AL505" s="294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4"/>
      <c r="C506" s="29" t="s">
        <v>31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0"/>
      <c r="T506" s="294"/>
      <c r="U506" s="29" t="s">
        <v>31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2"/>
      <c r="AL506" s="294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5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0"/>
      <c r="T507" s="295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2"/>
      <c r="AL507" s="295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93" t="s">
        <v>160</v>
      </c>
      <c r="C508" s="27" t="s">
        <v>27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0"/>
      <c r="T508" s="293" t="s">
        <v>160</v>
      </c>
      <c r="U508" s="27" t="s">
        <v>27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2"/>
      <c r="AL508" s="293" t="s">
        <v>160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4"/>
      <c r="C509" s="29" t="s">
        <v>28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0"/>
      <c r="T509" s="294"/>
      <c r="U509" s="29" t="s">
        <v>28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2"/>
      <c r="AL509" s="294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4"/>
      <c r="C510" s="29" t="s">
        <v>29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0"/>
      <c r="T510" s="294"/>
      <c r="U510" s="29" t="s">
        <v>29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2"/>
      <c r="AL510" s="294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4"/>
      <c r="C511" s="29" t="s">
        <v>31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0"/>
      <c r="T511" s="294"/>
      <c r="U511" s="29" t="s">
        <v>31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2"/>
      <c r="AL511" s="294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5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0"/>
      <c r="T512" s="295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2"/>
      <c r="AL512" s="295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93" t="s">
        <v>161</v>
      </c>
      <c r="C513" s="27" t="s">
        <v>27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0"/>
      <c r="T513" s="293" t="s">
        <v>161</v>
      </c>
      <c r="U513" s="27" t="s">
        <v>27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2"/>
      <c r="AL513" s="293" t="s">
        <v>161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4"/>
      <c r="C514" s="29" t="s">
        <v>28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0"/>
      <c r="T514" s="294"/>
      <c r="U514" s="29" t="s">
        <v>28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2"/>
      <c r="AL514" s="294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4"/>
      <c r="C515" s="29" t="s">
        <v>29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0"/>
      <c r="T515" s="294"/>
      <c r="U515" s="29" t="s">
        <v>29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2"/>
      <c r="AL515" s="294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4"/>
      <c r="C516" s="29" t="s">
        <v>31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0"/>
      <c r="T516" s="294"/>
      <c r="U516" s="29" t="s">
        <v>31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2"/>
      <c r="AL516" s="294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5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0"/>
      <c r="T517" s="295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2"/>
      <c r="AL517" s="295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93" t="s">
        <v>162</v>
      </c>
      <c r="C518" s="27" t="s">
        <v>27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0"/>
      <c r="T518" s="293" t="s">
        <v>162</v>
      </c>
      <c r="U518" s="27" t="s">
        <v>27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2"/>
      <c r="AL518" s="293" t="s">
        <v>162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4"/>
      <c r="C519" s="29" t="s">
        <v>28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0"/>
      <c r="T519" s="294"/>
      <c r="U519" s="29" t="s">
        <v>28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2"/>
      <c r="AL519" s="294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4"/>
      <c r="C520" s="29" t="s">
        <v>29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0"/>
      <c r="T520" s="294"/>
      <c r="U520" s="29" t="s">
        <v>29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2"/>
      <c r="AL520" s="294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4"/>
      <c r="C521" s="29" t="s">
        <v>31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0"/>
      <c r="T521" s="294"/>
      <c r="U521" s="29" t="s">
        <v>31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2"/>
      <c r="AL521" s="294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5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0"/>
      <c r="T522" s="295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2"/>
      <c r="AL522" s="295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93" t="s">
        <v>163</v>
      </c>
      <c r="C523" s="27" t="s">
        <v>27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0"/>
      <c r="T523" s="293" t="s">
        <v>163</v>
      </c>
      <c r="U523" s="27" t="s">
        <v>27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2"/>
      <c r="AL523" s="293" t="s">
        <v>163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4"/>
      <c r="C524" s="29" t="s">
        <v>28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0"/>
      <c r="T524" s="294"/>
      <c r="U524" s="29" t="s">
        <v>28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2"/>
      <c r="AL524" s="294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4"/>
      <c r="C525" s="29" t="s">
        <v>29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0"/>
      <c r="T525" s="294"/>
      <c r="U525" s="29" t="s">
        <v>29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2"/>
      <c r="AL525" s="294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4"/>
      <c r="C526" s="29" t="s">
        <v>31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0"/>
      <c r="T526" s="294"/>
      <c r="U526" s="29" t="s">
        <v>31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2"/>
      <c r="AL526" s="294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5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0"/>
      <c r="T527" s="295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2"/>
      <c r="AL527" s="295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93" t="s">
        <v>164</v>
      </c>
      <c r="C528" s="27" t="s">
        <v>27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0"/>
      <c r="T528" s="293" t="s">
        <v>164</v>
      </c>
      <c r="U528" s="27" t="s">
        <v>27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2"/>
      <c r="AL528" s="293" t="s">
        <v>164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4"/>
      <c r="C529" s="29" t="s">
        <v>28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0"/>
      <c r="T529" s="294"/>
      <c r="U529" s="29" t="s">
        <v>28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2"/>
      <c r="AL529" s="294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4"/>
      <c r="C530" s="29" t="s">
        <v>29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0"/>
      <c r="T530" s="294"/>
      <c r="U530" s="29" t="s">
        <v>29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2"/>
      <c r="AL530" s="294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4"/>
      <c r="C531" s="29" t="s">
        <v>31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0"/>
      <c r="T531" s="294"/>
      <c r="U531" s="29" t="s">
        <v>31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2"/>
      <c r="AL531" s="294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5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0"/>
      <c r="T532" s="295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2"/>
      <c r="AL532" s="295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93" t="s">
        <v>165</v>
      </c>
      <c r="C533" s="27" t="s">
        <v>27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0"/>
      <c r="T533" s="293" t="s">
        <v>165</v>
      </c>
      <c r="U533" s="27" t="s">
        <v>27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2"/>
      <c r="AL533" s="293" t="s">
        <v>165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4"/>
      <c r="C534" s="29" t="s">
        <v>28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0"/>
      <c r="T534" s="294"/>
      <c r="U534" s="29" t="s">
        <v>28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2"/>
      <c r="AL534" s="294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4"/>
      <c r="C535" s="29" t="s">
        <v>29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0"/>
      <c r="T535" s="294"/>
      <c r="U535" s="29" t="s">
        <v>29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2"/>
      <c r="AL535" s="294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4"/>
      <c r="C536" s="29" t="s">
        <v>31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0"/>
      <c r="T536" s="294"/>
      <c r="U536" s="29" t="s">
        <v>31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2"/>
      <c r="AL536" s="294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5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0"/>
      <c r="T537" s="295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2"/>
      <c r="AL537" s="295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93" t="s">
        <v>166</v>
      </c>
      <c r="C538" s="27" t="s">
        <v>27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0"/>
      <c r="T538" s="293" t="s">
        <v>166</v>
      </c>
      <c r="U538" s="27" t="s">
        <v>27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2"/>
      <c r="AL538" s="293" t="s">
        <v>166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4"/>
      <c r="C539" s="29" t="s">
        <v>28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0"/>
      <c r="T539" s="294"/>
      <c r="U539" s="29" t="s">
        <v>28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2"/>
      <c r="AL539" s="294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4"/>
      <c r="C540" s="29" t="s">
        <v>29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0"/>
      <c r="T540" s="294"/>
      <c r="U540" s="29" t="s">
        <v>29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2"/>
      <c r="AL540" s="294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4"/>
      <c r="C541" s="29" t="s">
        <v>31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0"/>
      <c r="T541" s="294"/>
      <c r="U541" s="29" t="s">
        <v>31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2"/>
      <c r="AL541" s="294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5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0"/>
      <c r="T542" s="295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2"/>
      <c r="AL542" s="295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93" t="s">
        <v>167</v>
      </c>
      <c r="C543" s="27" t="s">
        <v>27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0"/>
      <c r="T543" s="293" t="s">
        <v>167</v>
      </c>
      <c r="U543" s="27" t="s">
        <v>27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2"/>
      <c r="AL543" s="293" t="s">
        <v>167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4"/>
      <c r="C544" s="29" t="s">
        <v>28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0"/>
      <c r="T544" s="294"/>
      <c r="U544" s="29" t="s">
        <v>28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2"/>
      <c r="AL544" s="294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4"/>
      <c r="C545" s="29" t="s">
        <v>29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0"/>
      <c r="T545" s="294"/>
      <c r="U545" s="29" t="s">
        <v>29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2"/>
      <c r="AL545" s="294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4"/>
      <c r="C546" s="29" t="s">
        <v>31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0"/>
      <c r="T546" s="294"/>
      <c r="U546" s="29" t="s">
        <v>31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2"/>
      <c r="AL546" s="294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5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0"/>
      <c r="T547" s="295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2"/>
      <c r="AL547" s="295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93" t="s">
        <v>168</v>
      </c>
      <c r="C548" s="27" t="s">
        <v>27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0"/>
      <c r="T548" s="293" t="s">
        <v>168</v>
      </c>
      <c r="U548" s="27" t="s">
        <v>27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2"/>
      <c r="AL548" s="293" t="s">
        <v>168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4"/>
      <c r="C549" s="29" t="s">
        <v>28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0"/>
      <c r="T549" s="294"/>
      <c r="U549" s="29" t="s">
        <v>28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2"/>
      <c r="AL549" s="294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4"/>
      <c r="C550" s="29" t="s">
        <v>29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0"/>
      <c r="T550" s="294"/>
      <c r="U550" s="29" t="s">
        <v>29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2"/>
      <c r="AL550" s="294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4"/>
      <c r="C551" s="29" t="s">
        <v>31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0"/>
      <c r="T551" s="294"/>
      <c r="U551" s="29" t="s">
        <v>31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2"/>
      <c r="AL551" s="294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5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0"/>
      <c r="T552" s="295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2"/>
      <c r="AL552" s="295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93" t="s">
        <v>169</v>
      </c>
      <c r="C553" s="27" t="s">
        <v>27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0"/>
      <c r="T553" s="293" t="s">
        <v>169</v>
      </c>
      <c r="U553" s="27" t="s">
        <v>27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2"/>
      <c r="AL553" s="293" t="s">
        <v>169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4"/>
      <c r="C554" s="29" t="s">
        <v>28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0"/>
      <c r="T554" s="294"/>
      <c r="U554" s="29" t="s">
        <v>28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2"/>
      <c r="AL554" s="294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4"/>
      <c r="C555" s="29" t="s">
        <v>29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0"/>
      <c r="T555" s="294"/>
      <c r="U555" s="29" t="s">
        <v>29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2"/>
      <c r="AL555" s="294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4"/>
      <c r="C556" s="29" t="s">
        <v>31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0"/>
      <c r="T556" s="294"/>
      <c r="U556" s="29" t="s">
        <v>31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2"/>
      <c r="AL556" s="294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5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0"/>
      <c r="T557" s="295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2"/>
      <c r="AL557" s="295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93" t="s">
        <v>170</v>
      </c>
      <c r="C558" s="27" t="s">
        <v>27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0"/>
      <c r="T558" s="293" t="s">
        <v>170</v>
      </c>
      <c r="U558" s="27" t="s">
        <v>27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2"/>
      <c r="AL558" s="293" t="s">
        <v>170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4"/>
      <c r="C559" s="29" t="s">
        <v>28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0"/>
      <c r="T559" s="294"/>
      <c r="U559" s="29" t="s">
        <v>28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2"/>
      <c r="AL559" s="294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4"/>
      <c r="C560" s="29" t="s">
        <v>29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0"/>
      <c r="T560" s="294"/>
      <c r="U560" s="29" t="s">
        <v>29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2"/>
      <c r="AL560" s="294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4"/>
      <c r="C561" s="29" t="s">
        <v>31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0"/>
      <c r="T561" s="294"/>
      <c r="U561" s="29" t="s">
        <v>31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2"/>
      <c r="AL561" s="294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5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0"/>
      <c r="T562" s="295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2"/>
      <c r="AL562" s="295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93" t="s">
        <v>171</v>
      </c>
      <c r="C563" s="27" t="s">
        <v>27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0"/>
      <c r="T563" s="293" t="s">
        <v>171</v>
      </c>
      <c r="U563" s="27" t="s">
        <v>27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2"/>
      <c r="AL563" s="293" t="s">
        <v>171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4"/>
      <c r="C564" s="29" t="s">
        <v>28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0"/>
      <c r="T564" s="294"/>
      <c r="U564" s="29" t="s">
        <v>28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2"/>
      <c r="AL564" s="294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4"/>
      <c r="C565" s="29" t="s">
        <v>29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0"/>
      <c r="T565" s="294"/>
      <c r="U565" s="29" t="s">
        <v>29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2"/>
      <c r="AL565" s="294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4"/>
      <c r="C566" s="29" t="s">
        <v>31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0"/>
      <c r="T566" s="294"/>
      <c r="U566" s="29" t="s">
        <v>31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2"/>
      <c r="AL566" s="294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5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0"/>
      <c r="T567" s="295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2"/>
      <c r="AL567" s="295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93" t="s">
        <v>172</v>
      </c>
      <c r="C568" s="27" t="s">
        <v>27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0"/>
      <c r="T568" s="293" t="s">
        <v>172</v>
      </c>
      <c r="U568" s="27" t="s">
        <v>27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2"/>
      <c r="AL568" s="293" t="s">
        <v>172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4"/>
      <c r="C569" s="29" t="s">
        <v>28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0"/>
      <c r="T569" s="294"/>
      <c r="U569" s="29" t="s">
        <v>28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2"/>
      <c r="AL569" s="294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4"/>
      <c r="C570" s="29" t="s">
        <v>29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0"/>
      <c r="T570" s="294"/>
      <c r="U570" s="29" t="s">
        <v>29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2"/>
      <c r="AL570" s="294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4"/>
      <c r="C571" s="29" t="s">
        <v>31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0"/>
      <c r="T571" s="294"/>
      <c r="U571" s="29" t="s">
        <v>31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2"/>
      <c r="AL571" s="294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5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0"/>
      <c r="T572" s="295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2"/>
      <c r="AL572" s="295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93" t="s">
        <v>173</v>
      </c>
      <c r="C573" s="27" t="s">
        <v>27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0"/>
      <c r="T573" s="293" t="s">
        <v>173</v>
      </c>
      <c r="U573" s="27" t="s">
        <v>27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2"/>
      <c r="AL573" s="293" t="s">
        <v>173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4"/>
      <c r="C574" s="29" t="s">
        <v>28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0"/>
      <c r="T574" s="294"/>
      <c r="U574" s="29" t="s">
        <v>28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2"/>
      <c r="AL574" s="294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4"/>
      <c r="C575" s="29" t="s">
        <v>29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0"/>
      <c r="T575" s="294"/>
      <c r="U575" s="29" t="s">
        <v>29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2"/>
      <c r="AL575" s="294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4"/>
      <c r="C576" s="29" t="s">
        <v>31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0"/>
      <c r="T576" s="294"/>
      <c r="U576" s="29" t="s">
        <v>31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2"/>
      <c r="AL576" s="294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5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0"/>
      <c r="T577" s="295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2"/>
      <c r="AL577" s="295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93" t="s">
        <v>174</v>
      </c>
      <c r="C578" s="27" t="s">
        <v>27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0"/>
      <c r="T578" s="293" t="s">
        <v>174</v>
      </c>
      <c r="U578" s="27" t="s">
        <v>27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2"/>
      <c r="AL578" s="293" t="s">
        <v>174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4"/>
      <c r="C579" s="29" t="s">
        <v>28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0"/>
      <c r="T579" s="294"/>
      <c r="U579" s="29" t="s">
        <v>28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2"/>
      <c r="AL579" s="294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4"/>
      <c r="C580" s="29" t="s">
        <v>29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0"/>
      <c r="T580" s="294"/>
      <c r="U580" s="29" t="s">
        <v>29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2"/>
      <c r="AL580" s="294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4"/>
      <c r="C581" s="29" t="s">
        <v>31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0"/>
      <c r="T581" s="294"/>
      <c r="U581" s="29" t="s">
        <v>31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2"/>
      <c r="AL581" s="294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5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0"/>
      <c r="T582" s="295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2"/>
      <c r="AL582" s="295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93" t="s">
        <v>175</v>
      </c>
      <c r="C583" s="27" t="s">
        <v>27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0"/>
      <c r="T583" s="293" t="s">
        <v>175</v>
      </c>
      <c r="U583" s="27" t="s">
        <v>27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2"/>
      <c r="AL583" s="293" t="s">
        <v>175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4"/>
      <c r="C584" s="29" t="s">
        <v>28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0"/>
      <c r="T584" s="294"/>
      <c r="U584" s="29" t="s">
        <v>28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2"/>
      <c r="AL584" s="294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4"/>
      <c r="C585" s="29" t="s">
        <v>29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0"/>
      <c r="T585" s="294"/>
      <c r="U585" s="29" t="s">
        <v>29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2"/>
      <c r="AL585" s="294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4"/>
      <c r="C586" s="29" t="s">
        <v>31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0"/>
      <c r="T586" s="294"/>
      <c r="U586" s="29" t="s">
        <v>31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2"/>
      <c r="AL586" s="294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5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0"/>
      <c r="T587" s="295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2"/>
      <c r="AL587" s="295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93" t="s">
        <v>176</v>
      </c>
      <c r="C588" s="27" t="s">
        <v>27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0"/>
      <c r="T588" s="293" t="s">
        <v>176</v>
      </c>
      <c r="U588" s="27" t="s">
        <v>27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2"/>
      <c r="AL588" s="293" t="s">
        <v>176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4"/>
      <c r="C589" s="29" t="s">
        <v>28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0"/>
      <c r="T589" s="294"/>
      <c r="U589" s="29" t="s">
        <v>28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2"/>
      <c r="AL589" s="294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4"/>
      <c r="C590" s="29" t="s">
        <v>29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0"/>
      <c r="T590" s="294"/>
      <c r="U590" s="29" t="s">
        <v>29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2"/>
      <c r="AL590" s="294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4"/>
      <c r="C591" s="29" t="s">
        <v>31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0"/>
      <c r="T591" s="294"/>
      <c r="U591" s="29" t="s">
        <v>31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2"/>
      <c r="AL591" s="294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5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0"/>
      <c r="T592" s="295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2"/>
      <c r="AL592" s="295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93" t="s">
        <v>177</v>
      </c>
      <c r="C593" s="27" t="s">
        <v>27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0"/>
      <c r="T593" s="293" t="s">
        <v>177</v>
      </c>
      <c r="U593" s="27" t="s">
        <v>27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2"/>
      <c r="AL593" s="293" t="s">
        <v>177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4"/>
      <c r="C594" s="29" t="s">
        <v>28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0"/>
      <c r="T594" s="294"/>
      <c r="U594" s="29" t="s">
        <v>28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2"/>
      <c r="AL594" s="294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4"/>
      <c r="C595" s="29" t="s">
        <v>29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0"/>
      <c r="T595" s="294"/>
      <c r="U595" s="29" t="s">
        <v>29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2"/>
      <c r="AL595" s="294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4"/>
      <c r="C596" s="29" t="s">
        <v>31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0"/>
      <c r="T596" s="294"/>
      <c r="U596" s="29" t="s">
        <v>31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2"/>
      <c r="AL596" s="294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5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0"/>
      <c r="T597" s="295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2"/>
      <c r="AL597" s="295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93" t="s">
        <v>178</v>
      </c>
      <c r="C598" s="27" t="s">
        <v>27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0"/>
      <c r="T598" s="293" t="s">
        <v>178</v>
      </c>
      <c r="U598" s="27" t="s">
        <v>27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2"/>
      <c r="AL598" s="293" t="s">
        <v>178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4"/>
      <c r="C599" s="29" t="s">
        <v>28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0"/>
      <c r="T599" s="294"/>
      <c r="U599" s="29" t="s">
        <v>28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2"/>
      <c r="AL599" s="294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4"/>
      <c r="C600" s="29" t="s">
        <v>29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0"/>
      <c r="T600" s="294"/>
      <c r="U600" s="29" t="s">
        <v>29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2"/>
      <c r="AL600" s="294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4"/>
      <c r="C601" s="29" t="s">
        <v>31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0"/>
      <c r="T601" s="294"/>
      <c r="U601" s="29" t="s">
        <v>31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2"/>
      <c r="AL601" s="294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5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0"/>
      <c r="T602" s="295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2"/>
      <c r="AL602" s="295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93" t="s">
        <v>179</v>
      </c>
      <c r="C603" s="27" t="s">
        <v>27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0"/>
      <c r="T603" s="293" t="s">
        <v>179</v>
      </c>
      <c r="U603" s="27" t="s">
        <v>27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2"/>
      <c r="AL603" s="293" t="s">
        <v>179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4"/>
      <c r="C604" s="29" t="s">
        <v>28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0"/>
      <c r="T604" s="294"/>
      <c r="U604" s="29" t="s">
        <v>28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2"/>
      <c r="AL604" s="294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4"/>
      <c r="C605" s="29" t="s">
        <v>29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0"/>
      <c r="T605" s="294"/>
      <c r="U605" s="29" t="s">
        <v>29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2"/>
      <c r="AL605" s="294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4"/>
      <c r="C606" s="29" t="s">
        <v>31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0"/>
      <c r="T606" s="294"/>
      <c r="U606" s="29" t="s">
        <v>31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2"/>
      <c r="AL606" s="294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5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0"/>
      <c r="T607" s="295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2"/>
      <c r="AL607" s="295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93" t="s">
        <v>180</v>
      </c>
      <c r="C608" s="27" t="s">
        <v>27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0"/>
      <c r="T608" s="293" t="s">
        <v>180</v>
      </c>
      <c r="U608" s="27" t="s">
        <v>27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2"/>
      <c r="AL608" s="293" t="s">
        <v>180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4"/>
      <c r="C609" s="29" t="s">
        <v>28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0"/>
      <c r="T609" s="294"/>
      <c r="U609" s="29" t="s">
        <v>28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2"/>
      <c r="AL609" s="294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4"/>
      <c r="C610" s="29" t="s">
        <v>29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0"/>
      <c r="T610" s="294"/>
      <c r="U610" s="29" t="s">
        <v>29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2"/>
      <c r="AL610" s="294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4"/>
      <c r="C611" s="29" t="s">
        <v>31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0"/>
      <c r="T611" s="294"/>
      <c r="U611" s="29" t="s">
        <v>31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2"/>
      <c r="AL611" s="294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5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0"/>
      <c r="T612" s="295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2"/>
      <c r="AL612" s="295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93" t="s">
        <v>181</v>
      </c>
      <c r="C613" s="27" t="s">
        <v>27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0"/>
      <c r="T613" s="293" t="s">
        <v>181</v>
      </c>
      <c r="U613" s="27" t="s">
        <v>27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2"/>
      <c r="AL613" s="293" t="s">
        <v>181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4"/>
      <c r="C614" s="29" t="s">
        <v>28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0"/>
      <c r="T614" s="294"/>
      <c r="U614" s="29" t="s">
        <v>28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2"/>
      <c r="AL614" s="294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4"/>
      <c r="C615" s="29" t="s">
        <v>29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0"/>
      <c r="T615" s="294"/>
      <c r="U615" s="29" t="s">
        <v>29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2"/>
      <c r="AL615" s="294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4"/>
      <c r="C616" s="29" t="s">
        <v>31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0"/>
      <c r="T616" s="294"/>
      <c r="U616" s="29" t="s">
        <v>31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2"/>
      <c r="AL616" s="294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5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0"/>
      <c r="T617" s="295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2"/>
      <c r="AL617" s="295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93" t="s">
        <v>182</v>
      </c>
      <c r="C618" s="27" t="s">
        <v>27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0"/>
      <c r="T618" s="293" t="s">
        <v>182</v>
      </c>
      <c r="U618" s="27" t="s">
        <v>27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2"/>
      <c r="AL618" s="293" t="s">
        <v>182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4"/>
      <c r="C619" s="29" t="s">
        <v>28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0"/>
      <c r="T619" s="294"/>
      <c r="U619" s="29" t="s">
        <v>28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2"/>
      <c r="AL619" s="294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4"/>
      <c r="C620" s="29" t="s">
        <v>29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0"/>
      <c r="T620" s="294"/>
      <c r="U620" s="29" t="s">
        <v>29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2"/>
      <c r="AL620" s="294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4"/>
      <c r="C621" s="29" t="s">
        <v>31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0"/>
      <c r="T621" s="294"/>
      <c r="U621" s="29" t="s">
        <v>31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2"/>
      <c r="AL621" s="294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5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0"/>
      <c r="T622" s="295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2"/>
      <c r="AL622" s="295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93" t="s">
        <v>183</v>
      </c>
      <c r="C623" s="27" t="s">
        <v>27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0"/>
      <c r="T623" s="293" t="s">
        <v>183</v>
      </c>
      <c r="U623" s="27" t="s">
        <v>27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2"/>
      <c r="AL623" s="293" t="s">
        <v>183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4"/>
      <c r="C624" s="29" t="s">
        <v>28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0"/>
      <c r="T624" s="294"/>
      <c r="U624" s="29" t="s">
        <v>28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2"/>
      <c r="AL624" s="294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4"/>
      <c r="C625" s="29" t="s">
        <v>29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0"/>
      <c r="T625" s="294"/>
      <c r="U625" s="29" t="s">
        <v>29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2"/>
      <c r="AL625" s="294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4"/>
      <c r="C626" s="29" t="s">
        <v>31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0"/>
      <c r="T626" s="294"/>
      <c r="U626" s="29" t="s">
        <v>31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2"/>
      <c r="AL626" s="294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5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0"/>
      <c r="T627" s="295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2"/>
      <c r="AL627" s="295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93" t="s">
        <v>184</v>
      </c>
      <c r="C628" s="27" t="s">
        <v>27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0"/>
      <c r="T628" s="293" t="s">
        <v>184</v>
      </c>
      <c r="U628" s="27" t="s">
        <v>27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2"/>
      <c r="AL628" s="293" t="s">
        <v>184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4"/>
      <c r="C629" s="29" t="s">
        <v>28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0"/>
      <c r="T629" s="294"/>
      <c r="U629" s="29" t="s">
        <v>28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2"/>
      <c r="AL629" s="294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4"/>
      <c r="C630" s="29" t="s">
        <v>29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0"/>
      <c r="T630" s="294"/>
      <c r="U630" s="29" t="s">
        <v>29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2"/>
      <c r="AL630" s="294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4"/>
      <c r="C631" s="29" t="s">
        <v>31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0"/>
      <c r="T631" s="294"/>
      <c r="U631" s="29" t="s">
        <v>31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2"/>
      <c r="AL631" s="294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5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0"/>
      <c r="T632" s="295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2"/>
      <c r="AL632" s="295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93" t="s">
        <v>185</v>
      </c>
      <c r="C633" s="27" t="s">
        <v>27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0"/>
      <c r="T633" s="293" t="s">
        <v>185</v>
      </c>
      <c r="U633" s="27" t="s">
        <v>27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2"/>
      <c r="AL633" s="293" t="s">
        <v>185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4"/>
      <c r="C634" s="29" t="s">
        <v>28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0"/>
      <c r="T634" s="294"/>
      <c r="U634" s="29" t="s">
        <v>28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2"/>
      <c r="AL634" s="294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4"/>
      <c r="C635" s="29" t="s">
        <v>29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0"/>
      <c r="T635" s="294"/>
      <c r="U635" s="29" t="s">
        <v>29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2"/>
      <c r="AL635" s="294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4"/>
      <c r="C636" s="29" t="s">
        <v>31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0"/>
      <c r="T636" s="294"/>
      <c r="U636" s="29" t="s">
        <v>31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2"/>
      <c r="AL636" s="294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5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0"/>
      <c r="T637" s="295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2"/>
      <c r="AL637" s="295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0"/>
      <c r="C638" s="210"/>
      <c r="D638" s="210"/>
      <c r="E638" s="210"/>
      <c r="F638" s="210"/>
      <c r="G638" s="210"/>
      <c r="H638" s="210"/>
      <c r="I638" s="210"/>
      <c r="J638" s="210"/>
      <c r="K638" s="210"/>
      <c r="L638" s="210"/>
      <c r="M638" s="210"/>
      <c r="N638" s="210"/>
      <c r="O638" s="254"/>
      <c r="P638" s="210"/>
      <c r="Q638" s="210"/>
      <c r="R638" s="94"/>
      <c r="S638" s="210"/>
      <c r="T638" s="210"/>
      <c r="U638" s="210"/>
      <c r="V638" s="210"/>
      <c r="W638" s="210"/>
      <c r="X638" s="210"/>
      <c r="Y638" s="210"/>
      <c r="Z638" s="210"/>
      <c r="AA638" s="210"/>
      <c r="AB638" s="210"/>
      <c r="AC638" s="210"/>
      <c r="AD638" s="210"/>
      <c r="AE638" s="210"/>
      <c r="AF638" s="210"/>
      <c r="AG638" s="254"/>
      <c r="AH638" s="210"/>
      <c r="AI638" s="210"/>
      <c r="AJ638" s="94"/>
      <c r="AK638" s="212"/>
      <c r="AL638" s="212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5"/>
      <c r="D639" s="104"/>
      <c r="E639" s="265"/>
      <c r="F639" s="32" t="s">
        <v>44</v>
      </c>
      <c r="G639" s="216" t="s">
        <v>44</v>
      </c>
      <c r="H639" s="216" t="s">
        <v>44</v>
      </c>
      <c r="I639" s="216" t="s">
        <v>44</v>
      </c>
      <c r="J639" s="216" t="s">
        <v>44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5"/>
      <c r="V639" s="104"/>
      <c r="W639" s="265"/>
      <c r="X639" s="32" t="s">
        <v>44</v>
      </c>
      <c r="Y639" s="216" t="s">
        <v>44</v>
      </c>
      <c r="Z639" s="216" t="s">
        <v>44</v>
      </c>
      <c r="AA639" s="216" t="s">
        <v>44</v>
      </c>
      <c r="AB639" s="216" t="s">
        <v>44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2"/>
      <c r="F640" s="93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8"/>
      <c r="T640" s="143"/>
      <c r="U640" s="212"/>
      <c r="V640" s="8"/>
      <c r="W640" s="236"/>
      <c r="X640" s="93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93" t="s">
        <v>186</v>
      </c>
      <c r="C641" s="27" t="s">
        <v>27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27.25922846666667</v>
      </c>
      <c r="G641" s="138">
        <f t="shared" si="59"/>
        <v>32.537396700000002</v>
      </c>
      <c r="H641" s="138">
        <f t="shared" si="59"/>
        <v>0.9566662680000001</v>
      </c>
      <c r="I641" s="138">
        <f t="shared" si="59"/>
        <v>0.9526840333333334</v>
      </c>
      <c r="J641" s="138">
        <f t="shared" si="59"/>
        <v>5.9010381833333327E-2</v>
      </c>
      <c r="K641" s="112"/>
      <c r="L641" s="112"/>
      <c r="M641" s="112"/>
      <c r="N641" s="112"/>
      <c r="O641" s="267"/>
      <c r="P641" s="112"/>
      <c r="Q641" s="113"/>
      <c r="R641" s="114"/>
      <c r="T641" s="293" t="s">
        <v>186</v>
      </c>
      <c r="U641" s="27" t="s">
        <v>27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4"/>
      <c r="C642" s="29" t="s">
        <v>28</v>
      </c>
      <c r="D642" s="110"/>
      <c r="E642" s="268"/>
      <c r="F642" s="20">
        <f t="shared" si="59"/>
        <v>30.951734266666669</v>
      </c>
      <c r="G642" s="20">
        <f t="shared" si="59"/>
        <v>35.440276333333337</v>
      </c>
      <c r="H642" s="20">
        <f t="shared" si="59"/>
        <v>0.9743724869999999</v>
      </c>
      <c r="I642" s="20">
        <f t="shared" si="59"/>
        <v>0.9737128496666666</v>
      </c>
      <c r="J642" s="20">
        <f t="shared" si="59"/>
        <v>3.592901673333334E-2</v>
      </c>
      <c r="K642" s="115"/>
      <c r="L642" s="115"/>
      <c r="M642" s="115"/>
      <c r="N642" s="115"/>
      <c r="O642" s="269"/>
      <c r="P642" s="115"/>
      <c r="Q642" s="116"/>
      <c r="R642" s="117"/>
      <c r="T642" s="294"/>
      <c r="U642" s="29" t="s">
        <v>28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4"/>
      <c r="C643" s="29" t="s">
        <v>29</v>
      </c>
      <c r="D643" s="110"/>
      <c r="E643" s="268"/>
      <c r="F643" s="20">
        <f t="shared" si="59"/>
        <v>35.423878266666662</v>
      </c>
      <c r="G643" s="20">
        <f t="shared" si="59"/>
        <v>39.415208200000002</v>
      </c>
      <c r="H643" s="20">
        <f t="shared" si="59"/>
        <v>0.98714516533333319</v>
      </c>
      <c r="I643" s="20">
        <f t="shared" si="59"/>
        <v>0.9905227350000001</v>
      </c>
      <c r="J643" s="20">
        <f t="shared" si="59"/>
        <v>2.0849418333333331E-2</v>
      </c>
      <c r="K643" s="115"/>
      <c r="L643" s="115"/>
      <c r="M643" s="115"/>
      <c r="N643" s="115"/>
      <c r="O643" s="269"/>
      <c r="P643" s="115"/>
      <c r="Q643" s="116"/>
      <c r="R643" s="117"/>
      <c r="T643" s="294"/>
      <c r="U643" s="29" t="s">
        <v>29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4"/>
      <c r="C644" s="29" t="s">
        <v>31</v>
      </c>
      <c r="D644" s="110"/>
      <c r="E644" s="268"/>
      <c r="F644" s="20">
        <f t="shared" si="59"/>
        <v>37.840280266666667</v>
      </c>
      <c r="G644" s="20">
        <f t="shared" si="59"/>
        <v>41.824035433333343</v>
      </c>
      <c r="H644" s="20">
        <f t="shared" si="59"/>
        <v>0.99148961066666674</v>
      </c>
      <c r="I644" s="20">
        <f t="shared" si="59"/>
        <v>0.99502034500000014</v>
      </c>
      <c r="J644" s="20">
        <f t="shared" si="59"/>
        <v>1.4501149366666671E-2</v>
      </c>
      <c r="K644" s="115"/>
      <c r="L644" s="115"/>
      <c r="M644" s="115"/>
      <c r="N644" s="115"/>
      <c r="O644" s="269"/>
      <c r="P644" s="115"/>
      <c r="Q644" s="116"/>
      <c r="R644" s="117"/>
      <c r="T644" s="294"/>
      <c r="U644" s="29" t="s">
        <v>31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5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5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305" t="s">
        <v>187</v>
      </c>
      <c r="C646" s="27" t="s">
        <v>27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27.962250099999999</v>
      </c>
      <c r="G646" s="138">
        <f t="shared" si="61"/>
        <v>33.216819066666673</v>
      </c>
      <c r="H646" s="138">
        <f t="shared" si="61"/>
        <v>0.95984570533333324</v>
      </c>
      <c r="I646" s="138">
        <f t="shared" si="61"/>
        <v>0.95904896366666703</v>
      </c>
      <c r="J646" s="138">
        <f t="shared" si="61"/>
        <v>6.7220855533333346E-2</v>
      </c>
      <c r="K646" s="112"/>
      <c r="L646" s="112"/>
      <c r="M646" s="112"/>
      <c r="N646" s="112"/>
      <c r="O646" s="267"/>
      <c r="P646" s="112"/>
      <c r="Q646" s="113"/>
      <c r="R646" s="114"/>
      <c r="T646" s="305" t="s">
        <v>187</v>
      </c>
      <c r="U646" s="27" t="s">
        <v>27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4"/>
      <c r="C647" s="29" t="s">
        <v>28</v>
      </c>
      <c r="D647" s="110"/>
      <c r="E647" s="268"/>
      <c r="F647" s="20">
        <f t="shared" si="61"/>
        <v>31.375298400000009</v>
      </c>
      <c r="G647" s="20">
        <f t="shared" si="61"/>
        <v>36.025473899999987</v>
      </c>
      <c r="H647" s="20">
        <f t="shared" si="61"/>
        <v>0.97670401866666667</v>
      </c>
      <c r="I647" s="20">
        <f t="shared" si="61"/>
        <v>0.97707020500000008</v>
      </c>
      <c r="J647" s="20">
        <f t="shared" si="61"/>
        <v>4.2454671033333329E-2</v>
      </c>
      <c r="K647" s="115"/>
      <c r="L647" s="115"/>
      <c r="M647" s="115"/>
      <c r="N647" s="115"/>
      <c r="O647" s="269"/>
      <c r="P647" s="115"/>
      <c r="Q647" s="116"/>
      <c r="R647" s="117"/>
      <c r="T647" s="294"/>
      <c r="U647" s="29" t="s">
        <v>28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4"/>
      <c r="C648" s="29" t="s">
        <v>29</v>
      </c>
      <c r="D648" s="110"/>
      <c r="E648" s="268"/>
      <c r="F648" s="20">
        <f t="shared" si="61"/>
        <v>35.746131866666673</v>
      </c>
      <c r="G648" s="20">
        <f t="shared" si="61"/>
        <v>39.824731933333332</v>
      </c>
      <c r="H648" s="20">
        <f t="shared" si="61"/>
        <v>0.98869893866666669</v>
      </c>
      <c r="I648" s="20">
        <f t="shared" si="61"/>
        <v>0.9914493756666668</v>
      </c>
      <c r="J648" s="20">
        <f t="shared" si="61"/>
        <v>2.5687250000000009E-2</v>
      </c>
      <c r="K648" s="115"/>
      <c r="L648" s="115"/>
      <c r="M648" s="115"/>
      <c r="N648" s="115"/>
      <c r="O648" s="269"/>
      <c r="P648" s="115"/>
      <c r="Q648" s="116"/>
      <c r="R648" s="117"/>
      <c r="T648" s="294"/>
      <c r="U648" s="29" t="s">
        <v>29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4"/>
      <c r="C649" s="29" t="s">
        <v>31</v>
      </c>
      <c r="D649" s="110"/>
      <c r="E649" s="268"/>
      <c r="F649" s="20">
        <f t="shared" si="61"/>
        <v>38.417140333333343</v>
      </c>
      <c r="G649" s="20">
        <f t="shared" si="61"/>
        <v>42.414630433333329</v>
      </c>
      <c r="H649" s="20">
        <f t="shared" si="61"/>
        <v>0.99292077733333317</v>
      </c>
      <c r="I649" s="20">
        <f t="shared" si="61"/>
        <v>0.99569669566666663</v>
      </c>
      <c r="J649" s="20">
        <f t="shared" si="61"/>
        <v>1.8255231099999991E-2</v>
      </c>
      <c r="K649" s="115"/>
      <c r="L649" s="115"/>
      <c r="M649" s="115"/>
      <c r="N649" s="115"/>
      <c r="O649" s="269"/>
      <c r="P649" s="115"/>
      <c r="Q649" s="116"/>
      <c r="R649" s="117"/>
      <c r="T649" s="294"/>
      <c r="U649" s="29" t="s">
        <v>31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5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5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3" t="s">
        <v>188</v>
      </c>
      <c r="C651" s="27" t="s">
        <v>27</v>
      </c>
      <c r="D651" s="109"/>
      <c r="E651" s="266"/>
      <c r="F651" s="138">
        <f t="shared" ref="F651:J654" si="63">F646-F641</f>
        <v>0.70302163333332857</v>
      </c>
      <c r="G651" s="138">
        <f t="shared" si="63"/>
        <v>0.679422366666671</v>
      </c>
      <c r="H651" s="138">
        <f t="shared" si="63"/>
        <v>3.179437333333146E-3</v>
      </c>
      <c r="I651" s="138">
        <f t="shared" si="63"/>
        <v>6.3649303333336293E-3</v>
      </c>
      <c r="J651" s="138">
        <f t="shared" si="63"/>
        <v>8.2104737000000191E-3</v>
      </c>
      <c r="K651" s="112"/>
      <c r="L651" s="112"/>
      <c r="M651" s="112"/>
      <c r="N651" s="112"/>
      <c r="O651" s="267"/>
      <c r="P651" s="112"/>
      <c r="Q651" s="113"/>
      <c r="R651" s="114"/>
      <c r="T651" s="303" t="s">
        <v>188</v>
      </c>
      <c r="U651" s="27" t="s">
        <v>27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4"/>
      <c r="C652" s="29" t="s">
        <v>28</v>
      </c>
      <c r="D652" s="110"/>
      <c r="E652" s="268"/>
      <c r="F652" s="20">
        <f t="shared" si="63"/>
        <v>0.42356413333333975</v>
      </c>
      <c r="G652" s="20">
        <f t="shared" si="63"/>
        <v>0.58519756666665046</v>
      </c>
      <c r="H652" s="20">
        <f t="shared" si="63"/>
        <v>2.3315316666667751E-3</v>
      </c>
      <c r="I652" s="20">
        <f t="shared" si="63"/>
        <v>3.3573553333334782E-3</v>
      </c>
      <c r="J652" s="20">
        <f t="shared" si="63"/>
        <v>6.5256542999999889E-3</v>
      </c>
      <c r="K652" s="115"/>
      <c r="L652" s="115"/>
      <c r="M652" s="115"/>
      <c r="N652" s="115"/>
      <c r="O652" s="269"/>
      <c r="P652" s="115"/>
      <c r="Q652" s="116"/>
      <c r="R652" s="117"/>
      <c r="T652" s="294"/>
      <c r="U652" s="29" t="s">
        <v>28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4"/>
      <c r="C653" s="29" t="s">
        <v>29</v>
      </c>
      <c r="D653" s="110"/>
      <c r="E653" s="268"/>
      <c r="F653" s="20">
        <f t="shared" si="63"/>
        <v>0.32225360000001047</v>
      </c>
      <c r="G653" s="20">
        <f t="shared" si="63"/>
        <v>0.40952373333333014</v>
      </c>
      <c r="H653" s="20">
        <f t="shared" si="63"/>
        <v>1.553773333333508E-3</v>
      </c>
      <c r="I653" s="20">
        <f t="shared" si="63"/>
        <v>9.2664066666670042E-4</v>
      </c>
      <c r="J653" s="20">
        <f t="shared" si="63"/>
        <v>4.8378316666666775E-3</v>
      </c>
      <c r="K653" s="115"/>
      <c r="L653" s="115"/>
      <c r="M653" s="115"/>
      <c r="N653" s="115"/>
      <c r="O653" s="269"/>
      <c r="P653" s="115"/>
      <c r="Q653" s="116"/>
      <c r="R653" s="117"/>
      <c r="T653" s="294"/>
      <c r="U653" s="29" t="s">
        <v>29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4"/>
      <c r="C654" s="29" t="s">
        <v>31</v>
      </c>
      <c r="D654" s="110"/>
      <c r="E654" s="268"/>
      <c r="F654" s="20">
        <f t="shared" si="63"/>
        <v>0.57686006666667566</v>
      </c>
      <c r="G654" s="20">
        <f t="shared" si="63"/>
        <v>0.59059499999998621</v>
      </c>
      <c r="H654" s="20">
        <f t="shared" si="63"/>
        <v>1.431166666666428E-3</v>
      </c>
      <c r="I654" s="20">
        <f t="shared" si="63"/>
        <v>6.7635066666649202E-4</v>
      </c>
      <c r="J654" s="20">
        <f t="shared" si="63"/>
        <v>3.7540817333333205E-3</v>
      </c>
      <c r="K654" s="115"/>
      <c r="L654" s="115"/>
      <c r="M654" s="115"/>
      <c r="N654" s="115"/>
      <c r="O654" s="269"/>
      <c r="P654" s="115"/>
      <c r="Q654" s="116"/>
      <c r="R654" s="117"/>
      <c r="T654" s="294"/>
      <c r="U654" s="29" t="s">
        <v>31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5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5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301"/>
      <c r="C675" s="210"/>
      <c r="D675" s="210"/>
      <c r="E675" s="93"/>
      <c r="F675" s="160"/>
      <c r="G675" s="160"/>
      <c r="H675" s="160"/>
      <c r="I675" s="93"/>
      <c r="J675" s="93"/>
    </row>
    <row r="676" spans="2:10" x14ac:dyDescent="0.15">
      <c r="B676" s="290"/>
      <c r="C676" s="210"/>
      <c r="D676" s="210"/>
      <c r="E676" s="93"/>
      <c r="F676" s="160"/>
      <c r="G676" s="160"/>
      <c r="H676" s="160"/>
      <c r="I676" s="93"/>
      <c r="J676" s="93"/>
    </row>
    <row r="677" spans="2:10" x14ac:dyDescent="0.15">
      <c r="B677" s="290"/>
      <c r="C677" s="210"/>
      <c r="D677" s="210"/>
      <c r="E677" s="93"/>
      <c r="F677" s="160"/>
      <c r="G677" s="160"/>
      <c r="H677" s="160"/>
      <c r="I677" s="93"/>
      <c r="J677" s="93"/>
    </row>
    <row r="678" spans="2:10" x14ac:dyDescent="0.15">
      <c r="B678" s="290"/>
      <c r="C678" s="210"/>
      <c r="D678" s="210"/>
      <c r="E678" s="93"/>
      <c r="F678" s="160"/>
      <c r="G678" s="160"/>
      <c r="H678" s="160"/>
      <c r="I678" s="93"/>
      <c r="J678" s="93"/>
    </row>
    <row r="679" spans="2:10" x14ac:dyDescent="0.15">
      <c r="B679" s="290"/>
      <c r="C679" s="210"/>
      <c r="D679" s="210"/>
      <c r="E679" s="93"/>
      <c r="F679" s="160"/>
      <c r="G679" s="160"/>
      <c r="H679" s="160"/>
      <c r="I679" s="93"/>
      <c r="J679" s="93"/>
    </row>
    <row r="680" spans="2:10" x14ac:dyDescent="0.15">
      <c r="B680" s="301"/>
      <c r="C680" s="210"/>
      <c r="D680" s="210"/>
      <c r="E680" s="93"/>
      <c r="F680" s="160"/>
      <c r="G680" s="160"/>
      <c r="H680" s="160"/>
      <c r="I680" s="160"/>
      <c r="J680" s="160"/>
    </row>
    <row r="681" spans="2:10" x14ac:dyDescent="0.15">
      <c r="B681" s="290"/>
      <c r="C681" s="210"/>
      <c r="D681" s="210"/>
      <c r="E681" s="93"/>
      <c r="F681" s="160"/>
      <c r="G681" s="160"/>
      <c r="H681" s="160"/>
      <c r="I681" s="160"/>
      <c r="J681" s="160"/>
    </row>
    <row r="682" spans="2:10" x14ac:dyDescent="0.15">
      <c r="B682" s="290"/>
      <c r="C682" s="210"/>
      <c r="D682" s="210"/>
      <c r="E682" s="93"/>
      <c r="F682" s="160"/>
      <c r="G682" s="160"/>
      <c r="H682" s="160"/>
      <c r="I682" s="160"/>
      <c r="J682" s="160"/>
    </row>
    <row r="683" spans="2:10" x14ac:dyDescent="0.15">
      <c r="B683" s="290"/>
      <c r="C683" s="210"/>
      <c r="D683" s="210"/>
      <c r="E683" s="93"/>
      <c r="F683" s="160"/>
      <c r="G683" s="160"/>
      <c r="H683" s="160"/>
      <c r="I683" s="160"/>
      <c r="J683" s="160"/>
    </row>
    <row r="684" spans="2:10" x14ac:dyDescent="0.15">
      <c r="B684" s="290"/>
      <c r="C684" s="210"/>
      <c r="D684" s="210"/>
      <c r="E684" s="93"/>
      <c r="F684" s="160"/>
      <c r="G684" s="160"/>
      <c r="H684" s="160"/>
      <c r="I684" s="160"/>
      <c r="J684" s="160"/>
    </row>
    <row r="685" spans="2:10" x14ac:dyDescent="0.15">
      <c r="B685" s="301"/>
      <c r="C685" s="210"/>
      <c r="D685" s="210"/>
      <c r="E685" s="93"/>
      <c r="F685" s="160"/>
      <c r="G685" s="160"/>
      <c r="H685" s="160"/>
      <c r="I685" s="160"/>
      <c r="J685" s="160"/>
    </row>
    <row r="686" spans="2:10" x14ac:dyDescent="0.15">
      <c r="B686" s="290"/>
      <c r="C686" s="210"/>
      <c r="D686" s="210"/>
      <c r="E686" s="93"/>
      <c r="F686" s="160"/>
      <c r="G686" s="160"/>
      <c r="H686" s="160"/>
      <c r="I686" s="160"/>
      <c r="J686" s="160"/>
    </row>
    <row r="687" spans="2:10" x14ac:dyDescent="0.15">
      <c r="B687" s="290"/>
      <c r="C687" s="210"/>
      <c r="D687" s="210"/>
      <c r="E687" s="93"/>
      <c r="F687" s="160"/>
      <c r="G687" s="160"/>
      <c r="H687" s="160"/>
      <c r="I687" s="160"/>
      <c r="J687" s="160"/>
    </row>
    <row r="688" spans="2:10" x14ac:dyDescent="0.15">
      <c r="B688" s="290"/>
      <c r="C688" s="210"/>
      <c r="D688" s="210"/>
      <c r="E688" s="93"/>
      <c r="F688" s="160"/>
      <c r="G688" s="160"/>
      <c r="H688" s="160"/>
      <c r="I688" s="160"/>
      <c r="J688" s="160"/>
    </row>
    <row r="689" spans="2:10" x14ac:dyDescent="0.15">
      <c r="B689" s="290"/>
      <c r="C689" s="210"/>
      <c r="D689" s="210"/>
      <c r="E689" s="93"/>
      <c r="F689" s="160"/>
      <c r="G689" s="160"/>
      <c r="H689" s="160"/>
      <c r="I689" s="160"/>
      <c r="J689" s="160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topLeftCell="A70" zoomScale="85" zoomScaleNormal="85" workbookViewId="0">
      <selection activeCell="E23" sqref="E23"/>
    </sheetView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11</v>
      </c>
      <c r="C2" s="308" t="str">
        <f>CONCATENATE("Summary [ ",'Summary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0"/>
      <c r="T2" s="144" t="str">
        <f>$B$2</f>
        <v>breakfast_semitrack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12"/>
      <c r="AL2" s="164" t="str">
        <f>$B$2</f>
        <v>breakfast_semitrack</v>
      </c>
      <c r="AM2" s="302" t="s">
        <v>43</v>
      </c>
      <c r="AN2" s="273"/>
      <c r="AO2" s="273"/>
      <c r="AP2" s="273"/>
      <c r="AQ2" s="298"/>
      <c r="AR2" s="39"/>
      <c r="AS2" s="238"/>
      <c r="AT2" s="39"/>
    </row>
    <row r="3" spans="1:58" ht="13.5" customHeight="1" x14ac:dyDescent="0.3">
      <c r="B3" s="158"/>
      <c r="C3" s="215"/>
      <c r="D3" s="96"/>
      <c r="E3" s="239" t="s">
        <v>25</v>
      </c>
      <c r="F3" s="32" t="s">
        <v>44</v>
      </c>
      <c r="G3" s="216" t="s">
        <v>44</v>
      </c>
      <c r="H3" s="216" t="s">
        <v>44</v>
      </c>
      <c r="I3" s="216" t="s">
        <v>44</v>
      </c>
      <c r="J3" s="216" t="s">
        <v>44</v>
      </c>
      <c r="K3" s="216"/>
      <c r="L3" s="216"/>
      <c r="M3" s="216"/>
      <c r="N3" s="216"/>
      <c r="O3" s="240"/>
      <c r="P3" s="304" t="s">
        <v>45</v>
      </c>
      <c r="Q3" s="304" t="s">
        <v>46</v>
      </c>
      <c r="R3" s="310" t="s">
        <v>47</v>
      </c>
      <c r="S3" s="210"/>
      <c r="T3" s="142"/>
      <c r="U3" s="215"/>
      <c r="V3" s="96"/>
      <c r="W3" s="239" t="s">
        <v>25</v>
      </c>
      <c r="X3" s="32" t="s">
        <v>44</v>
      </c>
      <c r="Y3" s="216" t="s">
        <v>44</v>
      </c>
      <c r="Z3" s="216" t="s">
        <v>44</v>
      </c>
      <c r="AA3" s="216" t="s">
        <v>44</v>
      </c>
      <c r="AB3" s="216" t="s">
        <v>44</v>
      </c>
      <c r="AC3" s="216"/>
      <c r="AD3" s="216"/>
      <c r="AE3" s="216"/>
      <c r="AF3" s="216"/>
      <c r="AG3" s="240"/>
      <c r="AH3" s="304" t="s">
        <v>45</v>
      </c>
      <c r="AI3" s="304" t="s">
        <v>46</v>
      </c>
      <c r="AJ3" s="310" t="s">
        <v>47</v>
      </c>
      <c r="AK3" s="212"/>
      <c r="AL3" s="142"/>
      <c r="AM3" s="165"/>
      <c r="AN3" s="165"/>
      <c r="AO3" s="165"/>
      <c r="AP3" s="165"/>
      <c r="AQ3" s="166"/>
      <c r="AR3" s="44"/>
      <c r="AS3" s="52"/>
      <c r="AT3" s="21" t="s">
        <v>48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3"/>
      <c r="C4" s="212"/>
      <c r="D4" s="34"/>
      <c r="E4" s="241" t="s">
        <v>49</v>
      </c>
      <c r="F4" s="35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21"/>
      <c r="M4" s="121"/>
      <c r="N4" s="94"/>
      <c r="O4" s="242"/>
      <c r="P4" s="277"/>
      <c r="Q4" s="277"/>
      <c r="R4" s="311"/>
      <c r="S4" s="210"/>
      <c r="T4" s="143"/>
      <c r="U4" s="212"/>
      <c r="V4" s="34"/>
      <c r="W4" s="241" t="s">
        <v>49</v>
      </c>
      <c r="X4" s="35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4"/>
      <c r="AG4" s="242"/>
      <c r="AH4" s="277"/>
      <c r="AI4" s="277"/>
      <c r="AJ4" s="311"/>
      <c r="AK4" s="210"/>
      <c r="AL4" s="214"/>
      <c r="AM4" s="93" t="s">
        <v>23</v>
      </c>
      <c r="AN4" s="93" t="s">
        <v>34</v>
      </c>
      <c r="AO4" s="93" t="s">
        <v>37</v>
      </c>
      <c r="AP4" s="93" t="s">
        <v>40</v>
      </c>
      <c r="AQ4" s="167" t="s">
        <v>50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5"/>
      <c r="C5" s="27" t="s">
        <v>27</v>
      </c>
      <c r="D5" s="28"/>
      <c r="E5" s="128">
        <f>E23</f>
        <v>1133908.1600000001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27.542684215555553</v>
      </c>
      <c r="G5" s="32">
        <f t="shared" si="0"/>
        <v>32.677365406666674</v>
      </c>
      <c r="H5" s="32">
        <f t="shared" si="0"/>
        <v>0.95702456904444444</v>
      </c>
      <c r="I5" s="93">
        <f t="shared" si="0"/>
        <v>0.95616100659999992</v>
      </c>
      <c r="J5" s="93">
        <f t="shared" si="0"/>
        <v>6.5988666977777777E-2</v>
      </c>
      <c r="K5" s="57"/>
      <c r="L5" s="57"/>
      <c r="M5" s="57"/>
      <c r="N5" s="28"/>
      <c r="O5" s="58"/>
      <c r="P5" s="133">
        <f t="shared" ref="P5:Q8" si="1">P16</f>
        <v>0</v>
      </c>
      <c r="Q5" s="154">
        <f t="shared" si="1"/>
        <v>0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0"/>
      <c r="T5" s="306"/>
      <c r="U5" s="27" t="s">
        <v>27</v>
      </c>
      <c r="V5" s="28"/>
      <c r="W5" s="129">
        <f>W16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2"/>
      <c r="AL5" s="161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3"/>
      <c r="AT5" s="21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9" t="s">
        <v>28</v>
      </c>
      <c r="D6" s="30"/>
      <c r="E6" s="159">
        <f>E24</f>
        <v>1634101.3279999997</v>
      </c>
      <c r="F6" s="93">
        <f t="shared" si="0"/>
        <v>31.156350531111112</v>
      </c>
      <c r="G6" s="93">
        <f t="shared" si="0"/>
        <v>35.694164253333334</v>
      </c>
      <c r="H6" s="93">
        <f t="shared" si="0"/>
        <v>0.97510484182222223</v>
      </c>
      <c r="I6" s="93">
        <f t="shared" si="0"/>
        <v>0.97464572662222237</v>
      </c>
      <c r="J6" s="93">
        <f t="shared" si="0"/>
        <v>4.0328444448888903E-2</v>
      </c>
      <c r="K6" s="58"/>
      <c r="L6" s="58"/>
      <c r="M6" s="58"/>
      <c r="N6" s="30"/>
      <c r="O6" s="58"/>
      <c r="P6" s="133">
        <f t="shared" si="1"/>
        <v>0</v>
      </c>
      <c r="Q6" s="133">
        <f t="shared" si="1"/>
        <v>0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0"/>
      <c r="T6" s="294"/>
      <c r="U6" s="29" t="s">
        <v>28</v>
      </c>
      <c r="V6" s="30"/>
      <c r="W6" s="130">
        <f>W17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2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9" t="s">
        <v>29</v>
      </c>
      <c r="D7" s="30"/>
      <c r="E7" s="159">
        <f>E25</f>
        <v>2362790.6160000009</v>
      </c>
      <c r="F7" s="93">
        <f t="shared" si="0"/>
        <v>35.482514933333327</v>
      </c>
      <c r="G7" s="93">
        <f t="shared" si="0"/>
        <v>39.537574133333337</v>
      </c>
      <c r="H7" s="93">
        <f t="shared" si="0"/>
        <v>0.98761054593333342</v>
      </c>
      <c r="I7" s="93">
        <f t="shared" si="0"/>
        <v>0.99054385355555552</v>
      </c>
      <c r="J7" s="93">
        <f t="shared" si="0"/>
        <v>2.3846373431111113E-2</v>
      </c>
      <c r="K7" s="58"/>
      <c r="L7" s="58"/>
      <c r="M7" s="58"/>
      <c r="N7" s="30"/>
      <c r="O7" s="58"/>
      <c r="P7" s="133">
        <f t="shared" si="1"/>
        <v>0</v>
      </c>
      <c r="Q7" s="133">
        <f t="shared" si="1"/>
        <v>0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0"/>
      <c r="T7" s="294"/>
      <c r="U7" s="29" t="s">
        <v>29</v>
      </c>
      <c r="V7" s="30"/>
      <c r="W7" s="130">
        <f>W18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2"/>
      <c r="AL7" s="161"/>
      <c r="AM7" s="249"/>
      <c r="AN7" s="250"/>
      <c r="AO7" s="162"/>
      <c r="AP7" s="162"/>
      <c r="AQ7" s="45"/>
      <c r="AR7" s="247"/>
      <c r="AS7" s="54"/>
      <c r="AT7" s="21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9" t="s">
        <v>31</v>
      </c>
      <c r="D8" s="30"/>
      <c r="E8" s="159">
        <f>E26</f>
        <v>3353455.6240000003</v>
      </c>
      <c r="F8" s="93">
        <f t="shared" si="0"/>
        <v>37.968394484444453</v>
      </c>
      <c r="G8" s="93">
        <f t="shared" si="0"/>
        <v>41.972016706666665</v>
      </c>
      <c r="H8" s="93">
        <f t="shared" si="0"/>
        <v>0.99191253126666667</v>
      </c>
      <c r="I8" s="93">
        <f t="shared" si="0"/>
        <v>0.99516165544444435</v>
      </c>
      <c r="J8" s="93">
        <f t="shared" si="0"/>
        <v>1.7047529992222223E-2</v>
      </c>
      <c r="K8" s="58"/>
      <c r="L8" s="58"/>
      <c r="M8" s="58"/>
      <c r="N8" s="30"/>
      <c r="O8" s="58"/>
      <c r="P8" s="133">
        <f t="shared" si="1"/>
        <v>0</v>
      </c>
      <c r="Q8" s="133">
        <f t="shared" si="1"/>
        <v>0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0"/>
      <c r="T8" s="294"/>
      <c r="U8" s="29" t="s">
        <v>31</v>
      </c>
      <c r="V8" s="30"/>
      <c r="W8" s="130">
        <f>W19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2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0"/>
      <c r="T9" s="294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2"/>
      <c r="AL9" s="161"/>
      <c r="AM9" s="47"/>
      <c r="AN9" s="153"/>
      <c r="AO9" s="153"/>
      <c r="AP9" s="153"/>
      <c r="AQ9" s="48"/>
      <c r="AR9" s="212"/>
      <c r="AS9" s="212"/>
      <c r="AT9" s="212"/>
      <c r="BF9" s="12"/>
    </row>
    <row r="10" spans="1:58" ht="13.5" customHeight="1" thickBot="1" x14ac:dyDescent="0.2">
      <c r="B10" s="156" t="s">
        <v>53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 t="e">
        <f>GEOMEAN(P5:P8)</f>
        <v>#NUM!</v>
      </c>
      <c r="Q10" s="157" t="e">
        <f>GEOMEAN(Q5:Q8)</f>
        <v>#NUM!</v>
      </c>
      <c r="R10" s="137" t="e">
        <f>AVERAGE(R5:R8)</f>
        <v>#DIV/0!</v>
      </c>
      <c r="S10" s="210"/>
      <c r="T10" s="156" t="s">
        <v>53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2"/>
      <c r="AL10" s="163"/>
      <c r="AM10" s="49"/>
      <c r="AN10" s="50"/>
      <c r="AO10" s="50"/>
      <c r="AP10" s="50"/>
      <c r="AQ10" s="51"/>
      <c r="AR10" s="212"/>
      <c r="AS10" s="212"/>
      <c r="AT10" s="212"/>
      <c r="BF10" s="12"/>
    </row>
    <row r="11" spans="1:58" ht="13.5" customHeight="1" x14ac:dyDescent="0.15">
      <c r="B11" s="210"/>
      <c r="C11" s="210"/>
      <c r="D11" s="210"/>
      <c r="E11" s="253"/>
      <c r="F11" s="93"/>
      <c r="G11" s="93"/>
      <c r="H11" s="93"/>
      <c r="I11" s="93"/>
      <c r="J11" s="93"/>
      <c r="K11" s="93"/>
      <c r="L11" s="210"/>
      <c r="M11" s="94"/>
      <c r="N11" s="94"/>
      <c r="O11" s="254"/>
      <c r="P11" s="93"/>
      <c r="Q11" s="93"/>
      <c r="R11" s="133"/>
      <c r="S11" s="210"/>
      <c r="T11" s="210"/>
      <c r="U11" s="210"/>
      <c r="V11" s="210"/>
      <c r="W11" s="253"/>
      <c r="X11" s="93"/>
      <c r="Y11" s="93"/>
      <c r="Z11" s="93"/>
      <c r="AA11" s="93"/>
      <c r="AB11" s="93"/>
      <c r="AC11" s="93"/>
      <c r="AD11" s="210"/>
      <c r="AE11" s="94"/>
      <c r="AF11" s="94"/>
      <c r="AG11" s="254"/>
      <c r="AH11" s="93"/>
      <c r="AI11" s="93"/>
      <c r="AJ11" s="133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BF11" s="12"/>
    </row>
    <row r="12" spans="1:58" ht="13.5" customHeight="1" thickBot="1" x14ac:dyDescent="0.2">
      <c r="B12" s="210"/>
      <c r="C12" s="210"/>
      <c r="D12" s="210"/>
      <c r="E12" s="253"/>
      <c r="F12" s="93"/>
      <c r="G12" s="93"/>
      <c r="H12" s="93"/>
      <c r="I12" s="93"/>
      <c r="J12" s="93"/>
      <c r="K12" s="93"/>
      <c r="L12" s="210"/>
      <c r="M12" s="94"/>
      <c r="N12" s="94"/>
      <c r="O12" s="254"/>
      <c r="P12" s="93"/>
      <c r="Q12" s="93"/>
      <c r="R12" s="133"/>
      <c r="S12" s="210"/>
      <c r="T12" s="210"/>
      <c r="U12" s="210"/>
      <c r="V12" s="210"/>
      <c r="W12" s="253"/>
      <c r="X12" s="93"/>
      <c r="Y12" s="93"/>
      <c r="Z12" s="93"/>
      <c r="AA12" s="93"/>
      <c r="AB12" s="93"/>
      <c r="AC12" s="93"/>
      <c r="AD12" s="210"/>
      <c r="AE12" s="94"/>
      <c r="AF12" s="94"/>
      <c r="AG12" s="254"/>
      <c r="AH12" s="93"/>
      <c r="AI12" s="93"/>
      <c r="AJ12" s="133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BF12" s="12"/>
    </row>
    <row r="13" spans="1:58" ht="16.2" customHeight="1" thickBot="1" x14ac:dyDescent="0.3">
      <c r="B13" s="152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3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8"/>
      <c r="C14" s="104"/>
      <c r="D14" s="104"/>
      <c r="E14" s="255" t="s">
        <v>54</v>
      </c>
      <c r="F14" s="138" t="s">
        <v>55</v>
      </c>
      <c r="G14" s="138" t="s">
        <v>56</v>
      </c>
      <c r="H14" s="138" t="s">
        <v>57</v>
      </c>
      <c r="I14" s="138" t="s">
        <v>58</v>
      </c>
      <c r="J14" s="138" t="s">
        <v>59</v>
      </c>
      <c r="K14" s="138" t="s">
        <v>60</v>
      </c>
      <c r="L14" s="138" t="s">
        <v>61</v>
      </c>
      <c r="M14" s="105" t="s">
        <v>62</v>
      </c>
      <c r="N14" s="105"/>
      <c r="O14" s="256"/>
      <c r="P14" s="105"/>
      <c r="Q14" s="106"/>
      <c r="R14" s="107"/>
      <c r="S14" s="212"/>
      <c r="T14" s="158"/>
      <c r="U14" s="104"/>
      <c r="V14" s="104"/>
      <c r="W14" s="255" t="s">
        <v>54</v>
      </c>
      <c r="X14" s="138" t="s">
        <v>55</v>
      </c>
      <c r="Y14" s="138" t="s">
        <v>56</v>
      </c>
      <c r="Z14" s="138" t="s">
        <v>57</v>
      </c>
      <c r="AA14" s="138" t="s">
        <v>58</v>
      </c>
      <c r="AB14" s="138" t="s">
        <v>59</v>
      </c>
      <c r="AC14" s="138" t="s">
        <v>60</v>
      </c>
      <c r="AD14" s="138" t="s">
        <v>61</v>
      </c>
      <c r="AE14" s="105" t="s">
        <v>62</v>
      </c>
      <c r="AF14" s="105"/>
      <c r="AG14" s="256"/>
      <c r="AH14" s="105"/>
      <c r="AI14" s="106"/>
      <c r="AJ14" s="107"/>
      <c r="AK14" s="212"/>
      <c r="AL14" s="21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5"/>
      <c r="O15" s="242"/>
      <c r="P15" s="217" t="s">
        <v>45</v>
      </c>
      <c r="Q15" s="217" t="s">
        <v>46</v>
      </c>
      <c r="R15" s="36"/>
      <c r="S15" s="210"/>
      <c r="T15" s="151"/>
      <c r="U15" s="34"/>
      <c r="V15" s="34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5"/>
      <c r="AG15" s="242"/>
      <c r="AH15" s="217" t="s">
        <v>45</v>
      </c>
      <c r="AI15" s="217" t="s">
        <v>46</v>
      </c>
      <c r="AJ15" s="36"/>
      <c r="AK15" s="210"/>
      <c r="AL15" s="210"/>
      <c r="AM15" s="93"/>
      <c r="AN15" s="93"/>
      <c r="AO15" s="93"/>
      <c r="AP15" s="210"/>
      <c r="AQ15" s="210"/>
      <c r="AR15" s="210"/>
      <c r="AS15" s="210"/>
      <c r="AT15" s="210"/>
      <c r="AZ15" s="17"/>
      <c r="BA15" s="17"/>
      <c r="BB15" s="213"/>
      <c r="BC15" s="213"/>
    </row>
    <row r="16" spans="1:58" ht="12.75" customHeight="1" x14ac:dyDescent="0.25">
      <c r="B16" s="307"/>
      <c r="C16" s="27" t="s">
        <v>27</v>
      </c>
      <c r="D16" s="28"/>
      <c r="E16" s="131">
        <v>179445.19200000001</v>
      </c>
      <c r="F16" s="169">
        <v>213869.09599999999</v>
      </c>
      <c r="G16" s="169">
        <v>78791.920000000013</v>
      </c>
      <c r="H16" s="169">
        <v>29524.16</v>
      </c>
      <c r="I16" s="169">
        <v>3658.2240000000002</v>
      </c>
      <c r="J16" s="169">
        <v>337334.712</v>
      </c>
      <c r="K16" s="62">
        <v>219381.584</v>
      </c>
      <c r="L16" s="62">
        <v>71903.272000000012</v>
      </c>
      <c r="M16" s="62">
        <v>0</v>
      </c>
      <c r="N16" s="57"/>
      <c r="O16" s="257"/>
      <c r="P16" s="132"/>
      <c r="Q16" s="132"/>
      <c r="R16" s="145"/>
      <c r="S16" s="210"/>
      <c r="T16" s="307"/>
      <c r="U16" s="27" t="s">
        <v>27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2"/>
      <c r="AL16" s="212"/>
      <c r="AP16" s="22"/>
      <c r="AQ16" s="22"/>
      <c r="AR16" s="212"/>
      <c r="AS16" s="212"/>
      <c r="AT16" s="212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4"/>
      <c r="C17" s="29" t="s">
        <v>28</v>
      </c>
      <c r="D17" s="30"/>
      <c r="E17" s="146">
        <v>179445.19200000001</v>
      </c>
      <c r="F17" s="170">
        <v>281665.52799999987</v>
      </c>
      <c r="G17" s="170">
        <v>209711.35999999999</v>
      </c>
      <c r="H17" s="170">
        <v>109626.552</v>
      </c>
      <c r="I17" s="170">
        <v>36008.959999999999</v>
      </c>
      <c r="J17" s="170">
        <v>433329.64</v>
      </c>
      <c r="K17" s="64">
        <v>289648.75199999998</v>
      </c>
      <c r="L17" s="64">
        <v>94665.343999999997</v>
      </c>
      <c r="M17" s="64">
        <v>0</v>
      </c>
      <c r="N17" s="58"/>
      <c r="O17" s="243"/>
      <c r="P17" s="147"/>
      <c r="Q17" s="147"/>
      <c r="R17" s="148"/>
      <c r="S17" s="210"/>
      <c r="T17" s="294"/>
      <c r="U17" s="29" t="s">
        <v>28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2"/>
      <c r="AL17" s="212"/>
      <c r="AN17" s="22"/>
      <c r="AO17" s="22"/>
      <c r="AP17" s="22"/>
      <c r="AQ17" s="22"/>
      <c r="AR17" s="212"/>
      <c r="AS17" s="212"/>
      <c r="AT17" s="212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4"/>
      <c r="C18" s="29" t="s">
        <v>29</v>
      </c>
      <c r="D18" s="30"/>
      <c r="E18" s="146">
        <v>179445.19200000001</v>
      </c>
      <c r="F18" s="170">
        <v>351311.48800000001</v>
      </c>
      <c r="G18" s="170">
        <v>382261.68800000002</v>
      </c>
      <c r="H18" s="170">
        <v>270251.92800000007</v>
      </c>
      <c r="I18" s="170">
        <v>165618.77600000001</v>
      </c>
      <c r="J18" s="170">
        <v>533045.94400000002</v>
      </c>
      <c r="K18" s="64">
        <v>362945.17600000021</v>
      </c>
      <c r="L18" s="64">
        <v>117910.424</v>
      </c>
      <c r="M18" s="64">
        <v>0</v>
      </c>
      <c r="N18" s="58"/>
      <c r="O18" s="243"/>
      <c r="P18" s="147"/>
      <c r="Q18" s="147"/>
      <c r="R18" s="148"/>
      <c r="S18" s="210"/>
      <c r="T18" s="294"/>
      <c r="U18" s="29" t="s">
        <v>29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2"/>
      <c r="AL18" s="212"/>
      <c r="AP18" s="22"/>
      <c r="AQ18" s="22"/>
      <c r="AR18" s="212"/>
      <c r="AS18" s="212"/>
      <c r="AT18" s="212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4"/>
      <c r="C19" s="29" t="s">
        <v>31</v>
      </c>
      <c r="D19" s="30"/>
      <c r="E19" s="146">
        <v>179445.19200000001</v>
      </c>
      <c r="F19" s="170">
        <v>417569.424</v>
      </c>
      <c r="G19" s="170">
        <v>569888.72800000012</v>
      </c>
      <c r="H19" s="170">
        <v>516370.67999999988</v>
      </c>
      <c r="I19" s="170">
        <v>452350.00799999997</v>
      </c>
      <c r="J19" s="170">
        <v>635937.52000000014</v>
      </c>
      <c r="K19" s="64">
        <v>439692.07199999999</v>
      </c>
      <c r="L19" s="64">
        <v>142202</v>
      </c>
      <c r="M19" s="64">
        <v>0</v>
      </c>
      <c r="N19" s="58"/>
      <c r="O19" s="243"/>
      <c r="P19" s="147"/>
      <c r="Q19" s="147"/>
      <c r="R19" s="148"/>
      <c r="S19" s="210"/>
      <c r="T19" s="294"/>
      <c r="U19" s="29" t="s">
        <v>31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2"/>
      <c r="AL19" s="212"/>
      <c r="AN19" s="22"/>
      <c r="AO19" s="21"/>
      <c r="AP19" s="22"/>
      <c r="AQ19" s="22"/>
      <c r="AR19" s="212"/>
      <c r="AS19" s="212"/>
      <c r="AT19" s="212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4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0"/>
      <c r="T20" s="294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2"/>
      <c r="AL20" s="212"/>
      <c r="AN20" s="22"/>
      <c r="AO20" s="22"/>
      <c r="AP20" s="22"/>
      <c r="AQ20" s="22"/>
      <c r="AR20" s="212"/>
      <c r="AS20" s="212"/>
      <c r="AT20" s="212"/>
      <c r="AX20" s="12"/>
      <c r="AZ20" s="213"/>
      <c r="BA20" s="213"/>
      <c r="BD20" s="9"/>
    </row>
    <row r="21" spans="2:56" ht="13.5" customHeight="1" x14ac:dyDescent="0.15">
      <c r="B21" s="291"/>
      <c r="C21" s="96"/>
      <c r="D21" s="96"/>
      <c r="E21" s="239" t="s">
        <v>25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6"/>
      <c r="R21" s="33"/>
      <c r="S21" s="210"/>
      <c r="T21" s="291"/>
      <c r="U21" s="96"/>
      <c r="V21" s="96"/>
      <c r="W21" s="259" t="s">
        <v>25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6"/>
      <c r="AJ21" s="33"/>
      <c r="AK21" s="212"/>
      <c r="AL21" s="212"/>
      <c r="AP21" s="22"/>
      <c r="AQ21" s="22"/>
      <c r="AR21" s="211"/>
      <c r="AS21" s="211"/>
      <c r="AT21" s="211"/>
      <c r="AV21" s="289"/>
      <c r="AW21" s="290"/>
      <c r="AX21" s="290"/>
    </row>
    <row r="22" spans="2:56" s="8" customFormat="1" ht="13.5" customHeight="1" thickBot="1" x14ac:dyDescent="0.3">
      <c r="B22" s="292"/>
      <c r="C22" s="34"/>
      <c r="D22" s="34"/>
      <c r="E22" s="241" t="s">
        <v>49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7"/>
      <c r="R22" s="36"/>
      <c r="S22" s="210"/>
      <c r="T22" s="292"/>
      <c r="U22" s="34"/>
      <c r="V22" s="34"/>
      <c r="W22" s="260" t="s">
        <v>49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7"/>
      <c r="AJ22" s="36"/>
      <c r="AK22" s="210"/>
      <c r="AL22" s="210"/>
      <c r="AM22" s="93"/>
      <c r="AN22" s="93"/>
      <c r="AO22" s="93"/>
      <c r="AP22" s="210"/>
      <c r="AQ22" s="210"/>
      <c r="AR22" s="210"/>
      <c r="AS22" s="210"/>
      <c r="AT22" s="210"/>
      <c r="AZ22" s="213"/>
      <c r="BA22" s="56"/>
    </row>
    <row r="23" spans="2:56" ht="13.5" customHeight="1" x14ac:dyDescent="0.15">
      <c r="B23" s="305"/>
      <c r="C23" s="27" t="s">
        <v>27</v>
      </c>
      <c r="D23" s="28"/>
      <c r="E23" s="130">
        <f>SUM(E16:L16)</f>
        <v>1133908.1600000001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0"/>
      <c r="T23" s="305"/>
      <c r="U23" s="27" t="s">
        <v>27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2"/>
      <c r="AL23" s="212"/>
      <c r="AM23" s="38"/>
      <c r="AN23" s="38"/>
      <c r="AO23" s="38"/>
      <c r="AP23" s="212"/>
      <c r="AQ23" s="212"/>
      <c r="AR23" s="212"/>
      <c r="AS23" s="212"/>
      <c r="AT23" s="212"/>
      <c r="AX23" s="12"/>
    </row>
    <row r="24" spans="2:56" x14ac:dyDescent="0.15">
      <c r="B24" s="294"/>
      <c r="C24" s="29" t="s">
        <v>28</v>
      </c>
      <c r="D24" s="30"/>
      <c r="E24" s="130">
        <f>SUM(E17:L17)</f>
        <v>1634101.3279999997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0"/>
      <c r="T24" s="294"/>
      <c r="U24" s="29" t="s">
        <v>28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2"/>
      <c r="AL24" s="212"/>
      <c r="AM24" s="38"/>
      <c r="AN24" s="38"/>
      <c r="AO24" s="38"/>
      <c r="AP24" s="212"/>
      <c r="AQ24" s="212"/>
      <c r="AR24" s="212"/>
      <c r="AS24" s="212"/>
      <c r="AT24" s="212"/>
      <c r="AX24" s="12"/>
      <c r="AZ24" s="8"/>
      <c r="BA24" s="8"/>
    </row>
    <row r="25" spans="2:56" x14ac:dyDescent="0.15">
      <c r="B25" s="294"/>
      <c r="C25" s="29" t="s">
        <v>29</v>
      </c>
      <c r="D25" s="30"/>
      <c r="E25" s="130">
        <f>SUM(E18:L18)</f>
        <v>2362790.6160000009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0"/>
      <c r="T25" s="294"/>
      <c r="U25" s="29" t="s">
        <v>29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  <c r="AX25" s="12"/>
    </row>
    <row r="26" spans="2:56" x14ac:dyDescent="0.15">
      <c r="B26" s="294"/>
      <c r="C26" s="29" t="s">
        <v>31</v>
      </c>
      <c r="D26" s="30"/>
      <c r="E26" s="130">
        <f>SUM(E19:L19)</f>
        <v>3353455.6240000003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0"/>
      <c r="T26" s="294"/>
      <c r="U26" s="29" t="s">
        <v>31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X26" s="12"/>
    </row>
    <row r="27" spans="2:56" ht="13.5" customHeight="1" thickBot="1" x14ac:dyDescent="0.2">
      <c r="B27" s="295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0"/>
      <c r="T27" s="295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2"/>
      <c r="AL27" s="212"/>
      <c r="AM27" s="212"/>
      <c r="AN27" s="212"/>
      <c r="AO27" s="212"/>
      <c r="AP27" s="212"/>
      <c r="AQ27" s="212"/>
      <c r="AR27" s="212"/>
      <c r="AS27" s="212"/>
      <c r="AT27" s="212"/>
      <c r="AX27" s="12"/>
    </row>
    <row r="28" spans="2:56" x14ac:dyDescent="0.15">
      <c r="B28" s="210"/>
      <c r="C28" s="210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0"/>
      <c r="T28" s="210"/>
      <c r="U28" s="210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2"/>
      <c r="AL28" s="212"/>
      <c r="AM28" s="212"/>
      <c r="AN28" s="212"/>
      <c r="AO28" s="212"/>
      <c r="AP28" s="212"/>
      <c r="AQ28" s="212"/>
      <c r="AR28" s="212"/>
      <c r="AS28" s="212"/>
      <c r="AT28" s="212"/>
      <c r="AX28" s="12"/>
    </row>
    <row r="29" spans="2:56" ht="13.5" customHeight="1" x14ac:dyDescent="0.15">
      <c r="B29" s="210"/>
      <c r="C29" s="210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54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210"/>
      <c r="AA29" s="210"/>
      <c r="AB29" s="210"/>
      <c r="AC29" s="210"/>
      <c r="AD29" s="210"/>
      <c r="AE29" s="210"/>
      <c r="AF29" s="210"/>
      <c r="AG29" s="254"/>
      <c r="AH29" s="210"/>
      <c r="AI29" s="210"/>
      <c r="AJ29" s="210"/>
      <c r="AK29" s="212"/>
      <c r="AL29" s="212"/>
      <c r="AM29" s="212"/>
      <c r="AN29" s="212"/>
      <c r="AO29" s="212"/>
      <c r="AP29" s="212"/>
      <c r="AQ29" s="212"/>
      <c r="AR29" s="212"/>
      <c r="AS29" s="212"/>
      <c r="AT29" s="212"/>
    </row>
    <row r="30" spans="2:56" ht="13.5" customHeight="1" thickBot="1" x14ac:dyDescent="0.2">
      <c r="B30" s="210"/>
      <c r="C30" s="210"/>
      <c r="D30" s="210"/>
      <c r="E30" s="253"/>
      <c r="F30" s="210"/>
      <c r="G30" s="210"/>
      <c r="H30" s="210"/>
      <c r="I30" s="210"/>
      <c r="J30" s="210"/>
      <c r="K30" s="210"/>
      <c r="L30" s="210"/>
      <c r="M30" s="210"/>
      <c r="N30" s="210"/>
      <c r="O30" s="254"/>
      <c r="P30" s="210"/>
      <c r="Q30" s="210"/>
      <c r="R30" s="210"/>
      <c r="S30" s="210"/>
      <c r="T30" s="210"/>
      <c r="U30" s="210"/>
      <c r="V30" s="210"/>
      <c r="W30" s="253"/>
      <c r="X30" s="210"/>
      <c r="Y30" s="210"/>
      <c r="Z30" s="210"/>
      <c r="AA30" s="210"/>
      <c r="AB30" s="210"/>
      <c r="AC30" s="210"/>
      <c r="AD30" s="210"/>
      <c r="AE30" s="210"/>
      <c r="AF30" s="210"/>
      <c r="AG30" s="254"/>
      <c r="AH30" s="210"/>
      <c r="AI30" s="210"/>
      <c r="AJ30" s="210"/>
      <c r="AK30" s="212"/>
      <c r="AL30" s="212"/>
      <c r="AM30" s="212"/>
      <c r="AN30" s="212"/>
      <c r="AO30" s="212"/>
      <c r="AP30" s="212"/>
      <c r="AQ30" s="212"/>
      <c r="AR30" s="212"/>
      <c r="AS30" s="212"/>
      <c r="AT30" s="212"/>
    </row>
    <row r="31" spans="2:56" ht="13.5" customHeight="1" thickBot="1" x14ac:dyDescent="0.3">
      <c r="B31" s="23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0"/>
      <c r="T31" s="23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12"/>
      <c r="AL31" s="212"/>
      <c r="AM31" s="309" t="s">
        <v>63</v>
      </c>
      <c r="AN31" s="283"/>
      <c r="AO31" s="283"/>
      <c r="AP31" s="283"/>
      <c r="AQ31" s="155"/>
      <c r="AR31" s="212"/>
      <c r="AS31" s="212"/>
      <c r="AT31" s="212"/>
    </row>
    <row r="32" spans="2:56" ht="13.5" customHeight="1" thickBot="1" x14ac:dyDescent="0.2">
      <c r="B32" s="26" t="s">
        <v>64</v>
      </c>
      <c r="C32" s="97"/>
      <c r="D32" s="97"/>
      <c r="E32" s="210"/>
      <c r="F32" s="24" t="s">
        <v>23</v>
      </c>
      <c r="G32" s="24" t="s">
        <v>34</v>
      </c>
      <c r="H32" s="24" t="s">
        <v>37</v>
      </c>
      <c r="I32" s="24" t="s">
        <v>40</v>
      </c>
      <c r="J32" s="24" t="s">
        <v>50</v>
      </c>
      <c r="K32" s="24"/>
      <c r="L32" s="121"/>
      <c r="M32" s="121"/>
      <c r="N32" s="24"/>
      <c r="O32" s="261"/>
      <c r="P32" s="24"/>
      <c r="Q32" s="24"/>
      <c r="R32" s="25" t="s">
        <v>47</v>
      </c>
      <c r="S32" s="210"/>
      <c r="T32" s="26" t="s">
        <v>64</v>
      </c>
      <c r="U32" s="97"/>
      <c r="V32" s="97"/>
      <c r="W32" s="210"/>
      <c r="X32" s="24" t="s">
        <v>23</v>
      </c>
      <c r="Y32" s="24" t="s">
        <v>34</v>
      </c>
      <c r="Z32" s="24" t="s">
        <v>37</v>
      </c>
      <c r="AA32" s="24" t="s">
        <v>40</v>
      </c>
      <c r="AB32" s="24" t="s">
        <v>50</v>
      </c>
      <c r="AC32" s="24"/>
      <c r="AD32" s="210"/>
      <c r="AE32" s="210"/>
      <c r="AF32" s="24"/>
      <c r="AG32" s="261"/>
      <c r="AH32" s="24"/>
      <c r="AI32" s="24"/>
      <c r="AJ32" s="25" t="s">
        <v>47</v>
      </c>
      <c r="AK32" s="212"/>
      <c r="AL32" s="26" t="s">
        <v>64</v>
      </c>
      <c r="AM32" s="101" t="s">
        <v>23</v>
      </c>
      <c r="AN32" s="32" t="s">
        <v>34</v>
      </c>
      <c r="AO32" s="32" t="s">
        <v>37</v>
      </c>
      <c r="AP32" s="32" t="s">
        <v>40</v>
      </c>
      <c r="AQ32" s="100" t="s">
        <v>50</v>
      </c>
      <c r="AR32" s="93"/>
      <c r="AS32" s="254"/>
      <c r="AT32" s="93"/>
    </row>
    <row r="33" spans="2:52" x14ac:dyDescent="0.15">
      <c r="B33" s="296" t="s">
        <v>65</v>
      </c>
      <c r="C33" s="27" t="s">
        <v>27</v>
      </c>
      <c r="D33" s="41"/>
      <c r="E33" s="57"/>
      <c r="F33" s="99">
        <v>27.18166093333334</v>
      </c>
      <c r="G33" s="99">
        <v>32.306106499999999</v>
      </c>
      <c r="H33" s="99">
        <v>0.95649980533333334</v>
      </c>
      <c r="I33" s="62">
        <v>0.95232188200000001</v>
      </c>
      <c r="J33" s="62">
        <v>7.0436080766666673E-2</v>
      </c>
      <c r="K33" s="63"/>
      <c r="L33" s="262"/>
      <c r="M33" s="262"/>
      <c r="N33" s="57"/>
      <c r="O33" s="28"/>
      <c r="P33" s="57"/>
      <c r="Q33" s="28"/>
      <c r="R33" s="134"/>
      <c r="S33" s="210"/>
      <c r="T33" s="296" t="s">
        <v>65</v>
      </c>
      <c r="U33" s="27" t="s">
        <v>27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2"/>
      <c r="AL33" s="296" t="s">
        <v>65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9" t="s">
        <v>28</v>
      </c>
      <c r="D34" s="191"/>
      <c r="E34" s="58"/>
      <c r="F34" s="192">
        <v>31.090770566666659</v>
      </c>
      <c r="G34" s="192">
        <v>35.52603873333333</v>
      </c>
      <c r="H34" s="192">
        <v>0.97468758899999997</v>
      </c>
      <c r="I34" s="64">
        <v>0.97367316133333348</v>
      </c>
      <c r="J34" s="64">
        <v>4.3399941199999993E-2</v>
      </c>
      <c r="K34" s="193"/>
      <c r="L34" s="263"/>
      <c r="M34" s="263"/>
      <c r="N34" s="58"/>
      <c r="O34" s="30"/>
      <c r="P34" s="58"/>
      <c r="Q34" s="30"/>
      <c r="R34" s="135"/>
      <c r="S34" s="210"/>
      <c r="T34" s="294"/>
      <c r="U34" s="29" t="s">
        <v>28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2"/>
      <c r="AL34" s="294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4"/>
      <c r="C35" s="29" t="s">
        <v>29</v>
      </c>
      <c r="D35" s="191"/>
      <c r="E35" s="58"/>
      <c r="F35" s="192">
        <v>35.543647433333341</v>
      </c>
      <c r="G35" s="192">
        <v>39.566914533333353</v>
      </c>
      <c r="H35" s="192">
        <v>0.98740746766666665</v>
      </c>
      <c r="I35" s="64">
        <v>0.99047707566666676</v>
      </c>
      <c r="J35" s="64">
        <v>2.5704104333333332E-2</v>
      </c>
      <c r="K35" s="193"/>
      <c r="L35" s="263"/>
      <c r="M35" s="263"/>
      <c r="N35" s="58"/>
      <c r="O35" s="30"/>
      <c r="P35" s="58"/>
      <c r="Q35" s="30"/>
      <c r="R35" s="135"/>
      <c r="S35" s="210"/>
      <c r="T35" s="294"/>
      <c r="U35" s="29" t="s">
        <v>29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2"/>
      <c r="AL35" s="294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4"/>
      <c r="C36" s="29" t="s">
        <v>31</v>
      </c>
      <c r="D36" s="191"/>
      <c r="E36" s="58"/>
      <c r="F36" s="192">
        <v>38.121749833333332</v>
      </c>
      <c r="G36" s="192">
        <v>42.121098666666647</v>
      </c>
      <c r="H36" s="192">
        <v>0.99176884233333362</v>
      </c>
      <c r="I36" s="64">
        <v>0.99517171799999993</v>
      </c>
      <c r="J36" s="64">
        <v>1.7788379533333339E-2</v>
      </c>
      <c r="K36" s="193"/>
      <c r="L36" s="263"/>
      <c r="M36" s="263"/>
      <c r="N36" s="58"/>
      <c r="O36" s="30"/>
      <c r="P36" s="58"/>
      <c r="Q36" s="30"/>
      <c r="R36" s="135"/>
      <c r="S36" s="210"/>
      <c r="T36" s="294"/>
      <c r="U36" s="29" t="s">
        <v>31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2"/>
      <c r="AL36" s="294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4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0"/>
      <c r="T37" s="294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2"/>
      <c r="AL37" s="294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6" t="s">
        <v>66</v>
      </c>
      <c r="C38" s="27" t="s">
        <v>27</v>
      </c>
      <c r="D38" s="41"/>
      <c r="E38" s="57"/>
      <c r="F38" s="99">
        <v>27.308413333333331</v>
      </c>
      <c r="G38" s="99">
        <v>32.44120603333333</v>
      </c>
      <c r="H38" s="99">
        <v>0.95712826299999998</v>
      </c>
      <c r="I38" s="62">
        <v>0.95359851600000001</v>
      </c>
      <c r="J38" s="62">
        <v>6.8171228566666672E-2</v>
      </c>
      <c r="K38" s="63"/>
      <c r="L38" s="262"/>
      <c r="M38" s="262"/>
      <c r="N38" s="57"/>
      <c r="O38" s="28"/>
      <c r="P38" s="57"/>
      <c r="Q38" s="28"/>
      <c r="R38" s="134"/>
      <c r="S38" s="210"/>
      <c r="T38" s="296" t="s">
        <v>66</v>
      </c>
      <c r="U38" s="27" t="s">
        <v>27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2"/>
      <c r="AL38" s="296" t="s">
        <v>66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4"/>
      <c r="C39" s="29" t="s">
        <v>28</v>
      </c>
      <c r="D39" s="191"/>
      <c r="E39" s="58"/>
      <c r="F39" s="192">
        <v>31.016265233333339</v>
      </c>
      <c r="G39" s="192">
        <v>35.494492433333328</v>
      </c>
      <c r="H39" s="192">
        <v>0.974582965333333</v>
      </c>
      <c r="I39" s="64">
        <v>0.97404970200000018</v>
      </c>
      <c r="J39" s="64">
        <v>4.2422082466666657E-2</v>
      </c>
      <c r="K39" s="193"/>
      <c r="L39" s="263"/>
      <c r="M39" s="263"/>
      <c r="N39" s="58"/>
      <c r="O39" s="30"/>
      <c r="P39" s="58"/>
      <c r="Q39" s="30"/>
      <c r="R39" s="135"/>
      <c r="S39" s="210"/>
      <c r="T39" s="294"/>
      <c r="U39" s="29" t="s">
        <v>28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2"/>
      <c r="AL39" s="294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4"/>
      <c r="C40" s="29" t="s">
        <v>29</v>
      </c>
      <c r="D40" s="191"/>
      <c r="E40" s="58"/>
      <c r="F40" s="192">
        <v>35.400687133333342</v>
      </c>
      <c r="G40" s="192">
        <v>39.447774966666657</v>
      </c>
      <c r="H40" s="192">
        <v>0.9871391633333334</v>
      </c>
      <c r="I40" s="64">
        <v>0.99049507066666653</v>
      </c>
      <c r="J40" s="64">
        <v>2.5649311566666669E-2</v>
      </c>
      <c r="K40" s="193"/>
      <c r="L40" s="263"/>
      <c r="M40" s="263"/>
      <c r="N40" s="58"/>
      <c r="O40" s="30"/>
      <c r="P40" s="58"/>
      <c r="Q40" s="30"/>
      <c r="R40" s="135"/>
      <c r="S40" s="210"/>
      <c r="T40" s="294"/>
      <c r="U40" s="29" t="s">
        <v>29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2"/>
      <c r="AL40" s="294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4"/>
      <c r="C41" s="29" t="s">
        <v>31</v>
      </c>
      <c r="D41" s="191"/>
      <c r="E41" s="58"/>
      <c r="F41" s="192">
        <v>37.914891333333337</v>
      </c>
      <c r="G41" s="192">
        <v>41.941502433333341</v>
      </c>
      <c r="H41" s="192">
        <v>0.99145940900000007</v>
      </c>
      <c r="I41" s="64">
        <v>0.995188619</v>
      </c>
      <c r="J41" s="64">
        <v>1.8357884599999999E-2</v>
      </c>
      <c r="K41" s="193"/>
      <c r="L41" s="263"/>
      <c r="M41" s="263"/>
      <c r="N41" s="58"/>
      <c r="O41" s="30"/>
      <c r="P41" s="58"/>
      <c r="Q41" s="30"/>
      <c r="R41" s="135"/>
      <c r="S41" s="210"/>
      <c r="T41" s="294"/>
      <c r="U41" s="29" t="s">
        <v>31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2"/>
      <c r="AL41" s="294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4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0"/>
      <c r="T42" s="294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2"/>
      <c r="AL42" s="294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6" t="s">
        <v>67</v>
      </c>
      <c r="C43" s="27" t="s">
        <v>27</v>
      </c>
      <c r="D43" s="41"/>
      <c r="E43" s="57"/>
      <c r="F43" s="99">
        <v>27.560191233333342</v>
      </c>
      <c r="G43" s="99">
        <v>32.662754566666663</v>
      </c>
      <c r="H43" s="99">
        <v>0.9572908406666667</v>
      </c>
      <c r="I43" s="62">
        <v>0.95576045999999992</v>
      </c>
      <c r="J43" s="62">
        <v>6.4060016800000008E-2</v>
      </c>
      <c r="K43" s="63"/>
      <c r="L43" s="262"/>
      <c r="M43" s="262"/>
      <c r="N43" s="57"/>
      <c r="O43" s="28"/>
      <c r="P43" s="57"/>
      <c r="Q43" s="28"/>
      <c r="R43" s="134"/>
      <c r="S43" s="210"/>
      <c r="T43" s="296" t="s">
        <v>67</v>
      </c>
      <c r="U43" s="27" t="s">
        <v>27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2"/>
      <c r="AL43" s="296" t="s">
        <v>67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4"/>
      <c r="C44" s="29" t="s">
        <v>28</v>
      </c>
      <c r="D44" s="191"/>
      <c r="E44" s="58"/>
      <c r="F44" s="192">
        <v>31.137408066666659</v>
      </c>
      <c r="G44" s="192">
        <v>35.606283899999987</v>
      </c>
      <c r="H44" s="192">
        <v>0.9747637589999999</v>
      </c>
      <c r="I44" s="64">
        <v>0.97471633699999993</v>
      </c>
      <c r="J44" s="64">
        <v>3.9723059800000009E-2</v>
      </c>
      <c r="K44" s="193"/>
      <c r="L44" s="263"/>
      <c r="M44" s="263"/>
      <c r="N44" s="58"/>
      <c r="O44" s="30"/>
      <c r="P44" s="58"/>
      <c r="Q44" s="30"/>
      <c r="R44" s="135"/>
      <c r="S44" s="210"/>
      <c r="T44" s="294"/>
      <c r="U44" s="29" t="s">
        <v>28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2"/>
      <c r="AL44" s="294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4"/>
      <c r="C45" s="29" t="s">
        <v>29</v>
      </c>
      <c r="D45" s="191"/>
      <c r="E45" s="58"/>
      <c r="F45" s="192">
        <v>35.490706333333307</v>
      </c>
      <c r="G45" s="192">
        <v>39.511871900000003</v>
      </c>
      <c r="H45" s="192">
        <v>0.98728110566666694</v>
      </c>
      <c r="I45" s="64">
        <v>0.99063022699999992</v>
      </c>
      <c r="J45" s="64">
        <v>2.39633819E-2</v>
      </c>
      <c r="K45" s="193"/>
      <c r="L45" s="263"/>
      <c r="M45" s="263"/>
      <c r="N45" s="58"/>
      <c r="O45" s="30"/>
      <c r="P45" s="58"/>
      <c r="Q45" s="30"/>
      <c r="R45" s="135"/>
      <c r="S45" s="210"/>
      <c r="T45" s="294"/>
      <c r="U45" s="29" t="s">
        <v>29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2"/>
      <c r="AL45" s="294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4"/>
      <c r="C46" s="29" t="s">
        <v>31</v>
      </c>
      <c r="D46" s="191"/>
      <c r="E46" s="58"/>
      <c r="F46" s="192">
        <v>37.953052966666661</v>
      </c>
      <c r="G46" s="192">
        <v>41.968242833333328</v>
      </c>
      <c r="H46" s="192">
        <v>0.99157614699999996</v>
      </c>
      <c r="I46" s="64">
        <v>0.99518182866666649</v>
      </c>
      <c r="J46" s="64">
        <v>1.71704996E-2</v>
      </c>
      <c r="K46" s="193"/>
      <c r="L46" s="263"/>
      <c r="M46" s="263"/>
      <c r="N46" s="58"/>
      <c r="O46" s="30"/>
      <c r="P46" s="58"/>
      <c r="Q46" s="30"/>
      <c r="R46" s="135"/>
      <c r="S46" s="210"/>
      <c r="T46" s="294"/>
      <c r="U46" s="29" t="s">
        <v>31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2"/>
      <c r="AL46" s="294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4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0"/>
      <c r="T47" s="294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2"/>
      <c r="AL47" s="294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6" t="s">
        <v>68</v>
      </c>
      <c r="C48" s="27" t="s">
        <v>27</v>
      </c>
      <c r="D48" s="41"/>
      <c r="E48" s="57"/>
      <c r="F48" s="99">
        <v>27.624206866666661</v>
      </c>
      <c r="G48" s="99">
        <v>32.703981866666673</v>
      </c>
      <c r="H48" s="99">
        <v>0.9570062696666668</v>
      </c>
      <c r="I48" s="62">
        <v>0.95558621166666669</v>
      </c>
      <c r="J48" s="62">
        <v>6.582958726666667E-2</v>
      </c>
      <c r="K48" s="63"/>
      <c r="L48" s="262"/>
      <c r="M48" s="262"/>
      <c r="N48" s="57"/>
      <c r="O48" s="28"/>
      <c r="P48" s="57"/>
      <c r="Q48" s="28"/>
      <c r="R48" s="134"/>
      <c r="S48" s="210"/>
      <c r="T48" s="296" t="s">
        <v>68</v>
      </c>
      <c r="U48" s="27" t="s">
        <v>27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2"/>
      <c r="AL48" s="296" t="s">
        <v>68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4"/>
      <c r="C49" s="29" t="s">
        <v>28</v>
      </c>
      <c r="D49" s="191"/>
      <c r="E49" s="58"/>
      <c r="F49" s="192">
        <v>31.008397033333331</v>
      </c>
      <c r="G49" s="192">
        <v>35.480975700000002</v>
      </c>
      <c r="H49" s="192">
        <v>0.97435113566666665</v>
      </c>
      <c r="I49" s="64">
        <v>0.97401026700000004</v>
      </c>
      <c r="J49" s="64">
        <v>4.1666694433333352E-2</v>
      </c>
      <c r="K49" s="193"/>
      <c r="L49" s="263"/>
      <c r="M49" s="263"/>
      <c r="N49" s="58"/>
      <c r="O49" s="30"/>
      <c r="P49" s="58"/>
      <c r="Q49" s="30"/>
      <c r="R49" s="135"/>
      <c r="S49" s="210"/>
      <c r="T49" s="294"/>
      <c r="U49" s="29" t="s">
        <v>28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2"/>
      <c r="AL49" s="294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4"/>
      <c r="C50" s="29" t="s">
        <v>29</v>
      </c>
      <c r="D50" s="191"/>
      <c r="E50" s="58"/>
      <c r="F50" s="192">
        <v>35.472291833333337</v>
      </c>
      <c r="G50" s="192">
        <v>39.476812300000013</v>
      </c>
      <c r="H50" s="192">
        <v>0.98710631599999987</v>
      </c>
      <c r="I50" s="64">
        <v>0.99046420933333346</v>
      </c>
      <c r="J50" s="64">
        <v>2.4957644500000001E-2</v>
      </c>
      <c r="K50" s="193"/>
      <c r="L50" s="263"/>
      <c r="M50" s="263"/>
      <c r="N50" s="58"/>
      <c r="O50" s="30"/>
      <c r="P50" s="58"/>
      <c r="Q50" s="30"/>
      <c r="R50" s="135"/>
      <c r="S50" s="210"/>
      <c r="T50" s="294"/>
      <c r="U50" s="29" t="s">
        <v>29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2"/>
      <c r="AL50" s="294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4"/>
      <c r="C51" s="29" t="s">
        <v>31</v>
      </c>
      <c r="D51" s="191"/>
      <c r="E51" s="58"/>
      <c r="F51" s="192">
        <v>37.863570766666683</v>
      </c>
      <c r="G51" s="192">
        <v>41.865169600000009</v>
      </c>
      <c r="H51" s="192">
        <v>0.99141750166666687</v>
      </c>
      <c r="I51" s="64">
        <v>0.99504405533333307</v>
      </c>
      <c r="J51" s="64">
        <v>1.7962449133333339E-2</v>
      </c>
      <c r="K51" s="193"/>
      <c r="L51" s="263"/>
      <c r="M51" s="263"/>
      <c r="N51" s="58"/>
      <c r="O51" s="30"/>
      <c r="P51" s="58"/>
      <c r="Q51" s="30"/>
      <c r="R51" s="135"/>
      <c r="S51" s="210"/>
      <c r="T51" s="294"/>
      <c r="U51" s="29" t="s">
        <v>31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2"/>
      <c r="AL51" s="294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4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0"/>
      <c r="T52" s="294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2"/>
      <c r="AL52" s="294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6" t="s">
        <v>69</v>
      </c>
      <c r="C53" s="27" t="s">
        <v>27</v>
      </c>
      <c r="D53" s="41"/>
      <c r="E53" s="57"/>
      <c r="F53" s="99">
        <v>27.727775233333318</v>
      </c>
      <c r="G53" s="99">
        <v>32.725368366666657</v>
      </c>
      <c r="H53" s="99">
        <v>0.95510317966666669</v>
      </c>
      <c r="I53" s="62">
        <v>0.95697792333333331</v>
      </c>
      <c r="J53" s="62">
        <v>6.8546490099999996E-2</v>
      </c>
      <c r="K53" s="63"/>
      <c r="L53" s="262"/>
      <c r="M53" s="262"/>
      <c r="N53" s="57"/>
      <c r="O53" s="28"/>
      <c r="P53" s="57"/>
      <c r="Q53" s="28"/>
      <c r="R53" s="134"/>
      <c r="S53" s="210"/>
      <c r="T53" s="296" t="s">
        <v>69</v>
      </c>
      <c r="U53" s="27" t="s">
        <v>27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2"/>
      <c r="AL53" s="296" t="s">
        <v>69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4"/>
      <c r="C54" s="29" t="s">
        <v>28</v>
      </c>
      <c r="D54" s="191"/>
      <c r="E54" s="58"/>
      <c r="F54" s="192">
        <v>30.94466713333334</v>
      </c>
      <c r="G54" s="192">
        <v>35.381937700000002</v>
      </c>
      <c r="H54" s="192">
        <v>0.97348999999999997</v>
      </c>
      <c r="I54" s="64">
        <v>0.97455462699999995</v>
      </c>
      <c r="J54" s="64">
        <v>4.4150574499999998E-2</v>
      </c>
      <c r="K54" s="193"/>
      <c r="L54" s="263"/>
      <c r="M54" s="263"/>
      <c r="N54" s="58"/>
      <c r="O54" s="30"/>
      <c r="P54" s="58"/>
      <c r="Q54" s="30"/>
      <c r="R54" s="135"/>
      <c r="S54" s="210"/>
      <c r="T54" s="294"/>
      <c r="U54" s="29" t="s">
        <v>28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2"/>
      <c r="AL54" s="294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4"/>
      <c r="C55" s="29" t="s">
        <v>29</v>
      </c>
      <c r="D55" s="191"/>
      <c r="E55" s="58"/>
      <c r="F55" s="192">
        <v>35.288844000000012</v>
      </c>
      <c r="G55" s="192">
        <v>39.279207700000001</v>
      </c>
      <c r="H55" s="192">
        <v>0.98647697333333317</v>
      </c>
      <c r="I55" s="64">
        <v>0.99031054199999979</v>
      </c>
      <c r="J55" s="64">
        <v>2.6972097500000011E-2</v>
      </c>
      <c r="K55" s="193"/>
      <c r="L55" s="263"/>
      <c r="M55" s="263"/>
      <c r="N55" s="58"/>
      <c r="O55" s="30"/>
      <c r="P55" s="58"/>
      <c r="Q55" s="30"/>
      <c r="R55" s="135"/>
      <c r="S55" s="210"/>
      <c r="T55" s="294"/>
      <c r="U55" s="29" t="s">
        <v>29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2"/>
      <c r="AL55" s="294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4"/>
      <c r="C56" s="29" t="s">
        <v>31</v>
      </c>
      <c r="D56" s="191"/>
      <c r="E56" s="58"/>
      <c r="F56" s="192">
        <v>37.601164799999999</v>
      </c>
      <c r="G56" s="192">
        <v>41.584238366666654</v>
      </c>
      <c r="H56" s="192">
        <v>0.99091974166666674</v>
      </c>
      <c r="I56" s="64">
        <v>0.99480477099999987</v>
      </c>
      <c r="J56" s="64">
        <v>1.9500788633333328E-2</v>
      </c>
      <c r="K56" s="193"/>
      <c r="L56" s="263"/>
      <c r="M56" s="263"/>
      <c r="N56" s="58"/>
      <c r="O56" s="30"/>
      <c r="P56" s="58"/>
      <c r="Q56" s="30"/>
      <c r="R56" s="135"/>
      <c r="S56" s="210"/>
      <c r="T56" s="294"/>
      <c r="U56" s="29" t="s">
        <v>31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2"/>
      <c r="AL56" s="294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4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0"/>
      <c r="T57" s="294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2"/>
      <c r="AL57" s="294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6" t="s">
        <v>70</v>
      </c>
      <c r="C58" s="27" t="s">
        <v>27</v>
      </c>
      <c r="D58" s="41"/>
      <c r="E58" s="57"/>
      <c r="F58" s="99">
        <v>27.232553299999999</v>
      </c>
      <c r="G58" s="99">
        <v>32.44146163333334</v>
      </c>
      <c r="H58" s="99">
        <v>0.95757137966666683</v>
      </c>
      <c r="I58" s="62">
        <v>0.95651808199999999</v>
      </c>
      <c r="J58" s="62">
        <v>6.9324178633333344E-2</v>
      </c>
      <c r="K58" s="63"/>
      <c r="L58" s="262"/>
      <c r="M58" s="262"/>
      <c r="N58" s="57"/>
      <c r="O58" s="28"/>
      <c r="P58" s="57"/>
      <c r="Q58" s="28"/>
      <c r="R58" s="134"/>
      <c r="S58" s="210"/>
      <c r="T58" s="296" t="s">
        <v>70</v>
      </c>
      <c r="U58" s="27" t="s">
        <v>27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2"/>
      <c r="AL58" s="296" t="s">
        <v>70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4"/>
      <c r="C59" s="29" t="s">
        <v>28</v>
      </c>
      <c r="D59" s="191"/>
      <c r="E59" s="58"/>
      <c r="F59" s="192">
        <v>31.230799133333331</v>
      </c>
      <c r="G59" s="192">
        <v>35.785011866666657</v>
      </c>
      <c r="H59" s="192">
        <v>0.97587256333333339</v>
      </c>
      <c r="I59" s="64">
        <v>0.97651492933333317</v>
      </c>
      <c r="J59" s="64">
        <v>4.0270631300000012E-2</v>
      </c>
      <c r="K59" s="193"/>
      <c r="L59" s="263"/>
      <c r="M59" s="263"/>
      <c r="N59" s="58"/>
      <c r="O59" s="30"/>
      <c r="P59" s="58"/>
      <c r="Q59" s="30"/>
      <c r="R59" s="135"/>
      <c r="S59" s="210"/>
      <c r="T59" s="294"/>
      <c r="U59" s="29" t="s">
        <v>28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2"/>
      <c r="AL59" s="294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4"/>
      <c r="C60" s="29" t="s">
        <v>29</v>
      </c>
      <c r="D60" s="191"/>
      <c r="E60" s="58"/>
      <c r="F60" s="192">
        <v>35.556460100000002</v>
      </c>
      <c r="G60" s="192">
        <v>39.625747966666673</v>
      </c>
      <c r="H60" s="192">
        <v>0.98821685433333328</v>
      </c>
      <c r="I60" s="64">
        <v>0.99114537133333325</v>
      </c>
      <c r="J60" s="64">
        <v>2.3385033966666649E-2</v>
      </c>
      <c r="K60" s="193"/>
      <c r="L60" s="263"/>
      <c r="M60" s="263"/>
      <c r="N60" s="58"/>
      <c r="O60" s="30"/>
      <c r="P60" s="58"/>
      <c r="Q60" s="30"/>
      <c r="R60" s="135"/>
      <c r="S60" s="210"/>
      <c r="T60" s="294"/>
      <c r="U60" s="29" t="s">
        <v>29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2"/>
      <c r="AL60" s="294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4"/>
      <c r="C61" s="29" t="s">
        <v>31</v>
      </c>
      <c r="D61" s="191"/>
      <c r="E61" s="58"/>
      <c r="F61" s="192">
        <v>38.108506233333351</v>
      </c>
      <c r="G61" s="192">
        <v>42.127645333333341</v>
      </c>
      <c r="H61" s="192">
        <v>0.99242278699999986</v>
      </c>
      <c r="I61" s="64">
        <v>0.9955021043333333</v>
      </c>
      <c r="J61" s="64">
        <v>1.655848498333333E-2</v>
      </c>
      <c r="K61" s="193"/>
      <c r="L61" s="263"/>
      <c r="M61" s="263"/>
      <c r="N61" s="58"/>
      <c r="O61" s="30"/>
      <c r="P61" s="58"/>
      <c r="Q61" s="30"/>
      <c r="R61" s="135"/>
      <c r="S61" s="210"/>
      <c r="T61" s="294"/>
      <c r="U61" s="29" t="s">
        <v>31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2"/>
      <c r="AL61" s="294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4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0"/>
      <c r="T62" s="294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2"/>
      <c r="AL62" s="294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6" t="s">
        <v>71</v>
      </c>
      <c r="C63" s="27" t="s">
        <v>27</v>
      </c>
      <c r="D63" s="41"/>
      <c r="E63" s="57"/>
      <c r="F63" s="99">
        <v>27.38236126666667</v>
      </c>
      <c r="G63" s="99">
        <v>32.616265966666667</v>
      </c>
      <c r="H63" s="99">
        <v>0.95830689666666657</v>
      </c>
      <c r="I63" s="62">
        <v>0.95603646199999992</v>
      </c>
      <c r="J63" s="62">
        <v>6.4462229699999998E-2</v>
      </c>
      <c r="K63" s="63"/>
      <c r="L63" s="262"/>
      <c r="M63" s="262"/>
      <c r="N63" s="57"/>
      <c r="O63" s="28"/>
      <c r="P63" s="57"/>
      <c r="Q63" s="28"/>
      <c r="R63" s="134"/>
      <c r="S63" s="210"/>
      <c r="T63" s="296" t="s">
        <v>71</v>
      </c>
      <c r="U63" s="27" t="s">
        <v>27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2"/>
      <c r="AL63" s="296" t="s">
        <v>71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4"/>
      <c r="C64" s="29" t="s">
        <v>28</v>
      </c>
      <c r="D64" s="191"/>
      <c r="E64" s="58"/>
      <c r="F64" s="192">
        <v>31.202362233333329</v>
      </c>
      <c r="G64" s="192">
        <v>35.801837533333327</v>
      </c>
      <c r="H64" s="192">
        <v>0.97575301366666656</v>
      </c>
      <c r="I64" s="64">
        <v>0.97425318433333319</v>
      </c>
      <c r="J64" s="64">
        <v>3.8689136233333352E-2</v>
      </c>
      <c r="K64" s="193"/>
      <c r="L64" s="263"/>
      <c r="M64" s="263"/>
      <c r="N64" s="58"/>
      <c r="O64" s="30"/>
      <c r="P64" s="58"/>
      <c r="Q64" s="30"/>
      <c r="R64" s="135"/>
      <c r="S64" s="210"/>
      <c r="T64" s="294"/>
      <c r="U64" s="29" t="s">
        <v>28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2"/>
      <c r="AL64" s="294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4"/>
      <c r="C65" s="29" t="s">
        <v>29</v>
      </c>
      <c r="D65" s="191"/>
      <c r="E65" s="58"/>
      <c r="F65" s="192">
        <v>35.585523833333333</v>
      </c>
      <c r="G65" s="192">
        <v>39.665281799999988</v>
      </c>
      <c r="H65" s="192">
        <v>0.9881068816666666</v>
      </c>
      <c r="I65" s="64">
        <v>0.99067089466666647</v>
      </c>
      <c r="J65" s="64">
        <v>2.2539752066666661E-2</v>
      </c>
      <c r="K65" s="193"/>
      <c r="L65" s="263"/>
      <c r="M65" s="263"/>
      <c r="N65" s="58"/>
      <c r="O65" s="30"/>
      <c r="P65" s="58"/>
      <c r="Q65" s="30"/>
      <c r="R65" s="135"/>
      <c r="S65" s="210"/>
      <c r="T65" s="294"/>
      <c r="U65" s="29" t="s">
        <v>29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2"/>
      <c r="AL65" s="294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9" t="s">
        <v>31</v>
      </c>
      <c r="D66" s="191"/>
      <c r="E66" s="58"/>
      <c r="F66" s="192">
        <v>38.081961933333339</v>
      </c>
      <c r="G66" s="192">
        <v>42.108902733333338</v>
      </c>
      <c r="H66" s="192">
        <v>0.99227538866666665</v>
      </c>
      <c r="I66" s="64">
        <v>0.99529472100000005</v>
      </c>
      <c r="J66" s="64">
        <v>1.609342166666667E-2</v>
      </c>
      <c r="K66" s="193"/>
      <c r="L66" s="263"/>
      <c r="M66" s="263"/>
      <c r="N66" s="58"/>
      <c r="O66" s="30"/>
      <c r="P66" s="58"/>
      <c r="Q66" s="30"/>
      <c r="R66" s="135"/>
      <c r="S66" s="210"/>
      <c r="T66" s="294"/>
      <c r="U66" s="29" t="s">
        <v>31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2"/>
      <c r="AL66" s="294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4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0"/>
      <c r="T67" s="294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2"/>
      <c r="AL67" s="294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6" t="s">
        <v>72</v>
      </c>
      <c r="C68" s="27" t="s">
        <v>27</v>
      </c>
      <c r="D68" s="41"/>
      <c r="E68" s="57"/>
      <c r="F68" s="99">
        <v>27.632857300000001</v>
      </c>
      <c r="G68" s="99">
        <v>32.832751633333331</v>
      </c>
      <c r="H68" s="99">
        <v>0.95846517566666667</v>
      </c>
      <c r="I68" s="62">
        <v>0.95667988899999989</v>
      </c>
      <c r="J68" s="62">
        <v>6.1596701133333327E-2</v>
      </c>
      <c r="K68" s="63"/>
      <c r="L68" s="262"/>
      <c r="M68" s="262"/>
      <c r="N68" s="57"/>
      <c r="O68" s="28"/>
      <c r="P68" s="57"/>
      <c r="Q68" s="28"/>
      <c r="R68" s="134"/>
      <c r="S68" s="210"/>
      <c r="T68" s="296" t="s">
        <v>72</v>
      </c>
      <c r="U68" s="27" t="s">
        <v>27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2"/>
      <c r="AL68" s="296" t="s">
        <v>72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4"/>
      <c r="C69" s="29" t="s">
        <v>28</v>
      </c>
      <c r="D69" s="191"/>
      <c r="E69" s="58"/>
      <c r="F69" s="192">
        <v>31.334737566666661</v>
      </c>
      <c r="G69" s="192">
        <v>35.936093766666673</v>
      </c>
      <c r="H69" s="192">
        <v>0.97560089599999977</v>
      </c>
      <c r="I69" s="64">
        <v>0.97404861833333323</v>
      </c>
      <c r="J69" s="64">
        <v>3.7815555466666671E-2</v>
      </c>
      <c r="K69" s="193"/>
      <c r="L69" s="263"/>
      <c r="M69" s="263"/>
      <c r="N69" s="58"/>
      <c r="O69" s="30"/>
      <c r="P69" s="58"/>
      <c r="Q69" s="30"/>
      <c r="R69" s="135"/>
      <c r="S69" s="210"/>
      <c r="T69" s="294"/>
      <c r="U69" s="29" t="s">
        <v>28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2"/>
      <c r="AL69" s="294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4"/>
      <c r="C70" s="29" t="s">
        <v>29</v>
      </c>
      <c r="D70" s="191"/>
      <c r="E70" s="58"/>
      <c r="F70" s="192">
        <v>35.624687066666667</v>
      </c>
      <c r="G70" s="192">
        <v>39.700248700000003</v>
      </c>
      <c r="H70" s="192">
        <v>0.98792400600000008</v>
      </c>
      <c r="I70" s="64">
        <v>0.99041307000000023</v>
      </c>
      <c r="J70" s="64">
        <v>2.23856058E-2</v>
      </c>
      <c r="K70" s="193"/>
      <c r="L70" s="263"/>
      <c r="M70" s="263"/>
      <c r="N70" s="58"/>
      <c r="O70" s="30"/>
      <c r="P70" s="58"/>
      <c r="Q70" s="30"/>
      <c r="R70" s="135"/>
      <c r="S70" s="210"/>
      <c r="T70" s="294"/>
      <c r="U70" s="29" t="s">
        <v>29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2"/>
      <c r="AL70" s="294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4"/>
      <c r="C71" s="29" t="s">
        <v>31</v>
      </c>
      <c r="D71" s="191"/>
      <c r="E71" s="58"/>
      <c r="F71" s="192">
        <v>38.035602833333343</v>
      </c>
      <c r="G71" s="192">
        <v>42.053709733333328</v>
      </c>
      <c r="H71" s="192">
        <v>0.99209427199999978</v>
      </c>
      <c r="I71" s="64">
        <v>0.99507439566666656</v>
      </c>
      <c r="J71" s="64">
        <v>1.6153247616666672E-2</v>
      </c>
      <c r="K71" s="193"/>
      <c r="L71" s="263"/>
      <c r="M71" s="263"/>
      <c r="N71" s="58"/>
      <c r="O71" s="30"/>
      <c r="P71" s="58"/>
      <c r="Q71" s="30"/>
      <c r="R71" s="135"/>
      <c r="S71" s="210"/>
      <c r="T71" s="294"/>
      <c r="U71" s="29" t="s">
        <v>31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2"/>
      <c r="AL71" s="294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4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0"/>
      <c r="T72" s="294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2"/>
      <c r="AL72" s="294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6" t="s">
        <v>73</v>
      </c>
      <c r="C73" s="27" t="s">
        <v>27</v>
      </c>
      <c r="D73" s="41"/>
      <c r="E73" s="57"/>
      <c r="F73" s="99">
        <v>27.700188433333341</v>
      </c>
      <c r="G73" s="99">
        <v>32.869276499999998</v>
      </c>
      <c r="H73" s="99">
        <v>0.95809317799999993</v>
      </c>
      <c r="I73" s="62">
        <v>0.9556306126666666</v>
      </c>
      <c r="J73" s="62">
        <v>6.2220144066666663E-2</v>
      </c>
      <c r="K73" s="63"/>
      <c r="L73" s="262"/>
      <c r="M73" s="262"/>
      <c r="N73" s="57"/>
      <c r="O73" s="28"/>
      <c r="P73" s="57"/>
      <c r="Q73" s="28"/>
      <c r="R73" s="134"/>
      <c r="S73" s="210"/>
      <c r="T73" s="296" t="s">
        <v>73</v>
      </c>
      <c r="U73" s="27" t="s">
        <v>27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2"/>
      <c r="AL73" s="296" t="s">
        <v>73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4"/>
      <c r="C74" s="29" t="s">
        <v>28</v>
      </c>
      <c r="D74" s="191"/>
      <c r="E74" s="58"/>
      <c r="F74" s="192">
        <v>31.31342733333333</v>
      </c>
      <c r="G74" s="192">
        <v>35.890806433333331</v>
      </c>
      <c r="H74" s="192">
        <v>0.97536051733333351</v>
      </c>
      <c r="I74" s="64">
        <v>0.97384024400000002</v>
      </c>
      <c r="J74" s="64">
        <v>3.8588197733333343E-2</v>
      </c>
      <c r="K74" s="193"/>
      <c r="L74" s="263"/>
      <c r="M74" s="263"/>
      <c r="N74" s="58"/>
      <c r="O74" s="30"/>
      <c r="P74" s="58"/>
      <c r="Q74" s="30"/>
      <c r="R74" s="135"/>
      <c r="S74" s="210"/>
      <c r="T74" s="294"/>
      <c r="U74" s="29" t="s">
        <v>28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2"/>
      <c r="AL74" s="294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4"/>
      <c r="C75" s="29" t="s">
        <v>29</v>
      </c>
      <c r="D75" s="191"/>
      <c r="E75" s="58"/>
      <c r="F75" s="192">
        <v>35.63074300000001</v>
      </c>
      <c r="G75" s="192">
        <v>39.69265703333334</v>
      </c>
      <c r="H75" s="192">
        <v>0.98780466033333347</v>
      </c>
      <c r="I75" s="64">
        <v>0.99037248433333347</v>
      </c>
      <c r="J75" s="64">
        <v>2.2794766433333329E-2</v>
      </c>
      <c r="K75" s="193"/>
      <c r="L75" s="263"/>
      <c r="M75" s="263"/>
      <c r="N75" s="58"/>
      <c r="O75" s="30"/>
      <c r="P75" s="58"/>
      <c r="Q75" s="30"/>
      <c r="R75" s="135"/>
      <c r="S75" s="210"/>
      <c r="T75" s="294"/>
      <c r="U75" s="29" t="s">
        <v>29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2"/>
      <c r="AL75" s="294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4"/>
      <c r="C76" s="29" t="s">
        <v>31</v>
      </c>
      <c r="D76" s="191"/>
      <c r="E76" s="58"/>
      <c r="F76" s="192">
        <v>38.014067300000001</v>
      </c>
      <c r="G76" s="192">
        <v>42.026163200000013</v>
      </c>
      <c r="H76" s="192">
        <v>0.99200170133333343</v>
      </c>
      <c r="I76" s="64">
        <v>0.99508734300000001</v>
      </c>
      <c r="J76" s="64">
        <v>1.6548931033333329E-2</v>
      </c>
      <c r="K76" s="193"/>
      <c r="L76" s="263"/>
      <c r="M76" s="263"/>
      <c r="N76" s="58"/>
      <c r="O76" s="30"/>
      <c r="P76" s="58"/>
      <c r="Q76" s="30"/>
      <c r="R76" s="135"/>
      <c r="S76" s="210"/>
      <c r="T76" s="294"/>
      <c r="U76" s="29" t="s">
        <v>31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2"/>
      <c r="AL76" s="294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4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0"/>
      <c r="T77" s="294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2"/>
      <c r="AL77" s="294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6" t="s">
        <v>74</v>
      </c>
      <c r="C78" s="27" t="s">
        <v>27</v>
      </c>
      <c r="D78" s="41"/>
      <c r="E78" s="57"/>
      <c r="F78" s="99">
        <v>27.753813900000001</v>
      </c>
      <c r="G78" s="99">
        <v>32.830367333333328</v>
      </c>
      <c r="H78" s="99">
        <v>0.9559535136666667</v>
      </c>
      <c r="I78" s="62">
        <v>0.95658549600000031</v>
      </c>
      <c r="J78" s="62">
        <v>6.5851145799999997E-2</v>
      </c>
      <c r="K78" s="63"/>
      <c r="L78" s="262"/>
      <c r="M78" s="262"/>
      <c r="N78" s="57"/>
      <c r="O78" s="28"/>
      <c r="P78" s="57"/>
      <c r="Q78" s="28"/>
      <c r="R78" s="134"/>
      <c r="S78" s="210"/>
      <c r="T78" s="296" t="s">
        <v>74</v>
      </c>
      <c r="U78" s="27" t="s">
        <v>27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2"/>
      <c r="AL78" s="296" t="s">
        <v>74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4"/>
      <c r="C79" s="29" t="s">
        <v>28</v>
      </c>
      <c r="D79" s="191"/>
      <c r="E79" s="58"/>
      <c r="F79" s="192">
        <v>31.188659600000001</v>
      </c>
      <c r="G79" s="192">
        <v>35.706010300000003</v>
      </c>
      <c r="H79" s="192">
        <v>0.97412256833333355</v>
      </c>
      <c r="I79" s="64">
        <v>0.97438932766666675</v>
      </c>
      <c r="J79" s="64">
        <v>4.1806056066666659E-2</v>
      </c>
      <c r="K79" s="193"/>
      <c r="L79" s="263"/>
      <c r="M79" s="263"/>
      <c r="N79" s="58"/>
      <c r="O79" s="30"/>
      <c r="P79" s="58"/>
      <c r="Q79" s="30"/>
      <c r="R79" s="135"/>
      <c r="S79" s="210"/>
      <c r="T79" s="294"/>
      <c r="U79" s="29" t="s">
        <v>28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2"/>
      <c r="AL79" s="294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4"/>
      <c r="C80" s="29" t="s">
        <v>29</v>
      </c>
      <c r="D80" s="191"/>
      <c r="E80" s="58"/>
      <c r="F80" s="192">
        <v>35.423152799999997</v>
      </c>
      <c r="G80" s="192">
        <v>39.453702166666673</v>
      </c>
      <c r="H80" s="192">
        <v>0.9867977343333334</v>
      </c>
      <c r="I80" s="64">
        <v>0.99030642433333327</v>
      </c>
      <c r="J80" s="64">
        <v>2.5193586266666668E-2</v>
      </c>
      <c r="K80" s="193"/>
      <c r="L80" s="263"/>
      <c r="M80" s="263"/>
      <c r="N80" s="58"/>
      <c r="O80" s="30"/>
      <c r="P80" s="58"/>
      <c r="Q80" s="30"/>
      <c r="R80" s="135"/>
      <c r="S80" s="210"/>
      <c r="T80" s="294"/>
      <c r="U80" s="29" t="s">
        <v>29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2"/>
      <c r="AL80" s="294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4"/>
      <c r="C81" s="29" t="s">
        <v>31</v>
      </c>
      <c r="D81" s="191"/>
      <c r="E81" s="58"/>
      <c r="F81" s="192">
        <v>37.685074566666657</v>
      </c>
      <c r="G81" s="192">
        <v>41.655879433333318</v>
      </c>
      <c r="H81" s="192">
        <v>0.99112480400000003</v>
      </c>
      <c r="I81" s="64">
        <v>0.99482153100000015</v>
      </c>
      <c r="J81" s="64">
        <v>1.8630519166666672E-2</v>
      </c>
      <c r="K81" s="193"/>
      <c r="L81" s="263"/>
      <c r="M81" s="263"/>
      <c r="N81" s="58"/>
      <c r="O81" s="30"/>
      <c r="P81" s="58"/>
      <c r="Q81" s="30"/>
      <c r="R81" s="135"/>
      <c r="S81" s="210"/>
      <c r="T81" s="294"/>
      <c r="U81" s="29" t="s">
        <v>31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2"/>
      <c r="AL81" s="294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4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0"/>
      <c r="T82" s="294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2"/>
      <c r="AL82" s="294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93" t="s">
        <v>75</v>
      </c>
      <c r="C83" s="27" t="s">
        <v>27</v>
      </c>
      <c r="D83" s="41"/>
      <c r="E83" s="57"/>
      <c r="F83" s="99">
        <v>27.363048333333332</v>
      </c>
      <c r="G83" s="99">
        <v>32.536511300000001</v>
      </c>
      <c r="H83" s="99">
        <v>0.95572597366666667</v>
      </c>
      <c r="I83" s="62">
        <v>0.95828173966666674</v>
      </c>
      <c r="J83" s="62">
        <v>6.9906259233333323E-2</v>
      </c>
      <c r="K83" s="63"/>
      <c r="L83" s="262"/>
      <c r="M83" s="262"/>
      <c r="N83" s="57"/>
      <c r="O83" s="28"/>
      <c r="P83" s="57"/>
      <c r="Q83" s="28"/>
      <c r="R83" s="134"/>
      <c r="S83" s="210"/>
      <c r="T83" s="293" t="s">
        <v>75</v>
      </c>
      <c r="U83" s="27" t="s">
        <v>27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2"/>
      <c r="AL83" s="293" t="s">
        <v>75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4"/>
      <c r="C84" s="29" t="s">
        <v>28</v>
      </c>
      <c r="D84" s="191"/>
      <c r="E84" s="58"/>
      <c r="F84" s="192">
        <v>30.99313283333333</v>
      </c>
      <c r="G84" s="192">
        <v>35.608487533333353</v>
      </c>
      <c r="H84" s="192">
        <v>0.97544521400000017</v>
      </c>
      <c r="I84" s="64">
        <v>0.97660265233333343</v>
      </c>
      <c r="J84" s="64">
        <v>4.0776024433333342E-2</v>
      </c>
      <c r="K84" s="193"/>
      <c r="L84" s="263"/>
      <c r="M84" s="263"/>
      <c r="N84" s="58"/>
      <c r="O84" s="30"/>
      <c r="P84" s="58"/>
      <c r="Q84" s="30"/>
      <c r="R84" s="135"/>
      <c r="S84" s="210"/>
      <c r="T84" s="294"/>
      <c r="U84" s="29" t="s">
        <v>28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2"/>
      <c r="AL84" s="294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4"/>
      <c r="C85" s="29" t="s">
        <v>29</v>
      </c>
      <c r="D85" s="191"/>
      <c r="E85" s="58"/>
      <c r="F85" s="192">
        <v>35.292354466666673</v>
      </c>
      <c r="G85" s="192">
        <v>39.396112433333343</v>
      </c>
      <c r="H85" s="192">
        <v>0.98808919666666672</v>
      </c>
      <c r="I85" s="64">
        <v>0.99111168433333341</v>
      </c>
      <c r="J85" s="64">
        <v>2.32283551E-2</v>
      </c>
      <c r="K85" s="193"/>
      <c r="L85" s="263"/>
      <c r="M85" s="263"/>
      <c r="N85" s="58"/>
      <c r="O85" s="30"/>
      <c r="P85" s="58"/>
      <c r="Q85" s="30"/>
      <c r="R85" s="135"/>
      <c r="S85" s="210"/>
      <c r="T85" s="294"/>
      <c r="U85" s="29" t="s">
        <v>29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2"/>
      <c r="AL85" s="294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4"/>
      <c r="C86" s="29" t="s">
        <v>31</v>
      </c>
      <c r="D86" s="191"/>
      <c r="E86" s="58"/>
      <c r="F86" s="192">
        <v>37.950662133333331</v>
      </c>
      <c r="G86" s="192">
        <v>41.950809066666672</v>
      </c>
      <c r="H86" s="192">
        <v>0.99250620099999987</v>
      </c>
      <c r="I86" s="64">
        <v>0.99551469600000009</v>
      </c>
      <c r="J86" s="64">
        <v>1.6225172333333329E-2</v>
      </c>
      <c r="K86" s="193"/>
      <c r="L86" s="263"/>
      <c r="M86" s="263"/>
      <c r="N86" s="58"/>
      <c r="O86" s="30"/>
      <c r="P86" s="58"/>
      <c r="Q86" s="30"/>
      <c r="R86" s="135"/>
      <c r="S86" s="210"/>
      <c r="T86" s="294"/>
      <c r="U86" s="29" t="s">
        <v>31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2"/>
      <c r="AL86" s="294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5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0"/>
      <c r="T87" s="295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2"/>
      <c r="AL87" s="295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93" t="s">
        <v>76</v>
      </c>
      <c r="C88" s="27" t="s">
        <v>27</v>
      </c>
      <c r="D88" s="41"/>
      <c r="E88" s="57"/>
      <c r="F88" s="99">
        <v>27.493691933333341</v>
      </c>
      <c r="G88" s="99">
        <v>32.682843200000008</v>
      </c>
      <c r="H88" s="99">
        <v>0.95709906533333333</v>
      </c>
      <c r="I88" s="62">
        <v>0.95742739266666677</v>
      </c>
      <c r="J88" s="62">
        <v>6.6282572766666659E-2</v>
      </c>
      <c r="K88" s="63"/>
      <c r="L88" s="262"/>
      <c r="M88" s="262"/>
      <c r="N88" s="57"/>
      <c r="O88" s="28"/>
      <c r="P88" s="57"/>
      <c r="Q88" s="28"/>
      <c r="R88" s="134"/>
      <c r="S88" s="210"/>
      <c r="T88" s="293" t="s">
        <v>76</v>
      </c>
      <c r="U88" s="27" t="s">
        <v>27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2"/>
      <c r="AL88" s="293" t="s">
        <v>76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4"/>
      <c r="C89" s="29" t="s">
        <v>28</v>
      </c>
      <c r="D89" s="191"/>
      <c r="E89" s="58"/>
      <c r="F89" s="192">
        <v>31.122380799999991</v>
      </c>
      <c r="G89" s="192">
        <v>35.7451261</v>
      </c>
      <c r="H89" s="192">
        <v>0.97566591466666686</v>
      </c>
      <c r="I89" s="64">
        <v>0.97540424400000014</v>
      </c>
      <c r="J89" s="64">
        <v>3.9688487933333343E-2</v>
      </c>
      <c r="K89" s="193"/>
      <c r="L89" s="263"/>
      <c r="M89" s="263"/>
      <c r="N89" s="58"/>
      <c r="O89" s="30"/>
      <c r="P89" s="58"/>
      <c r="Q89" s="30"/>
      <c r="R89" s="135"/>
      <c r="S89" s="210"/>
      <c r="T89" s="294"/>
      <c r="U89" s="29" t="s">
        <v>28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2"/>
      <c r="AL89" s="294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4"/>
      <c r="C90" s="29" t="s">
        <v>29</v>
      </c>
      <c r="D90" s="191"/>
      <c r="E90" s="58"/>
      <c r="F90" s="192">
        <v>35.430641566666672</v>
      </c>
      <c r="G90" s="192">
        <v>39.540869499999992</v>
      </c>
      <c r="H90" s="192">
        <v>0.98808553100000007</v>
      </c>
      <c r="I90" s="64">
        <v>0.9907760676666667</v>
      </c>
      <c r="J90" s="64">
        <v>2.297078583333334E-2</v>
      </c>
      <c r="K90" s="193"/>
      <c r="L90" s="263"/>
      <c r="M90" s="263"/>
      <c r="N90" s="58"/>
      <c r="O90" s="30"/>
      <c r="P90" s="58"/>
      <c r="Q90" s="30"/>
      <c r="R90" s="135"/>
      <c r="S90" s="210"/>
      <c r="T90" s="294"/>
      <c r="U90" s="29" t="s">
        <v>29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2"/>
      <c r="AL90" s="294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4"/>
      <c r="C91" s="29" t="s">
        <v>31</v>
      </c>
      <c r="D91" s="191"/>
      <c r="E91" s="58"/>
      <c r="F91" s="192">
        <v>38.041263299999997</v>
      </c>
      <c r="G91" s="192">
        <v>42.058749366666667</v>
      </c>
      <c r="H91" s="192">
        <v>0.99241798133333314</v>
      </c>
      <c r="I91" s="64">
        <v>0.99534467099999979</v>
      </c>
      <c r="J91" s="64">
        <v>1.6272627433333339E-2</v>
      </c>
      <c r="K91" s="193"/>
      <c r="L91" s="263"/>
      <c r="M91" s="263"/>
      <c r="N91" s="58"/>
      <c r="O91" s="30"/>
      <c r="P91" s="58"/>
      <c r="Q91" s="30"/>
      <c r="R91" s="135"/>
      <c r="S91" s="210"/>
      <c r="T91" s="294"/>
      <c r="U91" s="29" t="s">
        <v>31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2"/>
      <c r="AL91" s="294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5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0"/>
      <c r="T92" s="295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2"/>
      <c r="AL92" s="295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93" t="s">
        <v>77</v>
      </c>
      <c r="C93" s="27" t="s">
        <v>27</v>
      </c>
      <c r="D93" s="41"/>
      <c r="E93" s="57"/>
      <c r="F93" s="99">
        <v>27.578275233333329</v>
      </c>
      <c r="G93" s="99">
        <v>32.793707933333337</v>
      </c>
      <c r="H93" s="99">
        <v>0.9576211309999999</v>
      </c>
      <c r="I93" s="62">
        <v>0.95679828233333353</v>
      </c>
      <c r="J93" s="62">
        <v>6.3085410866666677E-2</v>
      </c>
      <c r="K93" s="63"/>
      <c r="L93" s="262"/>
      <c r="M93" s="262"/>
      <c r="N93" s="57"/>
      <c r="O93" s="28"/>
      <c r="P93" s="57"/>
      <c r="Q93" s="28"/>
      <c r="R93" s="134"/>
      <c r="S93" s="210"/>
      <c r="T93" s="293" t="s">
        <v>77</v>
      </c>
      <c r="U93" s="27" t="s">
        <v>27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2"/>
      <c r="AL93" s="293" t="s">
        <v>77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4"/>
      <c r="C94" s="29" t="s">
        <v>28</v>
      </c>
      <c r="D94" s="191"/>
      <c r="E94" s="58"/>
      <c r="F94" s="192">
        <v>31.279976599999991</v>
      </c>
      <c r="G94" s="192">
        <v>35.895071833333333</v>
      </c>
      <c r="H94" s="192">
        <v>0.97589477033333327</v>
      </c>
      <c r="I94" s="64">
        <v>0.97393144600000014</v>
      </c>
      <c r="J94" s="64">
        <v>3.7385318833333327E-2</v>
      </c>
      <c r="K94" s="193"/>
      <c r="L94" s="263"/>
      <c r="M94" s="263"/>
      <c r="N94" s="58"/>
      <c r="O94" s="30"/>
      <c r="P94" s="58"/>
      <c r="Q94" s="30"/>
      <c r="R94" s="135"/>
      <c r="S94" s="210"/>
      <c r="T94" s="294"/>
      <c r="U94" s="29" t="s">
        <v>28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2"/>
      <c r="AL94" s="294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4"/>
      <c r="C95" s="29" t="s">
        <v>29</v>
      </c>
      <c r="D95" s="191"/>
      <c r="E95" s="58"/>
      <c r="F95" s="192">
        <v>35.622599833333332</v>
      </c>
      <c r="G95" s="192">
        <v>39.706117000000013</v>
      </c>
      <c r="H95" s="192">
        <v>0.98818766366666677</v>
      </c>
      <c r="I95" s="64">
        <v>0.99034421033333331</v>
      </c>
      <c r="J95" s="64">
        <v>2.169492256666667E-2</v>
      </c>
      <c r="K95" s="193"/>
      <c r="L95" s="263"/>
      <c r="M95" s="263"/>
      <c r="N95" s="58"/>
      <c r="O95" s="30"/>
      <c r="P95" s="58"/>
      <c r="Q95" s="30"/>
      <c r="R95" s="135"/>
      <c r="S95" s="210"/>
      <c r="T95" s="294"/>
      <c r="U95" s="29" t="s">
        <v>29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2"/>
      <c r="AL95" s="294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4"/>
      <c r="C96" s="29" t="s">
        <v>31</v>
      </c>
      <c r="D96" s="191"/>
      <c r="E96" s="58"/>
      <c r="F96" s="192">
        <v>38.169443166666682</v>
      </c>
      <c r="G96" s="192">
        <v>42.171225733333337</v>
      </c>
      <c r="H96" s="192">
        <v>0.99244220833333341</v>
      </c>
      <c r="I96" s="64">
        <v>0.99515410933333337</v>
      </c>
      <c r="J96" s="64">
        <v>1.5419812499999999E-2</v>
      </c>
      <c r="K96" s="193"/>
      <c r="L96" s="263"/>
      <c r="M96" s="263"/>
      <c r="N96" s="58"/>
      <c r="O96" s="30"/>
      <c r="P96" s="58"/>
      <c r="Q96" s="30"/>
      <c r="R96" s="135"/>
      <c r="S96" s="210"/>
      <c r="T96" s="294"/>
      <c r="U96" s="29" t="s">
        <v>31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2"/>
      <c r="AL96" s="294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5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0"/>
      <c r="T97" s="295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2"/>
      <c r="AL97" s="295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93" t="s">
        <v>78</v>
      </c>
      <c r="C98" s="27" t="s">
        <v>27</v>
      </c>
      <c r="D98" s="41"/>
      <c r="E98" s="57"/>
      <c r="F98" s="99">
        <v>27.855773233333331</v>
      </c>
      <c r="G98" s="99">
        <v>32.992534900000003</v>
      </c>
      <c r="H98" s="99">
        <v>0.95771228033333344</v>
      </c>
      <c r="I98" s="62">
        <v>0.95698695266666678</v>
      </c>
      <c r="J98" s="62">
        <v>6.4007584100000001E-2</v>
      </c>
      <c r="K98" s="63"/>
      <c r="L98" s="262"/>
      <c r="M98" s="262"/>
      <c r="N98" s="57"/>
      <c r="O98" s="28"/>
      <c r="P98" s="57"/>
      <c r="Q98" s="28"/>
      <c r="R98" s="134"/>
      <c r="S98" s="210"/>
      <c r="T98" s="293" t="s">
        <v>78</v>
      </c>
      <c r="U98" s="27" t="s">
        <v>27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2"/>
      <c r="AL98" s="293" t="s">
        <v>78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4"/>
      <c r="C99" s="29" t="s">
        <v>28</v>
      </c>
      <c r="D99" s="191"/>
      <c r="E99" s="58"/>
      <c r="F99" s="192">
        <v>31.357229233333332</v>
      </c>
      <c r="G99" s="192">
        <v>35.94668506666666</v>
      </c>
      <c r="H99" s="192">
        <v>0.97594309466666673</v>
      </c>
      <c r="I99" s="64">
        <v>0.97456277300000005</v>
      </c>
      <c r="J99" s="64">
        <v>3.8462480866666662E-2</v>
      </c>
      <c r="K99" s="193"/>
      <c r="L99" s="263"/>
      <c r="M99" s="263"/>
      <c r="N99" s="58"/>
      <c r="O99" s="30"/>
      <c r="P99" s="58"/>
      <c r="Q99" s="30"/>
      <c r="R99" s="135"/>
      <c r="S99" s="210"/>
      <c r="T99" s="294"/>
      <c r="U99" s="29" t="s">
        <v>28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2"/>
      <c r="AL99" s="294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4"/>
      <c r="C100" s="29" t="s">
        <v>29</v>
      </c>
      <c r="D100" s="191"/>
      <c r="E100" s="58"/>
      <c r="F100" s="192">
        <v>35.598040599999997</v>
      </c>
      <c r="G100" s="192">
        <v>39.684581966666663</v>
      </c>
      <c r="H100" s="192">
        <v>0.98814423900000004</v>
      </c>
      <c r="I100" s="64">
        <v>0.99040241799999984</v>
      </c>
      <c r="J100" s="64">
        <v>2.2506451866666669E-2</v>
      </c>
      <c r="K100" s="193"/>
      <c r="L100" s="263"/>
      <c r="M100" s="263"/>
      <c r="N100" s="58"/>
      <c r="O100" s="30"/>
      <c r="P100" s="58"/>
      <c r="Q100" s="30"/>
      <c r="R100" s="135"/>
      <c r="S100" s="210"/>
      <c r="T100" s="294"/>
      <c r="U100" s="29" t="s">
        <v>29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2"/>
      <c r="AL100" s="294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4"/>
      <c r="C101" s="29" t="s">
        <v>31</v>
      </c>
      <c r="D101" s="191"/>
      <c r="E101" s="58"/>
      <c r="F101" s="192">
        <v>38.147535500000011</v>
      </c>
      <c r="G101" s="192">
        <v>42.150544299999993</v>
      </c>
      <c r="H101" s="192">
        <v>0.9923881436666665</v>
      </c>
      <c r="I101" s="64">
        <v>0.99521981999999987</v>
      </c>
      <c r="J101" s="64">
        <v>1.6093493766666661E-2</v>
      </c>
      <c r="K101" s="193"/>
      <c r="L101" s="263"/>
      <c r="M101" s="263"/>
      <c r="N101" s="58"/>
      <c r="O101" s="30"/>
      <c r="P101" s="58"/>
      <c r="Q101" s="30"/>
      <c r="R101" s="135"/>
      <c r="S101" s="210"/>
      <c r="T101" s="294"/>
      <c r="U101" s="29" t="s">
        <v>31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2"/>
      <c r="AL101" s="294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5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0"/>
      <c r="T102" s="295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2"/>
      <c r="AL102" s="295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93" t="s">
        <v>79</v>
      </c>
      <c r="C103" s="27" t="s">
        <v>27</v>
      </c>
      <c r="D103" s="41"/>
      <c r="E103" s="57"/>
      <c r="F103" s="99">
        <v>27.745452700000001</v>
      </c>
      <c r="G103" s="99">
        <v>32.725343366666671</v>
      </c>
      <c r="H103" s="99">
        <v>0.95579158333333336</v>
      </c>
      <c r="I103" s="62">
        <v>0.95722519699999986</v>
      </c>
      <c r="J103" s="62">
        <v>6.6050374866666664E-2</v>
      </c>
      <c r="K103" s="63"/>
      <c r="L103" s="262"/>
      <c r="M103" s="262"/>
      <c r="N103" s="57"/>
      <c r="O103" s="28"/>
      <c r="P103" s="57"/>
      <c r="Q103" s="28"/>
      <c r="R103" s="134"/>
      <c r="S103" s="210"/>
      <c r="T103" s="293" t="s">
        <v>79</v>
      </c>
      <c r="U103" s="27" t="s">
        <v>27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2"/>
      <c r="AL103" s="293" t="s">
        <v>79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4"/>
      <c r="C104" s="29" t="s">
        <v>28</v>
      </c>
      <c r="D104" s="191"/>
      <c r="E104" s="58"/>
      <c r="F104" s="192">
        <v>31.125044599999999</v>
      </c>
      <c r="G104" s="192">
        <v>35.607604899999991</v>
      </c>
      <c r="H104" s="192">
        <v>0.9750386259999998</v>
      </c>
      <c r="I104" s="64">
        <v>0.97513438600000002</v>
      </c>
      <c r="J104" s="64">
        <v>4.0082425466666682E-2</v>
      </c>
      <c r="K104" s="193"/>
      <c r="L104" s="263"/>
      <c r="M104" s="263"/>
      <c r="N104" s="58"/>
      <c r="O104" s="30"/>
      <c r="P104" s="58"/>
      <c r="Q104" s="30"/>
      <c r="R104" s="135"/>
      <c r="S104" s="210"/>
      <c r="T104" s="294"/>
      <c r="U104" s="29" t="s">
        <v>28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2"/>
      <c r="AL104" s="294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4"/>
      <c r="C105" s="29" t="s">
        <v>29</v>
      </c>
      <c r="D105" s="191"/>
      <c r="E105" s="58"/>
      <c r="F105" s="192">
        <v>35.277344000000006</v>
      </c>
      <c r="G105" s="192">
        <v>39.315712033333327</v>
      </c>
      <c r="H105" s="192">
        <v>0.98739039600000011</v>
      </c>
      <c r="I105" s="64">
        <v>0.99023805366666628</v>
      </c>
      <c r="J105" s="64">
        <v>2.3749801766666669E-2</v>
      </c>
      <c r="K105" s="193"/>
      <c r="L105" s="263"/>
      <c r="M105" s="263"/>
      <c r="N105" s="58"/>
      <c r="O105" s="30"/>
      <c r="P105" s="58"/>
      <c r="Q105" s="30"/>
      <c r="R105" s="135"/>
      <c r="S105" s="210"/>
      <c r="T105" s="294"/>
      <c r="U105" s="29" t="s">
        <v>29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2"/>
      <c r="AL105" s="294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4"/>
      <c r="C106" s="29" t="s">
        <v>31</v>
      </c>
      <c r="D106" s="191"/>
      <c r="E106" s="58"/>
      <c r="F106" s="192">
        <v>37.837370599999993</v>
      </c>
      <c r="G106" s="192">
        <v>41.796369800000008</v>
      </c>
      <c r="H106" s="192">
        <v>0.9918728400000002</v>
      </c>
      <c r="I106" s="64">
        <v>0.99502044833333325</v>
      </c>
      <c r="J106" s="64">
        <v>1.6937237883333331E-2</v>
      </c>
      <c r="K106" s="193"/>
      <c r="L106" s="263"/>
      <c r="M106" s="263"/>
      <c r="N106" s="58"/>
      <c r="O106" s="30"/>
      <c r="P106" s="58"/>
      <c r="Q106" s="30"/>
      <c r="R106" s="135"/>
      <c r="S106" s="210"/>
      <c r="T106" s="294"/>
      <c r="U106" s="29" t="s">
        <v>31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2"/>
      <c r="AL106" s="294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5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0"/>
      <c r="T107" s="295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2"/>
      <c r="AL107" s="295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93" t="s">
        <v>80</v>
      </c>
      <c r="C108" s="27" t="s">
        <v>27</v>
      </c>
      <c r="D108" s="41"/>
      <c r="E108" s="57"/>
      <c r="F108" s="99"/>
      <c r="G108" s="99"/>
      <c r="H108" s="99"/>
      <c r="I108" s="62"/>
      <c r="J108" s="62"/>
      <c r="K108" s="63"/>
      <c r="L108" s="262"/>
      <c r="M108" s="262"/>
      <c r="N108" s="57"/>
      <c r="O108" s="28"/>
      <c r="P108" s="57"/>
      <c r="Q108" s="28"/>
      <c r="R108" s="134"/>
      <c r="S108" s="210"/>
      <c r="T108" s="293" t="s">
        <v>80</v>
      </c>
      <c r="U108" s="27" t="s">
        <v>27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2"/>
      <c r="AL108" s="293" t="s">
        <v>80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4"/>
      <c r="C109" s="29" t="s">
        <v>28</v>
      </c>
      <c r="D109" s="191"/>
      <c r="E109" s="58"/>
      <c r="F109" s="192"/>
      <c r="G109" s="192"/>
      <c r="H109" s="192"/>
      <c r="I109" s="64"/>
      <c r="J109" s="64"/>
      <c r="K109" s="193"/>
      <c r="L109" s="263"/>
      <c r="M109" s="263"/>
      <c r="N109" s="58"/>
      <c r="O109" s="30"/>
      <c r="P109" s="58"/>
      <c r="Q109" s="30"/>
      <c r="R109" s="135"/>
      <c r="S109" s="210"/>
      <c r="T109" s="294"/>
      <c r="U109" s="29" t="s">
        <v>28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2"/>
      <c r="AL109" s="294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4"/>
      <c r="C110" s="29" t="s">
        <v>29</v>
      </c>
      <c r="D110" s="191"/>
      <c r="E110" s="58"/>
      <c r="F110" s="192"/>
      <c r="G110" s="192"/>
      <c r="H110" s="192"/>
      <c r="I110" s="64"/>
      <c r="J110" s="64"/>
      <c r="K110" s="193"/>
      <c r="L110" s="263"/>
      <c r="M110" s="263"/>
      <c r="N110" s="58"/>
      <c r="O110" s="30"/>
      <c r="P110" s="58"/>
      <c r="Q110" s="30"/>
      <c r="R110" s="135"/>
      <c r="S110" s="210"/>
      <c r="T110" s="294"/>
      <c r="U110" s="29" t="s">
        <v>29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2"/>
      <c r="AL110" s="294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4"/>
      <c r="C111" s="29" t="s">
        <v>31</v>
      </c>
      <c r="D111" s="191"/>
      <c r="E111" s="58"/>
      <c r="F111" s="192"/>
      <c r="G111" s="192"/>
      <c r="H111" s="192"/>
      <c r="I111" s="64"/>
      <c r="J111" s="64"/>
      <c r="K111" s="193"/>
      <c r="L111" s="263"/>
      <c r="M111" s="263"/>
      <c r="N111" s="58"/>
      <c r="O111" s="30"/>
      <c r="P111" s="58"/>
      <c r="Q111" s="30"/>
      <c r="R111" s="135"/>
      <c r="S111" s="210"/>
      <c r="T111" s="294"/>
      <c r="U111" s="29" t="s">
        <v>31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2"/>
      <c r="AL111" s="294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5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0"/>
      <c r="T112" s="295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2"/>
      <c r="AL112" s="295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93" t="s">
        <v>81</v>
      </c>
      <c r="C113" s="27" t="s">
        <v>27</v>
      </c>
      <c r="D113" s="41"/>
      <c r="E113" s="57"/>
      <c r="F113" s="99"/>
      <c r="G113" s="99"/>
      <c r="H113" s="99"/>
      <c r="I113" s="62"/>
      <c r="J113" s="62"/>
      <c r="K113" s="63"/>
      <c r="L113" s="262"/>
      <c r="M113" s="262"/>
      <c r="N113" s="57"/>
      <c r="O113" s="28"/>
      <c r="P113" s="57"/>
      <c r="Q113" s="28"/>
      <c r="R113" s="134"/>
      <c r="S113" s="210"/>
      <c r="T113" s="293" t="s">
        <v>81</v>
      </c>
      <c r="U113" s="27" t="s">
        <v>27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2"/>
      <c r="AL113" s="293" t="s">
        <v>81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4"/>
      <c r="C114" s="29" t="s">
        <v>28</v>
      </c>
      <c r="D114" s="191"/>
      <c r="E114" s="58"/>
      <c r="F114" s="192"/>
      <c r="G114" s="192"/>
      <c r="H114" s="192"/>
      <c r="I114" s="64"/>
      <c r="J114" s="64"/>
      <c r="K114" s="193"/>
      <c r="L114" s="263"/>
      <c r="M114" s="263"/>
      <c r="N114" s="58"/>
      <c r="O114" s="30"/>
      <c r="P114" s="58"/>
      <c r="Q114" s="30"/>
      <c r="R114" s="135"/>
      <c r="S114" s="210"/>
      <c r="T114" s="294"/>
      <c r="U114" s="29" t="s">
        <v>28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2"/>
      <c r="AL114" s="294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4"/>
      <c r="C115" s="29" t="s">
        <v>29</v>
      </c>
      <c r="D115" s="191"/>
      <c r="E115" s="58"/>
      <c r="F115" s="192"/>
      <c r="G115" s="192"/>
      <c r="H115" s="192"/>
      <c r="I115" s="64"/>
      <c r="J115" s="64"/>
      <c r="K115" s="193"/>
      <c r="L115" s="263"/>
      <c r="M115" s="263"/>
      <c r="N115" s="58"/>
      <c r="O115" s="30"/>
      <c r="P115" s="58"/>
      <c r="Q115" s="30"/>
      <c r="R115" s="135"/>
      <c r="S115" s="210"/>
      <c r="T115" s="294"/>
      <c r="U115" s="29" t="s">
        <v>29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2"/>
      <c r="AL115" s="294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4"/>
      <c r="C116" s="29" t="s">
        <v>31</v>
      </c>
      <c r="D116" s="191"/>
      <c r="E116" s="58"/>
      <c r="F116" s="192"/>
      <c r="G116" s="192"/>
      <c r="H116" s="192"/>
      <c r="I116" s="64"/>
      <c r="J116" s="64"/>
      <c r="K116" s="193"/>
      <c r="L116" s="263"/>
      <c r="M116" s="263"/>
      <c r="N116" s="58"/>
      <c r="O116" s="30"/>
      <c r="P116" s="58"/>
      <c r="Q116" s="30"/>
      <c r="R116" s="135"/>
      <c r="S116" s="210"/>
      <c r="T116" s="294"/>
      <c r="U116" s="29" t="s">
        <v>31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2"/>
      <c r="AL116" s="294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5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0"/>
      <c r="T117" s="295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2"/>
      <c r="AL117" s="295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93" t="s">
        <v>82</v>
      </c>
      <c r="C118" s="27" t="s">
        <v>27</v>
      </c>
      <c r="D118" s="41"/>
      <c r="E118" s="57"/>
      <c r="F118" s="99"/>
      <c r="G118" s="99"/>
      <c r="H118" s="99"/>
      <c r="I118" s="62"/>
      <c r="J118" s="62"/>
      <c r="K118" s="63"/>
      <c r="L118" s="262"/>
      <c r="M118" s="262"/>
      <c r="N118" s="57"/>
      <c r="O118" s="28"/>
      <c r="P118" s="57"/>
      <c r="Q118" s="28"/>
      <c r="R118" s="134"/>
      <c r="S118" s="210"/>
      <c r="T118" s="293" t="s">
        <v>82</v>
      </c>
      <c r="U118" s="27" t="s">
        <v>27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2"/>
      <c r="AL118" s="293" t="s">
        <v>82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4"/>
      <c r="C119" s="29" t="s">
        <v>28</v>
      </c>
      <c r="D119" s="191"/>
      <c r="E119" s="58"/>
      <c r="F119" s="192"/>
      <c r="G119" s="192"/>
      <c r="H119" s="192"/>
      <c r="I119" s="64"/>
      <c r="J119" s="64"/>
      <c r="K119" s="193"/>
      <c r="L119" s="263"/>
      <c r="M119" s="263"/>
      <c r="N119" s="58"/>
      <c r="O119" s="30"/>
      <c r="P119" s="58"/>
      <c r="Q119" s="30"/>
      <c r="R119" s="135"/>
      <c r="S119" s="210"/>
      <c r="T119" s="294"/>
      <c r="U119" s="29" t="s">
        <v>28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2"/>
      <c r="AL119" s="294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4"/>
      <c r="C120" s="29" t="s">
        <v>29</v>
      </c>
      <c r="D120" s="191"/>
      <c r="E120" s="58"/>
      <c r="F120" s="192"/>
      <c r="G120" s="192"/>
      <c r="H120" s="192"/>
      <c r="I120" s="64"/>
      <c r="J120" s="64"/>
      <c r="K120" s="193"/>
      <c r="L120" s="263"/>
      <c r="M120" s="263"/>
      <c r="N120" s="58"/>
      <c r="O120" s="30"/>
      <c r="P120" s="58"/>
      <c r="Q120" s="30"/>
      <c r="R120" s="135"/>
      <c r="S120" s="210"/>
      <c r="T120" s="294"/>
      <c r="U120" s="29" t="s">
        <v>29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2"/>
      <c r="AL120" s="294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4"/>
      <c r="C121" s="29" t="s">
        <v>31</v>
      </c>
      <c r="D121" s="191"/>
      <c r="E121" s="58"/>
      <c r="F121" s="192"/>
      <c r="G121" s="192"/>
      <c r="H121" s="192"/>
      <c r="I121" s="64"/>
      <c r="J121" s="64"/>
      <c r="K121" s="193"/>
      <c r="L121" s="263"/>
      <c r="M121" s="263"/>
      <c r="N121" s="58"/>
      <c r="O121" s="30"/>
      <c r="P121" s="58"/>
      <c r="Q121" s="30"/>
      <c r="R121" s="135"/>
      <c r="S121" s="210"/>
      <c r="T121" s="294"/>
      <c r="U121" s="29" t="s">
        <v>31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2"/>
      <c r="AL121" s="294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5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0"/>
      <c r="T122" s="295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2"/>
      <c r="AL122" s="295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93" t="s">
        <v>83</v>
      </c>
      <c r="C123" s="27" t="s">
        <v>27</v>
      </c>
      <c r="D123" s="41"/>
      <c r="E123" s="57"/>
      <c r="F123" s="99"/>
      <c r="G123" s="99"/>
      <c r="H123" s="99"/>
      <c r="I123" s="62"/>
      <c r="J123" s="62"/>
      <c r="K123" s="63"/>
      <c r="L123" s="262"/>
      <c r="M123" s="262"/>
      <c r="N123" s="57"/>
      <c r="O123" s="28"/>
      <c r="P123" s="57"/>
      <c r="Q123" s="28"/>
      <c r="R123" s="134"/>
      <c r="S123" s="210"/>
      <c r="T123" s="293" t="s">
        <v>83</v>
      </c>
      <c r="U123" s="27" t="s">
        <v>27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2"/>
      <c r="AL123" s="293" t="s">
        <v>83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4"/>
      <c r="C124" s="29" t="s">
        <v>28</v>
      </c>
      <c r="D124" s="191"/>
      <c r="E124" s="58"/>
      <c r="F124" s="192"/>
      <c r="G124" s="192"/>
      <c r="H124" s="192"/>
      <c r="I124" s="64"/>
      <c r="J124" s="64"/>
      <c r="K124" s="193"/>
      <c r="L124" s="263"/>
      <c r="M124" s="263"/>
      <c r="N124" s="58"/>
      <c r="O124" s="30"/>
      <c r="P124" s="58"/>
      <c r="Q124" s="30"/>
      <c r="R124" s="135"/>
      <c r="S124" s="210"/>
      <c r="T124" s="294"/>
      <c r="U124" s="29" t="s">
        <v>28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2"/>
      <c r="AL124" s="294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4"/>
      <c r="C125" s="29" t="s">
        <v>29</v>
      </c>
      <c r="D125" s="191"/>
      <c r="E125" s="58"/>
      <c r="F125" s="192"/>
      <c r="G125" s="192"/>
      <c r="H125" s="192"/>
      <c r="I125" s="64"/>
      <c r="J125" s="64"/>
      <c r="K125" s="193"/>
      <c r="L125" s="263"/>
      <c r="M125" s="263"/>
      <c r="N125" s="58"/>
      <c r="O125" s="30"/>
      <c r="P125" s="58"/>
      <c r="Q125" s="30"/>
      <c r="R125" s="135"/>
      <c r="S125" s="210"/>
      <c r="T125" s="294"/>
      <c r="U125" s="29" t="s">
        <v>29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2"/>
      <c r="AL125" s="294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4"/>
      <c r="C126" s="29" t="s">
        <v>31</v>
      </c>
      <c r="D126" s="191"/>
      <c r="E126" s="58"/>
      <c r="F126" s="192"/>
      <c r="G126" s="192"/>
      <c r="H126" s="192"/>
      <c r="I126" s="64"/>
      <c r="J126" s="64"/>
      <c r="K126" s="193"/>
      <c r="L126" s="263"/>
      <c r="M126" s="263"/>
      <c r="N126" s="58"/>
      <c r="O126" s="30"/>
      <c r="P126" s="58"/>
      <c r="Q126" s="30"/>
      <c r="R126" s="135"/>
      <c r="S126" s="210"/>
      <c r="T126" s="294"/>
      <c r="U126" s="29" t="s">
        <v>31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2"/>
      <c r="AL126" s="294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5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0"/>
      <c r="T127" s="295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2"/>
      <c r="AL127" s="295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93" t="s">
        <v>84</v>
      </c>
      <c r="C128" s="27" t="s">
        <v>27</v>
      </c>
      <c r="D128" s="41"/>
      <c r="E128" s="57"/>
      <c r="F128" s="99"/>
      <c r="G128" s="99"/>
      <c r="H128" s="99"/>
      <c r="I128" s="62"/>
      <c r="J128" s="62"/>
      <c r="K128" s="63"/>
      <c r="L128" s="262"/>
      <c r="M128" s="262"/>
      <c r="N128" s="57"/>
      <c r="O128" s="28"/>
      <c r="P128" s="57"/>
      <c r="Q128" s="28"/>
      <c r="R128" s="134"/>
      <c r="S128" s="210"/>
      <c r="T128" s="293" t="s">
        <v>84</v>
      </c>
      <c r="U128" s="27" t="s">
        <v>27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2"/>
      <c r="AL128" s="293" t="s">
        <v>84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4"/>
      <c r="C129" s="29" t="s">
        <v>28</v>
      </c>
      <c r="D129" s="191"/>
      <c r="E129" s="58"/>
      <c r="F129" s="192"/>
      <c r="G129" s="192"/>
      <c r="H129" s="192"/>
      <c r="I129" s="64"/>
      <c r="J129" s="64"/>
      <c r="K129" s="193"/>
      <c r="L129" s="263"/>
      <c r="M129" s="263"/>
      <c r="N129" s="58"/>
      <c r="O129" s="30"/>
      <c r="P129" s="58"/>
      <c r="Q129" s="30"/>
      <c r="R129" s="135"/>
      <c r="S129" s="210"/>
      <c r="T129" s="294"/>
      <c r="U129" s="29" t="s">
        <v>28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2"/>
      <c r="AL129" s="294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4"/>
      <c r="C130" s="29" t="s">
        <v>29</v>
      </c>
      <c r="D130" s="191"/>
      <c r="E130" s="58"/>
      <c r="F130" s="192"/>
      <c r="G130" s="192"/>
      <c r="H130" s="192"/>
      <c r="I130" s="64"/>
      <c r="J130" s="64"/>
      <c r="K130" s="193"/>
      <c r="L130" s="263"/>
      <c r="M130" s="263"/>
      <c r="N130" s="58"/>
      <c r="O130" s="30"/>
      <c r="P130" s="58"/>
      <c r="Q130" s="30"/>
      <c r="R130" s="135"/>
      <c r="S130" s="210"/>
      <c r="T130" s="294"/>
      <c r="U130" s="29" t="s">
        <v>29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2"/>
      <c r="AL130" s="294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4"/>
      <c r="C131" s="29" t="s">
        <v>31</v>
      </c>
      <c r="D131" s="191"/>
      <c r="E131" s="58"/>
      <c r="F131" s="192"/>
      <c r="G131" s="192"/>
      <c r="H131" s="192"/>
      <c r="I131" s="64"/>
      <c r="J131" s="64"/>
      <c r="K131" s="193"/>
      <c r="L131" s="263"/>
      <c r="M131" s="263"/>
      <c r="N131" s="58"/>
      <c r="O131" s="30"/>
      <c r="P131" s="58"/>
      <c r="Q131" s="30"/>
      <c r="R131" s="135"/>
      <c r="S131" s="210"/>
      <c r="T131" s="294"/>
      <c r="U131" s="29" t="s">
        <v>31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2"/>
      <c r="AL131" s="294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5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0"/>
      <c r="T132" s="295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2"/>
      <c r="AL132" s="295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93" t="s">
        <v>85</v>
      </c>
      <c r="C133" s="27" t="s">
        <v>27</v>
      </c>
      <c r="D133" s="41"/>
      <c r="E133" s="57"/>
      <c r="F133" s="99"/>
      <c r="G133" s="99"/>
      <c r="H133" s="99"/>
      <c r="I133" s="62"/>
      <c r="J133" s="62"/>
      <c r="K133" s="63"/>
      <c r="L133" s="262"/>
      <c r="M133" s="262"/>
      <c r="N133" s="57"/>
      <c r="O133" s="28"/>
      <c r="P133" s="57"/>
      <c r="Q133" s="28"/>
      <c r="R133" s="134"/>
      <c r="S133" s="210"/>
      <c r="T133" s="293" t="s">
        <v>85</v>
      </c>
      <c r="U133" s="27" t="s">
        <v>27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2"/>
      <c r="AL133" s="293" t="s">
        <v>85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4"/>
      <c r="C134" s="29" t="s">
        <v>28</v>
      </c>
      <c r="D134" s="191"/>
      <c r="E134" s="58"/>
      <c r="F134" s="192"/>
      <c r="G134" s="192"/>
      <c r="H134" s="192"/>
      <c r="I134" s="64"/>
      <c r="J134" s="64"/>
      <c r="K134" s="193"/>
      <c r="L134" s="263"/>
      <c r="M134" s="263"/>
      <c r="N134" s="58"/>
      <c r="O134" s="30"/>
      <c r="P134" s="58"/>
      <c r="Q134" s="30"/>
      <c r="R134" s="135"/>
      <c r="S134" s="210"/>
      <c r="T134" s="294"/>
      <c r="U134" s="29" t="s">
        <v>28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2"/>
      <c r="AL134" s="294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4"/>
      <c r="C135" s="29" t="s">
        <v>29</v>
      </c>
      <c r="D135" s="191"/>
      <c r="E135" s="58"/>
      <c r="F135" s="192"/>
      <c r="G135" s="192"/>
      <c r="H135" s="192"/>
      <c r="I135" s="64"/>
      <c r="J135" s="64"/>
      <c r="K135" s="193"/>
      <c r="L135" s="263"/>
      <c r="M135" s="263"/>
      <c r="N135" s="58"/>
      <c r="O135" s="30"/>
      <c r="P135" s="58"/>
      <c r="Q135" s="30"/>
      <c r="R135" s="135"/>
      <c r="S135" s="210"/>
      <c r="T135" s="294"/>
      <c r="U135" s="29" t="s">
        <v>29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2"/>
      <c r="AL135" s="294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4"/>
      <c r="C136" s="29" t="s">
        <v>31</v>
      </c>
      <c r="D136" s="191"/>
      <c r="E136" s="58"/>
      <c r="F136" s="192"/>
      <c r="G136" s="192"/>
      <c r="H136" s="192"/>
      <c r="I136" s="64"/>
      <c r="J136" s="64"/>
      <c r="K136" s="193"/>
      <c r="L136" s="263"/>
      <c r="M136" s="263"/>
      <c r="N136" s="58"/>
      <c r="O136" s="30"/>
      <c r="P136" s="58"/>
      <c r="Q136" s="30"/>
      <c r="R136" s="135"/>
      <c r="S136" s="210"/>
      <c r="T136" s="294"/>
      <c r="U136" s="29" t="s">
        <v>31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2"/>
      <c r="AL136" s="294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5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0"/>
      <c r="T137" s="295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2"/>
      <c r="AL137" s="295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93" t="s">
        <v>86</v>
      </c>
      <c r="C138" s="27" t="s">
        <v>27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0"/>
      <c r="T138" s="293" t="s">
        <v>86</v>
      </c>
      <c r="U138" s="27" t="s">
        <v>27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2"/>
      <c r="AL138" s="293" t="s">
        <v>86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4"/>
      <c r="C139" s="29" t="s">
        <v>28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0"/>
      <c r="T139" s="294"/>
      <c r="U139" s="29" t="s">
        <v>28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2"/>
      <c r="AL139" s="294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4"/>
      <c r="C140" s="29" t="s">
        <v>29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0"/>
      <c r="T140" s="294"/>
      <c r="U140" s="29" t="s">
        <v>29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2"/>
      <c r="AL140" s="294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4"/>
      <c r="C141" s="29" t="s">
        <v>31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0"/>
      <c r="T141" s="294"/>
      <c r="U141" s="29" t="s">
        <v>31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2"/>
      <c r="AL141" s="294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5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0"/>
      <c r="T142" s="295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2"/>
      <c r="AL142" s="295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93" t="s">
        <v>87</v>
      </c>
      <c r="C143" s="27" t="s">
        <v>27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0"/>
      <c r="T143" s="293" t="s">
        <v>87</v>
      </c>
      <c r="U143" s="27" t="s">
        <v>27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2"/>
      <c r="AL143" s="293" t="s">
        <v>87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4"/>
      <c r="C144" s="29" t="s">
        <v>28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0"/>
      <c r="T144" s="294"/>
      <c r="U144" s="29" t="s">
        <v>28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2"/>
      <c r="AL144" s="294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4"/>
      <c r="C145" s="29" t="s">
        <v>29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0"/>
      <c r="T145" s="294"/>
      <c r="U145" s="29" t="s">
        <v>29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2"/>
      <c r="AL145" s="294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4"/>
      <c r="C146" s="29" t="s">
        <v>31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0"/>
      <c r="T146" s="294"/>
      <c r="U146" s="29" t="s">
        <v>31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2"/>
      <c r="AL146" s="294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5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0"/>
      <c r="T147" s="295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2"/>
      <c r="AL147" s="295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93" t="s">
        <v>88</v>
      </c>
      <c r="C148" s="27" t="s">
        <v>27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0"/>
      <c r="T148" s="293" t="s">
        <v>88</v>
      </c>
      <c r="U148" s="27" t="s">
        <v>27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2"/>
      <c r="AL148" s="293" t="s">
        <v>88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4"/>
      <c r="C149" s="29" t="s">
        <v>28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0"/>
      <c r="T149" s="294"/>
      <c r="U149" s="29" t="s">
        <v>28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2"/>
      <c r="AL149" s="294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4"/>
      <c r="C150" s="29" t="s">
        <v>29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0"/>
      <c r="T150" s="294"/>
      <c r="U150" s="29" t="s">
        <v>29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2"/>
      <c r="AL150" s="294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4"/>
      <c r="C151" s="29" t="s">
        <v>31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0"/>
      <c r="T151" s="294"/>
      <c r="U151" s="29" t="s">
        <v>31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2"/>
      <c r="AL151" s="294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5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0"/>
      <c r="T152" s="295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2"/>
      <c r="AL152" s="295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93" t="s">
        <v>89</v>
      </c>
      <c r="C153" s="27" t="s">
        <v>27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0"/>
      <c r="T153" s="293" t="s">
        <v>89</v>
      </c>
      <c r="U153" s="27" t="s">
        <v>27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2"/>
      <c r="AL153" s="293" t="s">
        <v>89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4"/>
      <c r="C154" s="29" t="s">
        <v>28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0"/>
      <c r="T154" s="294"/>
      <c r="U154" s="29" t="s">
        <v>28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2"/>
      <c r="AL154" s="294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4"/>
      <c r="C155" s="29" t="s">
        <v>29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0"/>
      <c r="T155" s="294"/>
      <c r="U155" s="29" t="s">
        <v>29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2"/>
      <c r="AL155" s="294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4"/>
      <c r="C156" s="29" t="s">
        <v>31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0"/>
      <c r="T156" s="294"/>
      <c r="U156" s="29" t="s">
        <v>31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2"/>
      <c r="AL156" s="294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5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0"/>
      <c r="T157" s="295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2"/>
      <c r="AL157" s="295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93" t="s">
        <v>90</v>
      </c>
      <c r="C158" s="27" t="s">
        <v>27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0"/>
      <c r="T158" s="293" t="s">
        <v>90</v>
      </c>
      <c r="U158" s="27" t="s">
        <v>27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2"/>
      <c r="AL158" s="293" t="s">
        <v>90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4"/>
      <c r="C159" s="29" t="s">
        <v>28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0"/>
      <c r="T159" s="294"/>
      <c r="U159" s="29" t="s">
        <v>28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2"/>
      <c r="AL159" s="294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4"/>
      <c r="C160" s="29" t="s">
        <v>29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0"/>
      <c r="T160" s="294"/>
      <c r="U160" s="29" t="s">
        <v>29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2"/>
      <c r="AL160" s="294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4"/>
      <c r="C161" s="29" t="s">
        <v>31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0"/>
      <c r="T161" s="294"/>
      <c r="U161" s="29" t="s">
        <v>31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2"/>
      <c r="AL161" s="294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5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0"/>
      <c r="T162" s="295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2"/>
      <c r="AL162" s="295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93" t="s">
        <v>91</v>
      </c>
      <c r="C163" s="27" t="s">
        <v>27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0"/>
      <c r="T163" s="293" t="s">
        <v>91</v>
      </c>
      <c r="U163" s="27" t="s">
        <v>27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2"/>
      <c r="AL163" s="293" t="s">
        <v>91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4"/>
      <c r="C164" s="29" t="s">
        <v>28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0"/>
      <c r="T164" s="294"/>
      <c r="U164" s="29" t="s">
        <v>28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2"/>
      <c r="AL164" s="294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4"/>
      <c r="C165" s="29" t="s">
        <v>29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0"/>
      <c r="T165" s="294"/>
      <c r="U165" s="29" t="s">
        <v>29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2"/>
      <c r="AL165" s="294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4"/>
      <c r="C166" s="29" t="s">
        <v>31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0"/>
      <c r="T166" s="294"/>
      <c r="U166" s="29" t="s">
        <v>31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2"/>
      <c r="AL166" s="294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5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0"/>
      <c r="T167" s="295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2"/>
      <c r="AL167" s="295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93" t="s">
        <v>92</v>
      </c>
      <c r="C168" s="27" t="s">
        <v>27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0"/>
      <c r="T168" s="293" t="s">
        <v>92</v>
      </c>
      <c r="U168" s="27" t="s">
        <v>27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2"/>
      <c r="AL168" s="293" t="s">
        <v>92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4"/>
      <c r="C169" s="29" t="s">
        <v>28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0"/>
      <c r="T169" s="294"/>
      <c r="U169" s="29" t="s">
        <v>28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2"/>
      <c r="AL169" s="294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4"/>
      <c r="C170" s="29" t="s">
        <v>29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0"/>
      <c r="T170" s="294"/>
      <c r="U170" s="29" t="s">
        <v>29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2"/>
      <c r="AL170" s="294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4"/>
      <c r="C171" s="29" t="s">
        <v>31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0"/>
      <c r="T171" s="294"/>
      <c r="U171" s="29" t="s">
        <v>31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2"/>
      <c r="AL171" s="294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5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0"/>
      <c r="T172" s="295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2"/>
      <c r="AL172" s="295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93" t="s">
        <v>93</v>
      </c>
      <c r="C173" s="27" t="s">
        <v>27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0"/>
      <c r="T173" s="293" t="s">
        <v>93</v>
      </c>
      <c r="U173" s="27" t="s">
        <v>27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2"/>
      <c r="AL173" s="293" t="s">
        <v>93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4"/>
      <c r="C174" s="29" t="s">
        <v>28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0"/>
      <c r="T174" s="294"/>
      <c r="U174" s="29" t="s">
        <v>28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2"/>
      <c r="AL174" s="294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4"/>
      <c r="C175" s="29" t="s">
        <v>29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0"/>
      <c r="T175" s="294"/>
      <c r="U175" s="29" t="s">
        <v>29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2"/>
      <c r="AL175" s="294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4"/>
      <c r="C176" s="29" t="s">
        <v>31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0"/>
      <c r="T176" s="294"/>
      <c r="U176" s="29" t="s">
        <v>31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2"/>
      <c r="AL176" s="294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5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0"/>
      <c r="T177" s="295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2"/>
      <c r="AL177" s="295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93" t="s">
        <v>94</v>
      </c>
      <c r="C178" s="27" t="s">
        <v>27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0"/>
      <c r="T178" s="293" t="s">
        <v>94</v>
      </c>
      <c r="U178" s="27" t="s">
        <v>27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2"/>
      <c r="AL178" s="293" t="s">
        <v>94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4"/>
      <c r="C179" s="29" t="s">
        <v>28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0"/>
      <c r="T179" s="294"/>
      <c r="U179" s="29" t="s">
        <v>28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2"/>
      <c r="AL179" s="294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4"/>
      <c r="C180" s="29" t="s">
        <v>29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0"/>
      <c r="T180" s="294"/>
      <c r="U180" s="29" t="s">
        <v>29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2"/>
      <c r="AL180" s="294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4"/>
      <c r="C181" s="29" t="s">
        <v>31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0"/>
      <c r="T181" s="294"/>
      <c r="U181" s="29" t="s">
        <v>31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2"/>
      <c r="AL181" s="294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5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0"/>
      <c r="T182" s="295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2"/>
      <c r="AL182" s="295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93" t="s">
        <v>95</v>
      </c>
      <c r="C183" s="27" t="s">
        <v>27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0"/>
      <c r="T183" s="293" t="s">
        <v>95</v>
      </c>
      <c r="U183" s="27" t="s">
        <v>27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2"/>
      <c r="AL183" s="293" t="s">
        <v>95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4"/>
      <c r="C184" s="29" t="s">
        <v>28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0"/>
      <c r="T184" s="294"/>
      <c r="U184" s="29" t="s">
        <v>28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2"/>
      <c r="AL184" s="294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4"/>
      <c r="C185" s="29" t="s">
        <v>29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0"/>
      <c r="T185" s="294"/>
      <c r="U185" s="29" t="s">
        <v>29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2"/>
      <c r="AL185" s="294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4"/>
      <c r="C186" s="29" t="s">
        <v>31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0"/>
      <c r="T186" s="294"/>
      <c r="U186" s="29" t="s">
        <v>31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2"/>
      <c r="AL186" s="294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5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0"/>
      <c r="T187" s="295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2"/>
      <c r="AL187" s="295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93" t="s">
        <v>96</v>
      </c>
      <c r="C188" s="27" t="s">
        <v>27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0"/>
      <c r="T188" s="293" t="s">
        <v>96</v>
      </c>
      <c r="U188" s="27" t="s">
        <v>27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2"/>
      <c r="AL188" s="293" t="s">
        <v>96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4"/>
      <c r="C189" s="29" t="s">
        <v>28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0"/>
      <c r="T189" s="294"/>
      <c r="U189" s="29" t="s">
        <v>28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2"/>
      <c r="AL189" s="294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4"/>
      <c r="C190" s="29" t="s">
        <v>29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0"/>
      <c r="T190" s="294"/>
      <c r="U190" s="29" t="s">
        <v>29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2"/>
      <c r="AL190" s="294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4"/>
      <c r="C191" s="29" t="s">
        <v>31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0"/>
      <c r="T191" s="294"/>
      <c r="U191" s="29" t="s">
        <v>31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2"/>
      <c r="AL191" s="294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5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0"/>
      <c r="T192" s="295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2"/>
      <c r="AL192" s="295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93" t="s">
        <v>97</v>
      </c>
      <c r="C193" s="27" t="s">
        <v>27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0"/>
      <c r="T193" s="293" t="s">
        <v>97</v>
      </c>
      <c r="U193" s="27" t="s">
        <v>27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2"/>
      <c r="AL193" s="293" t="s">
        <v>97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4"/>
      <c r="C194" s="29" t="s">
        <v>28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0"/>
      <c r="T194" s="294"/>
      <c r="U194" s="29" t="s">
        <v>28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2"/>
      <c r="AL194" s="294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4"/>
      <c r="C195" s="29" t="s">
        <v>29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0"/>
      <c r="T195" s="294"/>
      <c r="U195" s="29" t="s">
        <v>29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2"/>
      <c r="AL195" s="294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4"/>
      <c r="C196" s="29" t="s">
        <v>31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0"/>
      <c r="T196" s="294"/>
      <c r="U196" s="29" t="s">
        <v>31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2"/>
      <c r="AL196" s="294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5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0"/>
      <c r="T197" s="295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2"/>
      <c r="AL197" s="295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93" t="s">
        <v>98</v>
      </c>
      <c r="C198" s="27" t="s">
        <v>27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0"/>
      <c r="T198" s="293" t="s">
        <v>98</v>
      </c>
      <c r="U198" s="27" t="s">
        <v>27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2"/>
      <c r="AL198" s="293" t="s">
        <v>98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4"/>
      <c r="C199" s="29" t="s">
        <v>28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0"/>
      <c r="T199" s="294"/>
      <c r="U199" s="29" t="s">
        <v>28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2"/>
      <c r="AL199" s="294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4"/>
      <c r="C200" s="29" t="s">
        <v>29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0"/>
      <c r="T200" s="294"/>
      <c r="U200" s="29" t="s">
        <v>29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2"/>
      <c r="AL200" s="294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4"/>
      <c r="C201" s="29" t="s">
        <v>31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0"/>
      <c r="T201" s="294"/>
      <c r="U201" s="29" t="s">
        <v>31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2"/>
      <c r="AL201" s="294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5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0"/>
      <c r="T202" s="295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2"/>
      <c r="AL202" s="295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93" t="s">
        <v>99</v>
      </c>
      <c r="C203" s="27" t="s">
        <v>27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0"/>
      <c r="T203" s="293" t="s">
        <v>99</v>
      </c>
      <c r="U203" s="27" t="s">
        <v>27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2"/>
      <c r="AL203" s="293" t="s">
        <v>99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4"/>
      <c r="C204" s="29" t="s">
        <v>28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0"/>
      <c r="T204" s="294"/>
      <c r="U204" s="29" t="s">
        <v>28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2"/>
      <c r="AL204" s="294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4"/>
      <c r="C205" s="29" t="s">
        <v>29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0"/>
      <c r="T205" s="294"/>
      <c r="U205" s="29" t="s">
        <v>29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2"/>
      <c r="AL205" s="294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4"/>
      <c r="C206" s="29" t="s">
        <v>31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0"/>
      <c r="T206" s="294"/>
      <c r="U206" s="29" t="s">
        <v>31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2"/>
      <c r="AL206" s="294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5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0"/>
      <c r="T207" s="295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2"/>
      <c r="AL207" s="295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93" t="s">
        <v>100</v>
      </c>
      <c r="C208" s="27" t="s">
        <v>27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0"/>
      <c r="T208" s="293" t="s">
        <v>100</v>
      </c>
      <c r="U208" s="27" t="s">
        <v>27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2"/>
      <c r="AL208" s="293" t="s">
        <v>100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4"/>
      <c r="C209" s="29" t="s">
        <v>28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0"/>
      <c r="T209" s="294"/>
      <c r="U209" s="29" t="s">
        <v>28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2"/>
      <c r="AL209" s="294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4"/>
      <c r="C210" s="29" t="s">
        <v>29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0"/>
      <c r="T210" s="294"/>
      <c r="U210" s="29" t="s">
        <v>29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2"/>
      <c r="AL210" s="294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4"/>
      <c r="C211" s="29" t="s">
        <v>31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0"/>
      <c r="T211" s="294"/>
      <c r="U211" s="29" t="s">
        <v>31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2"/>
      <c r="AL211" s="294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5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0"/>
      <c r="T212" s="295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2"/>
      <c r="AL212" s="295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93" t="s">
        <v>101</v>
      </c>
      <c r="C213" s="27" t="s">
        <v>27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0"/>
      <c r="T213" s="293" t="s">
        <v>101</v>
      </c>
      <c r="U213" s="27" t="s">
        <v>27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2"/>
      <c r="AL213" s="293" t="s">
        <v>101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4"/>
      <c r="C214" s="29" t="s">
        <v>28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0"/>
      <c r="T214" s="294"/>
      <c r="U214" s="29" t="s">
        <v>28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2"/>
      <c r="AL214" s="294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4"/>
      <c r="C215" s="29" t="s">
        <v>29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0"/>
      <c r="T215" s="294"/>
      <c r="U215" s="29" t="s">
        <v>29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2"/>
      <c r="AL215" s="294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4"/>
      <c r="C216" s="29" t="s">
        <v>31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0"/>
      <c r="T216" s="294"/>
      <c r="U216" s="29" t="s">
        <v>31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2"/>
      <c r="AL216" s="294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5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0"/>
      <c r="T217" s="295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2"/>
      <c r="AL217" s="295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93" t="s">
        <v>102</v>
      </c>
      <c r="C218" s="27" t="s">
        <v>27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0"/>
      <c r="T218" s="293" t="s">
        <v>102</v>
      </c>
      <c r="U218" s="27" t="s">
        <v>27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2"/>
      <c r="AL218" s="293" t="s">
        <v>102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4"/>
      <c r="C219" s="29" t="s">
        <v>28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0"/>
      <c r="T219" s="294"/>
      <c r="U219" s="29" t="s">
        <v>28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2"/>
      <c r="AL219" s="294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4"/>
      <c r="C220" s="29" t="s">
        <v>29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0"/>
      <c r="T220" s="294"/>
      <c r="U220" s="29" t="s">
        <v>29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2"/>
      <c r="AL220" s="294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4"/>
      <c r="C221" s="29" t="s">
        <v>31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0"/>
      <c r="T221" s="294"/>
      <c r="U221" s="29" t="s">
        <v>31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2"/>
      <c r="AL221" s="294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5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0"/>
      <c r="T222" s="295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2"/>
      <c r="AL222" s="295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93" t="s">
        <v>103</v>
      </c>
      <c r="C223" s="27" t="s">
        <v>27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0"/>
      <c r="T223" s="293" t="s">
        <v>103</v>
      </c>
      <c r="U223" s="27" t="s">
        <v>27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2"/>
      <c r="AL223" s="293" t="s">
        <v>103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4"/>
      <c r="C224" s="29" t="s">
        <v>28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0"/>
      <c r="T224" s="294"/>
      <c r="U224" s="29" t="s">
        <v>28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2"/>
      <c r="AL224" s="294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4"/>
      <c r="C225" s="29" t="s">
        <v>29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0"/>
      <c r="T225" s="294"/>
      <c r="U225" s="29" t="s">
        <v>29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2"/>
      <c r="AL225" s="294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4"/>
      <c r="C226" s="29" t="s">
        <v>31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0"/>
      <c r="T226" s="294"/>
      <c r="U226" s="29" t="s">
        <v>31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2"/>
      <c r="AL226" s="294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5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0"/>
      <c r="T227" s="295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2"/>
      <c r="AL227" s="295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93" t="s">
        <v>104</v>
      </c>
      <c r="C228" s="27" t="s">
        <v>27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0"/>
      <c r="T228" s="293" t="s">
        <v>104</v>
      </c>
      <c r="U228" s="27" t="s">
        <v>27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2"/>
      <c r="AL228" s="293" t="s">
        <v>104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4"/>
      <c r="C229" s="29" t="s">
        <v>28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0"/>
      <c r="T229" s="294"/>
      <c r="U229" s="29" t="s">
        <v>28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2"/>
      <c r="AL229" s="294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4"/>
      <c r="C230" s="29" t="s">
        <v>29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0"/>
      <c r="T230" s="294"/>
      <c r="U230" s="29" t="s">
        <v>29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2"/>
      <c r="AL230" s="294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4"/>
      <c r="C231" s="29" t="s">
        <v>31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0"/>
      <c r="T231" s="294"/>
      <c r="U231" s="29" t="s">
        <v>31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2"/>
      <c r="AL231" s="294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5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0"/>
      <c r="T232" s="295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2"/>
      <c r="AL232" s="295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93" t="s">
        <v>105</v>
      </c>
      <c r="C233" s="27" t="s">
        <v>27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0"/>
      <c r="T233" s="293" t="s">
        <v>105</v>
      </c>
      <c r="U233" s="27" t="s">
        <v>27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2"/>
      <c r="AL233" s="293" t="s">
        <v>105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4"/>
      <c r="C234" s="29" t="s">
        <v>28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0"/>
      <c r="T234" s="294"/>
      <c r="U234" s="29" t="s">
        <v>28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2"/>
      <c r="AL234" s="294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4"/>
      <c r="C235" s="29" t="s">
        <v>29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0"/>
      <c r="T235" s="294"/>
      <c r="U235" s="29" t="s">
        <v>29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2"/>
      <c r="AL235" s="294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4"/>
      <c r="C236" s="29" t="s">
        <v>31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0"/>
      <c r="T236" s="294"/>
      <c r="U236" s="29" t="s">
        <v>31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2"/>
      <c r="AL236" s="294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5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0"/>
      <c r="T237" s="295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2"/>
      <c r="AL237" s="295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93" t="s">
        <v>106</v>
      </c>
      <c r="C238" s="27" t="s">
        <v>27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0"/>
      <c r="T238" s="293" t="s">
        <v>106</v>
      </c>
      <c r="U238" s="27" t="s">
        <v>27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2"/>
      <c r="AL238" s="293" t="s">
        <v>106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4"/>
      <c r="C239" s="29" t="s">
        <v>28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0"/>
      <c r="T239" s="294"/>
      <c r="U239" s="29" t="s">
        <v>28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2"/>
      <c r="AL239" s="294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4"/>
      <c r="C240" s="29" t="s">
        <v>29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0"/>
      <c r="T240" s="294"/>
      <c r="U240" s="29" t="s">
        <v>29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2"/>
      <c r="AL240" s="294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4"/>
      <c r="C241" s="29" t="s">
        <v>31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0"/>
      <c r="T241" s="294"/>
      <c r="U241" s="29" t="s">
        <v>31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2"/>
      <c r="AL241" s="294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5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0"/>
      <c r="T242" s="295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2"/>
      <c r="AL242" s="295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93" t="s">
        <v>107</v>
      </c>
      <c r="C243" s="27" t="s">
        <v>27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0"/>
      <c r="T243" s="293" t="s">
        <v>107</v>
      </c>
      <c r="U243" s="27" t="s">
        <v>27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2"/>
      <c r="AL243" s="293" t="s">
        <v>107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4"/>
      <c r="C244" s="29" t="s">
        <v>28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0"/>
      <c r="T244" s="294"/>
      <c r="U244" s="29" t="s">
        <v>28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2"/>
      <c r="AL244" s="294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4"/>
      <c r="C245" s="29" t="s">
        <v>29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0"/>
      <c r="T245" s="294"/>
      <c r="U245" s="29" t="s">
        <v>29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2"/>
      <c r="AL245" s="294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4"/>
      <c r="C246" s="29" t="s">
        <v>31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0"/>
      <c r="T246" s="294"/>
      <c r="U246" s="29" t="s">
        <v>31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2"/>
      <c r="AL246" s="294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5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0"/>
      <c r="T247" s="295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2"/>
      <c r="AL247" s="295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93" t="s">
        <v>108</v>
      </c>
      <c r="C248" s="27" t="s">
        <v>27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0"/>
      <c r="T248" s="293" t="s">
        <v>108</v>
      </c>
      <c r="U248" s="27" t="s">
        <v>27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2"/>
      <c r="AL248" s="293" t="s">
        <v>108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4"/>
      <c r="C249" s="29" t="s">
        <v>28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0"/>
      <c r="T249" s="294"/>
      <c r="U249" s="29" t="s">
        <v>28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2"/>
      <c r="AL249" s="294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4"/>
      <c r="C250" s="29" t="s">
        <v>29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0"/>
      <c r="T250" s="294"/>
      <c r="U250" s="29" t="s">
        <v>29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2"/>
      <c r="AL250" s="294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4"/>
      <c r="C251" s="29" t="s">
        <v>31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0"/>
      <c r="T251" s="294"/>
      <c r="U251" s="29" t="s">
        <v>31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2"/>
      <c r="AL251" s="294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5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0"/>
      <c r="T252" s="295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2"/>
      <c r="AL252" s="295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93" t="s">
        <v>109</v>
      </c>
      <c r="C253" s="27" t="s">
        <v>27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0"/>
      <c r="T253" s="293" t="s">
        <v>109</v>
      </c>
      <c r="U253" s="27" t="s">
        <v>27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2"/>
      <c r="AL253" s="293" t="s">
        <v>109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4"/>
      <c r="C254" s="29" t="s">
        <v>28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0"/>
      <c r="T254" s="294"/>
      <c r="U254" s="29" t="s">
        <v>28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2"/>
      <c r="AL254" s="294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4"/>
      <c r="C255" s="29" t="s">
        <v>29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0"/>
      <c r="T255" s="294"/>
      <c r="U255" s="29" t="s">
        <v>29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2"/>
      <c r="AL255" s="294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4"/>
      <c r="C256" s="29" t="s">
        <v>31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0"/>
      <c r="T256" s="294"/>
      <c r="U256" s="29" t="s">
        <v>31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2"/>
      <c r="AL256" s="294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5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0"/>
      <c r="T257" s="295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2"/>
      <c r="AL257" s="295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93" t="s">
        <v>110</v>
      </c>
      <c r="C258" s="27" t="s">
        <v>27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0"/>
      <c r="T258" s="293" t="s">
        <v>110</v>
      </c>
      <c r="U258" s="27" t="s">
        <v>27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2"/>
      <c r="AL258" s="293" t="s">
        <v>110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4"/>
      <c r="C259" s="29" t="s">
        <v>28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0"/>
      <c r="T259" s="294"/>
      <c r="U259" s="29" t="s">
        <v>28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2"/>
      <c r="AL259" s="294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4"/>
      <c r="C260" s="29" t="s">
        <v>29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0"/>
      <c r="T260" s="294"/>
      <c r="U260" s="29" t="s">
        <v>29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2"/>
      <c r="AL260" s="294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4"/>
      <c r="C261" s="29" t="s">
        <v>31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0"/>
      <c r="T261" s="294"/>
      <c r="U261" s="29" t="s">
        <v>31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2"/>
      <c r="AL261" s="294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5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0"/>
      <c r="T262" s="295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2"/>
      <c r="AL262" s="295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93" t="s">
        <v>111</v>
      </c>
      <c r="C263" s="27" t="s">
        <v>27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0"/>
      <c r="T263" s="293" t="s">
        <v>111</v>
      </c>
      <c r="U263" s="27" t="s">
        <v>27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2"/>
      <c r="AL263" s="293" t="s">
        <v>111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4"/>
      <c r="C264" s="29" t="s">
        <v>28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0"/>
      <c r="T264" s="294"/>
      <c r="U264" s="29" t="s">
        <v>28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2"/>
      <c r="AL264" s="294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4"/>
      <c r="C265" s="29" t="s">
        <v>29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0"/>
      <c r="T265" s="294"/>
      <c r="U265" s="29" t="s">
        <v>29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2"/>
      <c r="AL265" s="294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4"/>
      <c r="C266" s="29" t="s">
        <v>31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0"/>
      <c r="T266" s="294"/>
      <c r="U266" s="29" t="s">
        <v>31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2"/>
      <c r="AL266" s="294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5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0"/>
      <c r="T267" s="295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2"/>
      <c r="AL267" s="295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93" t="s">
        <v>112</v>
      </c>
      <c r="C268" s="27" t="s">
        <v>27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0"/>
      <c r="T268" s="293" t="s">
        <v>112</v>
      </c>
      <c r="U268" s="27" t="s">
        <v>27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2"/>
      <c r="AL268" s="293" t="s">
        <v>112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4"/>
      <c r="C269" s="29" t="s">
        <v>28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0"/>
      <c r="T269" s="294"/>
      <c r="U269" s="29" t="s">
        <v>28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2"/>
      <c r="AL269" s="294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4"/>
      <c r="C270" s="29" t="s">
        <v>29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0"/>
      <c r="T270" s="294"/>
      <c r="U270" s="29" t="s">
        <v>29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2"/>
      <c r="AL270" s="294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4"/>
      <c r="C271" s="29" t="s">
        <v>31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0"/>
      <c r="T271" s="294"/>
      <c r="U271" s="29" t="s">
        <v>31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2"/>
      <c r="AL271" s="294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5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0"/>
      <c r="T272" s="295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2"/>
      <c r="AL272" s="295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93" t="s">
        <v>113</v>
      </c>
      <c r="C273" s="27" t="s">
        <v>27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0"/>
      <c r="T273" s="293" t="s">
        <v>113</v>
      </c>
      <c r="U273" s="27" t="s">
        <v>27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2"/>
      <c r="AL273" s="293" t="s">
        <v>113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4"/>
      <c r="C274" s="29" t="s">
        <v>28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0"/>
      <c r="T274" s="294"/>
      <c r="U274" s="29" t="s">
        <v>28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2"/>
      <c r="AL274" s="294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4"/>
      <c r="C275" s="29" t="s">
        <v>29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0"/>
      <c r="T275" s="294"/>
      <c r="U275" s="29" t="s">
        <v>29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2"/>
      <c r="AL275" s="294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4"/>
      <c r="C276" s="29" t="s">
        <v>31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0"/>
      <c r="T276" s="294"/>
      <c r="U276" s="29" t="s">
        <v>31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2"/>
      <c r="AL276" s="294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5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0"/>
      <c r="T277" s="295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2"/>
      <c r="AL277" s="295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93" t="s">
        <v>114</v>
      </c>
      <c r="C278" s="27" t="s">
        <v>27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0"/>
      <c r="T278" s="293" t="s">
        <v>114</v>
      </c>
      <c r="U278" s="27" t="s">
        <v>27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2"/>
      <c r="AL278" s="293" t="s">
        <v>114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4"/>
      <c r="C279" s="29" t="s">
        <v>28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0"/>
      <c r="T279" s="294"/>
      <c r="U279" s="29" t="s">
        <v>28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2"/>
      <c r="AL279" s="294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4"/>
      <c r="C280" s="29" t="s">
        <v>29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0"/>
      <c r="T280" s="294"/>
      <c r="U280" s="29" t="s">
        <v>29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2"/>
      <c r="AL280" s="294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4"/>
      <c r="C281" s="29" t="s">
        <v>31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0"/>
      <c r="T281" s="294"/>
      <c r="U281" s="29" t="s">
        <v>31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2"/>
      <c r="AL281" s="294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5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0"/>
      <c r="T282" s="295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2"/>
      <c r="AL282" s="295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93" t="s">
        <v>115</v>
      </c>
      <c r="C283" s="27" t="s">
        <v>27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0"/>
      <c r="T283" s="293" t="s">
        <v>115</v>
      </c>
      <c r="U283" s="27" t="s">
        <v>27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2"/>
      <c r="AL283" s="293" t="s">
        <v>115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4"/>
      <c r="C284" s="29" t="s">
        <v>28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0"/>
      <c r="T284" s="294"/>
      <c r="U284" s="29" t="s">
        <v>28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2"/>
      <c r="AL284" s="294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4"/>
      <c r="C285" s="29" t="s">
        <v>29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0"/>
      <c r="T285" s="294"/>
      <c r="U285" s="29" t="s">
        <v>29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2"/>
      <c r="AL285" s="294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4"/>
      <c r="C286" s="29" t="s">
        <v>31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0"/>
      <c r="T286" s="294"/>
      <c r="U286" s="29" t="s">
        <v>31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2"/>
      <c r="AL286" s="294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5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0"/>
      <c r="T287" s="295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2"/>
      <c r="AL287" s="295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93" t="s">
        <v>116</v>
      </c>
      <c r="C288" s="27" t="s">
        <v>27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0"/>
      <c r="T288" s="293" t="s">
        <v>116</v>
      </c>
      <c r="U288" s="27" t="s">
        <v>27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2"/>
      <c r="AL288" s="293" t="s">
        <v>116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4"/>
      <c r="C289" s="29" t="s">
        <v>28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0"/>
      <c r="T289" s="294"/>
      <c r="U289" s="29" t="s">
        <v>28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2"/>
      <c r="AL289" s="294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4"/>
      <c r="C290" s="29" t="s">
        <v>29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0"/>
      <c r="T290" s="294"/>
      <c r="U290" s="29" t="s">
        <v>29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2"/>
      <c r="AL290" s="294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4"/>
      <c r="C291" s="29" t="s">
        <v>31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0"/>
      <c r="T291" s="294"/>
      <c r="U291" s="29" t="s">
        <v>31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2"/>
      <c r="AL291" s="294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5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0"/>
      <c r="T292" s="295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2"/>
      <c r="AL292" s="295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93" t="s">
        <v>117</v>
      </c>
      <c r="C293" s="27" t="s">
        <v>27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0"/>
      <c r="T293" s="293" t="s">
        <v>117</v>
      </c>
      <c r="U293" s="27" t="s">
        <v>27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2"/>
      <c r="AL293" s="293" t="s">
        <v>117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4"/>
      <c r="C294" s="29" t="s">
        <v>28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0"/>
      <c r="T294" s="294"/>
      <c r="U294" s="29" t="s">
        <v>28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2"/>
      <c r="AL294" s="294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4"/>
      <c r="C295" s="29" t="s">
        <v>29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0"/>
      <c r="T295" s="294"/>
      <c r="U295" s="29" t="s">
        <v>29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2"/>
      <c r="AL295" s="294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4"/>
      <c r="C296" s="29" t="s">
        <v>31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0"/>
      <c r="T296" s="294"/>
      <c r="U296" s="29" t="s">
        <v>31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2"/>
      <c r="AL296" s="294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5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0"/>
      <c r="T297" s="295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2"/>
      <c r="AL297" s="295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93" t="s">
        <v>118</v>
      </c>
      <c r="C298" s="27" t="s">
        <v>27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0"/>
      <c r="T298" s="293" t="s">
        <v>118</v>
      </c>
      <c r="U298" s="27" t="s">
        <v>27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2"/>
      <c r="AL298" s="293" t="s">
        <v>118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4"/>
      <c r="C299" s="29" t="s">
        <v>28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0"/>
      <c r="T299" s="294"/>
      <c r="U299" s="29" t="s">
        <v>28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2"/>
      <c r="AL299" s="294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4"/>
      <c r="C300" s="29" t="s">
        <v>29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0"/>
      <c r="T300" s="294"/>
      <c r="U300" s="29" t="s">
        <v>29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2"/>
      <c r="AL300" s="294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4"/>
      <c r="C301" s="29" t="s">
        <v>31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0"/>
      <c r="T301" s="294"/>
      <c r="U301" s="29" t="s">
        <v>31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2"/>
      <c r="AL301" s="294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5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0"/>
      <c r="T302" s="295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2"/>
      <c r="AL302" s="295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93" t="s">
        <v>119</v>
      </c>
      <c r="C303" s="27" t="s">
        <v>27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0"/>
      <c r="T303" s="293" t="s">
        <v>119</v>
      </c>
      <c r="U303" s="27" t="s">
        <v>27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2"/>
      <c r="AL303" s="293" t="s">
        <v>119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4"/>
      <c r="C304" s="29" t="s">
        <v>28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0"/>
      <c r="T304" s="294"/>
      <c r="U304" s="29" t="s">
        <v>28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2"/>
      <c r="AL304" s="294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4"/>
      <c r="C305" s="29" t="s">
        <v>29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0"/>
      <c r="T305" s="294"/>
      <c r="U305" s="29" t="s">
        <v>29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2"/>
      <c r="AL305" s="294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4"/>
      <c r="C306" s="29" t="s">
        <v>31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0"/>
      <c r="T306" s="294"/>
      <c r="U306" s="29" t="s">
        <v>31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2"/>
      <c r="AL306" s="294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5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0"/>
      <c r="T307" s="295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2"/>
      <c r="AL307" s="295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93" t="s">
        <v>120</v>
      </c>
      <c r="C308" s="27" t="s">
        <v>27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0"/>
      <c r="T308" s="293" t="s">
        <v>120</v>
      </c>
      <c r="U308" s="27" t="s">
        <v>27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2"/>
      <c r="AL308" s="293" t="s">
        <v>120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4"/>
      <c r="C309" s="29" t="s">
        <v>28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0"/>
      <c r="T309" s="294"/>
      <c r="U309" s="29" t="s">
        <v>28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2"/>
      <c r="AL309" s="294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4"/>
      <c r="C310" s="29" t="s">
        <v>29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0"/>
      <c r="T310" s="294"/>
      <c r="U310" s="29" t="s">
        <v>29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2"/>
      <c r="AL310" s="294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4"/>
      <c r="C311" s="29" t="s">
        <v>31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0"/>
      <c r="T311" s="294"/>
      <c r="U311" s="29" t="s">
        <v>31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2"/>
      <c r="AL311" s="294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5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0"/>
      <c r="T312" s="295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2"/>
      <c r="AL312" s="295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93" t="s">
        <v>121</v>
      </c>
      <c r="C313" s="27" t="s">
        <v>27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0"/>
      <c r="T313" s="293" t="s">
        <v>121</v>
      </c>
      <c r="U313" s="27" t="s">
        <v>27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2"/>
      <c r="AL313" s="293" t="s">
        <v>121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4"/>
      <c r="C314" s="29" t="s">
        <v>28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0"/>
      <c r="T314" s="294"/>
      <c r="U314" s="29" t="s">
        <v>28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2"/>
      <c r="AL314" s="294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4"/>
      <c r="C315" s="29" t="s">
        <v>29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0"/>
      <c r="T315" s="294"/>
      <c r="U315" s="29" t="s">
        <v>29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2"/>
      <c r="AL315" s="294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4"/>
      <c r="C316" s="29" t="s">
        <v>31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0"/>
      <c r="T316" s="294"/>
      <c r="U316" s="29" t="s">
        <v>31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2"/>
      <c r="AL316" s="294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5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0"/>
      <c r="T317" s="295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2"/>
      <c r="AL317" s="295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93" t="s">
        <v>122</v>
      </c>
      <c r="C318" s="27" t="s">
        <v>27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0"/>
      <c r="T318" s="293" t="s">
        <v>122</v>
      </c>
      <c r="U318" s="27" t="s">
        <v>27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2"/>
      <c r="AL318" s="293" t="s">
        <v>122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4"/>
      <c r="C319" s="29" t="s">
        <v>28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0"/>
      <c r="T319" s="294"/>
      <c r="U319" s="29" t="s">
        <v>28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2"/>
      <c r="AL319" s="294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4"/>
      <c r="C320" s="29" t="s">
        <v>29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0"/>
      <c r="T320" s="294"/>
      <c r="U320" s="29" t="s">
        <v>29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2"/>
      <c r="AL320" s="294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4"/>
      <c r="C321" s="29" t="s">
        <v>31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0"/>
      <c r="T321" s="294"/>
      <c r="U321" s="29" t="s">
        <v>31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2"/>
      <c r="AL321" s="294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5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0"/>
      <c r="T322" s="295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2"/>
      <c r="AL322" s="295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93" t="s">
        <v>123</v>
      </c>
      <c r="C323" s="27" t="s">
        <v>27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0"/>
      <c r="T323" s="293" t="s">
        <v>123</v>
      </c>
      <c r="U323" s="27" t="s">
        <v>27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2"/>
      <c r="AL323" s="293" t="s">
        <v>123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4"/>
      <c r="C324" s="29" t="s">
        <v>28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0"/>
      <c r="T324" s="294"/>
      <c r="U324" s="29" t="s">
        <v>28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2"/>
      <c r="AL324" s="294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4"/>
      <c r="C325" s="29" t="s">
        <v>29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0"/>
      <c r="T325" s="294"/>
      <c r="U325" s="29" t="s">
        <v>29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2"/>
      <c r="AL325" s="294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4"/>
      <c r="C326" s="29" t="s">
        <v>31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0"/>
      <c r="T326" s="294"/>
      <c r="U326" s="29" t="s">
        <v>31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2"/>
      <c r="AL326" s="294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5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0"/>
      <c r="T327" s="295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2"/>
      <c r="AL327" s="295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93" t="s">
        <v>124</v>
      </c>
      <c r="C328" s="27" t="s">
        <v>27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0"/>
      <c r="T328" s="293" t="s">
        <v>124</v>
      </c>
      <c r="U328" s="27" t="s">
        <v>27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2"/>
      <c r="AL328" s="293" t="s">
        <v>124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4"/>
      <c r="C329" s="29" t="s">
        <v>28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0"/>
      <c r="T329" s="294"/>
      <c r="U329" s="29" t="s">
        <v>28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2"/>
      <c r="AL329" s="294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4"/>
      <c r="C330" s="29" t="s">
        <v>29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0"/>
      <c r="T330" s="294"/>
      <c r="U330" s="29" t="s">
        <v>29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2"/>
      <c r="AL330" s="294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4"/>
      <c r="C331" s="29" t="s">
        <v>31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0"/>
      <c r="T331" s="294"/>
      <c r="U331" s="29" t="s">
        <v>31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2"/>
      <c r="AL331" s="294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5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0"/>
      <c r="T332" s="295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2"/>
      <c r="AL332" s="295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93" t="s">
        <v>125</v>
      </c>
      <c r="C333" s="27" t="s">
        <v>27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0"/>
      <c r="T333" s="293" t="s">
        <v>125</v>
      </c>
      <c r="U333" s="27" t="s">
        <v>27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2"/>
      <c r="AL333" s="293" t="s">
        <v>125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4"/>
      <c r="C334" s="29" t="s">
        <v>28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0"/>
      <c r="T334" s="294"/>
      <c r="U334" s="29" t="s">
        <v>28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2"/>
      <c r="AL334" s="294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4"/>
      <c r="C335" s="29" t="s">
        <v>29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0"/>
      <c r="T335" s="294"/>
      <c r="U335" s="29" t="s">
        <v>29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2"/>
      <c r="AL335" s="294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4"/>
      <c r="C336" s="29" t="s">
        <v>31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0"/>
      <c r="T336" s="294"/>
      <c r="U336" s="29" t="s">
        <v>31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2"/>
      <c r="AL336" s="294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5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0"/>
      <c r="T337" s="295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2"/>
      <c r="AL337" s="295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93" t="s">
        <v>126</v>
      </c>
      <c r="C338" s="27" t="s">
        <v>27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0"/>
      <c r="T338" s="293" t="s">
        <v>126</v>
      </c>
      <c r="U338" s="27" t="s">
        <v>27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2"/>
      <c r="AL338" s="293" t="s">
        <v>126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4"/>
      <c r="C339" s="29" t="s">
        <v>28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0"/>
      <c r="T339" s="294"/>
      <c r="U339" s="29" t="s">
        <v>28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2"/>
      <c r="AL339" s="294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4"/>
      <c r="C340" s="29" t="s">
        <v>29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0"/>
      <c r="T340" s="294"/>
      <c r="U340" s="29" t="s">
        <v>29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2"/>
      <c r="AL340" s="294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4"/>
      <c r="C341" s="29" t="s">
        <v>31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0"/>
      <c r="T341" s="294"/>
      <c r="U341" s="29" t="s">
        <v>31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2"/>
      <c r="AL341" s="294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5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0"/>
      <c r="T342" s="295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2"/>
      <c r="AL342" s="295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93" t="s">
        <v>127</v>
      </c>
      <c r="C343" s="27" t="s">
        <v>27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0"/>
      <c r="T343" s="293" t="s">
        <v>127</v>
      </c>
      <c r="U343" s="27" t="s">
        <v>27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2"/>
      <c r="AL343" s="293" t="s">
        <v>127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4"/>
      <c r="C344" s="29" t="s">
        <v>28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0"/>
      <c r="T344" s="294"/>
      <c r="U344" s="29" t="s">
        <v>28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2"/>
      <c r="AL344" s="294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4"/>
      <c r="C345" s="29" t="s">
        <v>29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0"/>
      <c r="T345" s="294"/>
      <c r="U345" s="29" t="s">
        <v>29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2"/>
      <c r="AL345" s="294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4"/>
      <c r="C346" s="29" t="s">
        <v>31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0"/>
      <c r="T346" s="294"/>
      <c r="U346" s="29" t="s">
        <v>31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2"/>
      <c r="AL346" s="294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5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0"/>
      <c r="T347" s="295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2"/>
      <c r="AL347" s="295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93" t="s">
        <v>128</v>
      </c>
      <c r="C348" s="27" t="s">
        <v>27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0"/>
      <c r="T348" s="293" t="s">
        <v>128</v>
      </c>
      <c r="U348" s="27" t="s">
        <v>27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2"/>
      <c r="AL348" s="293" t="s">
        <v>128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4"/>
      <c r="C349" s="29" t="s">
        <v>28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0"/>
      <c r="T349" s="294"/>
      <c r="U349" s="29" t="s">
        <v>28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2"/>
      <c r="AL349" s="294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4"/>
      <c r="C350" s="29" t="s">
        <v>29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0"/>
      <c r="T350" s="294"/>
      <c r="U350" s="29" t="s">
        <v>29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2"/>
      <c r="AL350" s="294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4"/>
      <c r="C351" s="29" t="s">
        <v>31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0"/>
      <c r="T351" s="294"/>
      <c r="U351" s="29" t="s">
        <v>31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2"/>
      <c r="AL351" s="294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5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0"/>
      <c r="T352" s="295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2"/>
      <c r="AL352" s="295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93" t="s">
        <v>129</v>
      </c>
      <c r="C353" s="27" t="s">
        <v>27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0"/>
      <c r="T353" s="293" t="s">
        <v>129</v>
      </c>
      <c r="U353" s="27" t="s">
        <v>27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2"/>
      <c r="AL353" s="293" t="s">
        <v>129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4"/>
      <c r="C354" s="29" t="s">
        <v>28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0"/>
      <c r="T354" s="294"/>
      <c r="U354" s="29" t="s">
        <v>28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2"/>
      <c r="AL354" s="294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4"/>
      <c r="C355" s="29" t="s">
        <v>29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0"/>
      <c r="T355" s="294"/>
      <c r="U355" s="29" t="s">
        <v>29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2"/>
      <c r="AL355" s="294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4"/>
      <c r="C356" s="29" t="s">
        <v>31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0"/>
      <c r="T356" s="294"/>
      <c r="U356" s="29" t="s">
        <v>31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2"/>
      <c r="AL356" s="294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5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0"/>
      <c r="T357" s="295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2"/>
      <c r="AL357" s="295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93" t="s">
        <v>130</v>
      </c>
      <c r="C358" s="27" t="s">
        <v>27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0"/>
      <c r="T358" s="293" t="s">
        <v>130</v>
      </c>
      <c r="U358" s="27" t="s">
        <v>27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2"/>
      <c r="AL358" s="293" t="s">
        <v>130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4"/>
      <c r="C359" s="29" t="s">
        <v>28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0"/>
      <c r="T359" s="294"/>
      <c r="U359" s="29" t="s">
        <v>28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2"/>
      <c r="AL359" s="294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4"/>
      <c r="C360" s="29" t="s">
        <v>29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0"/>
      <c r="T360" s="294"/>
      <c r="U360" s="29" t="s">
        <v>29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2"/>
      <c r="AL360" s="294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4"/>
      <c r="C361" s="29" t="s">
        <v>31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0"/>
      <c r="T361" s="294"/>
      <c r="U361" s="29" t="s">
        <v>31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2"/>
      <c r="AL361" s="294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5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0"/>
      <c r="T362" s="295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2"/>
      <c r="AL362" s="295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93" t="s">
        <v>131</v>
      </c>
      <c r="C363" s="27" t="s">
        <v>27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0"/>
      <c r="T363" s="293" t="s">
        <v>131</v>
      </c>
      <c r="U363" s="27" t="s">
        <v>27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2"/>
      <c r="AL363" s="293" t="s">
        <v>131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4"/>
      <c r="C364" s="29" t="s">
        <v>28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0"/>
      <c r="T364" s="294"/>
      <c r="U364" s="29" t="s">
        <v>28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2"/>
      <c r="AL364" s="294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4"/>
      <c r="C365" s="29" t="s">
        <v>29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0"/>
      <c r="T365" s="294"/>
      <c r="U365" s="29" t="s">
        <v>29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2"/>
      <c r="AL365" s="294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4"/>
      <c r="C366" s="29" t="s">
        <v>31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0"/>
      <c r="T366" s="294"/>
      <c r="U366" s="29" t="s">
        <v>31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2"/>
      <c r="AL366" s="294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5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0"/>
      <c r="T367" s="295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2"/>
      <c r="AL367" s="295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93" t="s">
        <v>132</v>
      </c>
      <c r="C368" s="27" t="s">
        <v>27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0"/>
      <c r="T368" s="293" t="s">
        <v>132</v>
      </c>
      <c r="U368" s="27" t="s">
        <v>27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2"/>
      <c r="AL368" s="293" t="s">
        <v>132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4"/>
      <c r="C369" s="29" t="s">
        <v>28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0"/>
      <c r="T369" s="294"/>
      <c r="U369" s="29" t="s">
        <v>28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2"/>
      <c r="AL369" s="294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4"/>
      <c r="C370" s="29" t="s">
        <v>29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0"/>
      <c r="T370" s="294"/>
      <c r="U370" s="29" t="s">
        <v>29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2"/>
      <c r="AL370" s="294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4"/>
      <c r="C371" s="29" t="s">
        <v>31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0"/>
      <c r="T371" s="294"/>
      <c r="U371" s="29" t="s">
        <v>31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2"/>
      <c r="AL371" s="294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5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0"/>
      <c r="T372" s="295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2"/>
      <c r="AL372" s="295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93" t="s">
        <v>133</v>
      </c>
      <c r="C373" s="27" t="s">
        <v>27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0"/>
      <c r="T373" s="293" t="s">
        <v>133</v>
      </c>
      <c r="U373" s="27" t="s">
        <v>27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2"/>
      <c r="AL373" s="293" t="s">
        <v>133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4"/>
      <c r="C374" s="29" t="s">
        <v>28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0"/>
      <c r="T374" s="294"/>
      <c r="U374" s="29" t="s">
        <v>28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2"/>
      <c r="AL374" s="294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4"/>
      <c r="C375" s="29" t="s">
        <v>29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0"/>
      <c r="T375" s="294"/>
      <c r="U375" s="29" t="s">
        <v>29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2"/>
      <c r="AL375" s="294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4"/>
      <c r="C376" s="29" t="s">
        <v>31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0"/>
      <c r="T376" s="294"/>
      <c r="U376" s="29" t="s">
        <v>31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2"/>
      <c r="AL376" s="294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5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0"/>
      <c r="T377" s="295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2"/>
      <c r="AL377" s="295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93" t="s">
        <v>134</v>
      </c>
      <c r="C378" s="27" t="s">
        <v>27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0"/>
      <c r="T378" s="293" t="s">
        <v>134</v>
      </c>
      <c r="U378" s="27" t="s">
        <v>27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2"/>
      <c r="AL378" s="293" t="s">
        <v>134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4"/>
      <c r="C379" s="29" t="s">
        <v>28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0"/>
      <c r="T379" s="294"/>
      <c r="U379" s="29" t="s">
        <v>28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2"/>
      <c r="AL379" s="294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4"/>
      <c r="C380" s="29" t="s">
        <v>29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0"/>
      <c r="T380" s="294"/>
      <c r="U380" s="29" t="s">
        <v>29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2"/>
      <c r="AL380" s="294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4"/>
      <c r="C381" s="29" t="s">
        <v>31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0"/>
      <c r="T381" s="294"/>
      <c r="U381" s="29" t="s">
        <v>31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2"/>
      <c r="AL381" s="294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5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0"/>
      <c r="T382" s="295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2"/>
      <c r="AL382" s="295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93" t="s">
        <v>135</v>
      </c>
      <c r="C383" s="27" t="s">
        <v>27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0"/>
      <c r="T383" s="293" t="s">
        <v>135</v>
      </c>
      <c r="U383" s="27" t="s">
        <v>27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2"/>
      <c r="AL383" s="293" t="s">
        <v>135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4"/>
      <c r="C384" s="29" t="s">
        <v>28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0"/>
      <c r="T384" s="294"/>
      <c r="U384" s="29" t="s">
        <v>28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2"/>
      <c r="AL384" s="294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4"/>
      <c r="C385" s="29" t="s">
        <v>29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0"/>
      <c r="T385" s="294"/>
      <c r="U385" s="29" t="s">
        <v>29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2"/>
      <c r="AL385" s="294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4"/>
      <c r="C386" s="29" t="s">
        <v>31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0"/>
      <c r="T386" s="294"/>
      <c r="U386" s="29" t="s">
        <v>31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2"/>
      <c r="AL386" s="294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5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0"/>
      <c r="T387" s="295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2"/>
      <c r="AL387" s="295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93" t="s">
        <v>136</v>
      </c>
      <c r="C388" s="27" t="s">
        <v>27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0"/>
      <c r="T388" s="293" t="s">
        <v>136</v>
      </c>
      <c r="U388" s="27" t="s">
        <v>27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2"/>
      <c r="AL388" s="293" t="s">
        <v>136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4"/>
      <c r="C389" s="29" t="s">
        <v>28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0"/>
      <c r="T389" s="294"/>
      <c r="U389" s="29" t="s">
        <v>28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2"/>
      <c r="AL389" s="294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4"/>
      <c r="C390" s="29" t="s">
        <v>29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0"/>
      <c r="T390" s="294"/>
      <c r="U390" s="29" t="s">
        <v>29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2"/>
      <c r="AL390" s="294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4"/>
      <c r="C391" s="29" t="s">
        <v>31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0"/>
      <c r="T391" s="294"/>
      <c r="U391" s="29" t="s">
        <v>31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2"/>
      <c r="AL391" s="294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5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0"/>
      <c r="T392" s="295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2"/>
      <c r="AL392" s="295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93" t="s">
        <v>137</v>
      </c>
      <c r="C393" s="27" t="s">
        <v>27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0"/>
      <c r="T393" s="293" t="s">
        <v>137</v>
      </c>
      <c r="U393" s="27" t="s">
        <v>27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2"/>
      <c r="AL393" s="293" t="s">
        <v>137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4"/>
      <c r="C394" s="29" t="s">
        <v>28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0"/>
      <c r="T394" s="294"/>
      <c r="U394" s="29" t="s">
        <v>28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2"/>
      <c r="AL394" s="294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4"/>
      <c r="C395" s="29" t="s">
        <v>29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0"/>
      <c r="T395" s="294"/>
      <c r="U395" s="29" t="s">
        <v>29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2"/>
      <c r="AL395" s="294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4"/>
      <c r="C396" s="29" t="s">
        <v>31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0"/>
      <c r="T396" s="294"/>
      <c r="U396" s="29" t="s">
        <v>31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2"/>
      <c r="AL396" s="294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5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0"/>
      <c r="T397" s="295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2"/>
      <c r="AL397" s="295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93" t="s">
        <v>138</v>
      </c>
      <c r="C398" s="27" t="s">
        <v>27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0"/>
      <c r="T398" s="293" t="s">
        <v>138</v>
      </c>
      <c r="U398" s="27" t="s">
        <v>27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2"/>
      <c r="AL398" s="293" t="s">
        <v>138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4"/>
      <c r="C399" s="29" t="s">
        <v>28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0"/>
      <c r="T399" s="294"/>
      <c r="U399" s="29" t="s">
        <v>28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2"/>
      <c r="AL399" s="294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4"/>
      <c r="C400" s="29" t="s">
        <v>29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0"/>
      <c r="T400" s="294"/>
      <c r="U400" s="29" t="s">
        <v>29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2"/>
      <c r="AL400" s="294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4"/>
      <c r="C401" s="29" t="s">
        <v>31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0"/>
      <c r="T401" s="294"/>
      <c r="U401" s="29" t="s">
        <v>31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2"/>
      <c r="AL401" s="294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5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0"/>
      <c r="T402" s="295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2"/>
      <c r="AL402" s="295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93" t="s">
        <v>139</v>
      </c>
      <c r="C403" s="27" t="s">
        <v>27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0"/>
      <c r="T403" s="293" t="s">
        <v>139</v>
      </c>
      <c r="U403" s="27" t="s">
        <v>27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2"/>
      <c r="AL403" s="293" t="s">
        <v>139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4"/>
      <c r="C404" s="29" t="s">
        <v>28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0"/>
      <c r="T404" s="294"/>
      <c r="U404" s="29" t="s">
        <v>28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2"/>
      <c r="AL404" s="294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4"/>
      <c r="C405" s="29" t="s">
        <v>29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0"/>
      <c r="T405" s="294"/>
      <c r="U405" s="29" t="s">
        <v>29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2"/>
      <c r="AL405" s="294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4"/>
      <c r="C406" s="29" t="s">
        <v>31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0"/>
      <c r="T406" s="294"/>
      <c r="U406" s="29" t="s">
        <v>31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2"/>
      <c r="AL406" s="294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5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0"/>
      <c r="T407" s="295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2"/>
      <c r="AL407" s="295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93" t="s">
        <v>140</v>
      </c>
      <c r="C408" s="27" t="s">
        <v>27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0"/>
      <c r="T408" s="293" t="s">
        <v>140</v>
      </c>
      <c r="U408" s="27" t="s">
        <v>27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2"/>
      <c r="AL408" s="293" t="s">
        <v>140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4"/>
      <c r="C409" s="29" t="s">
        <v>28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0"/>
      <c r="T409" s="294"/>
      <c r="U409" s="29" t="s">
        <v>28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2"/>
      <c r="AL409" s="294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4"/>
      <c r="C410" s="29" t="s">
        <v>29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0"/>
      <c r="T410" s="294"/>
      <c r="U410" s="29" t="s">
        <v>29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2"/>
      <c r="AL410" s="294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4"/>
      <c r="C411" s="29" t="s">
        <v>31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0"/>
      <c r="T411" s="294"/>
      <c r="U411" s="29" t="s">
        <v>31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2"/>
      <c r="AL411" s="294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5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0"/>
      <c r="T412" s="295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2"/>
      <c r="AL412" s="295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93" t="s">
        <v>141</v>
      </c>
      <c r="C413" s="27" t="s">
        <v>27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0"/>
      <c r="T413" s="293" t="s">
        <v>141</v>
      </c>
      <c r="U413" s="27" t="s">
        <v>27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2"/>
      <c r="AL413" s="293" t="s">
        <v>141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4"/>
      <c r="C414" s="29" t="s">
        <v>28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0"/>
      <c r="T414" s="294"/>
      <c r="U414" s="29" t="s">
        <v>28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2"/>
      <c r="AL414" s="294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4"/>
      <c r="C415" s="29" t="s">
        <v>29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0"/>
      <c r="T415" s="294"/>
      <c r="U415" s="29" t="s">
        <v>29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2"/>
      <c r="AL415" s="294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4"/>
      <c r="C416" s="29" t="s">
        <v>31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0"/>
      <c r="T416" s="294"/>
      <c r="U416" s="29" t="s">
        <v>31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2"/>
      <c r="AL416" s="294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5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0"/>
      <c r="T417" s="295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2"/>
      <c r="AL417" s="295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93" t="s">
        <v>142</v>
      </c>
      <c r="C418" s="27" t="s">
        <v>27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0"/>
      <c r="T418" s="293" t="s">
        <v>142</v>
      </c>
      <c r="U418" s="27" t="s">
        <v>27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2"/>
      <c r="AL418" s="293" t="s">
        <v>142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4"/>
      <c r="C419" s="29" t="s">
        <v>28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0"/>
      <c r="T419" s="294"/>
      <c r="U419" s="29" t="s">
        <v>28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2"/>
      <c r="AL419" s="294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4"/>
      <c r="C420" s="29" t="s">
        <v>29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0"/>
      <c r="T420" s="294"/>
      <c r="U420" s="29" t="s">
        <v>29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2"/>
      <c r="AL420" s="294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4"/>
      <c r="C421" s="29" t="s">
        <v>31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0"/>
      <c r="T421" s="294"/>
      <c r="U421" s="29" t="s">
        <v>31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2"/>
      <c r="AL421" s="294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5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0"/>
      <c r="T422" s="295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2"/>
      <c r="AL422" s="295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93" t="s">
        <v>143</v>
      </c>
      <c r="C423" s="27" t="s">
        <v>27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0"/>
      <c r="T423" s="293" t="s">
        <v>143</v>
      </c>
      <c r="U423" s="27" t="s">
        <v>27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2"/>
      <c r="AL423" s="293" t="s">
        <v>143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4"/>
      <c r="C424" s="29" t="s">
        <v>28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0"/>
      <c r="T424" s="294"/>
      <c r="U424" s="29" t="s">
        <v>28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2"/>
      <c r="AL424" s="294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4"/>
      <c r="C425" s="29" t="s">
        <v>29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0"/>
      <c r="T425" s="294"/>
      <c r="U425" s="29" t="s">
        <v>29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2"/>
      <c r="AL425" s="294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4"/>
      <c r="C426" s="29" t="s">
        <v>31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0"/>
      <c r="T426" s="294"/>
      <c r="U426" s="29" t="s">
        <v>31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2"/>
      <c r="AL426" s="294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5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0"/>
      <c r="T427" s="295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2"/>
      <c r="AL427" s="295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93" t="s">
        <v>144</v>
      </c>
      <c r="C428" s="27" t="s">
        <v>27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0"/>
      <c r="T428" s="293" t="s">
        <v>144</v>
      </c>
      <c r="U428" s="27" t="s">
        <v>27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2"/>
      <c r="AL428" s="293" t="s">
        <v>144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4"/>
      <c r="C429" s="29" t="s">
        <v>28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0"/>
      <c r="T429" s="294"/>
      <c r="U429" s="29" t="s">
        <v>28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2"/>
      <c r="AL429" s="294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4"/>
      <c r="C430" s="29" t="s">
        <v>29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0"/>
      <c r="T430" s="294"/>
      <c r="U430" s="29" t="s">
        <v>29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2"/>
      <c r="AL430" s="294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4"/>
      <c r="C431" s="29" t="s">
        <v>31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0"/>
      <c r="T431" s="294"/>
      <c r="U431" s="29" t="s">
        <v>31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2"/>
      <c r="AL431" s="294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5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0"/>
      <c r="T432" s="295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2"/>
      <c r="AL432" s="295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93" t="s">
        <v>145</v>
      </c>
      <c r="C433" s="27" t="s">
        <v>27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0"/>
      <c r="T433" s="293" t="s">
        <v>145</v>
      </c>
      <c r="U433" s="27" t="s">
        <v>27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2"/>
      <c r="AL433" s="293" t="s">
        <v>145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4"/>
      <c r="C434" s="29" t="s">
        <v>28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0"/>
      <c r="T434" s="294"/>
      <c r="U434" s="29" t="s">
        <v>28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2"/>
      <c r="AL434" s="294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4"/>
      <c r="C435" s="29" t="s">
        <v>29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0"/>
      <c r="T435" s="294"/>
      <c r="U435" s="29" t="s">
        <v>29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2"/>
      <c r="AL435" s="294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4"/>
      <c r="C436" s="29" t="s">
        <v>31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0"/>
      <c r="T436" s="294"/>
      <c r="U436" s="29" t="s">
        <v>31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2"/>
      <c r="AL436" s="294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5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0"/>
      <c r="T437" s="295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2"/>
      <c r="AL437" s="295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93" t="s">
        <v>146</v>
      </c>
      <c r="C438" s="27" t="s">
        <v>27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0"/>
      <c r="T438" s="293" t="s">
        <v>146</v>
      </c>
      <c r="U438" s="27" t="s">
        <v>27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2"/>
      <c r="AL438" s="293" t="s">
        <v>146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4"/>
      <c r="C439" s="29" t="s">
        <v>28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0"/>
      <c r="T439" s="294"/>
      <c r="U439" s="29" t="s">
        <v>28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2"/>
      <c r="AL439" s="294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4"/>
      <c r="C440" s="29" t="s">
        <v>29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0"/>
      <c r="T440" s="294"/>
      <c r="U440" s="29" t="s">
        <v>29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2"/>
      <c r="AL440" s="294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4"/>
      <c r="C441" s="29" t="s">
        <v>31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0"/>
      <c r="T441" s="294"/>
      <c r="U441" s="29" t="s">
        <v>31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2"/>
      <c r="AL441" s="294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5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0"/>
      <c r="T442" s="295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2"/>
      <c r="AL442" s="295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93" t="s">
        <v>147</v>
      </c>
      <c r="C443" s="27" t="s">
        <v>27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0"/>
      <c r="T443" s="293" t="s">
        <v>147</v>
      </c>
      <c r="U443" s="27" t="s">
        <v>27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2"/>
      <c r="AL443" s="293" t="s">
        <v>147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4"/>
      <c r="C444" s="29" t="s">
        <v>28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0"/>
      <c r="T444" s="294"/>
      <c r="U444" s="29" t="s">
        <v>28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2"/>
      <c r="AL444" s="294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4"/>
      <c r="C445" s="29" t="s">
        <v>29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0"/>
      <c r="T445" s="294"/>
      <c r="U445" s="29" t="s">
        <v>29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2"/>
      <c r="AL445" s="294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4"/>
      <c r="C446" s="29" t="s">
        <v>31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0"/>
      <c r="T446" s="294"/>
      <c r="U446" s="29" t="s">
        <v>31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2"/>
      <c r="AL446" s="294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5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0"/>
      <c r="T447" s="295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2"/>
      <c r="AL447" s="295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93" t="s">
        <v>148</v>
      </c>
      <c r="C448" s="27" t="s">
        <v>27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0"/>
      <c r="T448" s="293" t="s">
        <v>148</v>
      </c>
      <c r="U448" s="27" t="s">
        <v>27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2"/>
      <c r="AL448" s="293" t="s">
        <v>148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4"/>
      <c r="C449" s="29" t="s">
        <v>28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0"/>
      <c r="T449" s="294"/>
      <c r="U449" s="29" t="s">
        <v>28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2"/>
      <c r="AL449" s="294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4"/>
      <c r="C450" s="29" t="s">
        <v>29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0"/>
      <c r="T450" s="294"/>
      <c r="U450" s="29" t="s">
        <v>29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2"/>
      <c r="AL450" s="294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4"/>
      <c r="C451" s="29" t="s">
        <v>31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0"/>
      <c r="T451" s="294"/>
      <c r="U451" s="29" t="s">
        <v>31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2"/>
      <c r="AL451" s="294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5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0"/>
      <c r="T452" s="295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2"/>
      <c r="AL452" s="295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93" t="s">
        <v>149</v>
      </c>
      <c r="C453" s="27" t="s">
        <v>27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0"/>
      <c r="T453" s="293" t="s">
        <v>149</v>
      </c>
      <c r="U453" s="27" t="s">
        <v>27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2"/>
      <c r="AL453" s="293" t="s">
        <v>149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4"/>
      <c r="C454" s="29" t="s">
        <v>28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0"/>
      <c r="T454" s="294"/>
      <c r="U454" s="29" t="s">
        <v>28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2"/>
      <c r="AL454" s="294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4"/>
      <c r="C455" s="29" t="s">
        <v>29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0"/>
      <c r="T455" s="294"/>
      <c r="U455" s="29" t="s">
        <v>29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2"/>
      <c r="AL455" s="294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4"/>
      <c r="C456" s="29" t="s">
        <v>31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0"/>
      <c r="T456" s="294"/>
      <c r="U456" s="29" t="s">
        <v>31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2"/>
      <c r="AL456" s="294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5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0"/>
      <c r="T457" s="295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2"/>
      <c r="AL457" s="295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93" t="s">
        <v>150</v>
      </c>
      <c r="C458" s="27" t="s">
        <v>27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0"/>
      <c r="T458" s="293" t="s">
        <v>150</v>
      </c>
      <c r="U458" s="27" t="s">
        <v>27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2"/>
      <c r="AL458" s="293" t="s">
        <v>150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4"/>
      <c r="C459" s="29" t="s">
        <v>28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0"/>
      <c r="T459" s="294"/>
      <c r="U459" s="29" t="s">
        <v>28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2"/>
      <c r="AL459" s="294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4"/>
      <c r="C460" s="29" t="s">
        <v>29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0"/>
      <c r="T460" s="294"/>
      <c r="U460" s="29" t="s">
        <v>29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2"/>
      <c r="AL460" s="294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4"/>
      <c r="C461" s="29" t="s">
        <v>31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0"/>
      <c r="T461" s="294"/>
      <c r="U461" s="29" t="s">
        <v>31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2"/>
      <c r="AL461" s="294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5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0"/>
      <c r="T462" s="295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2"/>
      <c r="AL462" s="295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93" t="s">
        <v>151</v>
      </c>
      <c r="C463" s="27" t="s">
        <v>27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0"/>
      <c r="T463" s="293" t="s">
        <v>151</v>
      </c>
      <c r="U463" s="27" t="s">
        <v>27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2"/>
      <c r="AL463" s="293" t="s">
        <v>151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4"/>
      <c r="C464" s="29" t="s">
        <v>28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0"/>
      <c r="T464" s="294"/>
      <c r="U464" s="29" t="s">
        <v>28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2"/>
      <c r="AL464" s="294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4"/>
      <c r="C465" s="29" t="s">
        <v>29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0"/>
      <c r="T465" s="294"/>
      <c r="U465" s="29" t="s">
        <v>29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2"/>
      <c r="AL465" s="294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4"/>
      <c r="C466" s="29" t="s">
        <v>31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0"/>
      <c r="T466" s="294"/>
      <c r="U466" s="29" t="s">
        <v>31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2"/>
      <c r="AL466" s="294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5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0"/>
      <c r="T467" s="295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2"/>
      <c r="AL467" s="295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93" t="s">
        <v>152</v>
      </c>
      <c r="C468" s="27" t="s">
        <v>27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0"/>
      <c r="T468" s="293" t="s">
        <v>152</v>
      </c>
      <c r="U468" s="27" t="s">
        <v>27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2"/>
      <c r="AL468" s="293" t="s">
        <v>152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4"/>
      <c r="C469" s="29" t="s">
        <v>28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0"/>
      <c r="T469" s="294"/>
      <c r="U469" s="29" t="s">
        <v>28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2"/>
      <c r="AL469" s="294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4"/>
      <c r="C470" s="29" t="s">
        <v>29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0"/>
      <c r="T470" s="294"/>
      <c r="U470" s="29" t="s">
        <v>29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2"/>
      <c r="AL470" s="294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4"/>
      <c r="C471" s="29" t="s">
        <v>31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0"/>
      <c r="T471" s="294"/>
      <c r="U471" s="29" t="s">
        <v>31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2"/>
      <c r="AL471" s="294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5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0"/>
      <c r="T472" s="295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2"/>
      <c r="AL472" s="295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93" t="s">
        <v>153</v>
      </c>
      <c r="C473" s="27" t="s">
        <v>27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0"/>
      <c r="T473" s="293" t="s">
        <v>153</v>
      </c>
      <c r="U473" s="27" t="s">
        <v>27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2"/>
      <c r="AL473" s="293" t="s">
        <v>153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4"/>
      <c r="C474" s="29" t="s">
        <v>28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0"/>
      <c r="T474" s="294"/>
      <c r="U474" s="29" t="s">
        <v>28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2"/>
      <c r="AL474" s="294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4"/>
      <c r="C475" s="29" t="s">
        <v>29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0"/>
      <c r="T475" s="294"/>
      <c r="U475" s="29" t="s">
        <v>29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2"/>
      <c r="AL475" s="294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4"/>
      <c r="C476" s="29" t="s">
        <v>31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0"/>
      <c r="T476" s="294"/>
      <c r="U476" s="29" t="s">
        <v>31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2"/>
      <c r="AL476" s="294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5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0"/>
      <c r="T477" s="295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2"/>
      <c r="AL477" s="295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93" t="s">
        <v>154</v>
      </c>
      <c r="C478" s="27" t="s">
        <v>27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0"/>
      <c r="T478" s="293" t="s">
        <v>154</v>
      </c>
      <c r="U478" s="27" t="s">
        <v>27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2"/>
      <c r="AL478" s="293" t="s">
        <v>154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4"/>
      <c r="C479" s="29" t="s">
        <v>28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0"/>
      <c r="T479" s="294"/>
      <c r="U479" s="29" t="s">
        <v>28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2"/>
      <c r="AL479" s="294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4"/>
      <c r="C480" s="29" t="s">
        <v>29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0"/>
      <c r="T480" s="294"/>
      <c r="U480" s="29" t="s">
        <v>29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2"/>
      <c r="AL480" s="294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4"/>
      <c r="C481" s="29" t="s">
        <v>31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0"/>
      <c r="T481" s="294"/>
      <c r="U481" s="29" t="s">
        <v>31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2"/>
      <c r="AL481" s="294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5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0"/>
      <c r="T482" s="295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2"/>
      <c r="AL482" s="295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93" t="s">
        <v>155</v>
      </c>
      <c r="C483" s="27" t="s">
        <v>27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0"/>
      <c r="T483" s="293" t="s">
        <v>155</v>
      </c>
      <c r="U483" s="27" t="s">
        <v>27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2"/>
      <c r="AL483" s="293" t="s">
        <v>155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4"/>
      <c r="C484" s="29" t="s">
        <v>28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0"/>
      <c r="T484" s="294"/>
      <c r="U484" s="29" t="s">
        <v>28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2"/>
      <c r="AL484" s="294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4"/>
      <c r="C485" s="29" t="s">
        <v>29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0"/>
      <c r="T485" s="294"/>
      <c r="U485" s="29" t="s">
        <v>29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2"/>
      <c r="AL485" s="294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4"/>
      <c r="C486" s="29" t="s">
        <v>31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0"/>
      <c r="T486" s="294"/>
      <c r="U486" s="29" t="s">
        <v>31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2"/>
      <c r="AL486" s="294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5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0"/>
      <c r="T487" s="295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2"/>
      <c r="AL487" s="295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93" t="s">
        <v>156</v>
      </c>
      <c r="C488" s="27" t="s">
        <v>27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0"/>
      <c r="T488" s="293" t="s">
        <v>156</v>
      </c>
      <c r="U488" s="27" t="s">
        <v>27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2"/>
      <c r="AL488" s="293" t="s">
        <v>156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4"/>
      <c r="C489" s="29" t="s">
        <v>28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0"/>
      <c r="T489" s="294"/>
      <c r="U489" s="29" t="s">
        <v>28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2"/>
      <c r="AL489" s="294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4"/>
      <c r="C490" s="29" t="s">
        <v>29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0"/>
      <c r="T490" s="294"/>
      <c r="U490" s="29" t="s">
        <v>29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2"/>
      <c r="AL490" s="294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4"/>
      <c r="C491" s="29" t="s">
        <v>31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0"/>
      <c r="T491" s="294"/>
      <c r="U491" s="29" t="s">
        <v>31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2"/>
      <c r="AL491" s="294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5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0"/>
      <c r="T492" s="295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2"/>
      <c r="AL492" s="295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93" t="s">
        <v>157</v>
      </c>
      <c r="C493" s="27" t="s">
        <v>27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0"/>
      <c r="T493" s="293" t="s">
        <v>157</v>
      </c>
      <c r="U493" s="27" t="s">
        <v>27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2"/>
      <c r="AL493" s="293" t="s">
        <v>157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4"/>
      <c r="C494" s="29" t="s">
        <v>28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0"/>
      <c r="T494" s="294"/>
      <c r="U494" s="29" t="s">
        <v>28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2"/>
      <c r="AL494" s="294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4"/>
      <c r="C495" s="29" t="s">
        <v>29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0"/>
      <c r="T495" s="294"/>
      <c r="U495" s="29" t="s">
        <v>29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2"/>
      <c r="AL495" s="294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4"/>
      <c r="C496" s="29" t="s">
        <v>31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0"/>
      <c r="T496" s="294"/>
      <c r="U496" s="29" t="s">
        <v>31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2"/>
      <c r="AL496" s="294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5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0"/>
      <c r="T497" s="295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2"/>
      <c r="AL497" s="295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93" t="s">
        <v>158</v>
      </c>
      <c r="C498" s="27" t="s">
        <v>27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0"/>
      <c r="T498" s="293" t="s">
        <v>158</v>
      </c>
      <c r="U498" s="27" t="s">
        <v>27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2"/>
      <c r="AL498" s="293" t="s">
        <v>158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4"/>
      <c r="C499" s="29" t="s">
        <v>28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0"/>
      <c r="T499" s="294"/>
      <c r="U499" s="29" t="s">
        <v>28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2"/>
      <c r="AL499" s="294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4"/>
      <c r="C500" s="29" t="s">
        <v>29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0"/>
      <c r="T500" s="294"/>
      <c r="U500" s="29" t="s">
        <v>29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2"/>
      <c r="AL500" s="294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4"/>
      <c r="C501" s="29" t="s">
        <v>31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0"/>
      <c r="T501" s="294"/>
      <c r="U501" s="29" t="s">
        <v>31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2"/>
      <c r="AL501" s="294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5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0"/>
      <c r="T502" s="295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2"/>
      <c r="AL502" s="295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93" t="s">
        <v>159</v>
      </c>
      <c r="C503" s="27" t="s">
        <v>27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0"/>
      <c r="T503" s="293" t="s">
        <v>159</v>
      </c>
      <c r="U503" s="27" t="s">
        <v>27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2"/>
      <c r="AL503" s="293" t="s">
        <v>159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4"/>
      <c r="C504" s="29" t="s">
        <v>28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0"/>
      <c r="T504" s="294"/>
      <c r="U504" s="29" t="s">
        <v>28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2"/>
      <c r="AL504" s="294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4"/>
      <c r="C505" s="29" t="s">
        <v>29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0"/>
      <c r="T505" s="294"/>
      <c r="U505" s="29" t="s">
        <v>29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2"/>
      <c r="AL505" s="294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4"/>
      <c r="C506" s="29" t="s">
        <v>31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0"/>
      <c r="T506" s="294"/>
      <c r="U506" s="29" t="s">
        <v>31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2"/>
      <c r="AL506" s="294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5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0"/>
      <c r="T507" s="295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2"/>
      <c r="AL507" s="295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93" t="s">
        <v>160</v>
      </c>
      <c r="C508" s="27" t="s">
        <v>27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0"/>
      <c r="T508" s="293" t="s">
        <v>160</v>
      </c>
      <c r="U508" s="27" t="s">
        <v>27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2"/>
      <c r="AL508" s="293" t="s">
        <v>160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4"/>
      <c r="C509" s="29" t="s">
        <v>28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0"/>
      <c r="T509" s="294"/>
      <c r="U509" s="29" t="s">
        <v>28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2"/>
      <c r="AL509" s="294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4"/>
      <c r="C510" s="29" t="s">
        <v>29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0"/>
      <c r="T510" s="294"/>
      <c r="U510" s="29" t="s">
        <v>29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2"/>
      <c r="AL510" s="294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4"/>
      <c r="C511" s="29" t="s">
        <v>31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0"/>
      <c r="T511" s="294"/>
      <c r="U511" s="29" t="s">
        <v>31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2"/>
      <c r="AL511" s="294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5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0"/>
      <c r="T512" s="295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2"/>
      <c r="AL512" s="295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93" t="s">
        <v>161</v>
      </c>
      <c r="C513" s="27" t="s">
        <v>27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0"/>
      <c r="T513" s="293" t="s">
        <v>161</v>
      </c>
      <c r="U513" s="27" t="s">
        <v>27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2"/>
      <c r="AL513" s="293" t="s">
        <v>161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4"/>
      <c r="C514" s="29" t="s">
        <v>28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0"/>
      <c r="T514" s="294"/>
      <c r="U514" s="29" t="s">
        <v>28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2"/>
      <c r="AL514" s="294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4"/>
      <c r="C515" s="29" t="s">
        <v>29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0"/>
      <c r="T515" s="294"/>
      <c r="U515" s="29" t="s">
        <v>29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2"/>
      <c r="AL515" s="294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4"/>
      <c r="C516" s="29" t="s">
        <v>31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0"/>
      <c r="T516" s="294"/>
      <c r="U516" s="29" t="s">
        <v>31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2"/>
      <c r="AL516" s="294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5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0"/>
      <c r="T517" s="295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2"/>
      <c r="AL517" s="295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93" t="s">
        <v>162</v>
      </c>
      <c r="C518" s="27" t="s">
        <v>27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0"/>
      <c r="T518" s="293" t="s">
        <v>162</v>
      </c>
      <c r="U518" s="27" t="s">
        <v>27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2"/>
      <c r="AL518" s="293" t="s">
        <v>162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4"/>
      <c r="C519" s="29" t="s">
        <v>28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0"/>
      <c r="T519" s="294"/>
      <c r="U519" s="29" t="s">
        <v>28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2"/>
      <c r="AL519" s="294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4"/>
      <c r="C520" s="29" t="s">
        <v>29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0"/>
      <c r="T520" s="294"/>
      <c r="U520" s="29" t="s">
        <v>29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2"/>
      <c r="AL520" s="294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4"/>
      <c r="C521" s="29" t="s">
        <v>31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0"/>
      <c r="T521" s="294"/>
      <c r="U521" s="29" t="s">
        <v>31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2"/>
      <c r="AL521" s="294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5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0"/>
      <c r="T522" s="295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2"/>
      <c r="AL522" s="295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93" t="s">
        <v>163</v>
      </c>
      <c r="C523" s="27" t="s">
        <v>27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0"/>
      <c r="T523" s="293" t="s">
        <v>163</v>
      </c>
      <c r="U523" s="27" t="s">
        <v>27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2"/>
      <c r="AL523" s="293" t="s">
        <v>163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4"/>
      <c r="C524" s="29" t="s">
        <v>28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0"/>
      <c r="T524" s="294"/>
      <c r="U524" s="29" t="s">
        <v>28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2"/>
      <c r="AL524" s="294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4"/>
      <c r="C525" s="29" t="s">
        <v>29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0"/>
      <c r="T525" s="294"/>
      <c r="U525" s="29" t="s">
        <v>29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2"/>
      <c r="AL525" s="294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4"/>
      <c r="C526" s="29" t="s">
        <v>31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0"/>
      <c r="T526" s="294"/>
      <c r="U526" s="29" t="s">
        <v>31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2"/>
      <c r="AL526" s="294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5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0"/>
      <c r="T527" s="295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2"/>
      <c r="AL527" s="295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93" t="s">
        <v>164</v>
      </c>
      <c r="C528" s="27" t="s">
        <v>27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0"/>
      <c r="T528" s="293" t="s">
        <v>164</v>
      </c>
      <c r="U528" s="27" t="s">
        <v>27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2"/>
      <c r="AL528" s="293" t="s">
        <v>164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4"/>
      <c r="C529" s="29" t="s">
        <v>28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0"/>
      <c r="T529" s="294"/>
      <c r="U529" s="29" t="s">
        <v>28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2"/>
      <c r="AL529" s="294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4"/>
      <c r="C530" s="29" t="s">
        <v>29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0"/>
      <c r="T530" s="294"/>
      <c r="U530" s="29" t="s">
        <v>29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2"/>
      <c r="AL530" s="294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4"/>
      <c r="C531" s="29" t="s">
        <v>31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0"/>
      <c r="T531" s="294"/>
      <c r="U531" s="29" t="s">
        <v>31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2"/>
      <c r="AL531" s="294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5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0"/>
      <c r="T532" s="295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2"/>
      <c r="AL532" s="295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93" t="s">
        <v>165</v>
      </c>
      <c r="C533" s="27" t="s">
        <v>27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0"/>
      <c r="T533" s="293" t="s">
        <v>165</v>
      </c>
      <c r="U533" s="27" t="s">
        <v>27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2"/>
      <c r="AL533" s="293" t="s">
        <v>165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4"/>
      <c r="C534" s="29" t="s">
        <v>28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0"/>
      <c r="T534" s="294"/>
      <c r="U534" s="29" t="s">
        <v>28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2"/>
      <c r="AL534" s="294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4"/>
      <c r="C535" s="29" t="s">
        <v>29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0"/>
      <c r="T535" s="294"/>
      <c r="U535" s="29" t="s">
        <v>29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2"/>
      <c r="AL535" s="294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4"/>
      <c r="C536" s="29" t="s">
        <v>31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0"/>
      <c r="T536" s="294"/>
      <c r="U536" s="29" t="s">
        <v>31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2"/>
      <c r="AL536" s="294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5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0"/>
      <c r="T537" s="295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2"/>
      <c r="AL537" s="295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93" t="s">
        <v>166</v>
      </c>
      <c r="C538" s="27" t="s">
        <v>27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0"/>
      <c r="T538" s="293" t="s">
        <v>166</v>
      </c>
      <c r="U538" s="27" t="s">
        <v>27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2"/>
      <c r="AL538" s="293" t="s">
        <v>166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4"/>
      <c r="C539" s="29" t="s">
        <v>28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0"/>
      <c r="T539" s="294"/>
      <c r="U539" s="29" t="s">
        <v>28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2"/>
      <c r="AL539" s="294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4"/>
      <c r="C540" s="29" t="s">
        <v>29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0"/>
      <c r="T540" s="294"/>
      <c r="U540" s="29" t="s">
        <v>29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2"/>
      <c r="AL540" s="294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4"/>
      <c r="C541" s="29" t="s">
        <v>31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0"/>
      <c r="T541" s="294"/>
      <c r="U541" s="29" t="s">
        <v>31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2"/>
      <c r="AL541" s="294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5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0"/>
      <c r="T542" s="295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2"/>
      <c r="AL542" s="295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93" t="s">
        <v>167</v>
      </c>
      <c r="C543" s="27" t="s">
        <v>27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0"/>
      <c r="T543" s="293" t="s">
        <v>167</v>
      </c>
      <c r="U543" s="27" t="s">
        <v>27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2"/>
      <c r="AL543" s="293" t="s">
        <v>167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4"/>
      <c r="C544" s="29" t="s">
        <v>28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0"/>
      <c r="T544" s="294"/>
      <c r="U544" s="29" t="s">
        <v>28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2"/>
      <c r="AL544" s="294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4"/>
      <c r="C545" s="29" t="s">
        <v>29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0"/>
      <c r="T545" s="294"/>
      <c r="U545" s="29" t="s">
        <v>29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2"/>
      <c r="AL545" s="294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4"/>
      <c r="C546" s="29" t="s">
        <v>31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0"/>
      <c r="T546" s="294"/>
      <c r="U546" s="29" t="s">
        <v>31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2"/>
      <c r="AL546" s="294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5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0"/>
      <c r="T547" s="295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2"/>
      <c r="AL547" s="295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93" t="s">
        <v>168</v>
      </c>
      <c r="C548" s="27" t="s">
        <v>27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0"/>
      <c r="T548" s="293" t="s">
        <v>168</v>
      </c>
      <c r="U548" s="27" t="s">
        <v>27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2"/>
      <c r="AL548" s="293" t="s">
        <v>168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4"/>
      <c r="C549" s="29" t="s">
        <v>28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0"/>
      <c r="T549" s="294"/>
      <c r="U549" s="29" t="s">
        <v>28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2"/>
      <c r="AL549" s="294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4"/>
      <c r="C550" s="29" t="s">
        <v>29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0"/>
      <c r="T550" s="294"/>
      <c r="U550" s="29" t="s">
        <v>29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2"/>
      <c r="AL550" s="294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4"/>
      <c r="C551" s="29" t="s">
        <v>31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0"/>
      <c r="T551" s="294"/>
      <c r="U551" s="29" t="s">
        <v>31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2"/>
      <c r="AL551" s="294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5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0"/>
      <c r="T552" s="295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2"/>
      <c r="AL552" s="295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93" t="s">
        <v>169</v>
      </c>
      <c r="C553" s="27" t="s">
        <v>27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0"/>
      <c r="T553" s="293" t="s">
        <v>169</v>
      </c>
      <c r="U553" s="27" t="s">
        <v>27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2"/>
      <c r="AL553" s="293" t="s">
        <v>169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4"/>
      <c r="C554" s="29" t="s">
        <v>28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0"/>
      <c r="T554" s="294"/>
      <c r="U554" s="29" t="s">
        <v>28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2"/>
      <c r="AL554" s="294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4"/>
      <c r="C555" s="29" t="s">
        <v>29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0"/>
      <c r="T555" s="294"/>
      <c r="U555" s="29" t="s">
        <v>29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2"/>
      <c r="AL555" s="294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4"/>
      <c r="C556" s="29" t="s">
        <v>31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0"/>
      <c r="T556" s="294"/>
      <c r="U556" s="29" t="s">
        <v>31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2"/>
      <c r="AL556" s="294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5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0"/>
      <c r="T557" s="295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2"/>
      <c r="AL557" s="295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93" t="s">
        <v>170</v>
      </c>
      <c r="C558" s="27" t="s">
        <v>27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0"/>
      <c r="T558" s="293" t="s">
        <v>170</v>
      </c>
      <c r="U558" s="27" t="s">
        <v>27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2"/>
      <c r="AL558" s="293" t="s">
        <v>170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4"/>
      <c r="C559" s="29" t="s">
        <v>28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0"/>
      <c r="T559" s="294"/>
      <c r="U559" s="29" t="s">
        <v>28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2"/>
      <c r="AL559" s="294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4"/>
      <c r="C560" s="29" t="s">
        <v>29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0"/>
      <c r="T560" s="294"/>
      <c r="U560" s="29" t="s">
        <v>29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2"/>
      <c r="AL560" s="294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4"/>
      <c r="C561" s="29" t="s">
        <v>31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0"/>
      <c r="T561" s="294"/>
      <c r="U561" s="29" t="s">
        <v>31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2"/>
      <c r="AL561" s="294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5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0"/>
      <c r="T562" s="295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2"/>
      <c r="AL562" s="295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93" t="s">
        <v>171</v>
      </c>
      <c r="C563" s="27" t="s">
        <v>27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0"/>
      <c r="T563" s="293" t="s">
        <v>171</v>
      </c>
      <c r="U563" s="27" t="s">
        <v>27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2"/>
      <c r="AL563" s="293" t="s">
        <v>171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4"/>
      <c r="C564" s="29" t="s">
        <v>28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0"/>
      <c r="T564" s="294"/>
      <c r="U564" s="29" t="s">
        <v>28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2"/>
      <c r="AL564" s="294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4"/>
      <c r="C565" s="29" t="s">
        <v>29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0"/>
      <c r="T565" s="294"/>
      <c r="U565" s="29" t="s">
        <v>29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2"/>
      <c r="AL565" s="294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4"/>
      <c r="C566" s="29" t="s">
        <v>31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0"/>
      <c r="T566" s="294"/>
      <c r="U566" s="29" t="s">
        <v>31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2"/>
      <c r="AL566" s="294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5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0"/>
      <c r="T567" s="295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2"/>
      <c r="AL567" s="295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93" t="s">
        <v>172</v>
      </c>
      <c r="C568" s="27" t="s">
        <v>27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0"/>
      <c r="T568" s="293" t="s">
        <v>172</v>
      </c>
      <c r="U568" s="27" t="s">
        <v>27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2"/>
      <c r="AL568" s="293" t="s">
        <v>172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4"/>
      <c r="C569" s="29" t="s">
        <v>28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0"/>
      <c r="T569" s="294"/>
      <c r="U569" s="29" t="s">
        <v>28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2"/>
      <c r="AL569" s="294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4"/>
      <c r="C570" s="29" t="s">
        <v>29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0"/>
      <c r="T570" s="294"/>
      <c r="U570" s="29" t="s">
        <v>29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2"/>
      <c r="AL570" s="294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4"/>
      <c r="C571" s="29" t="s">
        <v>31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0"/>
      <c r="T571" s="294"/>
      <c r="U571" s="29" t="s">
        <v>31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2"/>
      <c r="AL571" s="294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5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0"/>
      <c r="T572" s="295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2"/>
      <c r="AL572" s="295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93" t="s">
        <v>173</v>
      </c>
      <c r="C573" s="27" t="s">
        <v>27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0"/>
      <c r="T573" s="293" t="s">
        <v>173</v>
      </c>
      <c r="U573" s="27" t="s">
        <v>27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2"/>
      <c r="AL573" s="293" t="s">
        <v>173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4"/>
      <c r="C574" s="29" t="s">
        <v>28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0"/>
      <c r="T574" s="294"/>
      <c r="U574" s="29" t="s">
        <v>28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2"/>
      <c r="AL574" s="294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4"/>
      <c r="C575" s="29" t="s">
        <v>29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0"/>
      <c r="T575" s="294"/>
      <c r="U575" s="29" t="s">
        <v>29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2"/>
      <c r="AL575" s="294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4"/>
      <c r="C576" s="29" t="s">
        <v>31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0"/>
      <c r="T576" s="294"/>
      <c r="U576" s="29" t="s">
        <v>31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2"/>
      <c r="AL576" s="294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5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0"/>
      <c r="T577" s="295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2"/>
      <c r="AL577" s="295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93" t="s">
        <v>174</v>
      </c>
      <c r="C578" s="27" t="s">
        <v>27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0"/>
      <c r="T578" s="293" t="s">
        <v>174</v>
      </c>
      <c r="U578" s="27" t="s">
        <v>27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2"/>
      <c r="AL578" s="293" t="s">
        <v>174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4"/>
      <c r="C579" s="29" t="s">
        <v>28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0"/>
      <c r="T579" s="294"/>
      <c r="U579" s="29" t="s">
        <v>28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2"/>
      <c r="AL579" s="294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4"/>
      <c r="C580" s="29" t="s">
        <v>29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0"/>
      <c r="T580" s="294"/>
      <c r="U580" s="29" t="s">
        <v>29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2"/>
      <c r="AL580" s="294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4"/>
      <c r="C581" s="29" t="s">
        <v>31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0"/>
      <c r="T581" s="294"/>
      <c r="U581" s="29" t="s">
        <v>31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2"/>
      <c r="AL581" s="294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5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0"/>
      <c r="T582" s="295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2"/>
      <c r="AL582" s="295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93" t="s">
        <v>175</v>
      </c>
      <c r="C583" s="27" t="s">
        <v>27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0"/>
      <c r="T583" s="293" t="s">
        <v>175</v>
      </c>
      <c r="U583" s="27" t="s">
        <v>27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2"/>
      <c r="AL583" s="293" t="s">
        <v>175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4"/>
      <c r="C584" s="29" t="s">
        <v>28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0"/>
      <c r="T584" s="294"/>
      <c r="U584" s="29" t="s">
        <v>28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2"/>
      <c r="AL584" s="294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4"/>
      <c r="C585" s="29" t="s">
        <v>29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0"/>
      <c r="T585" s="294"/>
      <c r="U585" s="29" t="s">
        <v>29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2"/>
      <c r="AL585" s="294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4"/>
      <c r="C586" s="29" t="s">
        <v>31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0"/>
      <c r="T586" s="294"/>
      <c r="U586" s="29" t="s">
        <v>31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2"/>
      <c r="AL586" s="294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5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0"/>
      <c r="T587" s="295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2"/>
      <c r="AL587" s="295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93" t="s">
        <v>176</v>
      </c>
      <c r="C588" s="27" t="s">
        <v>27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0"/>
      <c r="T588" s="293" t="s">
        <v>176</v>
      </c>
      <c r="U588" s="27" t="s">
        <v>27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2"/>
      <c r="AL588" s="293" t="s">
        <v>176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4"/>
      <c r="C589" s="29" t="s">
        <v>28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0"/>
      <c r="T589" s="294"/>
      <c r="U589" s="29" t="s">
        <v>28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2"/>
      <c r="AL589" s="294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4"/>
      <c r="C590" s="29" t="s">
        <v>29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0"/>
      <c r="T590" s="294"/>
      <c r="U590" s="29" t="s">
        <v>29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2"/>
      <c r="AL590" s="294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4"/>
      <c r="C591" s="29" t="s">
        <v>31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0"/>
      <c r="T591" s="294"/>
      <c r="U591" s="29" t="s">
        <v>31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2"/>
      <c r="AL591" s="294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5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0"/>
      <c r="T592" s="295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2"/>
      <c r="AL592" s="295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93" t="s">
        <v>177</v>
      </c>
      <c r="C593" s="27" t="s">
        <v>27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0"/>
      <c r="T593" s="293" t="s">
        <v>177</v>
      </c>
      <c r="U593" s="27" t="s">
        <v>27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2"/>
      <c r="AL593" s="293" t="s">
        <v>177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4"/>
      <c r="C594" s="29" t="s">
        <v>28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0"/>
      <c r="T594" s="294"/>
      <c r="U594" s="29" t="s">
        <v>28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2"/>
      <c r="AL594" s="294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4"/>
      <c r="C595" s="29" t="s">
        <v>29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0"/>
      <c r="T595" s="294"/>
      <c r="U595" s="29" t="s">
        <v>29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2"/>
      <c r="AL595" s="294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4"/>
      <c r="C596" s="29" t="s">
        <v>31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0"/>
      <c r="T596" s="294"/>
      <c r="U596" s="29" t="s">
        <v>31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2"/>
      <c r="AL596" s="294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5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0"/>
      <c r="T597" s="295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2"/>
      <c r="AL597" s="295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93" t="s">
        <v>178</v>
      </c>
      <c r="C598" s="27" t="s">
        <v>27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0"/>
      <c r="T598" s="293" t="s">
        <v>178</v>
      </c>
      <c r="U598" s="27" t="s">
        <v>27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2"/>
      <c r="AL598" s="293" t="s">
        <v>178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4"/>
      <c r="C599" s="29" t="s">
        <v>28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0"/>
      <c r="T599" s="294"/>
      <c r="U599" s="29" t="s">
        <v>28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2"/>
      <c r="AL599" s="294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4"/>
      <c r="C600" s="29" t="s">
        <v>29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0"/>
      <c r="T600" s="294"/>
      <c r="U600" s="29" t="s">
        <v>29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2"/>
      <c r="AL600" s="294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4"/>
      <c r="C601" s="29" t="s">
        <v>31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0"/>
      <c r="T601" s="294"/>
      <c r="U601" s="29" t="s">
        <v>31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2"/>
      <c r="AL601" s="294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5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0"/>
      <c r="T602" s="295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2"/>
      <c r="AL602" s="295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93" t="s">
        <v>179</v>
      </c>
      <c r="C603" s="27" t="s">
        <v>27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0"/>
      <c r="T603" s="293" t="s">
        <v>179</v>
      </c>
      <c r="U603" s="27" t="s">
        <v>27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2"/>
      <c r="AL603" s="293" t="s">
        <v>179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4"/>
      <c r="C604" s="29" t="s">
        <v>28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0"/>
      <c r="T604" s="294"/>
      <c r="U604" s="29" t="s">
        <v>28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2"/>
      <c r="AL604" s="294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4"/>
      <c r="C605" s="29" t="s">
        <v>29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0"/>
      <c r="T605" s="294"/>
      <c r="U605" s="29" t="s">
        <v>29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2"/>
      <c r="AL605" s="294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4"/>
      <c r="C606" s="29" t="s">
        <v>31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0"/>
      <c r="T606" s="294"/>
      <c r="U606" s="29" t="s">
        <v>31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2"/>
      <c r="AL606" s="294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5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0"/>
      <c r="T607" s="295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2"/>
      <c r="AL607" s="295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93" t="s">
        <v>180</v>
      </c>
      <c r="C608" s="27" t="s">
        <v>27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0"/>
      <c r="T608" s="293" t="s">
        <v>180</v>
      </c>
      <c r="U608" s="27" t="s">
        <v>27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2"/>
      <c r="AL608" s="293" t="s">
        <v>180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4"/>
      <c r="C609" s="29" t="s">
        <v>28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0"/>
      <c r="T609" s="294"/>
      <c r="U609" s="29" t="s">
        <v>28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2"/>
      <c r="AL609" s="294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4"/>
      <c r="C610" s="29" t="s">
        <v>29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0"/>
      <c r="T610" s="294"/>
      <c r="U610" s="29" t="s">
        <v>29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2"/>
      <c r="AL610" s="294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4"/>
      <c r="C611" s="29" t="s">
        <v>31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0"/>
      <c r="T611" s="294"/>
      <c r="U611" s="29" t="s">
        <v>31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2"/>
      <c r="AL611" s="294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5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0"/>
      <c r="T612" s="295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2"/>
      <c r="AL612" s="295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93" t="s">
        <v>181</v>
      </c>
      <c r="C613" s="27" t="s">
        <v>27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0"/>
      <c r="T613" s="293" t="s">
        <v>181</v>
      </c>
      <c r="U613" s="27" t="s">
        <v>27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2"/>
      <c r="AL613" s="293" t="s">
        <v>181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4"/>
      <c r="C614" s="29" t="s">
        <v>28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0"/>
      <c r="T614" s="294"/>
      <c r="U614" s="29" t="s">
        <v>28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2"/>
      <c r="AL614" s="294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4"/>
      <c r="C615" s="29" t="s">
        <v>29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0"/>
      <c r="T615" s="294"/>
      <c r="U615" s="29" t="s">
        <v>29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2"/>
      <c r="AL615" s="294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4"/>
      <c r="C616" s="29" t="s">
        <v>31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0"/>
      <c r="T616" s="294"/>
      <c r="U616" s="29" t="s">
        <v>31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2"/>
      <c r="AL616" s="294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5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0"/>
      <c r="T617" s="295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2"/>
      <c r="AL617" s="295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93" t="s">
        <v>182</v>
      </c>
      <c r="C618" s="27" t="s">
        <v>27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0"/>
      <c r="T618" s="293" t="s">
        <v>182</v>
      </c>
      <c r="U618" s="27" t="s">
        <v>27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2"/>
      <c r="AL618" s="293" t="s">
        <v>182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4"/>
      <c r="C619" s="29" t="s">
        <v>28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0"/>
      <c r="T619" s="294"/>
      <c r="U619" s="29" t="s">
        <v>28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2"/>
      <c r="AL619" s="294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4"/>
      <c r="C620" s="29" t="s">
        <v>29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0"/>
      <c r="T620" s="294"/>
      <c r="U620" s="29" t="s">
        <v>29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2"/>
      <c r="AL620" s="294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4"/>
      <c r="C621" s="29" t="s">
        <v>31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0"/>
      <c r="T621" s="294"/>
      <c r="U621" s="29" t="s">
        <v>31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2"/>
      <c r="AL621" s="294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5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0"/>
      <c r="T622" s="295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2"/>
      <c r="AL622" s="295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93" t="s">
        <v>183</v>
      </c>
      <c r="C623" s="27" t="s">
        <v>27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0"/>
      <c r="T623" s="293" t="s">
        <v>183</v>
      </c>
      <c r="U623" s="27" t="s">
        <v>27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2"/>
      <c r="AL623" s="293" t="s">
        <v>183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4"/>
      <c r="C624" s="29" t="s">
        <v>28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0"/>
      <c r="T624" s="294"/>
      <c r="U624" s="29" t="s">
        <v>28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2"/>
      <c r="AL624" s="294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4"/>
      <c r="C625" s="29" t="s">
        <v>29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0"/>
      <c r="T625" s="294"/>
      <c r="U625" s="29" t="s">
        <v>29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2"/>
      <c r="AL625" s="294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4"/>
      <c r="C626" s="29" t="s">
        <v>31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0"/>
      <c r="T626" s="294"/>
      <c r="U626" s="29" t="s">
        <v>31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2"/>
      <c r="AL626" s="294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5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0"/>
      <c r="T627" s="295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2"/>
      <c r="AL627" s="295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93" t="s">
        <v>184</v>
      </c>
      <c r="C628" s="27" t="s">
        <v>27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0"/>
      <c r="T628" s="293" t="s">
        <v>184</v>
      </c>
      <c r="U628" s="27" t="s">
        <v>27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2"/>
      <c r="AL628" s="293" t="s">
        <v>184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4"/>
      <c r="C629" s="29" t="s">
        <v>28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0"/>
      <c r="T629" s="294"/>
      <c r="U629" s="29" t="s">
        <v>28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2"/>
      <c r="AL629" s="294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4"/>
      <c r="C630" s="29" t="s">
        <v>29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0"/>
      <c r="T630" s="294"/>
      <c r="U630" s="29" t="s">
        <v>29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2"/>
      <c r="AL630" s="294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4"/>
      <c r="C631" s="29" t="s">
        <v>31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0"/>
      <c r="T631" s="294"/>
      <c r="U631" s="29" t="s">
        <v>31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2"/>
      <c r="AL631" s="294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5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0"/>
      <c r="T632" s="295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2"/>
      <c r="AL632" s="295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93" t="s">
        <v>185</v>
      </c>
      <c r="C633" s="27" t="s">
        <v>27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0"/>
      <c r="T633" s="293" t="s">
        <v>185</v>
      </c>
      <c r="U633" s="27" t="s">
        <v>27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2"/>
      <c r="AL633" s="293" t="s">
        <v>185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4"/>
      <c r="C634" s="29" t="s">
        <v>28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0"/>
      <c r="T634" s="294"/>
      <c r="U634" s="29" t="s">
        <v>28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2"/>
      <c r="AL634" s="294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4"/>
      <c r="C635" s="29" t="s">
        <v>29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0"/>
      <c r="T635" s="294"/>
      <c r="U635" s="29" t="s">
        <v>29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2"/>
      <c r="AL635" s="294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4"/>
      <c r="C636" s="29" t="s">
        <v>31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0"/>
      <c r="T636" s="294"/>
      <c r="U636" s="29" t="s">
        <v>31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2"/>
      <c r="AL636" s="294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5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0"/>
      <c r="T637" s="295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2"/>
      <c r="AL637" s="295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0"/>
      <c r="C638" s="210"/>
      <c r="D638" s="210"/>
      <c r="E638" s="210"/>
      <c r="F638" s="210"/>
      <c r="G638" s="210"/>
      <c r="H638" s="210"/>
      <c r="I638" s="210"/>
      <c r="J638" s="210"/>
      <c r="K638" s="210"/>
      <c r="L638" s="210"/>
      <c r="M638" s="210"/>
      <c r="N638" s="210"/>
      <c r="O638" s="254"/>
      <c r="P638" s="210"/>
      <c r="Q638" s="210"/>
      <c r="R638" s="94"/>
      <c r="S638" s="210"/>
      <c r="T638" s="210"/>
      <c r="U638" s="210"/>
      <c r="V638" s="210"/>
      <c r="W638" s="210"/>
      <c r="X638" s="210"/>
      <c r="Y638" s="210"/>
      <c r="Z638" s="210"/>
      <c r="AA638" s="210"/>
      <c r="AB638" s="210"/>
      <c r="AC638" s="210"/>
      <c r="AD638" s="210"/>
      <c r="AE638" s="210"/>
      <c r="AF638" s="210"/>
      <c r="AG638" s="254"/>
      <c r="AH638" s="210"/>
      <c r="AI638" s="210"/>
      <c r="AJ638" s="94"/>
      <c r="AK638" s="212"/>
      <c r="AL638" s="212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5"/>
      <c r="D639" s="104"/>
      <c r="E639" s="265"/>
      <c r="F639" s="32" t="s">
        <v>44</v>
      </c>
      <c r="G639" s="216" t="s">
        <v>44</v>
      </c>
      <c r="H639" s="216" t="s">
        <v>44</v>
      </c>
      <c r="I639" s="216" t="s">
        <v>44</v>
      </c>
      <c r="J639" s="216" t="s">
        <v>44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5"/>
      <c r="V639" s="104"/>
      <c r="W639" s="265"/>
      <c r="X639" s="32" t="s">
        <v>44</v>
      </c>
      <c r="Y639" s="216" t="s">
        <v>44</v>
      </c>
      <c r="Z639" s="216" t="s">
        <v>44</v>
      </c>
      <c r="AA639" s="216" t="s">
        <v>44</v>
      </c>
      <c r="AB639" s="216" t="s">
        <v>44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2"/>
      <c r="F640" s="93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8"/>
      <c r="T640" s="143"/>
      <c r="U640" s="212"/>
      <c r="V640" s="8"/>
      <c r="W640" s="236"/>
      <c r="X640" s="93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93" t="s">
        <v>186</v>
      </c>
      <c r="C641" s="27" t="s">
        <v>27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27.18166093333334</v>
      </c>
      <c r="G641" s="138">
        <f t="shared" si="59"/>
        <v>32.306106499999999</v>
      </c>
      <c r="H641" s="138">
        <f t="shared" si="59"/>
        <v>0.95510317966666669</v>
      </c>
      <c r="I641" s="138">
        <f t="shared" si="59"/>
        <v>0.95232188200000001</v>
      </c>
      <c r="J641" s="138">
        <f t="shared" si="59"/>
        <v>6.1596701133333327E-2</v>
      </c>
      <c r="K641" s="112"/>
      <c r="L641" s="112"/>
      <c r="M641" s="112"/>
      <c r="N641" s="112"/>
      <c r="O641" s="267"/>
      <c r="P641" s="112"/>
      <c r="Q641" s="113"/>
      <c r="R641" s="114"/>
      <c r="T641" s="293" t="s">
        <v>186</v>
      </c>
      <c r="U641" s="27" t="s">
        <v>27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4"/>
      <c r="C642" s="29" t="s">
        <v>28</v>
      </c>
      <c r="D642" s="110"/>
      <c r="E642" s="268"/>
      <c r="F642" s="20">
        <f t="shared" si="59"/>
        <v>30.94466713333334</v>
      </c>
      <c r="G642" s="20">
        <f t="shared" si="59"/>
        <v>35.381937700000002</v>
      </c>
      <c r="H642" s="20">
        <f t="shared" si="59"/>
        <v>0.97348999999999997</v>
      </c>
      <c r="I642" s="20">
        <f t="shared" si="59"/>
        <v>0.97367316133333348</v>
      </c>
      <c r="J642" s="20">
        <f t="shared" si="59"/>
        <v>3.7385318833333327E-2</v>
      </c>
      <c r="K642" s="115"/>
      <c r="L642" s="115"/>
      <c r="M642" s="115"/>
      <c r="N642" s="115"/>
      <c r="O642" s="269"/>
      <c r="P642" s="115"/>
      <c r="Q642" s="116"/>
      <c r="R642" s="117"/>
      <c r="T642" s="294"/>
      <c r="U642" s="29" t="s">
        <v>28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4"/>
      <c r="C643" s="29" t="s">
        <v>29</v>
      </c>
      <c r="D643" s="110"/>
      <c r="E643" s="268"/>
      <c r="F643" s="20">
        <f t="shared" si="59"/>
        <v>35.277344000000006</v>
      </c>
      <c r="G643" s="20">
        <f t="shared" si="59"/>
        <v>39.279207700000001</v>
      </c>
      <c r="H643" s="20">
        <f t="shared" si="59"/>
        <v>0.98647697333333317</v>
      </c>
      <c r="I643" s="20">
        <f t="shared" si="59"/>
        <v>0.99023805366666628</v>
      </c>
      <c r="J643" s="20">
        <f t="shared" si="59"/>
        <v>2.169492256666667E-2</v>
      </c>
      <c r="K643" s="115"/>
      <c r="L643" s="115"/>
      <c r="M643" s="115"/>
      <c r="N643" s="115"/>
      <c r="O643" s="269"/>
      <c r="P643" s="115"/>
      <c r="Q643" s="116"/>
      <c r="R643" s="117"/>
      <c r="T643" s="294"/>
      <c r="U643" s="29" t="s">
        <v>29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4"/>
      <c r="C644" s="29" t="s">
        <v>31</v>
      </c>
      <c r="D644" s="110"/>
      <c r="E644" s="268"/>
      <c r="F644" s="20">
        <f t="shared" si="59"/>
        <v>37.601164799999999</v>
      </c>
      <c r="G644" s="20">
        <f t="shared" si="59"/>
        <v>41.584238366666654</v>
      </c>
      <c r="H644" s="20">
        <f t="shared" si="59"/>
        <v>0.99091974166666674</v>
      </c>
      <c r="I644" s="20">
        <f t="shared" si="59"/>
        <v>0.99480477099999987</v>
      </c>
      <c r="J644" s="20">
        <f t="shared" si="59"/>
        <v>1.5419812499999999E-2</v>
      </c>
      <c r="K644" s="115"/>
      <c r="L644" s="115"/>
      <c r="M644" s="115"/>
      <c r="N644" s="115"/>
      <c r="O644" s="269"/>
      <c r="P644" s="115"/>
      <c r="Q644" s="116"/>
      <c r="R644" s="117"/>
      <c r="T644" s="294"/>
      <c r="U644" s="29" t="s">
        <v>31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5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5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305" t="s">
        <v>187</v>
      </c>
      <c r="C646" s="27" t="s">
        <v>27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27.855773233333331</v>
      </c>
      <c r="G646" s="138">
        <f t="shared" si="61"/>
        <v>32.992534900000003</v>
      </c>
      <c r="H646" s="138">
        <f t="shared" si="61"/>
        <v>0.95846517566666667</v>
      </c>
      <c r="I646" s="138">
        <f t="shared" si="61"/>
        <v>0.95828173966666674</v>
      </c>
      <c r="J646" s="138">
        <f t="shared" si="61"/>
        <v>7.0436080766666673E-2</v>
      </c>
      <c r="K646" s="112"/>
      <c r="L646" s="112"/>
      <c r="M646" s="112"/>
      <c r="N646" s="112"/>
      <c r="O646" s="267"/>
      <c r="P646" s="112"/>
      <c r="Q646" s="113"/>
      <c r="R646" s="114"/>
      <c r="T646" s="305" t="s">
        <v>187</v>
      </c>
      <c r="U646" s="27" t="s">
        <v>27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4"/>
      <c r="C647" s="29" t="s">
        <v>28</v>
      </c>
      <c r="D647" s="110"/>
      <c r="E647" s="268"/>
      <c r="F647" s="20">
        <f t="shared" si="61"/>
        <v>31.357229233333332</v>
      </c>
      <c r="G647" s="20">
        <f t="shared" si="61"/>
        <v>35.94668506666666</v>
      </c>
      <c r="H647" s="20">
        <f t="shared" si="61"/>
        <v>0.97594309466666673</v>
      </c>
      <c r="I647" s="20">
        <f t="shared" si="61"/>
        <v>0.97660265233333343</v>
      </c>
      <c r="J647" s="20">
        <f t="shared" si="61"/>
        <v>4.4150574499999998E-2</v>
      </c>
      <c r="K647" s="115"/>
      <c r="L647" s="115"/>
      <c r="M647" s="115"/>
      <c r="N647" s="115"/>
      <c r="O647" s="269"/>
      <c r="P647" s="115"/>
      <c r="Q647" s="116"/>
      <c r="R647" s="117"/>
      <c r="T647" s="294"/>
      <c r="U647" s="29" t="s">
        <v>28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4"/>
      <c r="C648" s="29" t="s">
        <v>29</v>
      </c>
      <c r="D648" s="110"/>
      <c r="E648" s="268"/>
      <c r="F648" s="20">
        <f t="shared" si="61"/>
        <v>35.63074300000001</v>
      </c>
      <c r="G648" s="20">
        <f t="shared" si="61"/>
        <v>39.706117000000013</v>
      </c>
      <c r="H648" s="20">
        <f t="shared" si="61"/>
        <v>0.98821685433333328</v>
      </c>
      <c r="I648" s="20">
        <f t="shared" si="61"/>
        <v>0.99114537133333325</v>
      </c>
      <c r="J648" s="20">
        <f t="shared" si="61"/>
        <v>2.6972097500000011E-2</v>
      </c>
      <c r="K648" s="115"/>
      <c r="L648" s="115"/>
      <c r="M648" s="115"/>
      <c r="N648" s="115"/>
      <c r="O648" s="269"/>
      <c r="P648" s="115"/>
      <c r="Q648" s="116"/>
      <c r="R648" s="117"/>
      <c r="T648" s="294"/>
      <c r="U648" s="29" t="s">
        <v>29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4"/>
      <c r="C649" s="29" t="s">
        <v>31</v>
      </c>
      <c r="D649" s="110"/>
      <c r="E649" s="268"/>
      <c r="F649" s="20">
        <f t="shared" si="61"/>
        <v>38.169443166666682</v>
      </c>
      <c r="G649" s="20">
        <f t="shared" si="61"/>
        <v>42.171225733333337</v>
      </c>
      <c r="H649" s="20">
        <f t="shared" si="61"/>
        <v>0.99250620099999987</v>
      </c>
      <c r="I649" s="20">
        <f t="shared" si="61"/>
        <v>0.99551469600000009</v>
      </c>
      <c r="J649" s="20">
        <f t="shared" si="61"/>
        <v>1.9500788633333328E-2</v>
      </c>
      <c r="K649" s="115"/>
      <c r="L649" s="115"/>
      <c r="M649" s="115"/>
      <c r="N649" s="115"/>
      <c r="O649" s="269"/>
      <c r="P649" s="115"/>
      <c r="Q649" s="116"/>
      <c r="R649" s="117"/>
      <c r="T649" s="294"/>
      <c r="U649" s="29" t="s">
        <v>31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5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5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3" t="s">
        <v>188</v>
      </c>
      <c r="C651" s="27" t="s">
        <v>27</v>
      </c>
      <c r="D651" s="109"/>
      <c r="E651" s="266"/>
      <c r="F651" s="138">
        <f t="shared" ref="F651:J654" si="63">F646-F641</f>
        <v>0.67411229999999023</v>
      </c>
      <c r="G651" s="138">
        <f t="shared" si="63"/>
        <v>0.68642840000000405</v>
      </c>
      <c r="H651" s="138">
        <f t="shared" si="63"/>
        <v>3.3619959999999782E-3</v>
      </c>
      <c r="I651" s="138">
        <f t="shared" si="63"/>
        <v>5.9598576666667347E-3</v>
      </c>
      <c r="J651" s="138">
        <f t="shared" si="63"/>
        <v>8.8393796333333455E-3</v>
      </c>
      <c r="K651" s="112"/>
      <c r="L651" s="112"/>
      <c r="M651" s="112"/>
      <c r="N651" s="112"/>
      <c r="O651" s="267"/>
      <c r="P651" s="112"/>
      <c r="Q651" s="113"/>
      <c r="R651" s="114"/>
      <c r="T651" s="303" t="s">
        <v>188</v>
      </c>
      <c r="U651" s="27" t="s">
        <v>27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4"/>
      <c r="C652" s="29" t="s">
        <v>28</v>
      </c>
      <c r="D652" s="110"/>
      <c r="E652" s="268"/>
      <c r="F652" s="20">
        <f t="shared" si="63"/>
        <v>0.41256209999999172</v>
      </c>
      <c r="G652" s="20">
        <f t="shared" si="63"/>
        <v>0.56474736666665848</v>
      </c>
      <c r="H652" s="20">
        <f t="shared" si="63"/>
        <v>2.4530946666667663E-3</v>
      </c>
      <c r="I652" s="20">
        <f t="shared" si="63"/>
        <v>2.9294909999999508E-3</v>
      </c>
      <c r="J652" s="20">
        <f t="shared" si="63"/>
        <v>6.7652556666666711E-3</v>
      </c>
      <c r="K652" s="115"/>
      <c r="L652" s="115"/>
      <c r="M652" s="115"/>
      <c r="N652" s="115"/>
      <c r="O652" s="269"/>
      <c r="P652" s="115"/>
      <c r="Q652" s="116"/>
      <c r="R652" s="117"/>
      <c r="T652" s="294"/>
      <c r="U652" s="29" t="s">
        <v>28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4"/>
      <c r="C653" s="29" t="s">
        <v>29</v>
      </c>
      <c r="D653" s="110"/>
      <c r="E653" s="268"/>
      <c r="F653" s="20">
        <f t="shared" si="63"/>
        <v>0.35339900000000313</v>
      </c>
      <c r="G653" s="20">
        <f t="shared" si="63"/>
        <v>0.42690930000001259</v>
      </c>
      <c r="H653" s="20">
        <f t="shared" si="63"/>
        <v>1.7398810000001097E-3</v>
      </c>
      <c r="I653" s="20">
        <f t="shared" si="63"/>
        <v>9.0731766666696245E-4</v>
      </c>
      <c r="J653" s="20">
        <f t="shared" si="63"/>
        <v>5.2771749333333402E-3</v>
      </c>
      <c r="K653" s="115"/>
      <c r="L653" s="115"/>
      <c r="M653" s="115"/>
      <c r="N653" s="115"/>
      <c r="O653" s="269"/>
      <c r="P653" s="115"/>
      <c r="Q653" s="116"/>
      <c r="R653" s="117"/>
      <c r="T653" s="294"/>
      <c r="U653" s="29" t="s">
        <v>29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4"/>
      <c r="C654" s="29" t="s">
        <v>31</v>
      </c>
      <c r="D654" s="110"/>
      <c r="E654" s="268"/>
      <c r="F654" s="20">
        <f t="shared" si="63"/>
        <v>0.56827836666668219</v>
      </c>
      <c r="G654" s="20">
        <f t="shared" si="63"/>
        <v>0.58698736666668339</v>
      </c>
      <c r="H654" s="20">
        <f t="shared" si="63"/>
        <v>1.5864593333331234E-3</v>
      </c>
      <c r="I654" s="20">
        <f t="shared" si="63"/>
        <v>7.0992500000022218E-4</v>
      </c>
      <c r="J654" s="20">
        <f t="shared" si="63"/>
        <v>4.0809761333333288E-3</v>
      </c>
      <c r="K654" s="115"/>
      <c r="L654" s="115"/>
      <c r="M654" s="115"/>
      <c r="N654" s="115"/>
      <c r="O654" s="269"/>
      <c r="P654" s="115"/>
      <c r="Q654" s="116"/>
      <c r="R654" s="117"/>
      <c r="T654" s="294"/>
      <c r="U654" s="29" t="s">
        <v>31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5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5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301"/>
      <c r="C675" s="210"/>
      <c r="D675" s="210"/>
      <c r="E675" s="93"/>
      <c r="F675" s="160"/>
      <c r="G675" s="160"/>
      <c r="H675" s="160"/>
      <c r="I675" s="93"/>
      <c r="J675" s="93"/>
    </row>
    <row r="676" spans="2:10" x14ac:dyDescent="0.15">
      <c r="B676" s="290"/>
      <c r="C676" s="210"/>
      <c r="D676" s="210"/>
      <c r="E676" s="93"/>
      <c r="F676" s="160"/>
      <c r="G676" s="160"/>
      <c r="H676" s="160"/>
      <c r="I676" s="93"/>
      <c r="J676" s="93"/>
    </row>
    <row r="677" spans="2:10" x14ac:dyDescent="0.15">
      <c r="B677" s="290"/>
      <c r="C677" s="210"/>
      <c r="D677" s="210"/>
      <c r="E677" s="93"/>
      <c r="F677" s="160"/>
      <c r="G677" s="160"/>
      <c r="H677" s="160"/>
      <c r="I677" s="93"/>
      <c r="J677" s="93"/>
    </row>
    <row r="678" spans="2:10" x14ac:dyDescent="0.15">
      <c r="B678" s="290"/>
      <c r="C678" s="210"/>
      <c r="D678" s="210"/>
      <c r="E678" s="93"/>
      <c r="F678" s="160"/>
      <c r="G678" s="160"/>
      <c r="H678" s="160"/>
      <c r="I678" s="93"/>
      <c r="J678" s="93"/>
    </row>
    <row r="679" spans="2:10" x14ac:dyDescent="0.15">
      <c r="B679" s="290"/>
      <c r="C679" s="210"/>
      <c r="D679" s="210"/>
      <c r="E679" s="93"/>
      <c r="F679" s="160"/>
      <c r="G679" s="160"/>
      <c r="H679" s="160"/>
      <c r="I679" s="93"/>
      <c r="J679" s="93"/>
    </row>
    <row r="680" spans="2:10" x14ac:dyDescent="0.15">
      <c r="B680" s="301"/>
      <c r="C680" s="210"/>
      <c r="D680" s="210"/>
      <c r="E680" s="93"/>
      <c r="F680" s="160"/>
      <c r="G680" s="160"/>
      <c r="H680" s="160"/>
      <c r="I680" s="160"/>
      <c r="J680" s="160"/>
    </row>
    <row r="681" spans="2:10" x14ac:dyDescent="0.15">
      <c r="B681" s="290"/>
      <c r="C681" s="210"/>
      <c r="D681" s="210"/>
      <c r="E681" s="93"/>
      <c r="F681" s="160"/>
      <c r="G681" s="160"/>
      <c r="H681" s="160"/>
      <c r="I681" s="160"/>
      <c r="J681" s="160"/>
    </row>
    <row r="682" spans="2:10" x14ac:dyDescent="0.15">
      <c r="B682" s="290"/>
      <c r="C682" s="210"/>
      <c r="D682" s="210"/>
      <c r="E682" s="93"/>
      <c r="F682" s="160"/>
      <c r="G682" s="160"/>
      <c r="H682" s="160"/>
      <c r="I682" s="160"/>
      <c r="J682" s="160"/>
    </row>
    <row r="683" spans="2:10" x14ac:dyDescent="0.15">
      <c r="B683" s="290"/>
      <c r="C683" s="210"/>
      <c r="D683" s="210"/>
      <c r="E683" s="93"/>
      <c r="F683" s="160"/>
      <c r="G683" s="160"/>
      <c r="H683" s="160"/>
      <c r="I683" s="160"/>
      <c r="J683" s="160"/>
    </row>
    <row r="684" spans="2:10" x14ac:dyDescent="0.15">
      <c r="B684" s="290"/>
      <c r="C684" s="210"/>
      <c r="D684" s="210"/>
      <c r="E684" s="93"/>
      <c r="F684" s="160"/>
      <c r="G684" s="160"/>
      <c r="H684" s="160"/>
      <c r="I684" s="160"/>
      <c r="J684" s="160"/>
    </row>
    <row r="685" spans="2:10" x14ac:dyDescent="0.15">
      <c r="B685" s="301"/>
      <c r="C685" s="210"/>
      <c r="D685" s="210"/>
      <c r="E685" s="93"/>
      <c r="F685" s="160"/>
      <c r="G685" s="160"/>
      <c r="H685" s="160"/>
      <c r="I685" s="160"/>
      <c r="J685" s="160"/>
    </row>
    <row r="686" spans="2:10" x14ac:dyDescent="0.15">
      <c r="B686" s="290"/>
      <c r="C686" s="210"/>
      <c r="D686" s="210"/>
      <c r="E686" s="93"/>
      <c r="F686" s="160"/>
      <c r="G686" s="160"/>
      <c r="H686" s="160"/>
      <c r="I686" s="160"/>
      <c r="J686" s="160"/>
    </row>
    <row r="687" spans="2:10" x14ac:dyDescent="0.15">
      <c r="B687" s="290"/>
      <c r="C687" s="210"/>
      <c r="D687" s="210"/>
      <c r="E687" s="93"/>
      <c r="F687" s="160"/>
      <c r="G687" s="160"/>
      <c r="H687" s="160"/>
      <c r="I687" s="160"/>
      <c r="J687" s="160"/>
    </row>
    <row r="688" spans="2:10" x14ac:dyDescent="0.15">
      <c r="B688" s="290"/>
      <c r="C688" s="210"/>
      <c r="D688" s="210"/>
      <c r="E688" s="93"/>
      <c r="F688" s="160"/>
      <c r="G688" s="160"/>
      <c r="H688" s="160"/>
      <c r="I688" s="160"/>
      <c r="J688" s="160"/>
    </row>
    <row r="689" spans="2:10" x14ac:dyDescent="0.15">
      <c r="B689" s="290"/>
      <c r="C689" s="210"/>
      <c r="D689" s="210"/>
      <c r="E689" s="93"/>
      <c r="F689" s="160"/>
      <c r="G689" s="160"/>
      <c r="H689" s="160"/>
      <c r="I689" s="160"/>
      <c r="J689" s="160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12</v>
      </c>
      <c r="C2" s="308" t="str">
        <f>CONCATENATE("Summary [ ",'Summary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0"/>
      <c r="T2" s="144" t="str">
        <f>$B$2</f>
        <v>cinema_track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12"/>
      <c r="AL2" s="164" t="str">
        <f>$B$2</f>
        <v>cinema_track</v>
      </c>
      <c r="AM2" s="302" t="s">
        <v>43</v>
      </c>
      <c r="AN2" s="273"/>
      <c r="AO2" s="273"/>
      <c r="AP2" s="273"/>
      <c r="AQ2" s="298"/>
      <c r="AR2" s="39"/>
      <c r="AS2" s="238"/>
      <c r="AT2" s="39"/>
    </row>
    <row r="3" spans="1:58" ht="13.5" customHeight="1" x14ac:dyDescent="0.3">
      <c r="B3" s="158"/>
      <c r="C3" s="215"/>
      <c r="D3" s="96"/>
      <c r="E3" s="239" t="s">
        <v>25</v>
      </c>
      <c r="F3" s="32" t="s">
        <v>44</v>
      </c>
      <c r="G3" s="216" t="s">
        <v>44</v>
      </c>
      <c r="H3" s="216" t="s">
        <v>44</v>
      </c>
      <c r="I3" s="216" t="s">
        <v>44</v>
      </c>
      <c r="J3" s="216" t="s">
        <v>44</v>
      </c>
      <c r="K3" s="216"/>
      <c r="L3" s="216"/>
      <c r="M3" s="216"/>
      <c r="N3" s="216"/>
      <c r="O3" s="240"/>
      <c r="P3" s="304" t="s">
        <v>45</v>
      </c>
      <c r="Q3" s="304" t="s">
        <v>46</v>
      </c>
      <c r="R3" s="310" t="s">
        <v>47</v>
      </c>
      <c r="S3" s="210"/>
      <c r="T3" s="142"/>
      <c r="U3" s="215"/>
      <c r="V3" s="96"/>
      <c r="W3" s="239" t="s">
        <v>25</v>
      </c>
      <c r="X3" s="32" t="s">
        <v>44</v>
      </c>
      <c r="Y3" s="216" t="s">
        <v>44</v>
      </c>
      <c r="Z3" s="216" t="s">
        <v>44</v>
      </c>
      <c r="AA3" s="216" t="s">
        <v>44</v>
      </c>
      <c r="AB3" s="216" t="s">
        <v>44</v>
      </c>
      <c r="AC3" s="216"/>
      <c r="AD3" s="216"/>
      <c r="AE3" s="216"/>
      <c r="AF3" s="216"/>
      <c r="AG3" s="240"/>
      <c r="AH3" s="304" t="s">
        <v>45</v>
      </c>
      <c r="AI3" s="304" t="s">
        <v>46</v>
      </c>
      <c r="AJ3" s="310" t="s">
        <v>47</v>
      </c>
      <c r="AK3" s="212"/>
      <c r="AL3" s="142"/>
      <c r="AM3" s="165"/>
      <c r="AN3" s="165"/>
      <c r="AO3" s="165"/>
      <c r="AP3" s="165"/>
      <c r="AQ3" s="166"/>
      <c r="AR3" s="44"/>
      <c r="AS3" s="52"/>
      <c r="AT3" s="21" t="s">
        <v>48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3"/>
      <c r="C4" s="212"/>
      <c r="D4" s="34"/>
      <c r="E4" s="241" t="s">
        <v>49</v>
      </c>
      <c r="F4" s="35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21"/>
      <c r="M4" s="121"/>
      <c r="N4" s="94"/>
      <c r="O4" s="242"/>
      <c r="P4" s="277"/>
      <c r="Q4" s="277"/>
      <c r="R4" s="311"/>
      <c r="S4" s="210"/>
      <c r="T4" s="143"/>
      <c r="U4" s="212"/>
      <c r="V4" s="34"/>
      <c r="W4" s="241" t="s">
        <v>49</v>
      </c>
      <c r="X4" s="35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4"/>
      <c r="AG4" s="242"/>
      <c r="AH4" s="277"/>
      <c r="AI4" s="277"/>
      <c r="AJ4" s="311"/>
      <c r="AK4" s="210"/>
      <c r="AL4" s="214"/>
      <c r="AM4" s="93" t="s">
        <v>23</v>
      </c>
      <c r="AN4" s="93" t="s">
        <v>34</v>
      </c>
      <c r="AO4" s="93" t="s">
        <v>37</v>
      </c>
      <c r="AP4" s="93" t="s">
        <v>40</v>
      </c>
      <c r="AQ4" s="167" t="s">
        <v>50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5"/>
      <c r="C5" s="27" t="s">
        <v>27</v>
      </c>
      <c r="D5" s="28"/>
      <c r="E5" s="128">
        <f>E23</f>
        <v>821713.39999999991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30.452036950793648</v>
      </c>
      <c r="G5" s="32">
        <f t="shared" si="0"/>
        <v>34.068256946031752</v>
      </c>
      <c r="H5" s="32">
        <f t="shared" si="0"/>
        <v>0.9672617974444444</v>
      </c>
      <c r="I5" s="93">
        <f t="shared" si="0"/>
        <v>0.97362388774603181</v>
      </c>
      <c r="J5" s="93">
        <f t="shared" si="0"/>
        <v>6.1379322865079369E-2</v>
      </c>
      <c r="K5" s="57"/>
      <c r="L5" s="57"/>
      <c r="M5" s="57"/>
      <c r="N5" s="28"/>
      <c r="O5" s="58"/>
      <c r="P5" s="133">
        <f t="shared" ref="P5:Q8" si="1">P16</f>
        <v>0</v>
      </c>
      <c r="Q5" s="154">
        <f t="shared" si="1"/>
        <v>0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0"/>
      <c r="T5" s="306"/>
      <c r="U5" s="27" t="s">
        <v>27</v>
      </c>
      <c r="V5" s="28"/>
      <c r="W5" s="129">
        <f>W16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2"/>
      <c r="AL5" s="161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3"/>
      <c r="AT5" s="21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9" t="s">
        <v>28</v>
      </c>
      <c r="D6" s="30"/>
      <c r="E6" s="159">
        <f>E24</f>
        <v>1189124.48</v>
      </c>
      <c r="F6" s="93">
        <f t="shared" si="0"/>
        <v>33.281688507936515</v>
      </c>
      <c r="G6" s="93">
        <f t="shared" si="0"/>
        <v>36.817575265079363</v>
      </c>
      <c r="H6" s="93">
        <f t="shared" si="0"/>
        <v>0.98004840450793673</v>
      </c>
      <c r="I6" s="93">
        <f t="shared" si="0"/>
        <v>0.98443768150793631</v>
      </c>
      <c r="J6" s="93">
        <f t="shared" si="0"/>
        <v>4.1767743874603178E-2</v>
      </c>
      <c r="K6" s="58"/>
      <c r="L6" s="58"/>
      <c r="M6" s="58"/>
      <c r="N6" s="30"/>
      <c r="O6" s="58"/>
      <c r="P6" s="133">
        <f t="shared" si="1"/>
        <v>0</v>
      </c>
      <c r="Q6" s="133">
        <f t="shared" si="1"/>
        <v>0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0"/>
      <c r="T6" s="294"/>
      <c r="U6" s="29" t="s">
        <v>28</v>
      </c>
      <c r="V6" s="30"/>
      <c r="W6" s="130">
        <f>W17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2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9" t="s">
        <v>29</v>
      </c>
      <c r="D7" s="30"/>
      <c r="E7" s="159">
        <f>E25</f>
        <v>1782121.648</v>
      </c>
      <c r="F7" s="93">
        <f t="shared" si="0"/>
        <v>36.535476895238084</v>
      </c>
      <c r="G7" s="93">
        <f t="shared" si="0"/>
        <v>40.458411261904757</v>
      </c>
      <c r="H7" s="93">
        <f t="shared" si="0"/>
        <v>0.98914582128571438</v>
      </c>
      <c r="I7" s="93">
        <f t="shared" si="0"/>
        <v>0.99231632271428571</v>
      </c>
      <c r="J7" s="93">
        <f t="shared" si="0"/>
        <v>2.5756665719047615E-2</v>
      </c>
      <c r="K7" s="58"/>
      <c r="L7" s="58"/>
      <c r="M7" s="58"/>
      <c r="N7" s="30"/>
      <c r="O7" s="58"/>
      <c r="P7" s="133">
        <f t="shared" si="1"/>
        <v>0</v>
      </c>
      <c r="Q7" s="133">
        <f t="shared" si="1"/>
        <v>0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0"/>
      <c r="T7" s="294"/>
      <c r="U7" s="29" t="s">
        <v>29</v>
      </c>
      <c r="V7" s="30"/>
      <c r="W7" s="130">
        <f>W18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2"/>
      <c r="AL7" s="161"/>
      <c r="AM7" s="249"/>
      <c r="AN7" s="250"/>
      <c r="AO7" s="162"/>
      <c r="AP7" s="162"/>
      <c r="AQ7" s="45"/>
      <c r="AR7" s="247"/>
      <c r="AS7" s="54"/>
      <c r="AT7" s="21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9" t="s">
        <v>31</v>
      </c>
      <c r="D8" s="30"/>
      <c r="E8" s="159">
        <f>E26</f>
        <v>2601331.2159999995</v>
      </c>
      <c r="F8" s="93">
        <f t="shared" si="0"/>
        <v>39.550670609523813</v>
      </c>
      <c r="G8" s="93">
        <f t="shared" si="0"/>
        <v>43.673801303174599</v>
      </c>
      <c r="H8" s="93">
        <f t="shared" si="0"/>
        <v>0.99376378057142867</v>
      </c>
      <c r="I8" s="93">
        <f t="shared" si="0"/>
        <v>0.9959687949999998</v>
      </c>
      <c r="J8" s="93">
        <f t="shared" si="0"/>
        <v>1.4191066442063492E-2</v>
      </c>
      <c r="K8" s="58"/>
      <c r="L8" s="58"/>
      <c r="M8" s="58"/>
      <c r="N8" s="30"/>
      <c r="O8" s="58"/>
      <c r="P8" s="133">
        <f t="shared" si="1"/>
        <v>0</v>
      </c>
      <c r="Q8" s="133">
        <f t="shared" si="1"/>
        <v>0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0"/>
      <c r="T8" s="294"/>
      <c r="U8" s="29" t="s">
        <v>31</v>
      </c>
      <c r="V8" s="30"/>
      <c r="W8" s="130">
        <f>W19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2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0"/>
      <c r="T9" s="294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2"/>
      <c r="AL9" s="161"/>
      <c r="AM9" s="47"/>
      <c r="AN9" s="153"/>
      <c r="AO9" s="153"/>
      <c r="AP9" s="153"/>
      <c r="AQ9" s="48"/>
      <c r="AR9" s="212"/>
      <c r="AS9" s="212"/>
      <c r="AT9" s="212"/>
      <c r="BF9" s="12"/>
    </row>
    <row r="10" spans="1:58" ht="13.5" customHeight="1" thickBot="1" x14ac:dyDescent="0.2">
      <c r="B10" s="156" t="s">
        <v>53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 t="e">
        <f>GEOMEAN(P5:P8)</f>
        <v>#NUM!</v>
      </c>
      <c r="Q10" s="157" t="e">
        <f>GEOMEAN(Q5:Q8)</f>
        <v>#NUM!</v>
      </c>
      <c r="R10" s="137" t="e">
        <f>AVERAGE(R5:R8)</f>
        <v>#DIV/0!</v>
      </c>
      <c r="S10" s="210"/>
      <c r="T10" s="156" t="s">
        <v>53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2"/>
      <c r="AL10" s="163"/>
      <c r="AM10" s="49"/>
      <c r="AN10" s="50"/>
      <c r="AO10" s="50"/>
      <c r="AP10" s="50"/>
      <c r="AQ10" s="51"/>
      <c r="AR10" s="212"/>
      <c r="AS10" s="212"/>
      <c r="AT10" s="212"/>
      <c r="BF10" s="12"/>
    </row>
    <row r="11" spans="1:58" ht="13.5" customHeight="1" x14ac:dyDescent="0.15">
      <c r="B11" s="210"/>
      <c r="C11" s="210"/>
      <c r="D11" s="210"/>
      <c r="E11" s="253"/>
      <c r="F11" s="93"/>
      <c r="G11" s="93"/>
      <c r="H11" s="93"/>
      <c r="I11" s="93"/>
      <c r="J11" s="93"/>
      <c r="K11" s="93"/>
      <c r="L11" s="210"/>
      <c r="M11" s="94"/>
      <c r="N11" s="94"/>
      <c r="O11" s="254"/>
      <c r="P11" s="93"/>
      <c r="Q11" s="93"/>
      <c r="R11" s="133"/>
      <c r="S11" s="210"/>
      <c r="T11" s="210"/>
      <c r="U11" s="210"/>
      <c r="V11" s="210"/>
      <c r="W11" s="253"/>
      <c r="X11" s="93"/>
      <c r="Y11" s="93"/>
      <c r="Z11" s="93"/>
      <c r="AA11" s="93"/>
      <c r="AB11" s="93"/>
      <c r="AC11" s="93"/>
      <c r="AD11" s="210"/>
      <c r="AE11" s="94"/>
      <c r="AF11" s="94"/>
      <c r="AG11" s="254"/>
      <c r="AH11" s="93"/>
      <c r="AI11" s="93"/>
      <c r="AJ11" s="133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BF11" s="12"/>
    </row>
    <row r="12" spans="1:58" ht="13.5" customHeight="1" thickBot="1" x14ac:dyDescent="0.2">
      <c r="B12" s="210"/>
      <c r="C12" s="210"/>
      <c r="D12" s="210"/>
      <c r="E12" s="253"/>
      <c r="F12" s="93"/>
      <c r="G12" s="93"/>
      <c r="H12" s="93"/>
      <c r="I12" s="93"/>
      <c r="J12" s="93"/>
      <c r="K12" s="93"/>
      <c r="L12" s="210"/>
      <c r="M12" s="94"/>
      <c r="N12" s="94"/>
      <c r="O12" s="254"/>
      <c r="P12" s="93"/>
      <c r="Q12" s="93"/>
      <c r="R12" s="133"/>
      <c r="S12" s="210"/>
      <c r="T12" s="210"/>
      <c r="U12" s="210"/>
      <c r="V12" s="210"/>
      <c r="W12" s="253"/>
      <c r="X12" s="93"/>
      <c r="Y12" s="93"/>
      <c r="Z12" s="93"/>
      <c r="AA12" s="93"/>
      <c r="AB12" s="93"/>
      <c r="AC12" s="93"/>
      <c r="AD12" s="210"/>
      <c r="AE12" s="94"/>
      <c r="AF12" s="94"/>
      <c r="AG12" s="254"/>
      <c r="AH12" s="93"/>
      <c r="AI12" s="93"/>
      <c r="AJ12" s="133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BF12" s="12"/>
    </row>
    <row r="13" spans="1:58" ht="16.2" customHeight="1" thickBot="1" x14ac:dyDescent="0.3">
      <c r="B13" s="152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3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8"/>
      <c r="C14" s="104"/>
      <c r="D14" s="104"/>
      <c r="E14" s="255" t="s">
        <v>54</v>
      </c>
      <c r="F14" s="138" t="s">
        <v>55</v>
      </c>
      <c r="G14" s="138" t="s">
        <v>56</v>
      </c>
      <c r="H14" s="138" t="s">
        <v>57</v>
      </c>
      <c r="I14" s="138" t="s">
        <v>58</v>
      </c>
      <c r="J14" s="138" t="s">
        <v>59</v>
      </c>
      <c r="K14" s="138" t="s">
        <v>60</v>
      </c>
      <c r="L14" s="138" t="s">
        <v>61</v>
      </c>
      <c r="M14" s="105" t="s">
        <v>62</v>
      </c>
      <c r="N14" s="105"/>
      <c r="O14" s="256"/>
      <c r="P14" s="105"/>
      <c r="Q14" s="106"/>
      <c r="R14" s="107"/>
      <c r="S14" s="212"/>
      <c r="T14" s="158"/>
      <c r="U14" s="104"/>
      <c r="V14" s="104"/>
      <c r="W14" s="255" t="s">
        <v>54</v>
      </c>
      <c r="X14" s="138" t="s">
        <v>55</v>
      </c>
      <c r="Y14" s="138" t="s">
        <v>56</v>
      </c>
      <c r="Z14" s="138" t="s">
        <v>57</v>
      </c>
      <c r="AA14" s="138" t="s">
        <v>58</v>
      </c>
      <c r="AB14" s="138" t="s">
        <v>59</v>
      </c>
      <c r="AC14" s="138" t="s">
        <v>60</v>
      </c>
      <c r="AD14" s="138" t="s">
        <v>61</v>
      </c>
      <c r="AE14" s="105" t="s">
        <v>62</v>
      </c>
      <c r="AF14" s="105"/>
      <c r="AG14" s="256"/>
      <c r="AH14" s="105"/>
      <c r="AI14" s="106"/>
      <c r="AJ14" s="107"/>
      <c r="AK14" s="212"/>
      <c r="AL14" s="21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5"/>
      <c r="O15" s="242"/>
      <c r="P15" s="217" t="s">
        <v>45</v>
      </c>
      <c r="Q15" s="217" t="s">
        <v>46</v>
      </c>
      <c r="R15" s="36"/>
      <c r="S15" s="210"/>
      <c r="T15" s="151"/>
      <c r="U15" s="34"/>
      <c r="V15" s="34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5"/>
      <c r="AG15" s="242"/>
      <c r="AH15" s="217" t="s">
        <v>45</v>
      </c>
      <c r="AI15" s="217" t="s">
        <v>46</v>
      </c>
      <c r="AJ15" s="36"/>
      <c r="AK15" s="210"/>
      <c r="AL15" s="210"/>
      <c r="AM15" s="93"/>
      <c r="AN15" s="93"/>
      <c r="AO15" s="93"/>
      <c r="AP15" s="210"/>
      <c r="AQ15" s="210"/>
      <c r="AR15" s="210"/>
      <c r="AS15" s="210"/>
      <c r="AT15" s="210"/>
      <c r="AZ15" s="17"/>
      <c r="BA15" s="17"/>
      <c r="BB15" s="213"/>
      <c r="BC15" s="213"/>
    </row>
    <row r="16" spans="1:58" ht="12.75" customHeight="1" x14ac:dyDescent="0.25">
      <c r="B16" s="307"/>
      <c r="C16" s="27" t="s">
        <v>27</v>
      </c>
      <c r="D16" s="28"/>
      <c r="E16" s="131">
        <v>138244.408</v>
      </c>
      <c r="F16" s="169">
        <v>173632.51199999999</v>
      </c>
      <c r="G16" s="169">
        <v>31074.792000000001</v>
      </c>
      <c r="H16" s="169">
        <v>10750</v>
      </c>
      <c r="I16" s="169">
        <v>4440.5519999999997</v>
      </c>
      <c r="J16" s="169">
        <v>257219.89600000001</v>
      </c>
      <c r="K16" s="62">
        <v>150870.56</v>
      </c>
      <c r="L16" s="62">
        <v>55480.679999999978</v>
      </c>
      <c r="M16" s="62">
        <v>0</v>
      </c>
      <c r="N16" s="57"/>
      <c r="O16" s="257"/>
      <c r="P16" s="132"/>
      <c r="Q16" s="132"/>
      <c r="R16" s="145"/>
      <c r="S16" s="210"/>
      <c r="T16" s="307"/>
      <c r="U16" s="27" t="s">
        <v>27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2"/>
      <c r="AL16" s="212"/>
      <c r="AP16" s="22"/>
      <c r="AQ16" s="22"/>
      <c r="AR16" s="212"/>
      <c r="AS16" s="212"/>
      <c r="AT16" s="212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4"/>
      <c r="C17" s="29" t="s">
        <v>28</v>
      </c>
      <c r="D17" s="30"/>
      <c r="E17" s="146">
        <v>138244.408</v>
      </c>
      <c r="F17" s="170">
        <v>229149.2</v>
      </c>
      <c r="G17" s="170">
        <v>112167.264</v>
      </c>
      <c r="H17" s="170">
        <v>56546.624000000003</v>
      </c>
      <c r="I17" s="170">
        <v>40727.64</v>
      </c>
      <c r="J17" s="170">
        <v>332757.39200000011</v>
      </c>
      <c r="K17" s="64">
        <v>205965.992</v>
      </c>
      <c r="L17" s="64">
        <v>73565.959999999992</v>
      </c>
      <c r="M17" s="64">
        <v>0</v>
      </c>
      <c r="N17" s="58"/>
      <c r="O17" s="243"/>
      <c r="P17" s="147"/>
      <c r="Q17" s="147"/>
      <c r="R17" s="148"/>
      <c r="S17" s="210"/>
      <c r="T17" s="294"/>
      <c r="U17" s="29" t="s">
        <v>28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2"/>
      <c r="AL17" s="212"/>
      <c r="AN17" s="22"/>
      <c r="AO17" s="22"/>
      <c r="AP17" s="22"/>
      <c r="AQ17" s="22"/>
      <c r="AR17" s="212"/>
      <c r="AS17" s="212"/>
      <c r="AT17" s="212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4"/>
      <c r="C18" s="29" t="s">
        <v>29</v>
      </c>
      <c r="D18" s="30"/>
      <c r="E18" s="146">
        <v>138244.408</v>
      </c>
      <c r="F18" s="170">
        <v>286773.12800000003</v>
      </c>
      <c r="G18" s="170">
        <v>243919.32800000001</v>
      </c>
      <c r="H18" s="170">
        <v>177501.70400000011</v>
      </c>
      <c r="I18" s="170">
        <v>169371.144</v>
      </c>
      <c r="J18" s="170">
        <v>410690.52799999987</v>
      </c>
      <c r="K18" s="64">
        <v>263431.91200000001</v>
      </c>
      <c r="L18" s="64">
        <v>92189.495999999985</v>
      </c>
      <c r="M18" s="64">
        <v>0</v>
      </c>
      <c r="N18" s="58"/>
      <c r="O18" s="243"/>
      <c r="P18" s="147"/>
      <c r="Q18" s="147"/>
      <c r="R18" s="148"/>
      <c r="S18" s="210"/>
      <c r="T18" s="294"/>
      <c r="U18" s="29" t="s">
        <v>29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2"/>
      <c r="AL18" s="212"/>
      <c r="AP18" s="22"/>
      <c r="AQ18" s="22"/>
      <c r="AR18" s="212"/>
      <c r="AS18" s="212"/>
      <c r="AT18" s="212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4"/>
      <c r="C19" s="29" t="s">
        <v>31</v>
      </c>
      <c r="D19" s="30"/>
      <c r="E19" s="146">
        <v>138244.408</v>
      </c>
      <c r="F19" s="170">
        <v>341860.51199999999</v>
      </c>
      <c r="G19" s="170">
        <v>396711.28</v>
      </c>
      <c r="H19" s="170">
        <v>377195.60799999989</v>
      </c>
      <c r="I19" s="170">
        <v>419921.84799999988</v>
      </c>
      <c r="J19" s="170">
        <v>491890.22399999999</v>
      </c>
      <c r="K19" s="64">
        <v>323954.91200000001</v>
      </c>
      <c r="L19" s="64">
        <v>111552.424</v>
      </c>
      <c r="M19" s="64">
        <v>0</v>
      </c>
      <c r="N19" s="58"/>
      <c r="O19" s="243"/>
      <c r="P19" s="147"/>
      <c r="Q19" s="147"/>
      <c r="R19" s="148"/>
      <c r="S19" s="210"/>
      <c r="T19" s="294"/>
      <c r="U19" s="29" t="s">
        <v>31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2"/>
      <c r="AL19" s="212"/>
      <c r="AN19" s="22"/>
      <c r="AO19" s="21"/>
      <c r="AP19" s="22"/>
      <c r="AQ19" s="22"/>
      <c r="AR19" s="212"/>
      <c r="AS19" s="212"/>
      <c r="AT19" s="212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4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0"/>
      <c r="T20" s="294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2"/>
      <c r="AL20" s="212"/>
      <c r="AN20" s="22"/>
      <c r="AO20" s="22"/>
      <c r="AP20" s="22"/>
      <c r="AQ20" s="22"/>
      <c r="AR20" s="212"/>
      <c r="AS20" s="212"/>
      <c r="AT20" s="212"/>
      <c r="AX20" s="12"/>
      <c r="AZ20" s="213"/>
      <c r="BA20" s="213"/>
      <c r="BD20" s="9"/>
    </row>
    <row r="21" spans="2:56" ht="13.5" customHeight="1" x14ac:dyDescent="0.15">
      <c r="B21" s="291"/>
      <c r="C21" s="96"/>
      <c r="D21" s="96"/>
      <c r="E21" s="239" t="s">
        <v>25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6"/>
      <c r="R21" s="33"/>
      <c r="S21" s="210"/>
      <c r="T21" s="291"/>
      <c r="U21" s="96"/>
      <c r="V21" s="96"/>
      <c r="W21" s="259" t="s">
        <v>25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6"/>
      <c r="AJ21" s="33"/>
      <c r="AK21" s="212"/>
      <c r="AL21" s="212"/>
      <c r="AP21" s="22"/>
      <c r="AQ21" s="22"/>
      <c r="AR21" s="211"/>
      <c r="AS21" s="211"/>
      <c r="AT21" s="211"/>
      <c r="AV21" s="289"/>
      <c r="AW21" s="290"/>
      <c r="AX21" s="290"/>
    </row>
    <row r="22" spans="2:56" s="8" customFormat="1" ht="13.5" customHeight="1" thickBot="1" x14ac:dyDescent="0.3">
      <c r="B22" s="292"/>
      <c r="C22" s="34"/>
      <c r="D22" s="34"/>
      <c r="E22" s="241" t="s">
        <v>49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7"/>
      <c r="R22" s="36"/>
      <c r="S22" s="210"/>
      <c r="T22" s="292"/>
      <c r="U22" s="34"/>
      <c r="V22" s="34"/>
      <c r="W22" s="260" t="s">
        <v>49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7"/>
      <c r="AJ22" s="36"/>
      <c r="AK22" s="210"/>
      <c r="AL22" s="210"/>
      <c r="AM22" s="93"/>
      <c r="AN22" s="93"/>
      <c r="AO22" s="93"/>
      <c r="AP22" s="210"/>
      <c r="AQ22" s="210"/>
      <c r="AR22" s="210"/>
      <c r="AS22" s="210"/>
      <c r="AT22" s="210"/>
      <c r="AZ22" s="213"/>
      <c r="BA22" s="56"/>
    </row>
    <row r="23" spans="2:56" ht="13.5" customHeight="1" x14ac:dyDescent="0.15">
      <c r="B23" s="305"/>
      <c r="C23" s="27" t="s">
        <v>27</v>
      </c>
      <c r="D23" s="28"/>
      <c r="E23" s="130">
        <f>SUM(E16:L16)</f>
        <v>821713.39999999991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0"/>
      <c r="T23" s="305"/>
      <c r="U23" s="27" t="s">
        <v>27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2"/>
      <c r="AL23" s="212"/>
      <c r="AM23" s="38"/>
      <c r="AN23" s="38"/>
      <c r="AO23" s="38"/>
      <c r="AP23" s="212"/>
      <c r="AQ23" s="212"/>
      <c r="AR23" s="212"/>
      <c r="AS23" s="212"/>
      <c r="AT23" s="212"/>
      <c r="AX23" s="12"/>
    </row>
    <row r="24" spans="2:56" x14ac:dyDescent="0.15">
      <c r="B24" s="294"/>
      <c r="C24" s="29" t="s">
        <v>28</v>
      </c>
      <c r="D24" s="30"/>
      <c r="E24" s="130">
        <f>SUM(E17:L17)</f>
        <v>1189124.48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0"/>
      <c r="T24" s="294"/>
      <c r="U24" s="29" t="s">
        <v>28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2"/>
      <c r="AL24" s="212"/>
      <c r="AM24" s="38"/>
      <c r="AN24" s="38"/>
      <c r="AO24" s="38"/>
      <c r="AP24" s="212"/>
      <c r="AQ24" s="212"/>
      <c r="AR24" s="212"/>
      <c r="AS24" s="212"/>
      <c r="AT24" s="212"/>
      <c r="AX24" s="12"/>
      <c r="AZ24" s="8"/>
      <c r="BA24" s="8"/>
    </row>
    <row r="25" spans="2:56" x14ac:dyDescent="0.15">
      <c r="B25" s="294"/>
      <c r="C25" s="29" t="s">
        <v>29</v>
      </c>
      <c r="D25" s="30"/>
      <c r="E25" s="130">
        <f>SUM(E18:L18)</f>
        <v>1782121.648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0"/>
      <c r="T25" s="294"/>
      <c r="U25" s="29" t="s">
        <v>29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  <c r="AX25" s="12"/>
    </row>
    <row r="26" spans="2:56" x14ac:dyDescent="0.15">
      <c r="B26" s="294"/>
      <c r="C26" s="29" t="s">
        <v>31</v>
      </c>
      <c r="D26" s="30"/>
      <c r="E26" s="130">
        <f>SUM(E19:L19)</f>
        <v>2601331.2159999995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0"/>
      <c r="T26" s="294"/>
      <c r="U26" s="29" t="s">
        <v>31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X26" s="12"/>
    </row>
    <row r="27" spans="2:56" ht="13.5" customHeight="1" thickBot="1" x14ac:dyDescent="0.2">
      <c r="B27" s="295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0"/>
      <c r="T27" s="295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2"/>
      <c r="AL27" s="212"/>
      <c r="AM27" s="212"/>
      <c r="AN27" s="212"/>
      <c r="AO27" s="212"/>
      <c r="AP27" s="212"/>
      <c r="AQ27" s="212"/>
      <c r="AR27" s="212"/>
      <c r="AS27" s="212"/>
      <c r="AT27" s="212"/>
      <c r="AX27" s="12"/>
    </row>
    <row r="28" spans="2:56" x14ac:dyDescent="0.15">
      <c r="B28" s="210"/>
      <c r="C28" s="210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0"/>
      <c r="T28" s="210"/>
      <c r="U28" s="210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2"/>
      <c r="AL28" s="212"/>
      <c r="AM28" s="212"/>
      <c r="AN28" s="212"/>
      <c r="AO28" s="212"/>
      <c r="AP28" s="212"/>
      <c r="AQ28" s="212"/>
      <c r="AR28" s="212"/>
      <c r="AS28" s="212"/>
      <c r="AT28" s="212"/>
      <c r="AX28" s="12"/>
    </row>
    <row r="29" spans="2:56" ht="13.5" customHeight="1" x14ac:dyDescent="0.15">
      <c r="B29" s="210"/>
      <c r="C29" s="210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54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210"/>
      <c r="AA29" s="210"/>
      <c r="AB29" s="210"/>
      <c r="AC29" s="210"/>
      <c r="AD29" s="210"/>
      <c r="AE29" s="210"/>
      <c r="AF29" s="210"/>
      <c r="AG29" s="254"/>
      <c r="AH29" s="210"/>
      <c r="AI29" s="210"/>
      <c r="AJ29" s="210"/>
      <c r="AK29" s="212"/>
      <c r="AL29" s="212"/>
      <c r="AM29" s="212"/>
      <c r="AN29" s="212"/>
      <c r="AO29" s="212"/>
      <c r="AP29" s="212"/>
      <c r="AQ29" s="212"/>
      <c r="AR29" s="212"/>
      <c r="AS29" s="212"/>
      <c r="AT29" s="212"/>
    </row>
    <row r="30" spans="2:56" ht="13.5" customHeight="1" thickBot="1" x14ac:dyDescent="0.2">
      <c r="B30" s="210"/>
      <c r="C30" s="210"/>
      <c r="D30" s="210"/>
      <c r="E30" s="253"/>
      <c r="F30" s="210"/>
      <c r="G30" s="210"/>
      <c r="H30" s="210"/>
      <c r="I30" s="210"/>
      <c r="J30" s="210"/>
      <c r="K30" s="210"/>
      <c r="L30" s="210"/>
      <c r="M30" s="210"/>
      <c r="N30" s="210"/>
      <c r="O30" s="254"/>
      <c r="P30" s="210"/>
      <c r="Q30" s="210"/>
      <c r="R30" s="210"/>
      <c r="S30" s="210"/>
      <c r="T30" s="210"/>
      <c r="U30" s="210"/>
      <c r="V30" s="210"/>
      <c r="W30" s="253"/>
      <c r="X30" s="210"/>
      <c r="Y30" s="210"/>
      <c r="Z30" s="210"/>
      <c r="AA30" s="210"/>
      <c r="AB30" s="210"/>
      <c r="AC30" s="210"/>
      <c r="AD30" s="210"/>
      <c r="AE30" s="210"/>
      <c r="AF30" s="210"/>
      <c r="AG30" s="254"/>
      <c r="AH30" s="210"/>
      <c r="AI30" s="210"/>
      <c r="AJ30" s="210"/>
      <c r="AK30" s="212"/>
      <c r="AL30" s="212"/>
      <c r="AM30" s="212"/>
      <c r="AN30" s="212"/>
      <c r="AO30" s="212"/>
      <c r="AP30" s="212"/>
      <c r="AQ30" s="212"/>
      <c r="AR30" s="212"/>
      <c r="AS30" s="212"/>
      <c r="AT30" s="212"/>
    </row>
    <row r="31" spans="2:56" ht="13.5" customHeight="1" thickBot="1" x14ac:dyDescent="0.3">
      <c r="B31" s="23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0"/>
      <c r="T31" s="23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12"/>
      <c r="AL31" s="212"/>
      <c r="AM31" s="309" t="s">
        <v>63</v>
      </c>
      <c r="AN31" s="283"/>
      <c r="AO31" s="283"/>
      <c r="AP31" s="283"/>
      <c r="AQ31" s="155"/>
      <c r="AR31" s="212"/>
      <c r="AS31" s="212"/>
      <c r="AT31" s="212"/>
    </row>
    <row r="32" spans="2:56" ht="13.5" customHeight="1" thickBot="1" x14ac:dyDescent="0.2">
      <c r="B32" s="26" t="s">
        <v>64</v>
      </c>
      <c r="C32" s="97"/>
      <c r="D32" s="97"/>
      <c r="E32" s="210"/>
      <c r="F32" s="24" t="s">
        <v>23</v>
      </c>
      <c r="G32" s="24" t="s">
        <v>34</v>
      </c>
      <c r="H32" s="24" t="s">
        <v>37</v>
      </c>
      <c r="I32" s="24" t="s">
        <v>40</v>
      </c>
      <c r="J32" s="24" t="s">
        <v>50</v>
      </c>
      <c r="K32" s="24"/>
      <c r="L32" s="121"/>
      <c r="M32" s="121"/>
      <c r="N32" s="24"/>
      <c r="O32" s="261"/>
      <c r="P32" s="24"/>
      <c r="Q32" s="24"/>
      <c r="R32" s="25" t="s">
        <v>47</v>
      </c>
      <c r="S32" s="210"/>
      <c r="T32" s="26" t="s">
        <v>64</v>
      </c>
      <c r="U32" s="97"/>
      <c r="V32" s="97"/>
      <c r="W32" s="210"/>
      <c r="X32" s="24" t="s">
        <v>23</v>
      </c>
      <c r="Y32" s="24" t="s">
        <v>34</v>
      </c>
      <c r="Z32" s="24" t="s">
        <v>37</v>
      </c>
      <c r="AA32" s="24" t="s">
        <v>40</v>
      </c>
      <c r="AB32" s="24" t="s">
        <v>50</v>
      </c>
      <c r="AC32" s="24"/>
      <c r="AD32" s="210"/>
      <c r="AE32" s="210"/>
      <c r="AF32" s="24"/>
      <c r="AG32" s="261"/>
      <c r="AH32" s="24"/>
      <c r="AI32" s="24"/>
      <c r="AJ32" s="25" t="s">
        <v>47</v>
      </c>
      <c r="AK32" s="212"/>
      <c r="AL32" s="26" t="s">
        <v>64</v>
      </c>
      <c r="AM32" s="101" t="s">
        <v>23</v>
      </c>
      <c r="AN32" s="32" t="s">
        <v>34</v>
      </c>
      <c r="AO32" s="32" t="s">
        <v>37</v>
      </c>
      <c r="AP32" s="32" t="s">
        <v>40</v>
      </c>
      <c r="AQ32" s="100" t="s">
        <v>50</v>
      </c>
      <c r="AR32" s="93"/>
      <c r="AS32" s="254"/>
      <c r="AT32" s="93"/>
    </row>
    <row r="33" spans="2:52" x14ac:dyDescent="0.15">
      <c r="B33" s="296" t="s">
        <v>65</v>
      </c>
      <c r="C33" s="27" t="s">
        <v>27</v>
      </c>
      <c r="D33" s="41"/>
      <c r="E33" s="57"/>
      <c r="F33" s="99">
        <v>28.152414633333319</v>
      </c>
      <c r="G33" s="99">
        <v>31.64819833333333</v>
      </c>
      <c r="H33" s="99">
        <v>0.96123721133333306</v>
      </c>
      <c r="I33" s="62">
        <v>0.9678347169999999</v>
      </c>
      <c r="J33" s="62">
        <v>7.5542787266666675E-2</v>
      </c>
      <c r="K33" s="63"/>
      <c r="L33" s="262"/>
      <c r="M33" s="262"/>
      <c r="N33" s="57"/>
      <c r="O33" s="28"/>
      <c r="P33" s="57"/>
      <c r="Q33" s="28"/>
      <c r="R33" s="134"/>
      <c r="S33" s="210"/>
      <c r="T33" s="296" t="s">
        <v>65</v>
      </c>
      <c r="U33" s="27" t="s">
        <v>27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2"/>
      <c r="AL33" s="296" t="s">
        <v>65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9" t="s">
        <v>28</v>
      </c>
      <c r="D34" s="191"/>
      <c r="E34" s="58"/>
      <c r="F34" s="192">
        <v>31.366383466666669</v>
      </c>
      <c r="G34" s="192">
        <v>34.878139233333322</v>
      </c>
      <c r="H34" s="192">
        <v>0.97801681266666685</v>
      </c>
      <c r="I34" s="64">
        <v>0.98195703999999995</v>
      </c>
      <c r="J34" s="64">
        <v>5.2218214899999983E-2</v>
      </c>
      <c r="K34" s="193"/>
      <c r="L34" s="263"/>
      <c r="M34" s="263"/>
      <c r="N34" s="58"/>
      <c r="O34" s="30"/>
      <c r="P34" s="58"/>
      <c r="Q34" s="30"/>
      <c r="R34" s="135"/>
      <c r="S34" s="210"/>
      <c r="T34" s="294"/>
      <c r="U34" s="29" t="s">
        <v>28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2"/>
      <c r="AL34" s="294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4"/>
      <c r="C35" s="29" t="s">
        <v>29</v>
      </c>
      <c r="D35" s="191"/>
      <c r="E35" s="58"/>
      <c r="F35" s="192">
        <v>34.863741566666661</v>
      </c>
      <c r="G35" s="192">
        <v>38.976689099999987</v>
      </c>
      <c r="H35" s="192">
        <v>0.98886279733333327</v>
      </c>
      <c r="I35" s="64">
        <v>0.9918194086666664</v>
      </c>
      <c r="J35" s="64">
        <v>2.9923755366666669E-2</v>
      </c>
      <c r="K35" s="193"/>
      <c r="L35" s="263"/>
      <c r="M35" s="263"/>
      <c r="N35" s="58"/>
      <c r="O35" s="30"/>
      <c r="P35" s="58"/>
      <c r="Q35" s="30"/>
      <c r="R35" s="135"/>
      <c r="S35" s="210"/>
      <c r="T35" s="294"/>
      <c r="U35" s="29" t="s">
        <v>29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2"/>
      <c r="AL35" s="294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4"/>
      <c r="C36" s="29" t="s">
        <v>31</v>
      </c>
      <c r="D36" s="191"/>
      <c r="E36" s="58"/>
      <c r="F36" s="192">
        <v>37.83487019999999</v>
      </c>
      <c r="G36" s="192">
        <v>42.150858433333333</v>
      </c>
      <c r="H36" s="192">
        <v>0.99367792299999991</v>
      </c>
      <c r="I36" s="64">
        <v>0.99585018933333325</v>
      </c>
      <c r="J36" s="64">
        <v>1.6508921283333328E-2</v>
      </c>
      <c r="K36" s="193"/>
      <c r="L36" s="263"/>
      <c r="M36" s="263"/>
      <c r="N36" s="58"/>
      <c r="O36" s="30"/>
      <c r="P36" s="58"/>
      <c r="Q36" s="30"/>
      <c r="R36" s="135"/>
      <c r="S36" s="210"/>
      <c r="T36" s="294"/>
      <c r="U36" s="29" t="s">
        <v>31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2"/>
      <c r="AL36" s="294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4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0"/>
      <c r="T37" s="294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2"/>
      <c r="AL37" s="294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6" t="s">
        <v>66</v>
      </c>
      <c r="C38" s="27" t="s">
        <v>27</v>
      </c>
      <c r="D38" s="41"/>
      <c r="E38" s="57"/>
      <c r="F38" s="99">
        <v>28.519987566666671</v>
      </c>
      <c r="G38" s="99">
        <v>32.246100866666673</v>
      </c>
      <c r="H38" s="99">
        <v>0.96299320500000007</v>
      </c>
      <c r="I38" s="62">
        <v>0.96831836599999999</v>
      </c>
      <c r="J38" s="62">
        <v>6.8098786200000011E-2</v>
      </c>
      <c r="K38" s="63"/>
      <c r="L38" s="262"/>
      <c r="M38" s="262"/>
      <c r="N38" s="57"/>
      <c r="O38" s="28"/>
      <c r="P38" s="57"/>
      <c r="Q38" s="28"/>
      <c r="R38" s="134"/>
      <c r="S38" s="210"/>
      <c r="T38" s="296" t="s">
        <v>66</v>
      </c>
      <c r="U38" s="27" t="s">
        <v>27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2"/>
      <c r="AL38" s="296" t="s">
        <v>66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4"/>
      <c r="C39" s="29" t="s">
        <v>28</v>
      </c>
      <c r="D39" s="191"/>
      <c r="E39" s="58"/>
      <c r="F39" s="192">
        <v>31.775984200000011</v>
      </c>
      <c r="G39" s="192">
        <v>35.368274566666663</v>
      </c>
      <c r="H39" s="192">
        <v>0.97830017133333336</v>
      </c>
      <c r="I39" s="64">
        <v>0.98199642466666692</v>
      </c>
      <c r="J39" s="64">
        <v>4.8052641766666689E-2</v>
      </c>
      <c r="K39" s="193"/>
      <c r="L39" s="263"/>
      <c r="M39" s="263"/>
      <c r="N39" s="58"/>
      <c r="O39" s="30"/>
      <c r="P39" s="58"/>
      <c r="Q39" s="30"/>
      <c r="R39" s="135"/>
      <c r="S39" s="210"/>
      <c r="T39" s="294"/>
      <c r="U39" s="29" t="s">
        <v>28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2"/>
      <c r="AL39" s="294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4"/>
      <c r="C40" s="29" t="s">
        <v>29</v>
      </c>
      <c r="D40" s="191"/>
      <c r="E40" s="58"/>
      <c r="F40" s="192">
        <v>35.200467699999997</v>
      </c>
      <c r="G40" s="192">
        <v>39.232725766666682</v>
      </c>
      <c r="H40" s="192">
        <v>0.98874816866666682</v>
      </c>
      <c r="I40" s="64">
        <v>0.99167130500000011</v>
      </c>
      <c r="J40" s="64">
        <v>2.8913891233333329E-2</v>
      </c>
      <c r="K40" s="193"/>
      <c r="L40" s="263"/>
      <c r="M40" s="263"/>
      <c r="N40" s="58"/>
      <c r="O40" s="30"/>
      <c r="P40" s="58"/>
      <c r="Q40" s="30"/>
      <c r="R40" s="135"/>
      <c r="S40" s="210"/>
      <c r="T40" s="294"/>
      <c r="U40" s="29" t="s">
        <v>29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2"/>
      <c r="AL40" s="294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4"/>
      <c r="C41" s="29" t="s">
        <v>31</v>
      </c>
      <c r="D41" s="191"/>
      <c r="E41" s="58"/>
      <c r="F41" s="192">
        <v>38.081701933333328</v>
      </c>
      <c r="G41" s="192">
        <v>42.318887900000007</v>
      </c>
      <c r="H41" s="192">
        <v>0.99362130999999998</v>
      </c>
      <c r="I41" s="64">
        <v>0.99578375233333338</v>
      </c>
      <c r="J41" s="64">
        <v>1.6386543699999999E-2</v>
      </c>
      <c r="K41" s="193"/>
      <c r="L41" s="263"/>
      <c r="M41" s="263"/>
      <c r="N41" s="58"/>
      <c r="O41" s="30"/>
      <c r="P41" s="58"/>
      <c r="Q41" s="30"/>
      <c r="R41" s="135"/>
      <c r="S41" s="210"/>
      <c r="T41" s="294"/>
      <c r="U41" s="29" t="s">
        <v>31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2"/>
      <c r="AL41" s="294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4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0"/>
      <c r="T42" s="294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2"/>
      <c r="AL42" s="294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6" t="s">
        <v>67</v>
      </c>
      <c r="C43" s="27" t="s">
        <v>27</v>
      </c>
      <c r="D43" s="41"/>
      <c r="E43" s="57"/>
      <c r="F43" s="99">
        <v>29.06645056666666</v>
      </c>
      <c r="G43" s="99">
        <v>32.715991366666657</v>
      </c>
      <c r="H43" s="99">
        <v>0.96381003600000004</v>
      </c>
      <c r="I43" s="62">
        <v>0.96931429233333333</v>
      </c>
      <c r="J43" s="62">
        <v>6.7011426499999999E-2</v>
      </c>
      <c r="K43" s="63"/>
      <c r="L43" s="262"/>
      <c r="M43" s="262"/>
      <c r="N43" s="57"/>
      <c r="O43" s="28"/>
      <c r="P43" s="57"/>
      <c r="Q43" s="28"/>
      <c r="R43" s="134"/>
      <c r="S43" s="210"/>
      <c r="T43" s="296" t="s">
        <v>67</v>
      </c>
      <c r="U43" s="27" t="s">
        <v>27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2"/>
      <c r="AL43" s="296" t="s">
        <v>67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4"/>
      <c r="C44" s="29" t="s">
        <v>28</v>
      </c>
      <c r="D44" s="191"/>
      <c r="E44" s="58"/>
      <c r="F44" s="192">
        <v>32.129311533333329</v>
      </c>
      <c r="G44" s="192">
        <v>35.714869000000007</v>
      </c>
      <c r="H44" s="192">
        <v>0.97844097466666669</v>
      </c>
      <c r="I44" s="64">
        <v>0.98212308800000003</v>
      </c>
      <c r="J44" s="64">
        <v>4.6785104166666668E-2</v>
      </c>
      <c r="K44" s="193"/>
      <c r="L44" s="263"/>
      <c r="M44" s="263"/>
      <c r="N44" s="58"/>
      <c r="O44" s="30"/>
      <c r="P44" s="58"/>
      <c r="Q44" s="30"/>
      <c r="R44" s="135"/>
      <c r="S44" s="210"/>
      <c r="T44" s="294"/>
      <c r="U44" s="29" t="s">
        <v>28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2"/>
      <c r="AL44" s="294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4"/>
      <c r="C45" s="29" t="s">
        <v>29</v>
      </c>
      <c r="D45" s="191"/>
      <c r="E45" s="58"/>
      <c r="F45" s="192">
        <v>35.395175166666682</v>
      </c>
      <c r="G45" s="192">
        <v>39.473683966666663</v>
      </c>
      <c r="H45" s="192">
        <v>0.98869091266666664</v>
      </c>
      <c r="I45" s="64">
        <v>0.99161420499999997</v>
      </c>
      <c r="J45" s="64">
        <v>2.9605894466666661E-2</v>
      </c>
      <c r="K45" s="193"/>
      <c r="L45" s="263"/>
      <c r="M45" s="263"/>
      <c r="N45" s="58"/>
      <c r="O45" s="30"/>
      <c r="P45" s="58"/>
      <c r="Q45" s="30"/>
      <c r="R45" s="135"/>
      <c r="S45" s="210"/>
      <c r="T45" s="294"/>
      <c r="U45" s="29" t="s">
        <v>29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2"/>
      <c r="AL45" s="294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4"/>
      <c r="C46" s="29" t="s">
        <v>31</v>
      </c>
      <c r="D46" s="191"/>
      <c r="E46" s="58"/>
      <c r="F46" s="192">
        <v>38.540822233333337</v>
      </c>
      <c r="G46" s="192">
        <v>42.796704433333318</v>
      </c>
      <c r="H46" s="192">
        <v>0.99363318599999984</v>
      </c>
      <c r="I46" s="64">
        <v>0.99575380800000013</v>
      </c>
      <c r="J46" s="64">
        <v>1.574489426666666E-2</v>
      </c>
      <c r="K46" s="193"/>
      <c r="L46" s="263"/>
      <c r="M46" s="263"/>
      <c r="N46" s="58"/>
      <c r="O46" s="30"/>
      <c r="P46" s="58"/>
      <c r="Q46" s="30"/>
      <c r="R46" s="135"/>
      <c r="S46" s="210"/>
      <c r="T46" s="294"/>
      <c r="U46" s="29" t="s">
        <v>31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2"/>
      <c r="AL46" s="294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4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0"/>
      <c r="T47" s="294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2"/>
      <c r="AL47" s="294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6" t="s">
        <v>68</v>
      </c>
      <c r="C48" s="27" t="s">
        <v>27</v>
      </c>
      <c r="D48" s="41"/>
      <c r="E48" s="57"/>
      <c r="F48" s="99">
        <v>29.709854233333321</v>
      </c>
      <c r="G48" s="99">
        <v>33.152642399999998</v>
      </c>
      <c r="H48" s="99">
        <v>0.96354431533333318</v>
      </c>
      <c r="I48" s="62">
        <v>0.96971438633333329</v>
      </c>
      <c r="J48" s="62">
        <v>6.1445537600000003E-2</v>
      </c>
      <c r="K48" s="63"/>
      <c r="L48" s="262"/>
      <c r="M48" s="262"/>
      <c r="N48" s="57"/>
      <c r="O48" s="28"/>
      <c r="P48" s="57"/>
      <c r="Q48" s="28"/>
      <c r="R48" s="134"/>
      <c r="S48" s="210"/>
      <c r="T48" s="296" t="s">
        <v>68</v>
      </c>
      <c r="U48" s="27" t="s">
        <v>27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2"/>
      <c r="AL48" s="296" t="s">
        <v>68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4"/>
      <c r="C49" s="29" t="s">
        <v>28</v>
      </c>
      <c r="D49" s="191"/>
      <c r="E49" s="58"/>
      <c r="F49" s="192">
        <v>32.857515133333337</v>
      </c>
      <c r="G49" s="192">
        <v>36.220103433333328</v>
      </c>
      <c r="H49" s="192">
        <v>0.9779639766666669</v>
      </c>
      <c r="I49" s="64">
        <v>0.98234039000000017</v>
      </c>
      <c r="J49" s="64">
        <v>4.1766556000000003E-2</v>
      </c>
      <c r="K49" s="193"/>
      <c r="L49" s="263"/>
      <c r="M49" s="263"/>
      <c r="N49" s="58"/>
      <c r="O49" s="30"/>
      <c r="P49" s="58"/>
      <c r="Q49" s="30"/>
      <c r="R49" s="135"/>
      <c r="S49" s="210"/>
      <c r="T49" s="294"/>
      <c r="U49" s="29" t="s">
        <v>28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2"/>
      <c r="AL49" s="294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4"/>
      <c r="C50" s="29" t="s">
        <v>29</v>
      </c>
      <c r="D50" s="191"/>
      <c r="E50" s="58"/>
      <c r="F50" s="192">
        <v>36.049788966666682</v>
      </c>
      <c r="G50" s="192">
        <v>40.017418733333329</v>
      </c>
      <c r="H50" s="192">
        <v>0.9882841446666667</v>
      </c>
      <c r="I50" s="64">
        <v>0.99137899366666671</v>
      </c>
      <c r="J50" s="64">
        <v>2.66331148E-2</v>
      </c>
      <c r="K50" s="193"/>
      <c r="L50" s="263"/>
      <c r="M50" s="263"/>
      <c r="N50" s="58"/>
      <c r="O50" s="30"/>
      <c r="P50" s="58"/>
      <c r="Q50" s="30"/>
      <c r="R50" s="135"/>
      <c r="S50" s="210"/>
      <c r="T50" s="294"/>
      <c r="U50" s="29" t="s">
        <v>29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2"/>
      <c r="AL50" s="294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4"/>
      <c r="C51" s="29" t="s">
        <v>31</v>
      </c>
      <c r="D51" s="191"/>
      <c r="E51" s="58"/>
      <c r="F51" s="192">
        <v>39.05281269999999</v>
      </c>
      <c r="G51" s="192">
        <v>43.262694600000003</v>
      </c>
      <c r="H51" s="192">
        <v>0.99348542833333342</v>
      </c>
      <c r="I51" s="64">
        <v>0.99559813699999988</v>
      </c>
      <c r="J51" s="64">
        <v>1.420797913333333E-2</v>
      </c>
      <c r="K51" s="193"/>
      <c r="L51" s="263"/>
      <c r="M51" s="263"/>
      <c r="N51" s="58"/>
      <c r="O51" s="30"/>
      <c r="P51" s="58"/>
      <c r="Q51" s="30"/>
      <c r="R51" s="135"/>
      <c r="S51" s="210"/>
      <c r="T51" s="294"/>
      <c r="U51" s="29" t="s">
        <v>31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2"/>
      <c r="AL51" s="294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4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0"/>
      <c r="T52" s="294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2"/>
      <c r="AL52" s="294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6" t="s">
        <v>69</v>
      </c>
      <c r="C53" s="27" t="s">
        <v>27</v>
      </c>
      <c r="D53" s="41"/>
      <c r="E53" s="57"/>
      <c r="F53" s="99">
        <v>29.507151933333329</v>
      </c>
      <c r="G53" s="99">
        <v>33.083349599999998</v>
      </c>
      <c r="H53" s="99">
        <v>0.96316380566666682</v>
      </c>
      <c r="I53" s="62">
        <v>0.96970830266666685</v>
      </c>
      <c r="J53" s="62">
        <v>6.1949361133333339E-2</v>
      </c>
      <c r="K53" s="63"/>
      <c r="L53" s="262"/>
      <c r="M53" s="262"/>
      <c r="N53" s="57"/>
      <c r="O53" s="28"/>
      <c r="P53" s="57"/>
      <c r="Q53" s="28"/>
      <c r="R53" s="134"/>
      <c r="S53" s="210"/>
      <c r="T53" s="296" t="s">
        <v>69</v>
      </c>
      <c r="U53" s="27" t="s">
        <v>27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2"/>
      <c r="AL53" s="296" t="s">
        <v>69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4"/>
      <c r="C54" s="29" t="s">
        <v>28</v>
      </c>
      <c r="D54" s="191"/>
      <c r="E54" s="58"/>
      <c r="F54" s="192">
        <v>32.694448100000002</v>
      </c>
      <c r="G54" s="192">
        <v>36.162754499999998</v>
      </c>
      <c r="H54" s="192">
        <v>0.97799151100000026</v>
      </c>
      <c r="I54" s="64">
        <v>0.98230268333333326</v>
      </c>
      <c r="J54" s="64">
        <v>4.126424426666666E-2</v>
      </c>
      <c r="K54" s="193"/>
      <c r="L54" s="263"/>
      <c r="M54" s="263"/>
      <c r="N54" s="58"/>
      <c r="O54" s="30"/>
      <c r="P54" s="58"/>
      <c r="Q54" s="30"/>
      <c r="R54" s="135"/>
      <c r="S54" s="210"/>
      <c r="T54" s="294"/>
      <c r="U54" s="29" t="s">
        <v>28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2"/>
      <c r="AL54" s="294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4"/>
      <c r="C55" s="29" t="s">
        <v>29</v>
      </c>
      <c r="D55" s="191"/>
      <c r="E55" s="58"/>
      <c r="F55" s="192">
        <v>36.130286866666673</v>
      </c>
      <c r="G55" s="192">
        <v>40.040702466666659</v>
      </c>
      <c r="H55" s="192">
        <v>0.98815126133333331</v>
      </c>
      <c r="I55" s="64">
        <v>0.99128826099999989</v>
      </c>
      <c r="J55" s="64">
        <v>2.571911456666667E-2</v>
      </c>
      <c r="K55" s="193"/>
      <c r="L55" s="263"/>
      <c r="M55" s="263"/>
      <c r="N55" s="58"/>
      <c r="O55" s="30"/>
      <c r="P55" s="58"/>
      <c r="Q55" s="30"/>
      <c r="R55" s="135"/>
      <c r="S55" s="210"/>
      <c r="T55" s="294"/>
      <c r="U55" s="29" t="s">
        <v>29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2"/>
      <c r="AL55" s="294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4"/>
      <c r="C56" s="29" t="s">
        <v>31</v>
      </c>
      <c r="D56" s="191"/>
      <c r="E56" s="58"/>
      <c r="F56" s="192">
        <v>39.24314489999999</v>
      </c>
      <c r="G56" s="192">
        <v>43.341586399999997</v>
      </c>
      <c r="H56" s="192">
        <v>0.99346047266666637</v>
      </c>
      <c r="I56" s="64">
        <v>0.99553496733333335</v>
      </c>
      <c r="J56" s="64">
        <v>1.308041888333333E-2</v>
      </c>
      <c r="K56" s="193"/>
      <c r="L56" s="263"/>
      <c r="M56" s="263"/>
      <c r="N56" s="58"/>
      <c r="O56" s="30"/>
      <c r="P56" s="58"/>
      <c r="Q56" s="30"/>
      <c r="R56" s="135"/>
      <c r="S56" s="210"/>
      <c r="T56" s="294"/>
      <c r="U56" s="29" t="s">
        <v>31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2"/>
      <c r="AL56" s="294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4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0"/>
      <c r="T57" s="294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2"/>
      <c r="AL57" s="294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6" t="s">
        <v>70</v>
      </c>
      <c r="C58" s="27" t="s">
        <v>27</v>
      </c>
      <c r="D58" s="41"/>
      <c r="E58" s="57"/>
      <c r="F58" s="99">
        <v>29.47341463333332</v>
      </c>
      <c r="G58" s="99">
        <v>33.089252166666668</v>
      </c>
      <c r="H58" s="99">
        <v>0.96298426800000014</v>
      </c>
      <c r="I58" s="62">
        <v>0.9697482449999999</v>
      </c>
      <c r="J58" s="62">
        <v>6.3254520033333345E-2</v>
      </c>
      <c r="K58" s="63"/>
      <c r="L58" s="262"/>
      <c r="M58" s="262"/>
      <c r="N58" s="57"/>
      <c r="O58" s="28"/>
      <c r="P58" s="57"/>
      <c r="Q58" s="28"/>
      <c r="R58" s="134"/>
      <c r="S58" s="210"/>
      <c r="T58" s="296" t="s">
        <v>70</v>
      </c>
      <c r="U58" s="27" t="s">
        <v>27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2"/>
      <c r="AL58" s="296" t="s">
        <v>70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4"/>
      <c r="C59" s="29" t="s">
        <v>28</v>
      </c>
      <c r="D59" s="191"/>
      <c r="E59" s="58"/>
      <c r="F59" s="192">
        <v>32.661522599999998</v>
      </c>
      <c r="G59" s="192">
        <v>36.1498931</v>
      </c>
      <c r="H59" s="192">
        <v>0.97815964766666663</v>
      </c>
      <c r="I59" s="64">
        <v>0.98253532233333318</v>
      </c>
      <c r="J59" s="64">
        <v>4.2207530566666672E-2</v>
      </c>
      <c r="K59" s="193"/>
      <c r="L59" s="263"/>
      <c r="M59" s="263"/>
      <c r="N59" s="58"/>
      <c r="O59" s="30"/>
      <c r="P59" s="58"/>
      <c r="Q59" s="30"/>
      <c r="R59" s="135"/>
      <c r="S59" s="210"/>
      <c r="T59" s="294"/>
      <c r="U59" s="29" t="s">
        <v>28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2"/>
      <c r="AL59" s="294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4"/>
      <c r="C60" s="29" t="s">
        <v>29</v>
      </c>
      <c r="D60" s="191"/>
      <c r="E60" s="58"/>
      <c r="F60" s="192">
        <v>36.17777113333333</v>
      </c>
      <c r="G60" s="192">
        <v>40.062598933333327</v>
      </c>
      <c r="H60" s="192">
        <v>0.98834425766666645</v>
      </c>
      <c r="I60" s="64">
        <v>0.9913527860000001</v>
      </c>
      <c r="J60" s="64">
        <v>2.58389025E-2</v>
      </c>
      <c r="K60" s="193"/>
      <c r="L60" s="263"/>
      <c r="M60" s="263"/>
      <c r="N60" s="58"/>
      <c r="O60" s="30"/>
      <c r="P60" s="58"/>
      <c r="Q60" s="30"/>
      <c r="R60" s="135"/>
      <c r="S60" s="210"/>
      <c r="T60" s="294"/>
      <c r="U60" s="29" t="s">
        <v>29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2"/>
      <c r="AL60" s="294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4"/>
      <c r="C61" s="29" t="s">
        <v>31</v>
      </c>
      <c r="D61" s="191"/>
      <c r="E61" s="58"/>
      <c r="F61" s="192">
        <v>39.571934833333337</v>
      </c>
      <c r="G61" s="192">
        <v>43.579574899999997</v>
      </c>
      <c r="H61" s="192">
        <v>0.99359030933333337</v>
      </c>
      <c r="I61" s="64">
        <v>0.99559415433333365</v>
      </c>
      <c r="J61" s="64">
        <v>1.249427286666667E-2</v>
      </c>
      <c r="K61" s="193"/>
      <c r="L61" s="263"/>
      <c r="M61" s="263"/>
      <c r="N61" s="58"/>
      <c r="O61" s="30"/>
      <c r="P61" s="58"/>
      <c r="Q61" s="30"/>
      <c r="R61" s="135"/>
      <c r="S61" s="210"/>
      <c r="T61" s="294"/>
      <c r="U61" s="29" t="s">
        <v>31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2"/>
      <c r="AL61" s="294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4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0"/>
      <c r="T62" s="294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2"/>
      <c r="AL62" s="294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6" t="s">
        <v>71</v>
      </c>
      <c r="C63" s="27" t="s">
        <v>27</v>
      </c>
      <c r="D63" s="41"/>
      <c r="E63" s="57"/>
      <c r="F63" s="99">
        <v>29.6617946</v>
      </c>
      <c r="G63" s="99">
        <v>33.399149800000004</v>
      </c>
      <c r="H63" s="99">
        <v>0.96191362200000008</v>
      </c>
      <c r="I63" s="62">
        <v>0.97011112933333321</v>
      </c>
      <c r="J63" s="62">
        <v>6.3724309900000012E-2</v>
      </c>
      <c r="K63" s="63"/>
      <c r="L63" s="262"/>
      <c r="M63" s="262"/>
      <c r="N63" s="57"/>
      <c r="O63" s="28"/>
      <c r="P63" s="57"/>
      <c r="Q63" s="28"/>
      <c r="R63" s="134"/>
      <c r="S63" s="210"/>
      <c r="T63" s="296" t="s">
        <v>71</v>
      </c>
      <c r="U63" s="27" t="s">
        <v>27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2"/>
      <c r="AL63" s="296" t="s">
        <v>71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4"/>
      <c r="C64" s="29" t="s">
        <v>28</v>
      </c>
      <c r="D64" s="191"/>
      <c r="E64" s="58"/>
      <c r="F64" s="192">
        <v>33.076627366666671</v>
      </c>
      <c r="G64" s="192">
        <v>36.489401000000001</v>
      </c>
      <c r="H64" s="192">
        <v>0.97785817266666675</v>
      </c>
      <c r="I64" s="64">
        <v>0.98273823966666674</v>
      </c>
      <c r="J64" s="64">
        <v>4.1456432533333337E-2</v>
      </c>
      <c r="K64" s="193"/>
      <c r="L64" s="263"/>
      <c r="M64" s="263"/>
      <c r="N64" s="58"/>
      <c r="O64" s="30"/>
      <c r="P64" s="58"/>
      <c r="Q64" s="30"/>
      <c r="R64" s="135"/>
      <c r="S64" s="210"/>
      <c r="T64" s="294"/>
      <c r="U64" s="29" t="s">
        <v>28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2"/>
      <c r="AL64" s="294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4"/>
      <c r="C65" s="29" t="s">
        <v>29</v>
      </c>
      <c r="D65" s="191"/>
      <c r="E65" s="58"/>
      <c r="F65" s="192">
        <v>36.631868066666662</v>
      </c>
      <c r="G65" s="192">
        <v>40.364587099999987</v>
      </c>
      <c r="H65" s="192">
        <v>0.98844150133333342</v>
      </c>
      <c r="I65" s="64">
        <v>0.99156617133333325</v>
      </c>
      <c r="J65" s="64">
        <v>2.4938457266666669E-2</v>
      </c>
      <c r="K65" s="193"/>
      <c r="L65" s="263"/>
      <c r="M65" s="263"/>
      <c r="N65" s="58"/>
      <c r="O65" s="30"/>
      <c r="P65" s="58"/>
      <c r="Q65" s="30"/>
      <c r="R65" s="135"/>
      <c r="S65" s="210"/>
      <c r="T65" s="294"/>
      <c r="U65" s="29" t="s">
        <v>29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2"/>
      <c r="AL65" s="294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9" t="s">
        <v>31</v>
      </c>
      <c r="D66" s="191"/>
      <c r="E66" s="58"/>
      <c r="F66" s="192">
        <v>40.151744466666671</v>
      </c>
      <c r="G66" s="192">
        <v>43.955264666666679</v>
      </c>
      <c r="H66" s="192">
        <v>0.99365787699999986</v>
      </c>
      <c r="I66" s="64">
        <v>0.99570826400000001</v>
      </c>
      <c r="J66" s="64">
        <v>1.1873580133333341E-2</v>
      </c>
      <c r="K66" s="193"/>
      <c r="L66" s="263"/>
      <c r="M66" s="263"/>
      <c r="N66" s="58"/>
      <c r="O66" s="30"/>
      <c r="P66" s="58"/>
      <c r="Q66" s="30"/>
      <c r="R66" s="135"/>
      <c r="S66" s="210"/>
      <c r="T66" s="294"/>
      <c r="U66" s="29" t="s">
        <v>31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2"/>
      <c r="AL66" s="294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4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0"/>
      <c r="T67" s="294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2"/>
      <c r="AL67" s="294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6" t="s">
        <v>72</v>
      </c>
      <c r="C68" s="27" t="s">
        <v>27</v>
      </c>
      <c r="D68" s="41"/>
      <c r="E68" s="57"/>
      <c r="F68" s="99">
        <v>29.30170223333333</v>
      </c>
      <c r="G68" s="99">
        <v>32.823891233333327</v>
      </c>
      <c r="H68" s="99">
        <v>0.96390087000000013</v>
      </c>
      <c r="I68" s="62">
        <v>0.96958305533333322</v>
      </c>
      <c r="J68" s="62">
        <v>6.498995963333333E-2</v>
      </c>
      <c r="K68" s="63"/>
      <c r="L68" s="262"/>
      <c r="M68" s="262"/>
      <c r="N68" s="57"/>
      <c r="O68" s="28"/>
      <c r="P68" s="57"/>
      <c r="Q68" s="28"/>
      <c r="R68" s="134"/>
      <c r="S68" s="210"/>
      <c r="T68" s="296" t="s">
        <v>72</v>
      </c>
      <c r="U68" s="27" t="s">
        <v>27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2"/>
      <c r="AL68" s="296" t="s">
        <v>72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4"/>
      <c r="C69" s="29" t="s">
        <v>28</v>
      </c>
      <c r="D69" s="191"/>
      <c r="E69" s="58"/>
      <c r="F69" s="192">
        <v>32.28577536666667</v>
      </c>
      <c r="G69" s="192">
        <v>35.908898033333337</v>
      </c>
      <c r="H69" s="192">
        <v>0.9788521046666665</v>
      </c>
      <c r="I69" s="64">
        <v>0.98292498133333339</v>
      </c>
      <c r="J69" s="64">
        <v>4.3578749333333333E-2</v>
      </c>
      <c r="K69" s="193"/>
      <c r="L69" s="263"/>
      <c r="M69" s="263"/>
      <c r="N69" s="58"/>
      <c r="O69" s="30"/>
      <c r="P69" s="58"/>
      <c r="Q69" s="30"/>
      <c r="R69" s="135"/>
      <c r="S69" s="210"/>
      <c r="T69" s="294"/>
      <c r="U69" s="29" t="s">
        <v>28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2"/>
      <c r="AL69" s="294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4"/>
      <c r="C70" s="29" t="s">
        <v>29</v>
      </c>
      <c r="D70" s="191"/>
      <c r="E70" s="58"/>
      <c r="F70" s="192">
        <v>35.467953233333333</v>
      </c>
      <c r="G70" s="192">
        <v>39.624630533333338</v>
      </c>
      <c r="H70" s="192">
        <v>0.98904940199999991</v>
      </c>
      <c r="I70" s="64">
        <v>0.99198100433333314</v>
      </c>
      <c r="J70" s="64">
        <v>2.610143299999999E-2</v>
      </c>
      <c r="K70" s="193"/>
      <c r="L70" s="263"/>
      <c r="M70" s="263"/>
      <c r="N70" s="58"/>
      <c r="O70" s="30"/>
      <c r="P70" s="58"/>
      <c r="Q70" s="30"/>
      <c r="R70" s="135"/>
      <c r="S70" s="210"/>
      <c r="T70" s="294"/>
      <c r="U70" s="29" t="s">
        <v>29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2"/>
      <c r="AL70" s="294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4"/>
      <c r="C71" s="29" t="s">
        <v>31</v>
      </c>
      <c r="D71" s="191"/>
      <c r="E71" s="58"/>
      <c r="F71" s="192">
        <v>38.081831000000001</v>
      </c>
      <c r="G71" s="192">
        <v>42.489343066666677</v>
      </c>
      <c r="H71" s="192">
        <v>0.99369648633333341</v>
      </c>
      <c r="I71" s="64">
        <v>0.99583444366666674</v>
      </c>
      <c r="J71" s="64">
        <v>1.5727557283333339E-2</v>
      </c>
      <c r="K71" s="193"/>
      <c r="L71" s="263"/>
      <c r="M71" s="263"/>
      <c r="N71" s="58"/>
      <c r="O71" s="30"/>
      <c r="P71" s="58"/>
      <c r="Q71" s="30"/>
      <c r="R71" s="135"/>
      <c r="S71" s="210"/>
      <c r="T71" s="294"/>
      <c r="U71" s="29" t="s">
        <v>31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2"/>
      <c r="AL71" s="294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4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0"/>
      <c r="T72" s="294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2"/>
      <c r="AL72" s="294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6" t="s">
        <v>73</v>
      </c>
      <c r="C73" s="27" t="s">
        <v>27</v>
      </c>
      <c r="D73" s="41"/>
      <c r="E73" s="57"/>
      <c r="F73" s="99">
        <v>30.03289023333333</v>
      </c>
      <c r="G73" s="99">
        <v>33.764108499999999</v>
      </c>
      <c r="H73" s="99">
        <v>0.9659040710000002</v>
      </c>
      <c r="I73" s="62">
        <v>0.97049685166666688</v>
      </c>
      <c r="J73" s="62">
        <v>5.7665377300000001E-2</v>
      </c>
      <c r="K73" s="63"/>
      <c r="L73" s="262"/>
      <c r="M73" s="262"/>
      <c r="N73" s="57"/>
      <c r="O73" s="28"/>
      <c r="P73" s="57"/>
      <c r="Q73" s="28"/>
      <c r="R73" s="134"/>
      <c r="S73" s="210"/>
      <c r="T73" s="296" t="s">
        <v>73</v>
      </c>
      <c r="U73" s="27" t="s">
        <v>27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2"/>
      <c r="AL73" s="296" t="s">
        <v>73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4"/>
      <c r="C74" s="29" t="s">
        <v>28</v>
      </c>
      <c r="D74" s="191"/>
      <c r="E74" s="58"/>
      <c r="F74" s="192">
        <v>32.817768466666671</v>
      </c>
      <c r="G74" s="192">
        <v>36.541565033333328</v>
      </c>
      <c r="H74" s="192">
        <v>0.97927727699999989</v>
      </c>
      <c r="I74" s="64">
        <v>0.98312168666666655</v>
      </c>
      <c r="J74" s="64">
        <v>3.8859738166666671E-2</v>
      </c>
      <c r="K74" s="193"/>
      <c r="L74" s="263"/>
      <c r="M74" s="263"/>
      <c r="N74" s="58"/>
      <c r="O74" s="30"/>
      <c r="P74" s="58"/>
      <c r="Q74" s="30"/>
      <c r="R74" s="135"/>
      <c r="S74" s="210"/>
      <c r="T74" s="294"/>
      <c r="U74" s="29" t="s">
        <v>28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2"/>
      <c r="AL74" s="294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4"/>
      <c r="C75" s="29" t="s">
        <v>29</v>
      </c>
      <c r="D75" s="191"/>
      <c r="E75" s="58"/>
      <c r="F75" s="192">
        <v>36.145042266666657</v>
      </c>
      <c r="G75" s="192">
        <v>40.165069033333339</v>
      </c>
      <c r="H75" s="192">
        <v>0.98898393000000029</v>
      </c>
      <c r="I75" s="64">
        <v>0.99191742166666663</v>
      </c>
      <c r="J75" s="64">
        <v>2.3373196466666669E-2</v>
      </c>
      <c r="K75" s="193"/>
      <c r="L75" s="263"/>
      <c r="M75" s="263"/>
      <c r="N75" s="58"/>
      <c r="O75" s="30"/>
      <c r="P75" s="58"/>
      <c r="Q75" s="30"/>
      <c r="R75" s="135"/>
      <c r="S75" s="210"/>
      <c r="T75" s="294"/>
      <c r="U75" s="29" t="s">
        <v>29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2"/>
      <c r="AL75" s="294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4"/>
      <c r="C76" s="29" t="s">
        <v>31</v>
      </c>
      <c r="D76" s="191"/>
      <c r="E76" s="58"/>
      <c r="F76" s="192">
        <v>38.516421866666647</v>
      </c>
      <c r="G76" s="192">
        <v>42.841263966666673</v>
      </c>
      <c r="H76" s="192">
        <v>0.99370984033333332</v>
      </c>
      <c r="I76" s="64">
        <v>0.99585715066666658</v>
      </c>
      <c r="J76" s="64">
        <v>1.5139429166666669E-2</v>
      </c>
      <c r="K76" s="193"/>
      <c r="L76" s="263"/>
      <c r="M76" s="263"/>
      <c r="N76" s="58"/>
      <c r="O76" s="30"/>
      <c r="P76" s="58"/>
      <c r="Q76" s="30"/>
      <c r="R76" s="135"/>
      <c r="S76" s="210"/>
      <c r="T76" s="294"/>
      <c r="U76" s="29" t="s">
        <v>31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2"/>
      <c r="AL76" s="294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4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0"/>
      <c r="T77" s="294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2"/>
      <c r="AL77" s="294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6" t="s">
        <v>74</v>
      </c>
      <c r="C78" s="27" t="s">
        <v>27</v>
      </c>
      <c r="D78" s="41"/>
      <c r="E78" s="57"/>
      <c r="F78" s="99">
        <v>30.099863333333339</v>
      </c>
      <c r="G78" s="99">
        <v>33.737601900000001</v>
      </c>
      <c r="H78" s="99">
        <v>0.96729033199999992</v>
      </c>
      <c r="I78" s="62">
        <v>0.97178717199999953</v>
      </c>
      <c r="J78" s="62">
        <v>6.0447775133333333E-2</v>
      </c>
      <c r="K78" s="63"/>
      <c r="L78" s="262"/>
      <c r="M78" s="262"/>
      <c r="N78" s="57"/>
      <c r="O78" s="28"/>
      <c r="P78" s="57"/>
      <c r="Q78" s="28"/>
      <c r="R78" s="134"/>
      <c r="S78" s="210"/>
      <c r="T78" s="296" t="s">
        <v>74</v>
      </c>
      <c r="U78" s="27" t="s">
        <v>27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2"/>
      <c r="AL78" s="296" t="s">
        <v>74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4"/>
      <c r="C79" s="29" t="s">
        <v>28</v>
      </c>
      <c r="D79" s="191"/>
      <c r="E79" s="58"/>
      <c r="F79" s="192">
        <v>32.773071899999998</v>
      </c>
      <c r="G79" s="192">
        <v>36.536884666666658</v>
      </c>
      <c r="H79" s="192">
        <v>0.97985617000000003</v>
      </c>
      <c r="I79" s="64">
        <v>0.98355335699999991</v>
      </c>
      <c r="J79" s="64">
        <v>4.1353184999999987E-2</v>
      </c>
      <c r="K79" s="193"/>
      <c r="L79" s="263"/>
      <c r="M79" s="263"/>
      <c r="N79" s="58"/>
      <c r="O79" s="30"/>
      <c r="P79" s="58"/>
      <c r="Q79" s="30"/>
      <c r="R79" s="135"/>
      <c r="S79" s="210"/>
      <c r="T79" s="294"/>
      <c r="U79" s="29" t="s">
        <v>28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2"/>
      <c r="AL79" s="294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4"/>
      <c r="C80" s="29" t="s">
        <v>29</v>
      </c>
      <c r="D80" s="191"/>
      <c r="E80" s="58"/>
      <c r="F80" s="192">
        <v>35.913417333333342</v>
      </c>
      <c r="G80" s="192">
        <v>40.143182233333327</v>
      </c>
      <c r="H80" s="192">
        <v>0.98909921133333323</v>
      </c>
      <c r="I80" s="64">
        <v>0.99195368766666669</v>
      </c>
      <c r="J80" s="64">
        <v>2.6949692500000001E-2</v>
      </c>
      <c r="K80" s="193"/>
      <c r="L80" s="263"/>
      <c r="M80" s="263"/>
      <c r="N80" s="58"/>
      <c r="O80" s="30"/>
      <c r="P80" s="58"/>
      <c r="Q80" s="30"/>
      <c r="R80" s="135"/>
      <c r="S80" s="210"/>
      <c r="T80" s="294"/>
      <c r="U80" s="29" t="s">
        <v>29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2"/>
      <c r="AL80" s="294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4"/>
      <c r="C81" s="29" t="s">
        <v>31</v>
      </c>
      <c r="D81" s="191"/>
      <c r="E81" s="58"/>
      <c r="F81" s="192">
        <v>38.845704333333337</v>
      </c>
      <c r="G81" s="192">
        <v>43.243703766666677</v>
      </c>
      <c r="H81" s="192">
        <v>0.99376495366666673</v>
      </c>
      <c r="I81" s="64">
        <v>0.9958276783333333</v>
      </c>
      <c r="J81" s="64">
        <v>1.508233893333333E-2</v>
      </c>
      <c r="K81" s="193"/>
      <c r="L81" s="263"/>
      <c r="M81" s="263"/>
      <c r="N81" s="58"/>
      <c r="O81" s="30"/>
      <c r="P81" s="58"/>
      <c r="Q81" s="30"/>
      <c r="R81" s="135"/>
      <c r="S81" s="210"/>
      <c r="T81" s="294"/>
      <c r="U81" s="29" t="s">
        <v>31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2"/>
      <c r="AL81" s="294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4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0"/>
      <c r="T82" s="294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2"/>
      <c r="AL82" s="294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93" t="s">
        <v>75</v>
      </c>
      <c r="C83" s="27" t="s">
        <v>27</v>
      </c>
      <c r="D83" s="41"/>
      <c r="E83" s="57"/>
      <c r="F83" s="99">
        <v>30.641663866666661</v>
      </c>
      <c r="G83" s="99">
        <v>33.942092299999999</v>
      </c>
      <c r="H83" s="99">
        <v>0.96820960266666678</v>
      </c>
      <c r="I83" s="62">
        <v>0.97321314033333328</v>
      </c>
      <c r="J83" s="62">
        <v>5.7006925100000008E-2</v>
      </c>
      <c r="K83" s="63"/>
      <c r="L83" s="262"/>
      <c r="M83" s="262"/>
      <c r="N83" s="57"/>
      <c r="O83" s="28"/>
      <c r="P83" s="57"/>
      <c r="Q83" s="28"/>
      <c r="R83" s="134"/>
      <c r="S83" s="210"/>
      <c r="T83" s="293" t="s">
        <v>75</v>
      </c>
      <c r="U83" s="27" t="s">
        <v>27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2"/>
      <c r="AL83" s="293" t="s">
        <v>75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4"/>
      <c r="C84" s="29" t="s">
        <v>28</v>
      </c>
      <c r="D84" s="191"/>
      <c r="E84" s="58"/>
      <c r="F84" s="192">
        <v>33.568774033333327</v>
      </c>
      <c r="G84" s="192">
        <v>36.912676433333317</v>
      </c>
      <c r="H84" s="192">
        <v>0.98026529866666656</v>
      </c>
      <c r="I84" s="64">
        <v>0.98431047033333341</v>
      </c>
      <c r="J84" s="64">
        <v>3.8743298566666681E-2</v>
      </c>
      <c r="K84" s="193"/>
      <c r="L84" s="263"/>
      <c r="M84" s="263"/>
      <c r="N84" s="58"/>
      <c r="O84" s="30"/>
      <c r="P84" s="58"/>
      <c r="Q84" s="30"/>
      <c r="R84" s="135"/>
      <c r="S84" s="210"/>
      <c r="T84" s="294"/>
      <c r="U84" s="29" t="s">
        <v>28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2"/>
      <c r="AL84" s="294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4"/>
      <c r="C85" s="29" t="s">
        <v>29</v>
      </c>
      <c r="D85" s="191"/>
      <c r="E85" s="58"/>
      <c r="F85" s="192">
        <v>36.483409333333327</v>
      </c>
      <c r="G85" s="192">
        <v>40.533770233333343</v>
      </c>
      <c r="H85" s="192">
        <v>0.98892008233333317</v>
      </c>
      <c r="I85" s="64">
        <v>0.9920468870000001</v>
      </c>
      <c r="J85" s="64">
        <v>2.5143915199999999E-2</v>
      </c>
      <c r="K85" s="193"/>
      <c r="L85" s="263"/>
      <c r="M85" s="263"/>
      <c r="N85" s="58"/>
      <c r="O85" s="30"/>
      <c r="P85" s="58"/>
      <c r="Q85" s="30"/>
      <c r="R85" s="135"/>
      <c r="S85" s="210"/>
      <c r="T85" s="294"/>
      <c r="U85" s="29" t="s">
        <v>29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2"/>
      <c r="AL85" s="294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4"/>
      <c r="C86" s="29" t="s">
        <v>31</v>
      </c>
      <c r="D86" s="191"/>
      <c r="E86" s="58"/>
      <c r="F86" s="192">
        <v>39.272215499999987</v>
      </c>
      <c r="G86" s="192">
        <v>43.544834666666659</v>
      </c>
      <c r="H86" s="192">
        <v>0.99359218066666688</v>
      </c>
      <c r="I86" s="64">
        <v>0.99569536666666647</v>
      </c>
      <c r="J86" s="64">
        <v>1.3806278283333331E-2</v>
      </c>
      <c r="K86" s="193"/>
      <c r="L86" s="263"/>
      <c r="M86" s="263"/>
      <c r="N86" s="58"/>
      <c r="O86" s="30"/>
      <c r="P86" s="58"/>
      <c r="Q86" s="30"/>
      <c r="R86" s="135"/>
      <c r="S86" s="210"/>
      <c r="T86" s="294"/>
      <c r="U86" s="29" t="s">
        <v>31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2"/>
      <c r="AL86" s="294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5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0"/>
      <c r="T87" s="295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2"/>
      <c r="AL87" s="295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93" t="s">
        <v>76</v>
      </c>
      <c r="C88" s="27" t="s">
        <v>27</v>
      </c>
      <c r="D88" s="41"/>
      <c r="E88" s="57"/>
      <c r="F88" s="99">
        <v>30.560270333333332</v>
      </c>
      <c r="G88" s="99">
        <v>34.079400366666668</v>
      </c>
      <c r="H88" s="99">
        <v>0.96862938199999993</v>
      </c>
      <c r="I88" s="62">
        <v>0.97331464966666636</v>
      </c>
      <c r="J88" s="62">
        <v>5.5772741899999992E-2</v>
      </c>
      <c r="K88" s="63"/>
      <c r="L88" s="262"/>
      <c r="M88" s="262"/>
      <c r="N88" s="57"/>
      <c r="O88" s="28"/>
      <c r="P88" s="57"/>
      <c r="Q88" s="28"/>
      <c r="R88" s="134"/>
      <c r="S88" s="210"/>
      <c r="T88" s="293" t="s">
        <v>76</v>
      </c>
      <c r="U88" s="27" t="s">
        <v>27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2"/>
      <c r="AL88" s="293" t="s">
        <v>76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4"/>
      <c r="C89" s="29" t="s">
        <v>28</v>
      </c>
      <c r="D89" s="191"/>
      <c r="E89" s="58"/>
      <c r="F89" s="192">
        <v>33.575046999999998</v>
      </c>
      <c r="G89" s="192">
        <v>37.011756666666663</v>
      </c>
      <c r="H89" s="192">
        <v>0.98059662999999986</v>
      </c>
      <c r="I89" s="64">
        <v>0.98440869099999995</v>
      </c>
      <c r="J89" s="64">
        <v>3.746480256666667E-2</v>
      </c>
      <c r="K89" s="193"/>
      <c r="L89" s="263"/>
      <c r="M89" s="263"/>
      <c r="N89" s="58"/>
      <c r="O89" s="30"/>
      <c r="P89" s="58"/>
      <c r="Q89" s="30"/>
      <c r="R89" s="135"/>
      <c r="S89" s="210"/>
      <c r="T89" s="294"/>
      <c r="U89" s="29" t="s">
        <v>28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2"/>
      <c r="AL89" s="294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4"/>
      <c r="C90" s="29" t="s">
        <v>29</v>
      </c>
      <c r="D90" s="191"/>
      <c r="E90" s="58"/>
      <c r="F90" s="192">
        <v>36.855581999999991</v>
      </c>
      <c r="G90" s="192">
        <v>40.785454599999987</v>
      </c>
      <c r="H90" s="192">
        <v>0.9890582606666668</v>
      </c>
      <c r="I90" s="64">
        <v>0.99206450066666674</v>
      </c>
      <c r="J90" s="64">
        <v>2.3341719766666661E-2</v>
      </c>
      <c r="K90" s="193"/>
      <c r="L90" s="263"/>
      <c r="M90" s="263"/>
      <c r="N90" s="58"/>
      <c r="O90" s="30"/>
      <c r="P90" s="58"/>
      <c r="Q90" s="30"/>
      <c r="R90" s="135"/>
      <c r="S90" s="210"/>
      <c r="T90" s="294"/>
      <c r="U90" s="29" t="s">
        <v>29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2"/>
      <c r="AL90" s="294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4"/>
      <c r="C91" s="29" t="s">
        <v>31</v>
      </c>
      <c r="D91" s="191"/>
      <c r="E91" s="58"/>
      <c r="F91" s="192">
        <v>39.689534399999999</v>
      </c>
      <c r="G91" s="192">
        <v>43.870830366666667</v>
      </c>
      <c r="H91" s="192">
        <v>0.99376500133333356</v>
      </c>
      <c r="I91" s="64">
        <v>0.99583251299999997</v>
      </c>
      <c r="J91" s="64">
        <v>1.2816660983333341E-2</v>
      </c>
      <c r="K91" s="193"/>
      <c r="L91" s="263"/>
      <c r="M91" s="263"/>
      <c r="N91" s="58"/>
      <c r="O91" s="30"/>
      <c r="P91" s="58"/>
      <c r="Q91" s="30"/>
      <c r="R91" s="135"/>
      <c r="S91" s="210"/>
      <c r="T91" s="294"/>
      <c r="U91" s="29" t="s">
        <v>31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2"/>
      <c r="AL91" s="294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5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0"/>
      <c r="T92" s="295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2"/>
      <c r="AL92" s="295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93" t="s">
        <v>77</v>
      </c>
      <c r="C93" s="27" t="s">
        <v>27</v>
      </c>
      <c r="D93" s="41"/>
      <c r="E93" s="57"/>
      <c r="F93" s="99">
        <v>30.560770733333339</v>
      </c>
      <c r="G93" s="99">
        <v>34.240931633333339</v>
      </c>
      <c r="H93" s="99">
        <v>0.96868651033333342</v>
      </c>
      <c r="I93" s="62">
        <v>0.9737190699999998</v>
      </c>
      <c r="J93" s="62">
        <v>5.7370172300000001E-2</v>
      </c>
      <c r="K93" s="63"/>
      <c r="L93" s="262"/>
      <c r="M93" s="262"/>
      <c r="N93" s="57"/>
      <c r="O93" s="28"/>
      <c r="P93" s="57"/>
      <c r="Q93" s="28"/>
      <c r="R93" s="134"/>
      <c r="S93" s="210"/>
      <c r="T93" s="293" t="s">
        <v>77</v>
      </c>
      <c r="U93" s="27" t="s">
        <v>27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2"/>
      <c r="AL93" s="293" t="s">
        <v>77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4"/>
      <c r="C94" s="29" t="s">
        <v>28</v>
      </c>
      <c r="D94" s="191"/>
      <c r="E94" s="58"/>
      <c r="F94" s="192">
        <v>33.477243033333338</v>
      </c>
      <c r="G94" s="192">
        <v>37.08826693333333</v>
      </c>
      <c r="H94" s="192">
        <v>0.98082225266666667</v>
      </c>
      <c r="I94" s="64">
        <v>0.98480158266666662</v>
      </c>
      <c r="J94" s="64">
        <v>3.8733936599999998E-2</v>
      </c>
      <c r="K94" s="193"/>
      <c r="L94" s="263"/>
      <c r="M94" s="263"/>
      <c r="N94" s="58"/>
      <c r="O94" s="30"/>
      <c r="P94" s="58"/>
      <c r="Q94" s="30"/>
      <c r="R94" s="135"/>
      <c r="S94" s="210"/>
      <c r="T94" s="294"/>
      <c r="U94" s="29" t="s">
        <v>28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2"/>
      <c r="AL94" s="294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4"/>
      <c r="C95" s="29" t="s">
        <v>29</v>
      </c>
      <c r="D95" s="191"/>
      <c r="E95" s="58"/>
      <c r="F95" s="192">
        <v>36.864687699999998</v>
      </c>
      <c r="G95" s="192">
        <v>40.785709266666679</v>
      </c>
      <c r="H95" s="192">
        <v>0.98931328033333321</v>
      </c>
      <c r="I95" s="64">
        <v>0.99223422099999992</v>
      </c>
      <c r="J95" s="64">
        <v>2.334820453333333E-2</v>
      </c>
      <c r="K95" s="193"/>
      <c r="L95" s="263"/>
      <c r="M95" s="263"/>
      <c r="N95" s="58"/>
      <c r="O95" s="30"/>
      <c r="P95" s="58"/>
      <c r="Q95" s="30"/>
      <c r="R95" s="135"/>
      <c r="S95" s="210"/>
      <c r="T95" s="294"/>
      <c r="U95" s="29" t="s">
        <v>29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2"/>
      <c r="AL95" s="294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4"/>
      <c r="C96" s="29" t="s">
        <v>31</v>
      </c>
      <c r="D96" s="191"/>
      <c r="E96" s="58"/>
      <c r="F96" s="192">
        <v>40.052741733333328</v>
      </c>
      <c r="G96" s="192">
        <v>44.166700033333328</v>
      </c>
      <c r="H96" s="192">
        <v>0.99392563133333334</v>
      </c>
      <c r="I96" s="64">
        <v>0.9959328513333332</v>
      </c>
      <c r="J96" s="64">
        <v>1.2299640383333329E-2</v>
      </c>
      <c r="K96" s="193"/>
      <c r="L96" s="263"/>
      <c r="M96" s="263"/>
      <c r="N96" s="58"/>
      <c r="O96" s="30"/>
      <c r="P96" s="58"/>
      <c r="Q96" s="30"/>
      <c r="R96" s="135"/>
      <c r="S96" s="210"/>
      <c r="T96" s="294"/>
      <c r="U96" s="29" t="s">
        <v>31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2"/>
      <c r="AL96" s="294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5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0"/>
      <c r="T97" s="295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2"/>
      <c r="AL97" s="295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93" t="s">
        <v>78</v>
      </c>
      <c r="C98" s="27" t="s">
        <v>27</v>
      </c>
      <c r="D98" s="41"/>
      <c r="E98" s="57"/>
      <c r="F98" s="99">
        <v>30.919591633333329</v>
      </c>
      <c r="G98" s="99">
        <v>34.79266616666667</v>
      </c>
      <c r="H98" s="99">
        <v>0.96778442066666648</v>
      </c>
      <c r="I98" s="62">
        <v>0.97383810900000001</v>
      </c>
      <c r="J98" s="62">
        <v>5.6282485333333333E-2</v>
      </c>
      <c r="K98" s="63"/>
      <c r="L98" s="262"/>
      <c r="M98" s="262"/>
      <c r="N98" s="57"/>
      <c r="O98" s="28"/>
      <c r="P98" s="57"/>
      <c r="Q98" s="28"/>
      <c r="R98" s="134"/>
      <c r="S98" s="210"/>
      <c r="T98" s="293" t="s">
        <v>78</v>
      </c>
      <c r="U98" s="27" t="s">
        <v>27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2"/>
      <c r="AL98" s="293" t="s">
        <v>78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4"/>
      <c r="C99" s="29" t="s">
        <v>28</v>
      </c>
      <c r="D99" s="191"/>
      <c r="E99" s="58"/>
      <c r="F99" s="192">
        <v>34.114314633333343</v>
      </c>
      <c r="G99" s="192">
        <v>37.630652366666673</v>
      </c>
      <c r="H99" s="192">
        <v>0.98049817166666675</v>
      </c>
      <c r="I99" s="64">
        <v>0.98489815900000011</v>
      </c>
      <c r="J99" s="64">
        <v>3.7115929266666667E-2</v>
      </c>
      <c r="K99" s="193"/>
      <c r="L99" s="263"/>
      <c r="M99" s="263"/>
      <c r="N99" s="58"/>
      <c r="O99" s="30"/>
      <c r="P99" s="58"/>
      <c r="Q99" s="30"/>
      <c r="R99" s="135"/>
      <c r="S99" s="210"/>
      <c r="T99" s="294"/>
      <c r="U99" s="29" t="s">
        <v>28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2"/>
      <c r="AL99" s="294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4"/>
      <c r="C100" s="29" t="s">
        <v>29</v>
      </c>
      <c r="D100" s="191"/>
      <c r="E100" s="58"/>
      <c r="F100" s="192">
        <v>37.476604366666663</v>
      </c>
      <c r="G100" s="192">
        <v>41.178896433333328</v>
      </c>
      <c r="H100" s="192">
        <v>0.98937266666666657</v>
      </c>
      <c r="I100" s="64">
        <v>0.99240513933333319</v>
      </c>
      <c r="J100" s="64">
        <v>2.207871396666667E-2</v>
      </c>
      <c r="K100" s="193"/>
      <c r="L100" s="263"/>
      <c r="M100" s="263"/>
      <c r="N100" s="58"/>
      <c r="O100" s="30"/>
      <c r="P100" s="58"/>
      <c r="Q100" s="30"/>
      <c r="R100" s="135"/>
      <c r="S100" s="210"/>
      <c r="T100" s="294"/>
      <c r="U100" s="29" t="s">
        <v>29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2"/>
      <c r="AL100" s="294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4"/>
      <c r="C101" s="29" t="s">
        <v>31</v>
      </c>
      <c r="D101" s="191"/>
      <c r="E101" s="58"/>
      <c r="F101" s="192">
        <v>40.773107833333327</v>
      </c>
      <c r="G101" s="192">
        <v>44.63146303333334</v>
      </c>
      <c r="H101" s="192">
        <v>0.99400559099999997</v>
      </c>
      <c r="I101" s="64">
        <v>0.99605424666666686</v>
      </c>
      <c r="J101" s="64">
        <v>1.1405834016666659E-2</v>
      </c>
      <c r="K101" s="193"/>
      <c r="L101" s="263"/>
      <c r="M101" s="263"/>
      <c r="N101" s="58"/>
      <c r="O101" s="30"/>
      <c r="P101" s="58"/>
      <c r="Q101" s="30"/>
      <c r="R101" s="135"/>
      <c r="S101" s="210"/>
      <c r="T101" s="294"/>
      <c r="U101" s="29" t="s">
        <v>31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2"/>
      <c r="AL101" s="294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5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0"/>
      <c r="T102" s="295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2"/>
      <c r="AL102" s="295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93" t="s">
        <v>79</v>
      </c>
      <c r="C103" s="27" t="s">
        <v>27</v>
      </c>
      <c r="D103" s="41"/>
      <c r="E103" s="57"/>
      <c r="F103" s="99">
        <v>31.132450166666668</v>
      </c>
      <c r="G103" s="99">
        <v>34.696395633333331</v>
      </c>
      <c r="H103" s="99">
        <v>0.96934151466666663</v>
      </c>
      <c r="I103" s="62">
        <v>0.97730324499999999</v>
      </c>
      <c r="J103" s="62">
        <v>6.6442091333333328E-2</v>
      </c>
      <c r="K103" s="63"/>
      <c r="L103" s="262"/>
      <c r="M103" s="262"/>
      <c r="N103" s="57"/>
      <c r="O103" s="28"/>
      <c r="P103" s="57"/>
      <c r="Q103" s="28"/>
      <c r="R103" s="134"/>
      <c r="S103" s="210"/>
      <c r="T103" s="293" t="s">
        <v>79</v>
      </c>
      <c r="U103" s="27" t="s">
        <v>27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2"/>
      <c r="AL103" s="293" t="s">
        <v>79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4"/>
      <c r="C104" s="29" t="s">
        <v>28</v>
      </c>
      <c r="D104" s="191"/>
      <c r="E104" s="58"/>
      <c r="F104" s="192">
        <v>33.793874466666672</v>
      </c>
      <c r="G104" s="192">
        <v>37.306481066666677</v>
      </c>
      <c r="H104" s="192">
        <v>0.98132702966666696</v>
      </c>
      <c r="I104" s="64">
        <v>0.98671846766666649</v>
      </c>
      <c r="J104" s="64">
        <v>4.4616237966666673E-2</v>
      </c>
      <c r="K104" s="193"/>
      <c r="L104" s="263"/>
      <c r="M104" s="263"/>
      <c r="N104" s="58"/>
      <c r="O104" s="30"/>
      <c r="P104" s="58"/>
      <c r="Q104" s="30"/>
      <c r="R104" s="135"/>
      <c r="S104" s="210"/>
      <c r="T104" s="294"/>
      <c r="U104" s="29" t="s">
        <v>28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2"/>
      <c r="AL104" s="294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4"/>
      <c r="C105" s="29" t="s">
        <v>29</v>
      </c>
      <c r="D105" s="191"/>
      <c r="E105" s="58"/>
      <c r="F105" s="192">
        <v>36.493953266666658</v>
      </c>
      <c r="G105" s="192">
        <v>40.535634266666669</v>
      </c>
      <c r="H105" s="192">
        <v>0.98980466999999972</v>
      </c>
      <c r="I105" s="64">
        <v>0.9932411053333331</v>
      </c>
      <c r="J105" s="64">
        <v>2.7981390133333339E-2</v>
      </c>
      <c r="K105" s="193"/>
      <c r="L105" s="263"/>
      <c r="M105" s="263"/>
      <c r="N105" s="58"/>
      <c r="O105" s="30"/>
      <c r="P105" s="58"/>
      <c r="Q105" s="30"/>
      <c r="R105" s="135"/>
      <c r="S105" s="210"/>
      <c r="T105" s="294"/>
      <c r="U105" s="29" t="s">
        <v>29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2"/>
      <c r="AL105" s="294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4"/>
      <c r="C106" s="29" t="s">
        <v>31</v>
      </c>
      <c r="D106" s="191"/>
      <c r="E106" s="58"/>
      <c r="F106" s="192">
        <v>39.189532233333338</v>
      </c>
      <c r="G106" s="192">
        <v>43.479836466666669</v>
      </c>
      <c r="H106" s="192">
        <v>0.99383577366666698</v>
      </c>
      <c r="I106" s="64">
        <v>0.9962546453333333</v>
      </c>
      <c r="J106" s="64">
        <v>1.67594717E-2</v>
      </c>
      <c r="K106" s="193"/>
      <c r="L106" s="263"/>
      <c r="M106" s="263"/>
      <c r="N106" s="58"/>
      <c r="O106" s="30"/>
      <c r="P106" s="58"/>
      <c r="Q106" s="30"/>
      <c r="R106" s="135"/>
      <c r="S106" s="210"/>
      <c r="T106" s="294"/>
      <c r="U106" s="29" t="s">
        <v>31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2"/>
      <c r="AL106" s="294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5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0"/>
      <c r="T107" s="295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2"/>
      <c r="AL107" s="295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93" t="s">
        <v>80</v>
      </c>
      <c r="C108" s="27" t="s">
        <v>27</v>
      </c>
      <c r="D108" s="41"/>
      <c r="E108" s="57"/>
      <c r="F108" s="99">
        <v>31.57877353333334</v>
      </c>
      <c r="G108" s="99">
        <v>35.196174499999991</v>
      </c>
      <c r="H108" s="99">
        <v>0.97099610233333344</v>
      </c>
      <c r="I108" s="62">
        <v>0.97849191400000035</v>
      </c>
      <c r="J108" s="62">
        <v>5.9666613100000002E-2</v>
      </c>
      <c r="K108" s="63"/>
      <c r="L108" s="262"/>
      <c r="M108" s="262"/>
      <c r="N108" s="57"/>
      <c r="O108" s="28"/>
      <c r="P108" s="57"/>
      <c r="Q108" s="28"/>
      <c r="R108" s="134"/>
      <c r="S108" s="210"/>
      <c r="T108" s="293" t="s">
        <v>80</v>
      </c>
      <c r="U108" s="27" t="s">
        <v>27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2"/>
      <c r="AL108" s="293" t="s">
        <v>80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4"/>
      <c r="C109" s="29" t="s">
        <v>28</v>
      </c>
      <c r="D109" s="191"/>
      <c r="E109" s="58"/>
      <c r="F109" s="192">
        <v>34.33387849999999</v>
      </c>
      <c r="G109" s="192">
        <v>37.773853133333319</v>
      </c>
      <c r="H109" s="192">
        <v>0.98182053300000005</v>
      </c>
      <c r="I109" s="64">
        <v>0.98695265099999996</v>
      </c>
      <c r="J109" s="64">
        <v>4.0062429966666667E-2</v>
      </c>
      <c r="K109" s="193"/>
      <c r="L109" s="263"/>
      <c r="M109" s="263"/>
      <c r="N109" s="58"/>
      <c r="O109" s="30"/>
      <c r="P109" s="58"/>
      <c r="Q109" s="30"/>
      <c r="R109" s="135"/>
      <c r="S109" s="210"/>
      <c r="T109" s="294"/>
      <c r="U109" s="29" t="s">
        <v>28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2"/>
      <c r="AL109" s="294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4"/>
      <c r="C110" s="29" t="s">
        <v>29</v>
      </c>
      <c r="D110" s="191"/>
      <c r="E110" s="58"/>
      <c r="F110" s="192">
        <v>37.406710399999987</v>
      </c>
      <c r="G110" s="192">
        <v>41.211766199999992</v>
      </c>
      <c r="H110" s="192">
        <v>0.98984917599999989</v>
      </c>
      <c r="I110" s="64">
        <v>0.9932671076666667</v>
      </c>
      <c r="J110" s="64">
        <v>2.50908473E-2</v>
      </c>
      <c r="K110" s="193"/>
      <c r="L110" s="263"/>
      <c r="M110" s="263"/>
      <c r="N110" s="58"/>
      <c r="O110" s="30"/>
      <c r="P110" s="58"/>
      <c r="Q110" s="30"/>
      <c r="R110" s="135"/>
      <c r="S110" s="210"/>
      <c r="T110" s="294"/>
      <c r="U110" s="29" t="s">
        <v>29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2"/>
      <c r="AL110" s="294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4"/>
      <c r="C111" s="29" t="s">
        <v>31</v>
      </c>
      <c r="D111" s="191"/>
      <c r="E111" s="58"/>
      <c r="F111" s="192">
        <v>39.604840766666683</v>
      </c>
      <c r="G111" s="192">
        <v>43.833308733333332</v>
      </c>
      <c r="H111" s="192">
        <v>0.99388519866666647</v>
      </c>
      <c r="I111" s="64">
        <v>0.99625628066666649</v>
      </c>
      <c r="J111" s="64">
        <v>1.6588079566666671E-2</v>
      </c>
      <c r="K111" s="193"/>
      <c r="L111" s="263"/>
      <c r="M111" s="263"/>
      <c r="N111" s="58"/>
      <c r="O111" s="30"/>
      <c r="P111" s="58"/>
      <c r="Q111" s="30"/>
      <c r="R111" s="135"/>
      <c r="S111" s="210"/>
      <c r="T111" s="294"/>
      <c r="U111" s="29" t="s">
        <v>31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2"/>
      <c r="AL111" s="294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5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0"/>
      <c r="T112" s="295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2"/>
      <c r="AL112" s="295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93" t="s">
        <v>81</v>
      </c>
      <c r="C113" s="27" t="s">
        <v>27</v>
      </c>
      <c r="D113" s="41"/>
      <c r="E113" s="57"/>
      <c r="F113" s="99">
        <v>31.496848100000001</v>
      </c>
      <c r="G113" s="99">
        <v>35.089184300000007</v>
      </c>
      <c r="H113" s="99">
        <v>0.97163499999999992</v>
      </c>
      <c r="I113" s="62">
        <v>0.97921066499999976</v>
      </c>
      <c r="J113" s="62">
        <v>6.273042840000001E-2</v>
      </c>
      <c r="K113" s="63"/>
      <c r="L113" s="262"/>
      <c r="M113" s="262"/>
      <c r="N113" s="57"/>
      <c r="O113" s="28"/>
      <c r="P113" s="57"/>
      <c r="Q113" s="28"/>
      <c r="R113" s="134"/>
      <c r="S113" s="210"/>
      <c r="T113" s="293" t="s">
        <v>81</v>
      </c>
      <c r="U113" s="27" t="s">
        <v>27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2"/>
      <c r="AL113" s="293" t="s">
        <v>81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4"/>
      <c r="C114" s="29" t="s">
        <v>28</v>
      </c>
      <c r="D114" s="191"/>
      <c r="E114" s="58"/>
      <c r="F114" s="192">
        <v>33.895661533333318</v>
      </c>
      <c r="G114" s="192">
        <v>37.569035900000003</v>
      </c>
      <c r="H114" s="192">
        <v>0.98206407066666679</v>
      </c>
      <c r="I114" s="64">
        <v>0.9871128256666668</v>
      </c>
      <c r="J114" s="64">
        <v>4.3657425166666673E-2</v>
      </c>
      <c r="K114" s="193"/>
      <c r="L114" s="263"/>
      <c r="M114" s="263"/>
      <c r="N114" s="58"/>
      <c r="O114" s="30"/>
      <c r="P114" s="58"/>
      <c r="Q114" s="30"/>
      <c r="R114" s="135"/>
      <c r="S114" s="210"/>
      <c r="T114" s="294"/>
      <c r="U114" s="29" t="s">
        <v>28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2"/>
      <c r="AL114" s="294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4"/>
      <c r="C115" s="29" t="s">
        <v>29</v>
      </c>
      <c r="D115" s="191"/>
      <c r="E115" s="58"/>
      <c r="F115" s="192">
        <v>36.72868733333334</v>
      </c>
      <c r="G115" s="192">
        <v>40.831478833333342</v>
      </c>
      <c r="H115" s="192">
        <v>0.98976260866666654</v>
      </c>
      <c r="I115" s="64">
        <v>0.99331177100000023</v>
      </c>
      <c r="J115" s="64">
        <v>2.9219591566666672E-2</v>
      </c>
      <c r="K115" s="193"/>
      <c r="L115" s="263"/>
      <c r="M115" s="263"/>
      <c r="N115" s="58"/>
      <c r="O115" s="30"/>
      <c r="P115" s="58"/>
      <c r="Q115" s="30"/>
      <c r="R115" s="135"/>
      <c r="S115" s="210"/>
      <c r="T115" s="294"/>
      <c r="U115" s="29" t="s">
        <v>29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2"/>
      <c r="AL115" s="294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4"/>
      <c r="C116" s="29" t="s">
        <v>31</v>
      </c>
      <c r="D116" s="191"/>
      <c r="E116" s="58"/>
      <c r="F116" s="192">
        <v>39.699159766666661</v>
      </c>
      <c r="G116" s="192">
        <v>43.969283600000011</v>
      </c>
      <c r="H116" s="192">
        <v>0.99386699033333314</v>
      </c>
      <c r="I116" s="64">
        <v>0.99624689533333355</v>
      </c>
      <c r="J116" s="64">
        <v>1.6216793766666661E-2</v>
      </c>
      <c r="K116" s="193"/>
      <c r="L116" s="263"/>
      <c r="M116" s="263"/>
      <c r="N116" s="58"/>
      <c r="O116" s="30"/>
      <c r="P116" s="58"/>
      <c r="Q116" s="30"/>
      <c r="R116" s="135"/>
      <c r="S116" s="210"/>
      <c r="T116" s="294"/>
      <c r="U116" s="29" t="s">
        <v>31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2"/>
      <c r="AL116" s="294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5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0"/>
      <c r="T117" s="295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2"/>
      <c r="AL117" s="295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93" t="s">
        <v>82</v>
      </c>
      <c r="C118" s="27" t="s">
        <v>27</v>
      </c>
      <c r="D118" s="41"/>
      <c r="E118" s="57"/>
      <c r="F118" s="99">
        <v>32.215727499999993</v>
      </c>
      <c r="G118" s="99">
        <v>35.578308</v>
      </c>
      <c r="H118" s="99">
        <v>0.97245199166666674</v>
      </c>
      <c r="I118" s="62">
        <v>0.98058377933333329</v>
      </c>
      <c r="J118" s="62">
        <v>5.7261109333333317E-2</v>
      </c>
      <c r="K118" s="63"/>
      <c r="L118" s="262"/>
      <c r="M118" s="262"/>
      <c r="N118" s="57"/>
      <c r="O118" s="28"/>
      <c r="P118" s="57"/>
      <c r="Q118" s="28"/>
      <c r="R118" s="134"/>
      <c r="S118" s="210"/>
      <c r="T118" s="293" t="s">
        <v>82</v>
      </c>
      <c r="U118" s="27" t="s">
        <v>27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2"/>
      <c r="AL118" s="293" t="s">
        <v>82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4"/>
      <c r="C119" s="29" t="s">
        <v>28</v>
      </c>
      <c r="D119" s="191"/>
      <c r="E119" s="58"/>
      <c r="F119" s="192">
        <v>34.4731144</v>
      </c>
      <c r="G119" s="192">
        <v>37.873812266666661</v>
      </c>
      <c r="H119" s="192">
        <v>0.98202611666666662</v>
      </c>
      <c r="I119" s="64">
        <v>0.98751377033333332</v>
      </c>
      <c r="J119" s="64">
        <v>3.9831936966666683E-2</v>
      </c>
      <c r="K119" s="193"/>
      <c r="L119" s="263"/>
      <c r="M119" s="263"/>
      <c r="N119" s="58"/>
      <c r="O119" s="30"/>
      <c r="P119" s="58"/>
      <c r="Q119" s="30"/>
      <c r="R119" s="135"/>
      <c r="S119" s="210"/>
      <c r="T119" s="294"/>
      <c r="U119" s="29" t="s">
        <v>28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2"/>
      <c r="AL119" s="294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4"/>
      <c r="C120" s="29" t="s">
        <v>29</v>
      </c>
      <c r="D120" s="191"/>
      <c r="E120" s="58"/>
      <c r="F120" s="192">
        <v>37.330812266666662</v>
      </c>
      <c r="G120" s="192">
        <v>41.183701033333342</v>
      </c>
      <c r="H120" s="192">
        <v>0.98956283300000014</v>
      </c>
      <c r="I120" s="64">
        <v>0.99339500666666669</v>
      </c>
      <c r="J120" s="64">
        <v>2.5702981E-2</v>
      </c>
      <c r="K120" s="193"/>
      <c r="L120" s="263"/>
      <c r="M120" s="263"/>
      <c r="N120" s="58"/>
      <c r="O120" s="30"/>
      <c r="P120" s="58"/>
      <c r="Q120" s="30"/>
      <c r="R120" s="135"/>
      <c r="S120" s="210"/>
      <c r="T120" s="294"/>
      <c r="U120" s="29" t="s">
        <v>29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2"/>
      <c r="AL120" s="294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4"/>
      <c r="C121" s="29" t="s">
        <v>31</v>
      </c>
      <c r="D121" s="191"/>
      <c r="E121" s="58"/>
      <c r="F121" s="192">
        <v>40.283403400000012</v>
      </c>
      <c r="G121" s="192">
        <v>44.36267486666668</v>
      </c>
      <c r="H121" s="192">
        <v>0.9937889276666666</v>
      </c>
      <c r="I121" s="64">
        <v>0.99631985299999992</v>
      </c>
      <c r="J121" s="64">
        <v>1.430396581666666E-2</v>
      </c>
      <c r="K121" s="193"/>
      <c r="L121" s="263"/>
      <c r="M121" s="263"/>
      <c r="N121" s="58"/>
      <c r="O121" s="30"/>
      <c r="P121" s="58"/>
      <c r="Q121" s="30"/>
      <c r="R121" s="135"/>
      <c r="S121" s="210"/>
      <c r="T121" s="294"/>
      <c r="U121" s="29" t="s">
        <v>31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2"/>
      <c r="AL121" s="294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5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0"/>
      <c r="T122" s="295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2"/>
      <c r="AL122" s="295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93" t="s">
        <v>83</v>
      </c>
      <c r="C123" s="27" t="s">
        <v>27</v>
      </c>
      <c r="D123" s="41"/>
      <c r="E123" s="57"/>
      <c r="F123" s="99">
        <v>32.289492799999998</v>
      </c>
      <c r="G123" s="99">
        <v>35.893688766666664</v>
      </c>
      <c r="H123" s="99">
        <v>0.97282248600000021</v>
      </c>
      <c r="I123" s="62">
        <v>0.98025631366666677</v>
      </c>
      <c r="J123" s="62">
        <v>5.6397848866666662E-2</v>
      </c>
      <c r="K123" s="63"/>
      <c r="L123" s="262"/>
      <c r="M123" s="262"/>
      <c r="N123" s="57"/>
      <c r="O123" s="28"/>
      <c r="P123" s="57"/>
      <c r="Q123" s="28"/>
      <c r="R123" s="134"/>
      <c r="S123" s="210"/>
      <c r="T123" s="293" t="s">
        <v>83</v>
      </c>
      <c r="U123" s="27" t="s">
        <v>27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2"/>
      <c r="AL123" s="293" t="s">
        <v>83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4"/>
      <c r="C124" s="29" t="s">
        <v>28</v>
      </c>
      <c r="D124" s="191"/>
      <c r="E124" s="58"/>
      <c r="F124" s="192">
        <v>34.500738400000003</v>
      </c>
      <c r="G124" s="192">
        <v>37.935142466666669</v>
      </c>
      <c r="H124" s="192">
        <v>0.98218833633333313</v>
      </c>
      <c r="I124" s="64">
        <v>0.98716729400000014</v>
      </c>
      <c r="J124" s="64">
        <v>3.9593993600000023E-2</v>
      </c>
      <c r="K124" s="193"/>
      <c r="L124" s="263"/>
      <c r="M124" s="263"/>
      <c r="N124" s="58"/>
      <c r="O124" s="30"/>
      <c r="P124" s="58"/>
      <c r="Q124" s="30"/>
      <c r="R124" s="135"/>
      <c r="S124" s="210"/>
      <c r="T124" s="294"/>
      <c r="U124" s="29" t="s">
        <v>28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2"/>
      <c r="AL124" s="294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4"/>
      <c r="C125" s="29" t="s">
        <v>29</v>
      </c>
      <c r="D125" s="191"/>
      <c r="E125" s="58"/>
      <c r="F125" s="192">
        <v>37.72341746666666</v>
      </c>
      <c r="G125" s="192">
        <v>41.410156333333333</v>
      </c>
      <c r="H125" s="192">
        <v>0.98966628933333334</v>
      </c>
      <c r="I125" s="64">
        <v>0.99332837633333326</v>
      </c>
      <c r="J125" s="64">
        <v>2.4381864433333341E-2</v>
      </c>
      <c r="K125" s="193"/>
      <c r="L125" s="263"/>
      <c r="M125" s="263"/>
      <c r="N125" s="58"/>
      <c r="O125" s="30"/>
      <c r="P125" s="58"/>
      <c r="Q125" s="30"/>
      <c r="R125" s="135"/>
      <c r="S125" s="210"/>
      <c r="T125" s="294"/>
      <c r="U125" s="29" t="s">
        <v>29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2"/>
      <c r="AL125" s="294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4"/>
      <c r="C126" s="29" t="s">
        <v>31</v>
      </c>
      <c r="D126" s="191"/>
      <c r="E126" s="58"/>
      <c r="F126" s="192">
        <v>40.829780666666672</v>
      </c>
      <c r="G126" s="192">
        <v>44.737085433333327</v>
      </c>
      <c r="H126" s="192">
        <v>0.99386709333333345</v>
      </c>
      <c r="I126" s="64">
        <v>0.99638104399999994</v>
      </c>
      <c r="J126" s="64">
        <v>1.343925618333334E-2</v>
      </c>
      <c r="K126" s="193"/>
      <c r="L126" s="263"/>
      <c r="M126" s="263"/>
      <c r="N126" s="58"/>
      <c r="O126" s="30"/>
      <c r="P126" s="58"/>
      <c r="Q126" s="30"/>
      <c r="R126" s="135"/>
      <c r="S126" s="210"/>
      <c r="T126" s="294"/>
      <c r="U126" s="29" t="s">
        <v>31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2"/>
      <c r="AL126" s="294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5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0"/>
      <c r="T127" s="295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2"/>
      <c r="AL127" s="295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93" t="s">
        <v>84</v>
      </c>
      <c r="C128" s="27" t="s">
        <v>27</v>
      </c>
      <c r="D128" s="41"/>
      <c r="E128" s="57"/>
      <c r="F128" s="99">
        <v>32.222896166666679</v>
      </c>
      <c r="G128" s="99">
        <v>35.970264833333317</v>
      </c>
      <c r="H128" s="99">
        <v>0.97301658866666696</v>
      </c>
      <c r="I128" s="62">
        <v>0.98007279300000016</v>
      </c>
      <c r="J128" s="62">
        <v>5.7400560966666667E-2</v>
      </c>
      <c r="K128" s="63"/>
      <c r="L128" s="262"/>
      <c r="M128" s="262"/>
      <c r="N128" s="57"/>
      <c r="O128" s="28"/>
      <c r="P128" s="57"/>
      <c r="Q128" s="28"/>
      <c r="R128" s="134"/>
      <c r="S128" s="210"/>
      <c r="T128" s="293" t="s">
        <v>84</v>
      </c>
      <c r="U128" s="27" t="s">
        <v>27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2"/>
      <c r="AL128" s="293" t="s">
        <v>84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4"/>
      <c r="C129" s="29" t="s">
        <v>28</v>
      </c>
      <c r="D129" s="191"/>
      <c r="E129" s="58"/>
      <c r="F129" s="192">
        <v>34.221056466666667</v>
      </c>
      <c r="G129" s="192">
        <v>37.882657766666668</v>
      </c>
      <c r="H129" s="192">
        <v>0.98236613266666661</v>
      </c>
      <c r="I129" s="64">
        <v>0.98690710233333345</v>
      </c>
      <c r="J129" s="64">
        <v>4.0317323966666672E-2</v>
      </c>
      <c r="K129" s="193"/>
      <c r="L129" s="263"/>
      <c r="M129" s="263"/>
      <c r="N129" s="58"/>
      <c r="O129" s="30"/>
      <c r="P129" s="58"/>
      <c r="Q129" s="30"/>
      <c r="R129" s="135"/>
      <c r="S129" s="210"/>
      <c r="T129" s="294"/>
      <c r="U129" s="29" t="s">
        <v>28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2"/>
      <c r="AL129" s="294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4"/>
      <c r="C130" s="29" t="s">
        <v>29</v>
      </c>
      <c r="D130" s="191"/>
      <c r="E130" s="58"/>
      <c r="F130" s="192">
        <v>37.647436399999997</v>
      </c>
      <c r="G130" s="192">
        <v>41.342503999999998</v>
      </c>
      <c r="H130" s="192">
        <v>0.98991308600000028</v>
      </c>
      <c r="I130" s="64">
        <v>0.99330345800000008</v>
      </c>
      <c r="J130" s="64">
        <v>2.4008261600000001E-2</v>
      </c>
      <c r="K130" s="193"/>
      <c r="L130" s="263"/>
      <c r="M130" s="263"/>
      <c r="N130" s="58"/>
      <c r="O130" s="30"/>
      <c r="P130" s="58"/>
      <c r="Q130" s="30"/>
      <c r="R130" s="135"/>
      <c r="S130" s="210"/>
      <c r="T130" s="294"/>
      <c r="U130" s="29" t="s">
        <v>29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2"/>
      <c r="AL130" s="294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4"/>
      <c r="C131" s="29" t="s">
        <v>31</v>
      </c>
      <c r="D131" s="191"/>
      <c r="E131" s="58"/>
      <c r="F131" s="192">
        <v>41.299438433333329</v>
      </c>
      <c r="G131" s="192">
        <v>45.089272300000012</v>
      </c>
      <c r="H131" s="192">
        <v>0.99403590333333336</v>
      </c>
      <c r="I131" s="64">
        <v>0.99647906000000008</v>
      </c>
      <c r="J131" s="64">
        <v>1.245160261666667E-2</v>
      </c>
      <c r="K131" s="193"/>
      <c r="L131" s="263"/>
      <c r="M131" s="263"/>
      <c r="N131" s="58"/>
      <c r="O131" s="30"/>
      <c r="P131" s="58"/>
      <c r="Q131" s="30"/>
      <c r="R131" s="135"/>
      <c r="S131" s="210"/>
      <c r="T131" s="294"/>
      <c r="U131" s="29" t="s">
        <v>31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2"/>
      <c r="AL131" s="294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5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0"/>
      <c r="T132" s="295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2"/>
      <c r="AL132" s="295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93" t="s">
        <v>85</v>
      </c>
      <c r="C133" s="27" t="s">
        <v>27</v>
      </c>
      <c r="D133" s="41"/>
      <c r="E133" s="57"/>
      <c r="F133" s="99">
        <v>32.348767166666669</v>
      </c>
      <c r="G133" s="99">
        <v>36.294003199999992</v>
      </c>
      <c r="H133" s="99">
        <v>0.97218241100000002</v>
      </c>
      <c r="I133" s="62">
        <v>0.97948144600000009</v>
      </c>
      <c r="J133" s="62">
        <v>5.8504962833333347E-2</v>
      </c>
      <c r="K133" s="63"/>
      <c r="L133" s="262"/>
      <c r="M133" s="262"/>
      <c r="N133" s="57"/>
      <c r="O133" s="28"/>
      <c r="P133" s="57"/>
      <c r="Q133" s="28"/>
      <c r="R133" s="134"/>
      <c r="S133" s="210"/>
      <c r="T133" s="293" t="s">
        <v>85</v>
      </c>
      <c r="U133" s="27" t="s">
        <v>27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2"/>
      <c r="AL133" s="293" t="s">
        <v>85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4"/>
      <c r="C134" s="29" t="s">
        <v>28</v>
      </c>
      <c r="D134" s="191"/>
      <c r="E134" s="58"/>
      <c r="F134" s="192">
        <v>34.523348066666657</v>
      </c>
      <c r="G134" s="192">
        <v>38.213963000000007</v>
      </c>
      <c r="H134" s="192">
        <v>0.98232510433333331</v>
      </c>
      <c r="I134" s="64">
        <v>0.98680708466666689</v>
      </c>
      <c r="J134" s="64">
        <v>3.9442910033333327E-2</v>
      </c>
      <c r="K134" s="193"/>
      <c r="L134" s="263"/>
      <c r="M134" s="263"/>
      <c r="N134" s="58"/>
      <c r="O134" s="30"/>
      <c r="P134" s="58"/>
      <c r="Q134" s="30"/>
      <c r="R134" s="135"/>
      <c r="S134" s="210"/>
      <c r="T134" s="294"/>
      <c r="U134" s="29" t="s">
        <v>28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2"/>
      <c r="AL134" s="294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4"/>
      <c r="C135" s="29" t="s">
        <v>29</v>
      </c>
      <c r="D135" s="191"/>
      <c r="E135" s="58"/>
      <c r="F135" s="192">
        <v>38.258201966666668</v>
      </c>
      <c r="G135" s="192">
        <v>41.726277433333323</v>
      </c>
      <c r="H135" s="192">
        <v>0.99018370700000002</v>
      </c>
      <c r="I135" s="64">
        <v>0.99350195966666666</v>
      </c>
      <c r="J135" s="64">
        <v>2.2595038433333329E-2</v>
      </c>
      <c r="K135" s="193"/>
      <c r="L135" s="263"/>
      <c r="M135" s="263"/>
      <c r="N135" s="58"/>
      <c r="O135" s="30"/>
      <c r="P135" s="58"/>
      <c r="Q135" s="30"/>
      <c r="R135" s="135"/>
      <c r="S135" s="210"/>
      <c r="T135" s="294"/>
      <c r="U135" s="29" t="s">
        <v>29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2"/>
      <c r="AL135" s="294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4"/>
      <c r="C136" s="29" t="s">
        <v>31</v>
      </c>
      <c r="D136" s="191"/>
      <c r="E136" s="58"/>
      <c r="F136" s="192">
        <v>41.949339599999988</v>
      </c>
      <c r="G136" s="192">
        <v>45.484655733333327</v>
      </c>
      <c r="H136" s="192">
        <v>0.99417331399999997</v>
      </c>
      <c r="I136" s="64">
        <v>0.99654939399999987</v>
      </c>
      <c r="J136" s="64">
        <v>1.167887631666667E-2</v>
      </c>
      <c r="K136" s="193"/>
      <c r="L136" s="263"/>
      <c r="M136" s="263"/>
      <c r="N136" s="58"/>
      <c r="O136" s="30"/>
      <c r="P136" s="58"/>
      <c r="Q136" s="30"/>
      <c r="R136" s="135"/>
      <c r="S136" s="210"/>
      <c r="T136" s="294"/>
      <c r="U136" s="29" t="s">
        <v>31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2"/>
      <c r="AL136" s="294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5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0"/>
      <c r="T137" s="295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2"/>
      <c r="AL137" s="295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93" t="s">
        <v>86</v>
      </c>
      <c r="C138" s="27" t="s">
        <v>27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0"/>
      <c r="T138" s="293" t="s">
        <v>86</v>
      </c>
      <c r="U138" s="27" t="s">
        <v>27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2"/>
      <c r="AL138" s="293" t="s">
        <v>86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4"/>
      <c r="C139" s="29" t="s">
        <v>28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0"/>
      <c r="T139" s="294"/>
      <c r="U139" s="29" t="s">
        <v>28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2"/>
      <c r="AL139" s="294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4"/>
      <c r="C140" s="29" t="s">
        <v>29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0"/>
      <c r="T140" s="294"/>
      <c r="U140" s="29" t="s">
        <v>29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2"/>
      <c r="AL140" s="294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4"/>
      <c r="C141" s="29" t="s">
        <v>31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0"/>
      <c r="T141" s="294"/>
      <c r="U141" s="29" t="s">
        <v>31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2"/>
      <c r="AL141" s="294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5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0"/>
      <c r="T142" s="295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2"/>
      <c r="AL142" s="295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93" t="s">
        <v>87</v>
      </c>
      <c r="C143" s="27" t="s">
        <v>27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0"/>
      <c r="T143" s="293" t="s">
        <v>87</v>
      </c>
      <c r="U143" s="27" t="s">
        <v>27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2"/>
      <c r="AL143" s="293" t="s">
        <v>87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4"/>
      <c r="C144" s="29" t="s">
        <v>28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0"/>
      <c r="T144" s="294"/>
      <c r="U144" s="29" t="s">
        <v>28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2"/>
      <c r="AL144" s="294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4"/>
      <c r="C145" s="29" t="s">
        <v>29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0"/>
      <c r="T145" s="294"/>
      <c r="U145" s="29" t="s">
        <v>29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2"/>
      <c r="AL145" s="294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4"/>
      <c r="C146" s="29" t="s">
        <v>31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0"/>
      <c r="T146" s="294"/>
      <c r="U146" s="29" t="s">
        <v>31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2"/>
      <c r="AL146" s="294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5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0"/>
      <c r="T147" s="295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2"/>
      <c r="AL147" s="295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93" t="s">
        <v>88</v>
      </c>
      <c r="C148" s="27" t="s">
        <v>27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0"/>
      <c r="T148" s="293" t="s">
        <v>88</v>
      </c>
      <c r="U148" s="27" t="s">
        <v>27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2"/>
      <c r="AL148" s="293" t="s">
        <v>88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4"/>
      <c r="C149" s="29" t="s">
        <v>28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0"/>
      <c r="T149" s="294"/>
      <c r="U149" s="29" t="s">
        <v>28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2"/>
      <c r="AL149" s="294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4"/>
      <c r="C150" s="29" t="s">
        <v>29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0"/>
      <c r="T150" s="294"/>
      <c r="U150" s="29" t="s">
        <v>29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2"/>
      <c r="AL150" s="294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4"/>
      <c r="C151" s="29" t="s">
        <v>31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0"/>
      <c r="T151" s="294"/>
      <c r="U151" s="29" t="s">
        <v>31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2"/>
      <c r="AL151" s="294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5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0"/>
      <c r="T152" s="295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2"/>
      <c r="AL152" s="295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93" t="s">
        <v>89</v>
      </c>
      <c r="C153" s="27" t="s">
        <v>27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0"/>
      <c r="T153" s="293" t="s">
        <v>89</v>
      </c>
      <c r="U153" s="27" t="s">
        <v>27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2"/>
      <c r="AL153" s="293" t="s">
        <v>89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4"/>
      <c r="C154" s="29" t="s">
        <v>28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0"/>
      <c r="T154" s="294"/>
      <c r="U154" s="29" t="s">
        <v>28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2"/>
      <c r="AL154" s="294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4"/>
      <c r="C155" s="29" t="s">
        <v>29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0"/>
      <c r="T155" s="294"/>
      <c r="U155" s="29" t="s">
        <v>29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2"/>
      <c r="AL155" s="294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4"/>
      <c r="C156" s="29" t="s">
        <v>31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0"/>
      <c r="T156" s="294"/>
      <c r="U156" s="29" t="s">
        <v>31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2"/>
      <c r="AL156" s="294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5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0"/>
      <c r="T157" s="295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2"/>
      <c r="AL157" s="295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93" t="s">
        <v>90</v>
      </c>
      <c r="C158" s="27" t="s">
        <v>27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0"/>
      <c r="T158" s="293" t="s">
        <v>90</v>
      </c>
      <c r="U158" s="27" t="s">
        <v>27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2"/>
      <c r="AL158" s="293" t="s">
        <v>90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4"/>
      <c r="C159" s="29" t="s">
        <v>28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0"/>
      <c r="T159" s="294"/>
      <c r="U159" s="29" t="s">
        <v>28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2"/>
      <c r="AL159" s="294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4"/>
      <c r="C160" s="29" t="s">
        <v>29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0"/>
      <c r="T160" s="294"/>
      <c r="U160" s="29" t="s">
        <v>29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2"/>
      <c r="AL160" s="294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4"/>
      <c r="C161" s="29" t="s">
        <v>31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0"/>
      <c r="T161" s="294"/>
      <c r="U161" s="29" t="s">
        <v>31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2"/>
      <c r="AL161" s="294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5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0"/>
      <c r="T162" s="295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2"/>
      <c r="AL162" s="295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93" t="s">
        <v>91</v>
      </c>
      <c r="C163" s="27" t="s">
        <v>27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0"/>
      <c r="T163" s="293" t="s">
        <v>91</v>
      </c>
      <c r="U163" s="27" t="s">
        <v>27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2"/>
      <c r="AL163" s="293" t="s">
        <v>91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4"/>
      <c r="C164" s="29" t="s">
        <v>28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0"/>
      <c r="T164" s="294"/>
      <c r="U164" s="29" t="s">
        <v>28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2"/>
      <c r="AL164" s="294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4"/>
      <c r="C165" s="29" t="s">
        <v>29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0"/>
      <c r="T165" s="294"/>
      <c r="U165" s="29" t="s">
        <v>29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2"/>
      <c r="AL165" s="294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4"/>
      <c r="C166" s="29" t="s">
        <v>31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0"/>
      <c r="T166" s="294"/>
      <c r="U166" s="29" t="s">
        <v>31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2"/>
      <c r="AL166" s="294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5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0"/>
      <c r="T167" s="295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2"/>
      <c r="AL167" s="295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93" t="s">
        <v>92</v>
      </c>
      <c r="C168" s="27" t="s">
        <v>27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0"/>
      <c r="T168" s="293" t="s">
        <v>92</v>
      </c>
      <c r="U168" s="27" t="s">
        <v>27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2"/>
      <c r="AL168" s="293" t="s">
        <v>92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4"/>
      <c r="C169" s="29" t="s">
        <v>28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0"/>
      <c r="T169" s="294"/>
      <c r="U169" s="29" t="s">
        <v>28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2"/>
      <c r="AL169" s="294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4"/>
      <c r="C170" s="29" t="s">
        <v>29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0"/>
      <c r="T170" s="294"/>
      <c r="U170" s="29" t="s">
        <v>29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2"/>
      <c r="AL170" s="294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4"/>
      <c r="C171" s="29" t="s">
        <v>31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0"/>
      <c r="T171" s="294"/>
      <c r="U171" s="29" t="s">
        <v>31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2"/>
      <c r="AL171" s="294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5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0"/>
      <c r="T172" s="295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2"/>
      <c r="AL172" s="295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93" t="s">
        <v>93</v>
      </c>
      <c r="C173" s="27" t="s">
        <v>27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0"/>
      <c r="T173" s="293" t="s">
        <v>93</v>
      </c>
      <c r="U173" s="27" t="s">
        <v>27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2"/>
      <c r="AL173" s="293" t="s">
        <v>93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4"/>
      <c r="C174" s="29" t="s">
        <v>28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0"/>
      <c r="T174" s="294"/>
      <c r="U174" s="29" t="s">
        <v>28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2"/>
      <c r="AL174" s="294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4"/>
      <c r="C175" s="29" t="s">
        <v>29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0"/>
      <c r="T175" s="294"/>
      <c r="U175" s="29" t="s">
        <v>29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2"/>
      <c r="AL175" s="294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4"/>
      <c r="C176" s="29" t="s">
        <v>31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0"/>
      <c r="T176" s="294"/>
      <c r="U176" s="29" t="s">
        <v>31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2"/>
      <c r="AL176" s="294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5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0"/>
      <c r="T177" s="295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2"/>
      <c r="AL177" s="295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93" t="s">
        <v>94</v>
      </c>
      <c r="C178" s="27" t="s">
        <v>27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0"/>
      <c r="T178" s="293" t="s">
        <v>94</v>
      </c>
      <c r="U178" s="27" t="s">
        <v>27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2"/>
      <c r="AL178" s="293" t="s">
        <v>94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4"/>
      <c r="C179" s="29" t="s">
        <v>28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0"/>
      <c r="T179" s="294"/>
      <c r="U179" s="29" t="s">
        <v>28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2"/>
      <c r="AL179" s="294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4"/>
      <c r="C180" s="29" t="s">
        <v>29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0"/>
      <c r="T180" s="294"/>
      <c r="U180" s="29" t="s">
        <v>29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2"/>
      <c r="AL180" s="294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4"/>
      <c r="C181" s="29" t="s">
        <v>31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0"/>
      <c r="T181" s="294"/>
      <c r="U181" s="29" t="s">
        <v>31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2"/>
      <c r="AL181" s="294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5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0"/>
      <c r="T182" s="295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2"/>
      <c r="AL182" s="295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93" t="s">
        <v>95</v>
      </c>
      <c r="C183" s="27" t="s">
        <v>27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0"/>
      <c r="T183" s="293" t="s">
        <v>95</v>
      </c>
      <c r="U183" s="27" t="s">
        <v>27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2"/>
      <c r="AL183" s="293" t="s">
        <v>95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4"/>
      <c r="C184" s="29" t="s">
        <v>28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0"/>
      <c r="T184" s="294"/>
      <c r="U184" s="29" t="s">
        <v>28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2"/>
      <c r="AL184" s="294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4"/>
      <c r="C185" s="29" t="s">
        <v>29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0"/>
      <c r="T185" s="294"/>
      <c r="U185" s="29" t="s">
        <v>29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2"/>
      <c r="AL185" s="294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4"/>
      <c r="C186" s="29" t="s">
        <v>31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0"/>
      <c r="T186" s="294"/>
      <c r="U186" s="29" t="s">
        <v>31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2"/>
      <c r="AL186" s="294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5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0"/>
      <c r="T187" s="295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2"/>
      <c r="AL187" s="295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93" t="s">
        <v>96</v>
      </c>
      <c r="C188" s="27" t="s">
        <v>27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0"/>
      <c r="T188" s="293" t="s">
        <v>96</v>
      </c>
      <c r="U188" s="27" t="s">
        <v>27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2"/>
      <c r="AL188" s="293" t="s">
        <v>96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4"/>
      <c r="C189" s="29" t="s">
        <v>28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0"/>
      <c r="T189" s="294"/>
      <c r="U189" s="29" t="s">
        <v>28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2"/>
      <c r="AL189" s="294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4"/>
      <c r="C190" s="29" t="s">
        <v>29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0"/>
      <c r="T190" s="294"/>
      <c r="U190" s="29" t="s">
        <v>29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2"/>
      <c r="AL190" s="294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4"/>
      <c r="C191" s="29" t="s">
        <v>31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0"/>
      <c r="T191" s="294"/>
      <c r="U191" s="29" t="s">
        <v>31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2"/>
      <c r="AL191" s="294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5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0"/>
      <c r="T192" s="295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2"/>
      <c r="AL192" s="295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93" t="s">
        <v>97</v>
      </c>
      <c r="C193" s="27" t="s">
        <v>27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0"/>
      <c r="T193" s="293" t="s">
        <v>97</v>
      </c>
      <c r="U193" s="27" t="s">
        <v>27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2"/>
      <c r="AL193" s="293" t="s">
        <v>97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4"/>
      <c r="C194" s="29" t="s">
        <v>28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0"/>
      <c r="T194" s="294"/>
      <c r="U194" s="29" t="s">
        <v>28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2"/>
      <c r="AL194" s="294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4"/>
      <c r="C195" s="29" t="s">
        <v>29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0"/>
      <c r="T195" s="294"/>
      <c r="U195" s="29" t="s">
        <v>29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2"/>
      <c r="AL195" s="294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4"/>
      <c r="C196" s="29" t="s">
        <v>31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0"/>
      <c r="T196" s="294"/>
      <c r="U196" s="29" t="s">
        <v>31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2"/>
      <c r="AL196" s="294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5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0"/>
      <c r="T197" s="295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2"/>
      <c r="AL197" s="295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93" t="s">
        <v>98</v>
      </c>
      <c r="C198" s="27" t="s">
        <v>27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0"/>
      <c r="T198" s="293" t="s">
        <v>98</v>
      </c>
      <c r="U198" s="27" t="s">
        <v>27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2"/>
      <c r="AL198" s="293" t="s">
        <v>98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4"/>
      <c r="C199" s="29" t="s">
        <v>28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0"/>
      <c r="T199" s="294"/>
      <c r="U199" s="29" t="s">
        <v>28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2"/>
      <c r="AL199" s="294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4"/>
      <c r="C200" s="29" t="s">
        <v>29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0"/>
      <c r="T200" s="294"/>
      <c r="U200" s="29" t="s">
        <v>29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2"/>
      <c r="AL200" s="294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4"/>
      <c r="C201" s="29" t="s">
        <v>31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0"/>
      <c r="T201" s="294"/>
      <c r="U201" s="29" t="s">
        <v>31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2"/>
      <c r="AL201" s="294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5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0"/>
      <c r="T202" s="295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2"/>
      <c r="AL202" s="295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93" t="s">
        <v>99</v>
      </c>
      <c r="C203" s="27" t="s">
        <v>27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0"/>
      <c r="T203" s="293" t="s">
        <v>99</v>
      </c>
      <c r="U203" s="27" t="s">
        <v>27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2"/>
      <c r="AL203" s="293" t="s">
        <v>99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4"/>
      <c r="C204" s="29" t="s">
        <v>28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0"/>
      <c r="T204" s="294"/>
      <c r="U204" s="29" t="s">
        <v>28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2"/>
      <c r="AL204" s="294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4"/>
      <c r="C205" s="29" t="s">
        <v>29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0"/>
      <c r="T205" s="294"/>
      <c r="U205" s="29" t="s">
        <v>29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2"/>
      <c r="AL205" s="294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4"/>
      <c r="C206" s="29" t="s">
        <v>31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0"/>
      <c r="T206" s="294"/>
      <c r="U206" s="29" t="s">
        <v>31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2"/>
      <c r="AL206" s="294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5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0"/>
      <c r="T207" s="295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2"/>
      <c r="AL207" s="295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93" t="s">
        <v>100</v>
      </c>
      <c r="C208" s="27" t="s">
        <v>27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0"/>
      <c r="T208" s="293" t="s">
        <v>100</v>
      </c>
      <c r="U208" s="27" t="s">
        <v>27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2"/>
      <c r="AL208" s="293" t="s">
        <v>100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4"/>
      <c r="C209" s="29" t="s">
        <v>28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0"/>
      <c r="T209" s="294"/>
      <c r="U209" s="29" t="s">
        <v>28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2"/>
      <c r="AL209" s="294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4"/>
      <c r="C210" s="29" t="s">
        <v>29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0"/>
      <c r="T210" s="294"/>
      <c r="U210" s="29" t="s">
        <v>29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2"/>
      <c r="AL210" s="294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4"/>
      <c r="C211" s="29" t="s">
        <v>31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0"/>
      <c r="T211" s="294"/>
      <c r="U211" s="29" t="s">
        <v>31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2"/>
      <c r="AL211" s="294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5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0"/>
      <c r="T212" s="295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2"/>
      <c r="AL212" s="295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93" t="s">
        <v>101</v>
      </c>
      <c r="C213" s="27" t="s">
        <v>27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0"/>
      <c r="T213" s="293" t="s">
        <v>101</v>
      </c>
      <c r="U213" s="27" t="s">
        <v>27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2"/>
      <c r="AL213" s="293" t="s">
        <v>101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4"/>
      <c r="C214" s="29" t="s">
        <v>28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0"/>
      <c r="T214" s="294"/>
      <c r="U214" s="29" t="s">
        <v>28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2"/>
      <c r="AL214" s="294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4"/>
      <c r="C215" s="29" t="s">
        <v>29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0"/>
      <c r="T215" s="294"/>
      <c r="U215" s="29" t="s">
        <v>29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2"/>
      <c r="AL215" s="294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4"/>
      <c r="C216" s="29" t="s">
        <v>31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0"/>
      <c r="T216" s="294"/>
      <c r="U216" s="29" t="s">
        <v>31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2"/>
      <c r="AL216" s="294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5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0"/>
      <c r="T217" s="295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2"/>
      <c r="AL217" s="295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93" t="s">
        <v>102</v>
      </c>
      <c r="C218" s="27" t="s">
        <v>27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0"/>
      <c r="T218" s="293" t="s">
        <v>102</v>
      </c>
      <c r="U218" s="27" t="s">
        <v>27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2"/>
      <c r="AL218" s="293" t="s">
        <v>102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4"/>
      <c r="C219" s="29" t="s">
        <v>28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0"/>
      <c r="T219" s="294"/>
      <c r="U219" s="29" t="s">
        <v>28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2"/>
      <c r="AL219" s="294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4"/>
      <c r="C220" s="29" t="s">
        <v>29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0"/>
      <c r="T220" s="294"/>
      <c r="U220" s="29" t="s">
        <v>29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2"/>
      <c r="AL220" s="294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4"/>
      <c r="C221" s="29" t="s">
        <v>31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0"/>
      <c r="T221" s="294"/>
      <c r="U221" s="29" t="s">
        <v>31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2"/>
      <c r="AL221" s="294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5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0"/>
      <c r="T222" s="295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2"/>
      <c r="AL222" s="295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93" t="s">
        <v>103</v>
      </c>
      <c r="C223" s="27" t="s">
        <v>27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0"/>
      <c r="T223" s="293" t="s">
        <v>103</v>
      </c>
      <c r="U223" s="27" t="s">
        <v>27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2"/>
      <c r="AL223" s="293" t="s">
        <v>103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4"/>
      <c r="C224" s="29" t="s">
        <v>28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0"/>
      <c r="T224" s="294"/>
      <c r="U224" s="29" t="s">
        <v>28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2"/>
      <c r="AL224" s="294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4"/>
      <c r="C225" s="29" t="s">
        <v>29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0"/>
      <c r="T225" s="294"/>
      <c r="U225" s="29" t="s">
        <v>29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2"/>
      <c r="AL225" s="294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4"/>
      <c r="C226" s="29" t="s">
        <v>31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0"/>
      <c r="T226" s="294"/>
      <c r="U226" s="29" t="s">
        <v>31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2"/>
      <c r="AL226" s="294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5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0"/>
      <c r="T227" s="295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2"/>
      <c r="AL227" s="295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93" t="s">
        <v>104</v>
      </c>
      <c r="C228" s="27" t="s">
        <v>27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0"/>
      <c r="T228" s="293" t="s">
        <v>104</v>
      </c>
      <c r="U228" s="27" t="s">
        <v>27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2"/>
      <c r="AL228" s="293" t="s">
        <v>104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4"/>
      <c r="C229" s="29" t="s">
        <v>28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0"/>
      <c r="T229" s="294"/>
      <c r="U229" s="29" t="s">
        <v>28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2"/>
      <c r="AL229" s="294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4"/>
      <c r="C230" s="29" t="s">
        <v>29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0"/>
      <c r="T230" s="294"/>
      <c r="U230" s="29" t="s">
        <v>29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2"/>
      <c r="AL230" s="294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4"/>
      <c r="C231" s="29" t="s">
        <v>31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0"/>
      <c r="T231" s="294"/>
      <c r="U231" s="29" t="s">
        <v>31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2"/>
      <c r="AL231" s="294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5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0"/>
      <c r="T232" s="295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2"/>
      <c r="AL232" s="295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93" t="s">
        <v>105</v>
      </c>
      <c r="C233" s="27" t="s">
        <v>27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0"/>
      <c r="T233" s="293" t="s">
        <v>105</v>
      </c>
      <c r="U233" s="27" t="s">
        <v>27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2"/>
      <c r="AL233" s="293" t="s">
        <v>105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4"/>
      <c r="C234" s="29" t="s">
        <v>28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0"/>
      <c r="T234" s="294"/>
      <c r="U234" s="29" t="s">
        <v>28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2"/>
      <c r="AL234" s="294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4"/>
      <c r="C235" s="29" t="s">
        <v>29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0"/>
      <c r="T235" s="294"/>
      <c r="U235" s="29" t="s">
        <v>29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2"/>
      <c r="AL235" s="294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4"/>
      <c r="C236" s="29" t="s">
        <v>31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0"/>
      <c r="T236" s="294"/>
      <c r="U236" s="29" t="s">
        <v>31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2"/>
      <c r="AL236" s="294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5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0"/>
      <c r="T237" s="295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2"/>
      <c r="AL237" s="295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93" t="s">
        <v>106</v>
      </c>
      <c r="C238" s="27" t="s">
        <v>27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0"/>
      <c r="T238" s="293" t="s">
        <v>106</v>
      </c>
      <c r="U238" s="27" t="s">
        <v>27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2"/>
      <c r="AL238" s="293" t="s">
        <v>106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4"/>
      <c r="C239" s="29" t="s">
        <v>28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0"/>
      <c r="T239" s="294"/>
      <c r="U239" s="29" t="s">
        <v>28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2"/>
      <c r="AL239" s="294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4"/>
      <c r="C240" s="29" t="s">
        <v>29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0"/>
      <c r="T240" s="294"/>
      <c r="U240" s="29" t="s">
        <v>29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2"/>
      <c r="AL240" s="294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4"/>
      <c r="C241" s="29" t="s">
        <v>31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0"/>
      <c r="T241" s="294"/>
      <c r="U241" s="29" t="s">
        <v>31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2"/>
      <c r="AL241" s="294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5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0"/>
      <c r="T242" s="295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2"/>
      <c r="AL242" s="295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93" t="s">
        <v>107</v>
      </c>
      <c r="C243" s="27" t="s">
        <v>27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0"/>
      <c r="T243" s="293" t="s">
        <v>107</v>
      </c>
      <c r="U243" s="27" t="s">
        <v>27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2"/>
      <c r="AL243" s="293" t="s">
        <v>107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4"/>
      <c r="C244" s="29" t="s">
        <v>28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0"/>
      <c r="T244" s="294"/>
      <c r="U244" s="29" t="s">
        <v>28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2"/>
      <c r="AL244" s="294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4"/>
      <c r="C245" s="29" t="s">
        <v>29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0"/>
      <c r="T245" s="294"/>
      <c r="U245" s="29" t="s">
        <v>29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2"/>
      <c r="AL245" s="294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4"/>
      <c r="C246" s="29" t="s">
        <v>31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0"/>
      <c r="T246" s="294"/>
      <c r="U246" s="29" t="s">
        <v>31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2"/>
      <c r="AL246" s="294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5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0"/>
      <c r="T247" s="295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2"/>
      <c r="AL247" s="295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93" t="s">
        <v>108</v>
      </c>
      <c r="C248" s="27" t="s">
        <v>27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0"/>
      <c r="T248" s="293" t="s">
        <v>108</v>
      </c>
      <c r="U248" s="27" t="s">
        <v>27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2"/>
      <c r="AL248" s="293" t="s">
        <v>108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4"/>
      <c r="C249" s="29" t="s">
        <v>28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0"/>
      <c r="T249" s="294"/>
      <c r="U249" s="29" t="s">
        <v>28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2"/>
      <c r="AL249" s="294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4"/>
      <c r="C250" s="29" t="s">
        <v>29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0"/>
      <c r="T250" s="294"/>
      <c r="U250" s="29" t="s">
        <v>29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2"/>
      <c r="AL250" s="294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4"/>
      <c r="C251" s="29" t="s">
        <v>31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0"/>
      <c r="T251" s="294"/>
      <c r="U251" s="29" t="s">
        <v>31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2"/>
      <c r="AL251" s="294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5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0"/>
      <c r="T252" s="295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2"/>
      <c r="AL252" s="295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93" t="s">
        <v>109</v>
      </c>
      <c r="C253" s="27" t="s">
        <v>27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0"/>
      <c r="T253" s="293" t="s">
        <v>109</v>
      </c>
      <c r="U253" s="27" t="s">
        <v>27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2"/>
      <c r="AL253" s="293" t="s">
        <v>109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4"/>
      <c r="C254" s="29" t="s">
        <v>28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0"/>
      <c r="T254" s="294"/>
      <c r="U254" s="29" t="s">
        <v>28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2"/>
      <c r="AL254" s="294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4"/>
      <c r="C255" s="29" t="s">
        <v>29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0"/>
      <c r="T255" s="294"/>
      <c r="U255" s="29" t="s">
        <v>29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2"/>
      <c r="AL255" s="294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4"/>
      <c r="C256" s="29" t="s">
        <v>31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0"/>
      <c r="T256" s="294"/>
      <c r="U256" s="29" t="s">
        <v>31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2"/>
      <c r="AL256" s="294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5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0"/>
      <c r="T257" s="295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2"/>
      <c r="AL257" s="295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93" t="s">
        <v>110</v>
      </c>
      <c r="C258" s="27" t="s">
        <v>27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0"/>
      <c r="T258" s="293" t="s">
        <v>110</v>
      </c>
      <c r="U258" s="27" t="s">
        <v>27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2"/>
      <c r="AL258" s="293" t="s">
        <v>110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4"/>
      <c r="C259" s="29" t="s">
        <v>28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0"/>
      <c r="T259" s="294"/>
      <c r="U259" s="29" t="s">
        <v>28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2"/>
      <c r="AL259" s="294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4"/>
      <c r="C260" s="29" t="s">
        <v>29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0"/>
      <c r="T260" s="294"/>
      <c r="U260" s="29" t="s">
        <v>29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2"/>
      <c r="AL260" s="294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4"/>
      <c r="C261" s="29" t="s">
        <v>31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0"/>
      <c r="T261" s="294"/>
      <c r="U261" s="29" t="s">
        <v>31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2"/>
      <c r="AL261" s="294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5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0"/>
      <c r="T262" s="295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2"/>
      <c r="AL262" s="295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93" t="s">
        <v>111</v>
      </c>
      <c r="C263" s="27" t="s">
        <v>27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0"/>
      <c r="T263" s="293" t="s">
        <v>111</v>
      </c>
      <c r="U263" s="27" t="s">
        <v>27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2"/>
      <c r="AL263" s="293" t="s">
        <v>111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4"/>
      <c r="C264" s="29" t="s">
        <v>28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0"/>
      <c r="T264" s="294"/>
      <c r="U264" s="29" t="s">
        <v>28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2"/>
      <c r="AL264" s="294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4"/>
      <c r="C265" s="29" t="s">
        <v>29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0"/>
      <c r="T265" s="294"/>
      <c r="U265" s="29" t="s">
        <v>29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2"/>
      <c r="AL265" s="294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4"/>
      <c r="C266" s="29" t="s">
        <v>31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0"/>
      <c r="T266" s="294"/>
      <c r="U266" s="29" t="s">
        <v>31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2"/>
      <c r="AL266" s="294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5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0"/>
      <c r="T267" s="295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2"/>
      <c r="AL267" s="295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93" t="s">
        <v>112</v>
      </c>
      <c r="C268" s="27" t="s">
        <v>27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0"/>
      <c r="T268" s="293" t="s">
        <v>112</v>
      </c>
      <c r="U268" s="27" t="s">
        <v>27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2"/>
      <c r="AL268" s="293" t="s">
        <v>112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4"/>
      <c r="C269" s="29" t="s">
        <v>28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0"/>
      <c r="T269" s="294"/>
      <c r="U269" s="29" t="s">
        <v>28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2"/>
      <c r="AL269" s="294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4"/>
      <c r="C270" s="29" t="s">
        <v>29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0"/>
      <c r="T270" s="294"/>
      <c r="U270" s="29" t="s">
        <v>29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2"/>
      <c r="AL270" s="294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4"/>
      <c r="C271" s="29" t="s">
        <v>31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0"/>
      <c r="T271" s="294"/>
      <c r="U271" s="29" t="s">
        <v>31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2"/>
      <c r="AL271" s="294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5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0"/>
      <c r="T272" s="295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2"/>
      <c r="AL272" s="295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93" t="s">
        <v>113</v>
      </c>
      <c r="C273" s="27" t="s">
        <v>27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0"/>
      <c r="T273" s="293" t="s">
        <v>113</v>
      </c>
      <c r="U273" s="27" t="s">
        <v>27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2"/>
      <c r="AL273" s="293" t="s">
        <v>113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4"/>
      <c r="C274" s="29" t="s">
        <v>28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0"/>
      <c r="T274" s="294"/>
      <c r="U274" s="29" t="s">
        <v>28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2"/>
      <c r="AL274" s="294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4"/>
      <c r="C275" s="29" t="s">
        <v>29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0"/>
      <c r="T275" s="294"/>
      <c r="U275" s="29" t="s">
        <v>29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2"/>
      <c r="AL275" s="294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4"/>
      <c r="C276" s="29" t="s">
        <v>31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0"/>
      <c r="T276" s="294"/>
      <c r="U276" s="29" t="s">
        <v>31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2"/>
      <c r="AL276" s="294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5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0"/>
      <c r="T277" s="295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2"/>
      <c r="AL277" s="295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93" t="s">
        <v>114</v>
      </c>
      <c r="C278" s="27" t="s">
        <v>27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0"/>
      <c r="T278" s="293" t="s">
        <v>114</v>
      </c>
      <c r="U278" s="27" t="s">
        <v>27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2"/>
      <c r="AL278" s="293" t="s">
        <v>114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4"/>
      <c r="C279" s="29" t="s">
        <v>28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0"/>
      <c r="T279" s="294"/>
      <c r="U279" s="29" t="s">
        <v>28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2"/>
      <c r="AL279" s="294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4"/>
      <c r="C280" s="29" t="s">
        <v>29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0"/>
      <c r="T280" s="294"/>
      <c r="U280" s="29" t="s">
        <v>29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2"/>
      <c r="AL280" s="294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4"/>
      <c r="C281" s="29" t="s">
        <v>31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0"/>
      <c r="T281" s="294"/>
      <c r="U281" s="29" t="s">
        <v>31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2"/>
      <c r="AL281" s="294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5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0"/>
      <c r="T282" s="295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2"/>
      <c r="AL282" s="295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93" t="s">
        <v>115</v>
      </c>
      <c r="C283" s="27" t="s">
        <v>27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0"/>
      <c r="T283" s="293" t="s">
        <v>115</v>
      </c>
      <c r="U283" s="27" t="s">
        <v>27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2"/>
      <c r="AL283" s="293" t="s">
        <v>115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4"/>
      <c r="C284" s="29" t="s">
        <v>28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0"/>
      <c r="T284" s="294"/>
      <c r="U284" s="29" t="s">
        <v>28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2"/>
      <c r="AL284" s="294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4"/>
      <c r="C285" s="29" t="s">
        <v>29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0"/>
      <c r="T285" s="294"/>
      <c r="U285" s="29" t="s">
        <v>29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2"/>
      <c r="AL285" s="294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4"/>
      <c r="C286" s="29" t="s">
        <v>31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0"/>
      <c r="T286" s="294"/>
      <c r="U286" s="29" t="s">
        <v>31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2"/>
      <c r="AL286" s="294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5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0"/>
      <c r="T287" s="295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2"/>
      <c r="AL287" s="295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93" t="s">
        <v>116</v>
      </c>
      <c r="C288" s="27" t="s">
        <v>27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0"/>
      <c r="T288" s="293" t="s">
        <v>116</v>
      </c>
      <c r="U288" s="27" t="s">
        <v>27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2"/>
      <c r="AL288" s="293" t="s">
        <v>116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4"/>
      <c r="C289" s="29" t="s">
        <v>28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0"/>
      <c r="T289" s="294"/>
      <c r="U289" s="29" t="s">
        <v>28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2"/>
      <c r="AL289" s="294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4"/>
      <c r="C290" s="29" t="s">
        <v>29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0"/>
      <c r="T290" s="294"/>
      <c r="U290" s="29" t="s">
        <v>29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2"/>
      <c r="AL290" s="294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4"/>
      <c r="C291" s="29" t="s">
        <v>31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0"/>
      <c r="T291" s="294"/>
      <c r="U291" s="29" t="s">
        <v>31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2"/>
      <c r="AL291" s="294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5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0"/>
      <c r="T292" s="295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2"/>
      <c r="AL292" s="295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93" t="s">
        <v>117</v>
      </c>
      <c r="C293" s="27" t="s">
        <v>27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0"/>
      <c r="T293" s="293" t="s">
        <v>117</v>
      </c>
      <c r="U293" s="27" t="s">
        <v>27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2"/>
      <c r="AL293" s="293" t="s">
        <v>117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4"/>
      <c r="C294" s="29" t="s">
        <v>28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0"/>
      <c r="T294" s="294"/>
      <c r="U294" s="29" t="s">
        <v>28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2"/>
      <c r="AL294" s="294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4"/>
      <c r="C295" s="29" t="s">
        <v>29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0"/>
      <c r="T295" s="294"/>
      <c r="U295" s="29" t="s">
        <v>29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2"/>
      <c r="AL295" s="294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4"/>
      <c r="C296" s="29" t="s">
        <v>31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0"/>
      <c r="T296" s="294"/>
      <c r="U296" s="29" t="s">
        <v>31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2"/>
      <c r="AL296" s="294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5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0"/>
      <c r="T297" s="295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2"/>
      <c r="AL297" s="295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93" t="s">
        <v>118</v>
      </c>
      <c r="C298" s="27" t="s">
        <v>27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0"/>
      <c r="T298" s="293" t="s">
        <v>118</v>
      </c>
      <c r="U298" s="27" t="s">
        <v>27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2"/>
      <c r="AL298" s="293" t="s">
        <v>118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4"/>
      <c r="C299" s="29" t="s">
        <v>28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0"/>
      <c r="T299" s="294"/>
      <c r="U299" s="29" t="s">
        <v>28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2"/>
      <c r="AL299" s="294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4"/>
      <c r="C300" s="29" t="s">
        <v>29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0"/>
      <c r="T300" s="294"/>
      <c r="U300" s="29" t="s">
        <v>29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2"/>
      <c r="AL300" s="294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4"/>
      <c r="C301" s="29" t="s">
        <v>31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0"/>
      <c r="T301" s="294"/>
      <c r="U301" s="29" t="s">
        <v>31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2"/>
      <c r="AL301" s="294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5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0"/>
      <c r="T302" s="295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2"/>
      <c r="AL302" s="295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93" t="s">
        <v>119</v>
      </c>
      <c r="C303" s="27" t="s">
        <v>27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0"/>
      <c r="T303" s="293" t="s">
        <v>119</v>
      </c>
      <c r="U303" s="27" t="s">
        <v>27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2"/>
      <c r="AL303" s="293" t="s">
        <v>119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4"/>
      <c r="C304" s="29" t="s">
        <v>28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0"/>
      <c r="T304" s="294"/>
      <c r="U304" s="29" t="s">
        <v>28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2"/>
      <c r="AL304" s="294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4"/>
      <c r="C305" s="29" t="s">
        <v>29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0"/>
      <c r="T305" s="294"/>
      <c r="U305" s="29" t="s">
        <v>29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2"/>
      <c r="AL305" s="294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4"/>
      <c r="C306" s="29" t="s">
        <v>31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0"/>
      <c r="T306" s="294"/>
      <c r="U306" s="29" t="s">
        <v>31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2"/>
      <c r="AL306" s="294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5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0"/>
      <c r="T307" s="295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2"/>
      <c r="AL307" s="295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93" t="s">
        <v>120</v>
      </c>
      <c r="C308" s="27" t="s">
        <v>27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0"/>
      <c r="T308" s="293" t="s">
        <v>120</v>
      </c>
      <c r="U308" s="27" t="s">
        <v>27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2"/>
      <c r="AL308" s="293" t="s">
        <v>120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4"/>
      <c r="C309" s="29" t="s">
        <v>28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0"/>
      <c r="T309" s="294"/>
      <c r="U309" s="29" t="s">
        <v>28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2"/>
      <c r="AL309" s="294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4"/>
      <c r="C310" s="29" t="s">
        <v>29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0"/>
      <c r="T310" s="294"/>
      <c r="U310" s="29" t="s">
        <v>29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2"/>
      <c r="AL310" s="294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4"/>
      <c r="C311" s="29" t="s">
        <v>31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0"/>
      <c r="T311" s="294"/>
      <c r="U311" s="29" t="s">
        <v>31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2"/>
      <c r="AL311" s="294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5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0"/>
      <c r="T312" s="295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2"/>
      <c r="AL312" s="295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93" t="s">
        <v>121</v>
      </c>
      <c r="C313" s="27" t="s">
        <v>27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0"/>
      <c r="T313" s="293" t="s">
        <v>121</v>
      </c>
      <c r="U313" s="27" t="s">
        <v>27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2"/>
      <c r="AL313" s="293" t="s">
        <v>121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4"/>
      <c r="C314" s="29" t="s">
        <v>28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0"/>
      <c r="T314" s="294"/>
      <c r="U314" s="29" t="s">
        <v>28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2"/>
      <c r="AL314" s="294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4"/>
      <c r="C315" s="29" t="s">
        <v>29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0"/>
      <c r="T315" s="294"/>
      <c r="U315" s="29" t="s">
        <v>29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2"/>
      <c r="AL315" s="294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4"/>
      <c r="C316" s="29" t="s">
        <v>31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0"/>
      <c r="T316" s="294"/>
      <c r="U316" s="29" t="s">
        <v>31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2"/>
      <c r="AL316" s="294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5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0"/>
      <c r="T317" s="295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2"/>
      <c r="AL317" s="295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93" t="s">
        <v>122</v>
      </c>
      <c r="C318" s="27" t="s">
        <v>27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0"/>
      <c r="T318" s="293" t="s">
        <v>122</v>
      </c>
      <c r="U318" s="27" t="s">
        <v>27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2"/>
      <c r="AL318" s="293" t="s">
        <v>122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4"/>
      <c r="C319" s="29" t="s">
        <v>28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0"/>
      <c r="T319" s="294"/>
      <c r="U319" s="29" t="s">
        <v>28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2"/>
      <c r="AL319" s="294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4"/>
      <c r="C320" s="29" t="s">
        <v>29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0"/>
      <c r="T320" s="294"/>
      <c r="U320" s="29" t="s">
        <v>29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2"/>
      <c r="AL320" s="294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4"/>
      <c r="C321" s="29" t="s">
        <v>31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0"/>
      <c r="T321" s="294"/>
      <c r="U321" s="29" t="s">
        <v>31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2"/>
      <c r="AL321" s="294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5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0"/>
      <c r="T322" s="295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2"/>
      <c r="AL322" s="295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93" t="s">
        <v>123</v>
      </c>
      <c r="C323" s="27" t="s">
        <v>27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0"/>
      <c r="T323" s="293" t="s">
        <v>123</v>
      </c>
      <c r="U323" s="27" t="s">
        <v>27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2"/>
      <c r="AL323" s="293" t="s">
        <v>123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4"/>
      <c r="C324" s="29" t="s">
        <v>28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0"/>
      <c r="T324" s="294"/>
      <c r="U324" s="29" t="s">
        <v>28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2"/>
      <c r="AL324" s="294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4"/>
      <c r="C325" s="29" t="s">
        <v>29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0"/>
      <c r="T325" s="294"/>
      <c r="U325" s="29" t="s">
        <v>29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2"/>
      <c r="AL325" s="294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4"/>
      <c r="C326" s="29" t="s">
        <v>31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0"/>
      <c r="T326" s="294"/>
      <c r="U326" s="29" t="s">
        <v>31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2"/>
      <c r="AL326" s="294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5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0"/>
      <c r="T327" s="295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2"/>
      <c r="AL327" s="295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93" t="s">
        <v>124</v>
      </c>
      <c r="C328" s="27" t="s">
        <v>27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0"/>
      <c r="T328" s="293" t="s">
        <v>124</v>
      </c>
      <c r="U328" s="27" t="s">
        <v>27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2"/>
      <c r="AL328" s="293" t="s">
        <v>124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4"/>
      <c r="C329" s="29" t="s">
        <v>28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0"/>
      <c r="T329" s="294"/>
      <c r="U329" s="29" t="s">
        <v>28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2"/>
      <c r="AL329" s="294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4"/>
      <c r="C330" s="29" t="s">
        <v>29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0"/>
      <c r="T330" s="294"/>
      <c r="U330" s="29" t="s">
        <v>29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2"/>
      <c r="AL330" s="294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4"/>
      <c r="C331" s="29" t="s">
        <v>31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0"/>
      <c r="T331" s="294"/>
      <c r="U331" s="29" t="s">
        <v>31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2"/>
      <c r="AL331" s="294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5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0"/>
      <c r="T332" s="295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2"/>
      <c r="AL332" s="295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93" t="s">
        <v>125</v>
      </c>
      <c r="C333" s="27" t="s">
        <v>27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0"/>
      <c r="T333" s="293" t="s">
        <v>125</v>
      </c>
      <c r="U333" s="27" t="s">
        <v>27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2"/>
      <c r="AL333" s="293" t="s">
        <v>125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4"/>
      <c r="C334" s="29" t="s">
        <v>28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0"/>
      <c r="T334" s="294"/>
      <c r="U334" s="29" t="s">
        <v>28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2"/>
      <c r="AL334" s="294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4"/>
      <c r="C335" s="29" t="s">
        <v>29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0"/>
      <c r="T335" s="294"/>
      <c r="U335" s="29" t="s">
        <v>29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2"/>
      <c r="AL335" s="294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4"/>
      <c r="C336" s="29" t="s">
        <v>31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0"/>
      <c r="T336" s="294"/>
      <c r="U336" s="29" t="s">
        <v>31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2"/>
      <c r="AL336" s="294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5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0"/>
      <c r="T337" s="295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2"/>
      <c r="AL337" s="295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93" t="s">
        <v>126</v>
      </c>
      <c r="C338" s="27" t="s">
        <v>27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0"/>
      <c r="T338" s="293" t="s">
        <v>126</v>
      </c>
      <c r="U338" s="27" t="s">
        <v>27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2"/>
      <c r="AL338" s="293" t="s">
        <v>126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4"/>
      <c r="C339" s="29" t="s">
        <v>28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0"/>
      <c r="T339" s="294"/>
      <c r="U339" s="29" t="s">
        <v>28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2"/>
      <c r="AL339" s="294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4"/>
      <c r="C340" s="29" t="s">
        <v>29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0"/>
      <c r="T340" s="294"/>
      <c r="U340" s="29" t="s">
        <v>29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2"/>
      <c r="AL340" s="294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4"/>
      <c r="C341" s="29" t="s">
        <v>31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0"/>
      <c r="T341" s="294"/>
      <c r="U341" s="29" t="s">
        <v>31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2"/>
      <c r="AL341" s="294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5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0"/>
      <c r="T342" s="295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2"/>
      <c r="AL342" s="295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93" t="s">
        <v>127</v>
      </c>
      <c r="C343" s="27" t="s">
        <v>27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0"/>
      <c r="T343" s="293" t="s">
        <v>127</v>
      </c>
      <c r="U343" s="27" t="s">
        <v>27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2"/>
      <c r="AL343" s="293" t="s">
        <v>127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4"/>
      <c r="C344" s="29" t="s">
        <v>28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0"/>
      <c r="T344" s="294"/>
      <c r="U344" s="29" t="s">
        <v>28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2"/>
      <c r="AL344" s="294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4"/>
      <c r="C345" s="29" t="s">
        <v>29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0"/>
      <c r="T345" s="294"/>
      <c r="U345" s="29" t="s">
        <v>29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2"/>
      <c r="AL345" s="294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4"/>
      <c r="C346" s="29" t="s">
        <v>31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0"/>
      <c r="T346" s="294"/>
      <c r="U346" s="29" t="s">
        <v>31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2"/>
      <c r="AL346" s="294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5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0"/>
      <c r="T347" s="295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2"/>
      <c r="AL347" s="295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93" t="s">
        <v>128</v>
      </c>
      <c r="C348" s="27" t="s">
        <v>27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0"/>
      <c r="T348" s="293" t="s">
        <v>128</v>
      </c>
      <c r="U348" s="27" t="s">
        <v>27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2"/>
      <c r="AL348" s="293" t="s">
        <v>128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4"/>
      <c r="C349" s="29" t="s">
        <v>28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0"/>
      <c r="T349" s="294"/>
      <c r="U349" s="29" t="s">
        <v>28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2"/>
      <c r="AL349" s="294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4"/>
      <c r="C350" s="29" t="s">
        <v>29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0"/>
      <c r="T350" s="294"/>
      <c r="U350" s="29" t="s">
        <v>29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2"/>
      <c r="AL350" s="294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4"/>
      <c r="C351" s="29" t="s">
        <v>31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0"/>
      <c r="T351" s="294"/>
      <c r="U351" s="29" t="s">
        <v>31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2"/>
      <c r="AL351" s="294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5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0"/>
      <c r="T352" s="295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2"/>
      <c r="AL352" s="295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93" t="s">
        <v>129</v>
      </c>
      <c r="C353" s="27" t="s">
        <v>27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0"/>
      <c r="T353" s="293" t="s">
        <v>129</v>
      </c>
      <c r="U353" s="27" t="s">
        <v>27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2"/>
      <c r="AL353" s="293" t="s">
        <v>129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4"/>
      <c r="C354" s="29" t="s">
        <v>28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0"/>
      <c r="T354" s="294"/>
      <c r="U354" s="29" t="s">
        <v>28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2"/>
      <c r="AL354" s="294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4"/>
      <c r="C355" s="29" t="s">
        <v>29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0"/>
      <c r="T355" s="294"/>
      <c r="U355" s="29" t="s">
        <v>29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2"/>
      <c r="AL355" s="294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4"/>
      <c r="C356" s="29" t="s">
        <v>31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0"/>
      <c r="T356" s="294"/>
      <c r="U356" s="29" t="s">
        <v>31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2"/>
      <c r="AL356" s="294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5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0"/>
      <c r="T357" s="295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2"/>
      <c r="AL357" s="295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93" t="s">
        <v>130</v>
      </c>
      <c r="C358" s="27" t="s">
        <v>27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0"/>
      <c r="T358" s="293" t="s">
        <v>130</v>
      </c>
      <c r="U358" s="27" t="s">
        <v>27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2"/>
      <c r="AL358" s="293" t="s">
        <v>130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4"/>
      <c r="C359" s="29" t="s">
        <v>28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0"/>
      <c r="T359" s="294"/>
      <c r="U359" s="29" t="s">
        <v>28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2"/>
      <c r="AL359" s="294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4"/>
      <c r="C360" s="29" t="s">
        <v>29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0"/>
      <c r="T360" s="294"/>
      <c r="U360" s="29" t="s">
        <v>29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2"/>
      <c r="AL360" s="294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4"/>
      <c r="C361" s="29" t="s">
        <v>31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0"/>
      <c r="T361" s="294"/>
      <c r="U361" s="29" t="s">
        <v>31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2"/>
      <c r="AL361" s="294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5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0"/>
      <c r="T362" s="295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2"/>
      <c r="AL362" s="295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93" t="s">
        <v>131</v>
      </c>
      <c r="C363" s="27" t="s">
        <v>27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0"/>
      <c r="T363" s="293" t="s">
        <v>131</v>
      </c>
      <c r="U363" s="27" t="s">
        <v>27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2"/>
      <c r="AL363" s="293" t="s">
        <v>131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4"/>
      <c r="C364" s="29" t="s">
        <v>28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0"/>
      <c r="T364" s="294"/>
      <c r="U364" s="29" t="s">
        <v>28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2"/>
      <c r="AL364" s="294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4"/>
      <c r="C365" s="29" t="s">
        <v>29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0"/>
      <c r="T365" s="294"/>
      <c r="U365" s="29" t="s">
        <v>29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2"/>
      <c r="AL365" s="294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4"/>
      <c r="C366" s="29" t="s">
        <v>31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0"/>
      <c r="T366" s="294"/>
      <c r="U366" s="29" t="s">
        <v>31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2"/>
      <c r="AL366" s="294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5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0"/>
      <c r="T367" s="295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2"/>
      <c r="AL367" s="295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93" t="s">
        <v>132</v>
      </c>
      <c r="C368" s="27" t="s">
        <v>27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0"/>
      <c r="T368" s="293" t="s">
        <v>132</v>
      </c>
      <c r="U368" s="27" t="s">
        <v>27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2"/>
      <c r="AL368" s="293" t="s">
        <v>132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4"/>
      <c r="C369" s="29" t="s">
        <v>28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0"/>
      <c r="T369" s="294"/>
      <c r="U369" s="29" t="s">
        <v>28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2"/>
      <c r="AL369" s="294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4"/>
      <c r="C370" s="29" t="s">
        <v>29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0"/>
      <c r="T370" s="294"/>
      <c r="U370" s="29" t="s">
        <v>29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2"/>
      <c r="AL370" s="294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4"/>
      <c r="C371" s="29" t="s">
        <v>31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0"/>
      <c r="T371" s="294"/>
      <c r="U371" s="29" t="s">
        <v>31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2"/>
      <c r="AL371" s="294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5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0"/>
      <c r="T372" s="295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2"/>
      <c r="AL372" s="295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93" t="s">
        <v>133</v>
      </c>
      <c r="C373" s="27" t="s">
        <v>27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0"/>
      <c r="T373" s="293" t="s">
        <v>133</v>
      </c>
      <c r="U373" s="27" t="s">
        <v>27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2"/>
      <c r="AL373" s="293" t="s">
        <v>133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4"/>
      <c r="C374" s="29" t="s">
        <v>28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0"/>
      <c r="T374" s="294"/>
      <c r="U374" s="29" t="s">
        <v>28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2"/>
      <c r="AL374" s="294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4"/>
      <c r="C375" s="29" t="s">
        <v>29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0"/>
      <c r="T375" s="294"/>
      <c r="U375" s="29" t="s">
        <v>29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2"/>
      <c r="AL375" s="294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4"/>
      <c r="C376" s="29" t="s">
        <v>31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0"/>
      <c r="T376" s="294"/>
      <c r="U376" s="29" t="s">
        <v>31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2"/>
      <c r="AL376" s="294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5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0"/>
      <c r="T377" s="295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2"/>
      <c r="AL377" s="295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93" t="s">
        <v>134</v>
      </c>
      <c r="C378" s="27" t="s">
        <v>27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0"/>
      <c r="T378" s="293" t="s">
        <v>134</v>
      </c>
      <c r="U378" s="27" t="s">
        <v>27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2"/>
      <c r="AL378" s="293" t="s">
        <v>134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4"/>
      <c r="C379" s="29" t="s">
        <v>28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0"/>
      <c r="T379" s="294"/>
      <c r="U379" s="29" t="s">
        <v>28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2"/>
      <c r="AL379" s="294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4"/>
      <c r="C380" s="29" t="s">
        <v>29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0"/>
      <c r="T380" s="294"/>
      <c r="U380" s="29" t="s">
        <v>29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2"/>
      <c r="AL380" s="294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4"/>
      <c r="C381" s="29" t="s">
        <v>31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0"/>
      <c r="T381" s="294"/>
      <c r="U381" s="29" t="s">
        <v>31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2"/>
      <c r="AL381" s="294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5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0"/>
      <c r="T382" s="295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2"/>
      <c r="AL382" s="295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93" t="s">
        <v>135</v>
      </c>
      <c r="C383" s="27" t="s">
        <v>27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0"/>
      <c r="T383" s="293" t="s">
        <v>135</v>
      </c>
      <c r="U383" s="27" t="s">
        <v>27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2"/>
      <c r="AL383" s="293" t="s">
        <v>135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4"/>
      <c r="C384" s="29" t="s">
        <v>28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0"/>
      <c r="T384" s="294"/>
      <c r="U384" s="29" t="s">
        <v>28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2"/>
      <c r="AL384" s="294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4"/>
      <c r="C385" s="29" t="s">
        <v>29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0"/>
      <c r="T385" s="294"/>
      <c r="U385" s="29" t="s">
        <v>29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2"/>
      <c r="AL385" s="294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4"/>
      <c r="C386" s="29" t="s">
        <v>31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0"/>
      <c r="T386" s="294"/>
      <c r="U386" s="29" t="s">
        <v>31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2"/>
      <c r="AL386" s="294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5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0"/>
      <c r="T387" s="295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2"/>
      <c r="AL387" s="295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93" t="s">
        <v>136</v>
      </c>
      <c r="C388" s="27" t="s">
        <v>27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0"/>
      <c r="T388" s="293" t="s">
        <v>136</v>
      </c>
      <c r="U388" s="27" t="s">
        <v>27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2"/>
      <c r="AL388" s="293" t="s">
        <v>136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4"/>
      <c r="C389" s="29" t="s">
        <v>28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0"/>
      <c r="T389" s="294"/>
      <c r="U389" s="29" t="s">
        <v>28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2"/>
      <c r="AL389" s="294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4"/>
      <c r="C390" s="29" t="s">
        <v>29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0"/>
      <c r="T390" s="294"/>
      <c r="U390" s="29" t="s">
        <v>29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2"/>
      <c r="AL390" s="294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4"/>
      <c r="C391" s="29" t="s">
        <v>31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0"/>
      <c r="T391" s="294"/>
      <c r="U391" s="29" t="s">
        <v>31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2"/>
      <c r="AL391" s="294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5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0"/>
      <c r="T392" s="295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2"/>
      <c r="AL392" s="295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93" t="s">
        <v>137</v>
      </c>
      <c r="C393" s="27" t="s">
        <v>27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0"/>
      <c r="T393" s="293" t="s">
        <v>137</v>
      </c>
      <c r="U393" s="27" t="s">
        <v>27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2"/>
      <c r="AL393" s="293" t="s">
        <v>137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4"/>
      <c r="C394" s="29" t="s">
        <v>28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0"/>
      <c r="T394" s="294"/>
      <c r="U394" s="29" t="s">
        <v>28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2"/>
      <c r="AL394" s="294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4"/>
      <c r="C395" s="29" t="s">
        <v>29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0"/>
      <c r="T395" s="294"/>
      <c r="U395" s="29" t="s">
        <v>29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2"/>
      <c r="AL395" s="294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4"/>
      <c r="C396" s="29" t="s">
        <v>31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0"/>
      <c r="T396" s="294"/>
      <c r="U396" s="29" t="s">
        <v>31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2"/>
      <c r="AL396" s="294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5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0"/>
      <c r="T397" s="295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2"/>
      <c r="AL397" s="295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93" t="s">
        <v>138</v>
      </c>
      <c r="C398" s="27" t="s">
        <v>27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0"/>
      <c r="T398" s="293" t="s">
        <v>138</v>
      </c>
      <c r="U398" s="27" t="s">
        <v>27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2"/>
      <c r="AL398" s="293" t="s">
        <v>138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4"/>
      <c r="C399" s="29" t="s">
        <v>28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0"/>
      <c r="T399" s="294"/>
      <c r="U399" s="29" t="s">
        <v>28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2"/>
      <c r="AL399" s="294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4"/>
      <c r="C400" s="29" t="s">
        <v>29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0"/>
      <c r="T400" s="294"/>
      <c r="U400" s="29" t="s">
        <v>29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2"/>
      <c r="AL400" s="294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4"/>
      <c r="C401" s="29" t="s">
        <v>31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0"/>
      <c r="T401" s="294"/>
      <c r="U401" s="29" t="s">
        <v>31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2"/>
      <c r="AL401" s="294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5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0"/>
      <c r="T402" s="295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2"/>
      <c r="AL402" s="295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93" t="s">
        <v>139</v>
      </c>
      <c r="C403" s="27" t="s">
        <v>27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0"/>
      <c r="T403" s="293" t="s">
        <v>139</v>
      </c>
      <c r="U403" s="27" t="s">
        <v>27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2"/>
      <c r="AL403" s="293" t="s">
        <v>139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4"/>
      <c r="C404" s="29" t="s">
        <v>28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0"/>
      <c r="T404" s="294"/>
      <c r="U404" s="29" t="s">
        <v>28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2"/>
      <c r="AL404" s="294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4"/>
      <c r="C405" s="29" t="s">
        <v>29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0"/>
      <c r="T405" s="294"/>
      <c r="U405" s="29" t="s">
        <v>29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2"/>
      <c r="AL405" s="294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4"/>
      <c r="C406" s="29" t="s">
        <v>31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0"/>
      <c r="T406" s="294"/>
      <c r="U406" s="29" t="s">
        <v>31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2"/>
      <c r="AL406" s="294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5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0"/>
      <c r="T407" s="295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2"/>
      <c r="AL407" s="295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93" t="s">
        <v>140</v>
      </c>
      <c r="C408" s="27" t="s">
        <v>27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0"/>
      <c r="T408" s="293" t="s">
        <v>140</v>
      </c>
      <c r="U408" s="27" t="s">
        <v>27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2"/>
      <c r="AL408" s="293" t="s">
        <v>140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4"/>
      <c r="C409" s="29" t="s">
        <v>28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0"/>
      <c r="T409" s="294"/>
      <c r="U409" s="29" t="s">
        <v>28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2"/>
      <c r="AL409" s="294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4"/>
      <c r="C410" s="29" t="s">
        <v>29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0"/>
      <c r="T410" s="294"/>
      <c r="U410" s="29" t="s">
        <v>29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2"/>
      <c r="AL410" s="294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4"/>
      <c r="C411" s="29" t="s">
        <v>31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0"/>
      <c r="T411" s="294"/>
      <c r="U411" s="29" t="s">
        <v>31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2"/>
      <c r="AL411" s="294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5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0"/>
      <c r="T412" s="295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2"/>
      <c r="AL412" s="295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93" t="s">
        <v>141</v>
      </c>
      <c r="C413" s="27" t="s">
        <v>27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0"/>
      <c r="T413" s="293" t="s">
        <v>141</v>
      </c>
      <c r="U413" s="27" t="s">
        <v>27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2"/>
      <c r="AL413" s="293" t="s">
        <v>141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4"/>
      <c r="C414" s="29" t="s">
        <v>28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0"/>
      <c r="T414" s="294"/>
      <c r="U414" s="29" t="s">
        <v>28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2"/>
      <c r="AL414" s="294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4"/>
      <c r="C415" s="29" t="s">
        <v>29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0"/>
      <c r="T415" s="294"/>
      <c r="U415" s="29" t="s">
        <v>29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2"/>
      <c r="AL415" s="294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4"/>
      <c r="C416" s="29" t="s">
        <v>31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0"/>
      <c r="T416" s="294"/>
      <c r="U416" s="29" t="s">
        <v>31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2"/>
      <c r="AL416" s="294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5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0"/>
      <c r="T417" s="295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2"/>
      <c r="AL417" s="295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93" t="s">
        <v>142</v>
      </c>
      <c r="C418" s="27" t="s">
        <v>27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0"/>
      <c r="T418" s="293" t="s">
        <v>142</v>
      </c>
      <c r="U418" s="27" t="s">
        <v>27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2"/>
      <c r="AL418" s="293" t="s">
        <v>142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4"/>
      <c r="C419" s="29" t="s">
        <v>28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0"/>
      <c r="T419" s="294"/>
      <c r="U419" s="29" t="s">
        <v>28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2"/>
      <c r="AL419" s="294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4"/>
      <c r="C420" s="29" t="s">
        <v>29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0"/>
      <c r="T420" s="294"/>
      <c r="U420" s="29" t="s">
        <v>29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2"/>
      <c r="AL420" s="294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4"/>
      <c r="C421" s="29" t="s">
        <v>31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0"/>
      <c r="T421" s="294"/>
      <c r="U421" s="29" t="s">
        <v>31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2"/>
      <c r="AL421" s="294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5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0"/>
      <c r="T422" s="295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2"/>
      <c r="AL422" s="295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93" t="s">
        <v>143</v>
      </c>
      <c r="C423" s="27" t="s">
        <v>27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0"/>
      <c r="T423" s="293" t="s">
        <v>143</v>
      </c>
      <c r="U423" s="27" t="s">
        <v>27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2"/>
      <c r="AL423" s="293" t="s">
        <v>143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4"/>
      <c r="C424" s="29" t="s">
        <v>28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0"/>
      <c r="T424" s="294"/>
      <c r="U424" s="29" t="s">
        <v>28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2"/>
      <c r="AL424" s="294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4"/>
      <c r="C425" s="29" t="s">
        <v>29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0"/>
      <c r="T425" s="294"/>
      <c r="U425" s="29" t="s">
        <v>29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2"/>
      <c r="AL425" s="294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4"/>
      <c r="C426" s="29" t="s">
        <v>31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0"/>
      <c r="T426" s="294"/>
      <c r="U426" s="29" t="s">
        <v>31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2"/>
      <c r="AL426" s="294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5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0"/>
      <c r="T427" s="295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2"/>
      <c r="AL427" s="295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93" t="s">
        <v>144</v>
      </c>
      <c r="C428" s="27" t="s">
        <v>27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0"/>
      <c r="T428" s="293" t="s">
        <v>144</v>
      </c>
      <c r="U428" s="27" t="s">
        <v>27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2"/>
      <c r="AL428" s="293" t="s">
        <v>144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4"/>
      <c r="C429" s="29" t="s">
        <v>28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0"/>
      <c r="T429" s="294"/>
      <c r="U429" s="29" t="s">
        <v>28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2"/>
      <c r="AL429" s="294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4"/>
      <c r="C430" s="29" t="s">
        <v>29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0"/>
      <c r="T430" s="294"/>
      <c r="U430" s="29" t="s">
        <v>29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2"/>
      <c r="AL430" s="294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4"/>
      <c r="C431" s="29" t="s">
        <v>31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0"/>
      <c r="T431" s="294"/>
      <c r="U431" s="29" t="s">
        <v>31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2"/>
      <c r="AL431" s="294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5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0"/>
      <c r="T432" s="295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2"/>
      <c r="AL432" s="295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93" t="s">
        <v>145</v>
      </c>
      <c r="C433" s="27" t="s">
        <v>27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0"/>
      <c r="T433" s="293" t="s">
        <v>145</v>
      </c>
      <c r="U433" s="27" t="s">
        <v>27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2"/>
      <c r="AL433" s="293" t="s">
        <v>145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4"/>
      <c r="C434" s="29" t="s">
        <v>28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0"/>
      <c r="T434" s="294"/>
      <c r="U434" s="29" t="s">
        <v>28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2"/>
      <c r="AL434" s="294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4"/>
      <c r="C435" s="29" t="s">
        <v>29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0"/>
      <c r="T435" s="294"/>
      <c r="U435" s="29" t="s">
        <v>29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2"/>
      <c r="AL435" s="294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4"/>
      <c r="C436" s="29" t="s">
        <v>31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0"/>
      <c r="T436" s="294"/>
      <c r="U436" s="29" t="s">
        <v>31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2"/>
      <c r="AL436" s="294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5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0"/>
      <c r="T437" s="295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2"/>
      <c r="AL437" s="295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93" t="s">
        <v>146</v>
      </c>
      <c r="C438" s="27" t="s">
        <v>27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0"/>
      <c r="T438" s="293" t="s">
        <v>146</v>
      </c>
      <c r="U438" s="27" t="s">
        <v>27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2"/>
      <c r="AL438" s="293" t="s">
        <v>146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4"/>
      <c r="C439" s="29" t="s">
        <v>28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0"/>
      <c r="T439" s="294"/>
      <c r="U439" s="29" t="s">
        <v>28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2"/>
      <c r="AL439" s="294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4"/>
      <c r="C440" s="29" t="s">
        <v>29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0"/>
      <c r="T440" s="294"/>
      <c r="U440" s="29" t="s">
        <v>29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2"/>
      <c r="AL440" s="294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4"/>
      <c r="C441" s="29" t="s">
        <v>31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0"/>
      <c r="T441" s="294"/>
      <c r="U441" s="29" t="s">
        <v>31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2"/>
      <c r="AL441" s="294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5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0"/>
      <c r="T442" s="295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2"/>
      <c r="AL442" s="295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93" t="s">
        <v>147</v>
      </c>
      <c r="C443" s="27" t="s">
        <v>27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0"/>
      <c r="T443" s="293" t="s">
        <v>147</v>
      </c>
      <c r="U443" s="27" t="s">
        <v>27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2"/>
      <c r="AL443" s="293" t="s">
        <v>147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4"/>
      <c r="C444" s="29" t="s">
        <v>28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0"/>
      <c r="T444" s="294"/>
      <c r="U444" s="29" t="s">
        <v>28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2"/>
      <c r="AL444" s="294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4"/>
      <c r="C445" s="29" t="s">
        <v>29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0"/>
      <c r="T445" s="294"/>
      <c r="U445" s="29" t="s">
        <v>29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2"/>
      <c r="AL445" s="294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4"/>
      <c r="C446" s="29" t="s">
        <v>31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0"/>
      <c r="T446" s="294"/>
      <c r="U446" s="29" t="s">
        <v>31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2"/>
      <c r="AL446" s="294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5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0"/>
      <c r="T447" s="295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2"/>
      <c r="AL447" s="295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93" t="s">
        <v>148</v>
      </c>
      <c r="C448" s="27" t="s">
        <v>27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0"/>
      <c r="T448" s="293" t="s">
        <v>148</v>
      </c>
      <c r="U448" s="27" t="s">
        <v>27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2"/>
      <c r="AL448" s="293" t="s">
        <v>148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4"/>
      <c r="C449" s="29" t="s">
        <v>28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0"/>
      <c r="T449" s="294"/>
      <c r="U449" s="29" t="s">
        <v>28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2"/>
      <c r="AL449" s="294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4"/>
      <c r="C450" s="29" t="s">
        <v>29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0"/>
      <c r="T450" s="294"/>
      <c r="U450" s="29" t="s">
        <v>29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2"/>
      <c r="AL450" s="294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4"/>
      <c r="C451" s="29" t="s">
        <v>31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0"/>
      <c r="T451" s="294"/>
      <c r="U451" s="29" t="s">
        <v>31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2"/>
      <c r="AL451" s="294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5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0"/>
      <c r="T452" s="295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2"/>
      <c r="AL452" s="295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93" t="s">
        <v>149</v>
      </c>
      <c r="C453" s="27" t="s">
        <v>27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0"/>
      <c r="T453" s="293" t="s">
        <v>149</v>
      </c>
      <c r="U453" s="27" t="s">
        <v>27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2"/>
      <c r="AL453" s="293" t="s">
        <v>149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4"/>
      <c r="C454" s="29" t="s">
        <v>28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0"/>
      <c r="T454" s="294"/>
      <c r="U454" s="29" t="s">
        <v>28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2"/>
      <c r="AL454" s="294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4"/>
      <c r="C455" s="29" t="s">
        <v>29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0"/>
      <c r="T455" s="294"/>
      <c r="U455" s="29" t="s">
        <v>29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2"/>
      <c r="AL455" s="294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4"/>
      <c r="C456" s="29" t="s">
        <v>31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0"/>
      <c r="T456" s="294"/>
      <c r="U456" s="29" t="s">
        <v>31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2"/>
      <c r="AL456" s="294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5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0"/>
      <c r="T457" s="295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2"/>
      <c r="AL457" s="295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93" t="s">
        <v>150</v>
      </c>
      <c r="C458" s="27" t="s">
        <v>27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0"/>
      <c r="T458" s="293" t="s">
        <v>150</v>
      </c>
      <c r="U458" s="27" t="s">
        <v>27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2"/>
      <c r="AL458" s="293" t="s">
        <v>150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4"/>
      <c r="C459" s="29" t="s">
        <v>28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0"/>
      <c r="T459" s="294"/>
      <c r="U459" s="29" t="s">
        <v>28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2"/>
      <c r="AL459" s="294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4"/>
      <c r="C460" s="29" t="s">
        <v>29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0"/>
      <c r="T460" s="294"/>
      <c r="U460" s="29" t="s">
        <v>29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2"/>
      <c r="AL460" s="294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4"/>
      <c r="C461" s="29" t="s">
        <v>31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0"/>
      <c r="T461" s="294"/>
      <c r="U461" s="29" t="s">
        <v>31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2"/>
      <c r="AL461" s="294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5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0"/>
      <c r="T462" s="295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2"/>
      <c r="AL462" s="295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93" t="s">
        <v>151</v>
      </c>
      <c r="C463" s="27" t="s">
        <v>27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0"/>
      <c r="T463" s="293" t="s">
        <v>151</v>
      </c>
      <c r="U463" s="27" t="s">
        <v>27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2"/>
      <c r="AL463" s="293" t="s">
        <v>151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4"/>
      <c r="C464" s="29" t="s">
        <v>28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0"/>
      <c r="T464" s="294"/>
      <c r="U464" s="29" t="s">
        <v>28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2"/>
      <c r="AL464" s="294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4"/>
      <c r="C465" s="29" t="s">
        <v>29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0"/>
      <c r="T465" s="294"/>
      <c r="U465" s="29" t="s">
        <v>29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2"/>
      <c r="AL465" s="294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4"/>
      <c r="C466" s="29" t="s">
        <v>31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0"/>
      <c r="T466" s="294"/>
      <c r="U466" s="29" t="s">
        <v>31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2"/>
      <c r="AL466" s="294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5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0"/>
      <c r="T467" s="295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2"/>
      <c r="AL467" s="295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93" t="s">
        <v>152</v>
      </c>
      <c r="C468" s="27" t="s">
        <v>27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0"/>
      <c r="T468" s="293" t="s">
        <v>152</v>
      </c>
      <c r="U468" s="27" t="s">
        <v>27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2"/>
      <c r="AL468" s="293" t="s">
        <v>152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4"/>
      <c r="C469" s="29" t="s">
        <v>28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0"/>
      <c r="T469" s="294"/>
      <c r="U469" s="29" t="s">
        <v>28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2"/>
      <c r="AL469" s="294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4"/>
      <c r="C470" s="29" t="s">
        <v>29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0"/>
      <c r="T470" s="294"/>
      <c r="U470" s="29" t="s">
        <v>29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2"/>
      <c r="AL470" s="294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4"/>
      <c r="C471" s="29" t="s">
        <v>31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0"/>
      <c r="T471" s="294"/>
      <c r="U471" s="29" t="s">
        <v>31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2"/>
      <c r="AL471" s="294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5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0"/>
      <c r="T472" s="295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2"/>
      <c r="AL472" s="295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93" t="s">
        <v>153</v>
      </c>
      <c r="C473" s="27" t="s">
        <v>27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0"/>
      <c r="T473" s="293" t="s">
        <v>153</v>
      </c>
      <c r="U473" s="27" t="s">
        <v>27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2"/>
      <c r="AL473" s="293" t="s">
        <v>153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4"/>
      <c r="C474" s="29" t="s">
        <v>28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0"/>
      <c r="T474" s="294"/>
      <c r="U474" s="29" t="s">
        <v>28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2"/>
      <c r="AL474" s="294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4"/>
      <c r="C475" s="29" t="s">
        <v>29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0"/>
      <c r="T475" s="294"/>
      <c r="U475" s="29" t="s">
        <v>29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2"/>
      <c r="AL475" s="294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4"/>
      <c r="C476" s="29" t="s">
        <v>31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0"/>
      <c r="T476" s="294"/>
      <c r="U476" s="29" t="s">
        <v>31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2"/>
      <c r="AL476" s="294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5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0"/>
      <c r="T477" s="295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2"/>
      <c r="AL477" s="295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93" t="s">
        <v>154</v>
      </c>
      <c r="C478" s="27" t="s">
        <v>27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0"/>
      <c r="T478" s="293" t="s">
        <v>154</v>
      </c>
      <c r="U478" s="27" t="s">
        <v>27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2"/>
      <c r="AL478" s="293" t="s">
        <v>154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4"/>
      <c r="C479" s="29" t="s">
        <v>28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0"/>
      <c r="T479" s="294"/>
      <c r="U479" s="29" t="s">
        <v>28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2"/>
      <c r="AL479" s="294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4"/>
      <c r="C480" s="29" t="s">
        <v>29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0"/>
      <c r="T480" s="294"/>
      <c r="U480" s="29" t="s">
        <v>29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2"/>
      <c r="AL480" s="294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4"/>
      <c r="C481" s="29" t="s">
        <v>31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0"/>
      <c r="T481" s="294"/>
      <c r="U481" s="29" t="s">
        <v>31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2"/>
      <c r="AL481" s="294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5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0"/>
      <c r="T482" s="295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2"/>
      <c r="AL482" s="295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93" t="s">
        <v>155</v>
      </c>
      <c r="C483" s="27" t="s">
        <v>27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0"/>
      <c r="T483" s="293" t="s">
        <v>155</v>
      </c>
      <c r="U483" s="27" t="s">
        <v>27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2"/>
      <c r="AL483" s="293" t="s">
        <v>155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4"/>
      <c r="C484" s="29" t="s">
        <v>28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0"/>
      <c r="T484" s="294"/>
      <c r="U484" s="29" t="s">
        <v>28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2"/>
      <c r="AL484" s="294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4"/>
      <c r="C485" s="29" t="s">
        <v>29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0"/>
      <c r="T485" s="294"/>
      <c r="U485" s="29" t="s">
        <v>29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2"/>
      <c r="AL485" s="294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4"/>
      <c r="C486" s="29" t="s">
        <v>31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0"/>
      <c r="T486" s="294"/>
      <c r="U486" s="29" t="s">
        <v>31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2"/>
      <c r="AL486" s="294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5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0"/>
      <c r="T487" s="295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2"/>
      <c r="AL487" s="295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93" t="s">
        <v>156</v>
      </c>
      <c r="C488" s="27" t="s">
        <v>27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0"/>
      <c r="T488" s="293" t="s">
        <v>156</v>
      </c>
      <c r="U488" s="27" t="s">
        <v>27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2"/>
      <c r="AL488" s="293" t="s">
        <v>156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4"/>
      <c r="C489" s="29" t="s">
        <v>28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0"/>
      <c r="T489" s="294"/>
      <c r="U489" s="29" t="s">
        <v>28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2"/>
      <c r="AL489" s="294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4"/>
      <c r="C490" s="29" t="s">
        <v>29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0"/>
      <c r="T490" s="294"/>
      <c r="U490" s="29" t="s">
        <v>29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2"/>
      <c r="AL490" s="294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4"/>
      <c r="C491" s="29" t="s">
        <v>31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0"/>
      <c r="T491" s="294"/>
      <c r="U491" s="29" t="s">
        <v>31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2"/>
      <c r="AL491" s="294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5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0"/>
      <c r="T492" s="295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2"/>
      <c r="AL492" s="295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93" t="s">
        <v>157</v>
      </c>
      <c r="C493" s="27" t="s">
        <v>27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0"/>
      <c r="T493" s="293" t="s">
        <v>157</v>
      </c>
      <c r="U493" s="27" t="s">
        <v>27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2"/>
      <c r="AL493" s="293" t="s">
        <v>157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4"/>
      <c r="C494" s="29" t="s">
        <v>28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0"/>
      <c r="T494" s="294"/>
      <c r="U494" s="29" t="s">
        <v>28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2"/>
      <c r="AL494" s="294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4"/>
      <c r="C495" s="29" t="s">
        <v>29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0"/>
      <c r="T495" s="294"/>
      <c r="U495" s="29" t="s">
        <v>29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2"/>
      <c r="AL495" s="294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4"/>
      <c r="C496" s="29" t="s">
        <v>31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0"/>
      <c r="T496" s="294"/>
      <c r="U496" s="29" t="s">
        <v>31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2"/>
      <c r="AL496" s="294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5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0"/>
      <c r="T497" s="295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2"/>
      <c r="AL497" s="295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93" t="s">
        <v>158</v>
      </c>
      <c r="C498" s="27" t="s">
        <v>27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0"/>
      <c r="T498" s="293" t="s">
        <v>158</v>
      </c>
      <c r="U498" s="27" t="s">
        <v>27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2"/>
      <c r="AL498" s="293" t="s">
        <v>158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4"/>
      <c r="C499" s="29" t="s">
        <v>28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0"/>
      <c r="T499" s="294"/>
      <c r="U499" s="29" t="s">
        <v>28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2"/>
      <c r="AL499" s="294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4"/>
      <c r="C500" s="29" t="s">
        <v>29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0"/>
      <c r="T500" s="294"/>
      <c r="U500" s="29" t="s">
        <v>29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2"/>
      <c r="AL500" s="294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4"/>
      <c r="C501" s="29" t="s">
        <v>31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0"/>
      <c r="T501" s="294"/>
      <c r="U501" s="29" t="s">
        <v>31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2"/>
      <c r="AL501" s="294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5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0"/>
      <c r="T502" s="295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2"/>
      <c r="AL502" s="295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93" t="s">
        <v>159</v>
      </c>
      <c r="C503" s="27" t="s">
        <v>27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0"/>
      <c r="T503" s="293" t="s">
        <v>159</v>
      </c>
      <c r="U503" s="27" t="s">
        <v>27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2"/>
      <c r="AL503" s="293" t="s">
        <v>159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4"/>
      <c r="C504" s="29" t="s">
        <v>28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0"/>
      <c r="T504" s="294"/>
      <c r="U504" s="29" t="s">
        <v>28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2"/>
      <c r="AL504" s="294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4"/>
      <c r="C505" s="29" t="s">
        <v>29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0"/>
      <c r="T505" s="294"/>
      <c r="U505" s="29" t="s">
        <v>29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2"/>
      <c r="AL505" s="294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4"/>
      <c r="C506" s="29" t="s">
        <v>31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0"/>
      <c r="T506" s="294"/>
      <c r="U506" s="29" t="s">
        <v>31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2"/>
      <c r="AL506" s="294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5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0"/>
      <c r="T507" s="295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2"/>
      <c r="AL507" s="295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93" t="s">
        <v>160</v>
      </c>
      <c r="C508" s="27" t="s">
        <v>27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0"/>
      <c r="T508" s="293" t="s">
        <v>160</v>
      </c>
      <c r="U508" s="27" t="s">
        <v>27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2"/>
      <c r="AL508" s="293" t="s">
        <v>160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4"/>
      <c r="C509" s="29" t="s">
        <v>28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0"/>
      <c r="T509" s="294"/>
      <c r="U509" s="29" t="s">
        <v>28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2"/>
      <c r="AL509" s="294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4"/>
      <c r="C510" s="29" t="s">
        <v>29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0"/>
      <c r="T510" s="294"/>
      <c r="U510" s="29" t="s">
        <v>29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2"/>
      <c r="AL510" s="294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4"/>
      <c r="C511" s="29" t="s">
        <v>31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0"/>
      <c r="T511" s="294"/>
      <c r="U511" s="29" t="s">
        <v>31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2"/>
      <c r="AL511" s="294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5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0"/>
      <c r="T512" s="295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2"/>
      <c r="AL512" s="295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93" t="s">
        <v>161</v>
      </c>
      <c r="C513" s="27" t="s">
        <v>27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0"/>
      <c r="T513" s="293" t="s">
        <v>161</v>
      </c>
      <c r="U513" s="27" t="s">
        <v>27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2"/>
      <c r="AL513" s="293" t="s">
        <v>161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4"/>
      <c r="C514" s="29" t="s">
        <v>28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0"/>
      <c r="T514" s="294"/>
      <c r="U514" s="29" t="s">
        <v>28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2"/>
      <c r="AL514" s="294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4"/>
      <c r="C515" s="29" t="s">
        <v>29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0"/>
      <c r="T515" s="294"/>
      <c r="U515" s="29" t="s">
        <v>29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2"/>
      <c r="AL515" s="294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4"/>
      <c r="C516" s="29" t="s">
        <v>31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0"/>
      <c r="T516" s="294"/>
      <c r="U516" s="29" t="s">
        <v>31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2"/>
      <c r="AL516" s="294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5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0"/>
      <c r="T517" s="295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2"/>
      <c r="AL517" s="295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93" t="s">
        <v>162</v>
      </c>
      <c r="C518" s="27" t="s">
        <v>27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0"/>
      <c r="T518" s="293" t="s">
        <v>162</v>
      </c>
      <c r="U518" s="27" t="s">
        <v>27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2"/>
      <c r="AL518" s="293" t="s">
        <v>162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4"/>
      <c r="C519" s="29" t="s">
        <v>28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0"/>
      <c r="T519" s="294"/>
      <c r="U519" s="29" t="s">
        <v>28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2"/>
      <c r="AL519" s="294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4"/>
      <c r="C520" s="29" t="s">
        <v>29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0"/>
      <c r="T520" s="294"/>
      <c r="U520" s="29" t="s">
        <v>29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2"/>
      <c r="AL520" s="294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4"/>
      <c r="C521" s="29" t="s">
        <v>31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0"/>
      <c r="T521" s="294"/>
      <c r="U521" s="29" t="s">
        <v>31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2"/>
      <c r="AL521" s="294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5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0"/>
      <c r="T522" s="295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2"/>
      <c r="AL522" s="295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93" t="s">
        <v>163</v>
      </c>
      <c r="C523" s="27" t="s">
        <v>27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0"/>
      <c r="T523" s="293" t="s">
        <v>163</v>
      </c>
      <c r="U523" s="27" t="s">
        <v>27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2"/>
      <c r="AL523" s="293" t="s">
        <v>163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4"/>
      <c r="C524" s="29" t="s">
        <v>28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0"/>
      <c r="T524" s="294"/>
      <c r="U524" s="29" t="s">
        <v>28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2"/>
      <c r="AL524" s="294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4"/>
      <c r="C525" s="29" t="s">
        <v>29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0"/>
      <c r="T525" s="294"/>
      <c r="U525" s="29" t="s">
        <v>29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2"/>
      <c r="AL525" s="294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4"/>
      <c r="C526" s="29" t="s">
        <v>31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0"/>
      <c r="T526" s="294"/>
      <c r="U526" s="29" t="s">
        <v>31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2"/>
      <c r="AL526" s="294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5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0"/>
      <c r="T527" s="295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2"/>
      <c r="AL527" s="295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93" t="s">
        <v>164</v>
      </c>
      <c r="C528" s="27" t="s">
        <v>27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0"/>
      <c r="T528" s="293" t="s">
        <v>164</v>
      </c>
      <c r="U528" s="27" t="s">
        <v>27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2"/>
      <c r="AL528" s="293" t="s">
        <v>164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4"/>
      <c r="C529" s="29" t="s">
        <v>28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0"/>
      <c r="T529" s="294"/>
      <c r="U529" s="29" t="s">
        <v>28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2"/>
      <c r="AL529" s="294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4"/>
      <c r="C530" s="29" t="s">
        <v>29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0"/>
      <c r="T530" s="294"/>
      <c r="U530" s="29" t="s">
        <v>29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2"/>
      <c r="AL530" s="294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4"/>
      <c r="C531" s="29" t="s">
        <v>31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0"/>
      <c r="T531" s="294"/>
      <c r="U531" s="29" t="s">
        <v>31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2"/>
      <c r="AL531" s="294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5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0"/>
      <c r="T532" s="295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2"/>
      <c r="AL532" s="295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93" t="s">
        <v>165</v>
      </c>
      <c r="C533" s="27" t="s">
        <v>27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0"/>
      <c r="T533" s="293" t="s">
        <v>165</v>
      </c>
      <c r="U533" s="27" t="s">
        <v>27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2"/>
      <c r="AL533" s="293" t="s">
        <v>165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4"/>
      <c r="C534" s="29" t="s">
        <v>28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0"/>
      <c r="T534" s="294"/>
      <c r="U534" s="29" t="s">
        <v>28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2"/>
      <c r="AL534" s="294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4"/>
      <c r="C535" s="29" t="s">
        <v>29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0"/>
      <c r="T535" s="294"/>
      <c r="U535" s="29" t="s">
        <v>29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2"/>
      <c r="AL535" s="294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4"/>
      <c r="C536" s="29" t="s">
        <v>31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0"/>
      <c r="T536" s="294"/>
      <c r="U536" s="29" t="s">
        <v>31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2"/>
      <c r="AL536" s="294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5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0"/>
      <c r="T537" s="295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2"/>
      <c r="AL537" s="295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93" t="s">
        <v>166</v>
      </c>
      <c r="C538" s="27" t="s">
        <v>27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0"/>
      <c r="T538" s="293" t="s">
        <v>166</v>
      </c>
      <c r="U538" s="27" t="s">
        <v>27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2"/>
      <c r="AL538" s="293" t="s">
        <v>166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4"/>
      <c r="C539" s="29" t="s">
        <v>28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0"/>
      <c r="T539" s="294"/>
      <c r="U539" s="29" t="s">
        <v>28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2"/>
      <c r="AL539" s="294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4"/>
      <c r="C540" s="29" t="s">
        <v>29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0"/>
      <c r="T540" s="294"/>
      <c r="U540" s="29" t="s">
        <v>29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2"/>
      <c r="AL540" s="294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4"/>
      <c r="C541" s="29" t="s">
        <v>31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0"/>
      <c r="T541" s="294"/>
      <c r="U541" s="29" t="s">
        <v>31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2"/>
      <c r="AL541" s="294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5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0"/>
      <c r="T542" s="295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2"/>
      <c r="AL542" s="295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93" t="s">
        <v>167</v>
      </c>
      <c r="C543" s="27" t="s">
        <v>27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0"/>
      <c r="T543" s="293" t="s">
        <v>167</v>
      </c>
      <c r="U543" s="27" t="s">
        <v>27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2"/>
      <c r="AL543" s="293" t="s">
        <v>167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4"/>
      <c r="C544" s="29" t="s">
        <v>28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0"/>
      <c r="T544" s="294"/>
      <c r="U544" s="29" t="s">
        <v>28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2"/>
      <c r="AL544" s="294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4"/>
      <c r="C545" s="29" t="s">
        <v>29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0"/>
      <c r="T545" s="294"/>
      <c r="U545" s="29" t="s">
        <v>29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2"/>
      <c r="AL545" s="294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4"/>
      <c r="C546" s="29" t="s">
        <v>31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0"/>
      <c r="T546" s="294"/>
      <c r="U546" s="29" t="s">
        <v>31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2"/>
      <c r="AL546" s="294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5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0"/>
      <c r="T547" s="295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2"/>
      <c r="AL547" s="295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93" t="s">
        <v>168</v>
      </c>
      <c r="C548" s="27" t="s">
        <v>27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0"/>
      <c r="T548" s="293" t="s">
        <v>168</v>
      </c>
      <c r="U548" s="27" t="s">
        <v>27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2"/>
      <c r="AL548" s="293" t="s">
        <v>168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4"/>
      <c r="C549" s="29" t="s">
        <v>28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0"/>
      <c r="T549" s="294"/>
      <c r="U549" s="29" t="s">
        <v>28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2"/>
      <c r="AL549" s="294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4"/>
      <c r="C550" s="29" t="s">
        <v>29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0"/>
      <c r="T550" s="294"/>
      <c r="U550" s="29" t="s">
        <v>29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2"/>
      <c r="AL550" s="294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4"/>
      <c r="C551" s="29" t="s">
        <v>31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0"/>
      <c r="T551" s="294"/>
      <c r="U551" s="29" t="s">
        <v>31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2"/>
      <c r="AL551" s="294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5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0"/>
      <c r="T552" s="295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2"/>
      <c r="AL552" s="295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93" t="s">
        <v>169</v>
      </c>
      <c r="C553" s="27" t="s">
        <v>27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0"/>
      <c r="T553" s="293" t="s">
        <v>169</v>
      </c>
      <c r="U553" s="27" t="s">
        <v>27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2"/>
      <c r="AL553" s="293" t="s">
        <v>169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4"/>
      <c r="C554" s="29" t="s">
        <v>28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0"/>
      <c r="T554" s="294"/>
      <c r="U554" s="29" t="s">
        <v>28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2"/>
      <c r="AL554" s="294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4"/>
      <c r="C555" s="29" t="s">
        <v>29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0"/>
      <c r="T555" s="294"/>
      <c r="U555" s="29" t="s">
        <v>29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2"/>
      <c r="AL555" s="294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4"/>
      <c r="C556" s="29" t="s">
        <v>31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0"/>
      <c r="T556" s="294"/>
      <c r="U556" s="29" t="s">
        <v>31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2"/>
      <c r="AL556" s="294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5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0"/>
      <c r="T557" s="295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2"/>
      <c r="AL557" s="295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93" t="s">
        <v>170</v>
      </c>
      <c r="C558" s="27" t="s">
        <v>27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0"/>
      <c r="T558" s="293" t="s">
        <v>170</v>
      </c>
      <c r="U558" s="27" t="s">
        <v>27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2"/>
      <c r="AL558" s="293" t="s">
        <v>170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4"/>
      <c r="C559" s="29" t="s">
        <v>28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0"/>
      <c r="T559" s="294"/>
      <c r="U559" s="29" t="s">
        <v>28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2"/>
      <c r="AL559" s="294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4"/>
      <c r="C560" s="29" t="s">
        <v>29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0"/>
      <c r="T560" s="294"/>
      <c r="U560" s="29" t="s">
        <v>29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2"/>
      <c r="AL560" s="294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4"/>
      <c r="C561" s="29" t="s">
        <v>31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0"/>
      <c r="T561" s="294"/>
      <c r="U561" s="29" t="s">
        <v>31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2"/>
      <c r="AL561" s="294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5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0"/>
      <c r="T562" s="295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2"/>
      <c r="AL562" s="295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93" t="s">
        <v>171</v>
      </c>
      <c r="C563" s="27" t="s">
        <v>27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0"/>
      <c r="T563" s="293" t="s">
        <v>171</v>
      </c>
      <c r="U563" s="27" t="s">
        <v>27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2"/>
      <c r="AL563" s="293" t="s">
        <v>171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4"/>
      <c r="C564" s="29" t="s">
        <v>28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0"/>
      <c r="T564" s="294"/>
      <c r="U564" s="29" t="s">
        <v>28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2"/>
      <c r="AL564" s="294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4"/>
      <c r="C565" s="29" t="s">
        <v>29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0"/>
      <c r="T565" s="294"/>
      <c r="U565" s="29" t="s">
        <v>29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2"/>
      <c r="AL565" s="294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4"/>
      <c r="C566" s="29" t="s">
        <v>31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0"/>
      <c r="T566" s="294"/>
      <c r="U566" s="29" t="s">
        <v>31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2"/>
      <c r="AL566" s="294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5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0"/>
      <c r="T567" s="295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2"/>
      <c r="AL567" s="295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93" t="s">
        <v>172</v>
      </c>
      <c r="C568" s="27" t="s">
        <v>27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0"/>
      <c r="T568" s="293" t="s">
        <v>172</v>
      </c>
      <c r="U568" s="27" t="s">
        <v>27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2"/>
      <c r="AL568" s="293" t="s">
        <v>172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4"/>
      <c r="C569" s="29" t="s">
        <v>28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0"/>
      <c r="T569" s="294"/>
      <c r="U569" s="29" t="s">
        <v>28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2"/>
      <c r="AL569" s="294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4"/>
      <c r="C570" s="29" t="s">
        <v>29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0"/>
      <c r="T570" s="294"/>
      <c r="U570" s="29" t="s">
        <v>29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2"/>
      <c r="AL570" s="294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4"/>
      <c r="C571" s="29" t="s">
        <v>31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0"/>
      <c r="T571" s="294"/>
      <c r="U571" s="29" t="s">
        <v>31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2"/>
      <c r="AL571" s="294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5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0"/>
      <c r="T572" s="295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2"/>
      <c r="AL572" s="295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93" t="s">
        <v>173</v>
      </c>
      <c r="C573" s="27" t="s">
        <v>27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0"/>
      <c r="T573" s="293" t="s">
        <v>173</v>
      </c>
      <c r="U573" s="27" t="s">
        <v>27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2"/>
      <c r="AL573" s="293" t="s">
        <v>173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4"/>
      <c r="C574" s="29" t="s">
        <v>28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0"/>
      <c r="T574" s="294"/>
      <c r="U574" s="29" t="s">
        <v>28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2"/>
      <c r="AL574" s="294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4"/>
      <c r="C575" s="29" t="s">
        <v>29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0"/>
      <c r="T575" s="294"/>
      <c r="U575" s="29" t="s">
        <v>29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2"/>
      <c r="AL575" s="294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4"/>
      <c r="C576" s="29" t="s">
        <v>31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0"/>
      <c r="T576" s="294"/>
      <c r="U576" s="29" t="s">
        <v>31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2"/>
      <c r="AL576" s="294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5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0"/>
      <c r="T577" s="295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2"/>
      <c r="AL577" s="295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93" t="s">
        <v>174</v>
      </c>
      <c r="C578" s="27" t="s">
        <v>27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0"/>
      <c r="T578" s="293" t="s">
        <v>174</v>
      </c>
      <c r="U578" s="27" t="s">
        <v>27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2"/>
      <c r="AL578" s="293" t="s">
        <v>174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4"/>
      <c r="C579" s="29" t="s">
        <v>28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0"/>
      <c r="T579" s="294"/>
      <c r="U579" s="29" t="s">
        <v>28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2"/>
      <c r="AL579" s="294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4"/>
      <c r="C580" s="29" t="s">
        <v>29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0"/>
      <c r="T580" s="294"/>
      <c r="U580" s="29" t="s">
        <v>29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2"/>
      <c r="AL580" s="294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4"/>
      <c r="C581" s="29" t="s">
        <v>31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0"/>
      <c r="T581" s="294"/>
      <c r="U581" s="29" t="s">
        <v>31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2"/>
      <c r="AL581" s="294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5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0"/>
      <c r="T582" s="295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2"/>
      <c r="AL582" s="295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93" t="s">
        <v>175</v>
      </c>
      <c r="C583" s="27" t="s">
        <v>27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0"/>
      <c r="T583" s="293" t="s">
        <v>175</v>
      </c>
      <c r="U583" s="27" t="s">
        <v>27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2"/>
      <c r="AL583" s="293" t="s">
        <v>175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4"/>
      <c r="C584" s="29" t="s">
        <v>28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0"/>
      <c r="T584" s="294"/>
      <c r="U584" s="29" t="s">
        <v>28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2"/>
      <c r="AL584" s="294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4"/>
      <c r="C585" s="29" t="s">
        <v>29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0"/>
      <c r="T585" s="294"/>
      <c r="U585" s="29" t="s">
        <v>29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2"/>
      <c r="AL585" s="294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4"/>
      <c r="C586" s="29" t="s">
        <v>31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0"/>
      <c r="T586" s="294"/>
      <c r="U586" s="29" t="s">
        <v>31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2"/>
      <c r="AL586" s="294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5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0"/>
      <c r="T587" s="295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2"/>
      <c r="AL587" s="295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93" t="s">
        <v>176</v>
      </c>
      <c r="C588" s="27" t="s">
        <v>27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0"/>
      <c r="T588" s="293" t="s">
        <v>176</v>
      </c>
      <c r="U588" s="27" t="s">
        <v>27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2"/>
      <c r="AL588" s="293" t="s">
        <v>176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4"/>
      <c r="C589" s="29" t="s">
        <v>28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0"/>
      <c r="T589" s="294"/>
      <c r="U589" s="29" t="s">
        <v>28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2"/>
      <c r="AL589" s="294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4"/>
      <c r="C590" s="29" t="s">
        <v>29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0"/>
      <c r="T590" s="294"/>
      <c r="U590" s="29" t="s">
        <v>29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2"/>
      <c r="AL590" s="294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4"/>
      <c r="C591" s="29" t="s">
        <v>31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0"/>
      <c r="T591" s="294"/>
      <c r="U591" s="29" t="s">
        <v>31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2"/>
      <c r="AL591" s="294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5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0"/>
      <c r="T592" s="295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2"/>
      <c r="AL592" s="295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93" t="s">
        <v>177</v>
      </c>
      <c r="C593" s="27" t="s">
        <v>27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0"/>
      <c r="T593" s="293" t="s">
        <v>177</v>
      </c>
      <c r="U593" s="27" t="s">
        <v>27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2"/>
      <c r="AL593" s="293" t="s">
        <v>177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4"/>
      <c r="C594" s="29" t="s">
        <v>28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0"/>
      <c r="T594" s="294"/>
      <c r="U594" s="29" t="s">
        <v>28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2"/>
      <c r="AL594" s="294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4"/>
      <c r="C595" s="29" t="s">
        <v>29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0"/>
      <c r="T595" s="294"/>
      <c r="U595" s="29" t="s">
        <v>29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2"/>
      <c r="AL595" s="294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4"/>
      <c r="C596" s="29" t="s">
        <v>31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0"/>
      <c r="T596" s="294"/>
      <c r="U596" s="29" t="s">
        <v>31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2"/>
      <c r="AL596" s="294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5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0"/>
      <c r="T597" s="295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2"/>
      <c r="AL597" s="295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93" t="s">
        <v>178</v>
      </c>
      <c r="C598" s="27" t="s">
        <v>27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0"/>
      <c r="T598" s="293" t="s">
        <v>178</v>
      </c>
      <c r="U598" s="27" t="s">
        <v>27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2"/>
      <c r="AL598" s="293" t="s">
        <v>178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4"/>
      <c r="C599" s="29" t="s">
        <v>28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0"/>
      <c r="T599" s="294"/>
      <c r="U599" s="29" t="s">
        <v>28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2"/>
      <c r="AL599" s="294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4"/>
      <c r="C600" s="29" t="s">
        <v>29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0"/>
      <c r="T600" s="294"/>
      <c r="U600" s="29" t="s">
        <v>29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2"/>
      <c r="AL600" s="294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4"/>
      <c r="C601" s="29" t="s">
        <v>31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0"/>
      <c r="T601" s="294"/>
      <c r="U601" s="29" t="s">
        <v>31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2"/>
      <c r="AL601" s="294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5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0"/>
      <c r="T602" s="295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2"/>
      <c r="AL602" s="295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93" t="s">
        <v>179</v>
      </c>
      <c r="C603" s="27" t="s">
        <v>27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0"/>
      <c r="T603" s="293" t="s">
        <v>179</v>
      </c>
      <c r="U603" s="27" t="s">
        <v>27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2"/>
      <c r="AL603" s="293" t="s">
        <v>179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4"/>
      <c r="C604" s="29" t="s">
        <v>28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0"/>
      <c r="T604" s="294"/>
      <c r="U604" s="29" t="s">
        <v>28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2"/>
      <c r="AL604" s="294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4"/>
      <c r="C605" s="29" t="s">
        <v>29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0"/>
      <c r="T605" s="294"/>
      <c r="U605" s="29" t="s">
        <v>29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2"/>
      <c r="AL605" s="294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4"/>
      <c r="C606" s="29" t="s">
        <v>31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0"/>
      <c r="T606" s="294"/>
      <c r="U606" s="29" t="s">
        <v>31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2"/>
      <c r="AL606" s="294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5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0"/>
      <c r="T607" s="295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2"/>
      <c r="AL607" s="295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93" t="s">
        <v>180</v>
      </c>
      <c r="C608" s="27" t="s">
        <v>27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0"/>
      <c r="T608" s="293" t="s">
        <v>180</v>
      </c>
      <c r="U608" s="27" t="s">
        <v>27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2"/>
      <c r="AL608" s="293" t="s">
        <v>180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4"/>
      <c r="C609" s="29" t="s">
        <v>28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0"/>
      <c r="T609" s="294"/>
      <c r="U609" s="29" t="s">
        <v>28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2"/>
      <c r="AL609" s="294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4"/>
      <c r="C610" s="29" t="s">
        <v>29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0"/>
      <c r="T610" s="294"/>
      <c r="U610" s="29" t="s">
        <v>29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2"/>
      <c r="AL610" s="294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4"/>
      <c r="C611" s="29" t="s">
        <v>31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0"/>
      <c r="T611" s="294"/>
      <c r="U611" s="29" t="s">
        <v>31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2"/>
      <c r="AL611" s="294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5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0"/>
      <c r="T612" s="295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2"/>
      <c r="AL612" s="295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93" t="s">
        <v>181</v>
      </c>
      <c r="C613" s="27" t="s">
        <v>27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0"/>
      <c r="T613" s="293" t="s">
        <v>181</v>
      </c>
      <c r="U613" s="27" t="s">
        <v>27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2"/>
      <c r="AL613" s="293" t="s">
        <v>181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4"/>
      <c r="C614" s="29" t="s">
        <v>28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0"/>
      <c r="T614" s="294"/>
      <c r="U614" s="29" t="s">
        <v>28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2"/>
      <c r="AL614" s="294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4"/>
      <c r="C615" s="29" t="s">
        <v>29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0"/>
      <c r="T615" s="294"/>
      <c r="U615" s="29" t="s">
        <v>29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2"/>
      <c r="AL615" s="294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4"/>
      <c r="C616" s="29" t="s">
        <v>31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0"/>
      <c r="T616" s="294"/>
      <c r="U616" s="29" t="s">
        <v>31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2"/>
      <c r="AL616" s="294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5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0"/>
      <c r="T617" s="295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2"/>
      <c r="AL617" s="295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93" t="s">
        <v>182</v>
      </c>
      <c r="C618" s="27" t="s">
        <v>27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0"/>
      <c r="T618" s="293" t="s">
        <v>182</v>
      </c>
      <c r="U618" s="27" t="s">
        <v>27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2"/>
      <c r="AL618" s="293" t="s">
        <v>182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4"/>
      <c r="C619" s="29" t="s">
        <v>28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0"/>
      <c r="T619" s="294"/>
      <c r="U619" s="29" t="s">
        <v>28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2"/>
      <c r="AL619" s="294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4"/>
      <c r="C620" s="29" t="s">
        <v>29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0"/>
      <c r="T620" s="294"/>
      <c r="U620" s="29" t="s">
        <v>29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2"/>
      <c r="AL620" s="294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4"/>
      <c r="C621" s="29" t="s">
        <v>31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0"/>
      <c r="T621" s="294"/>
      <c r="U621" s="29" t="s">
        <v>31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2"/>
      <c r="AL621" s="294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5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0"/>
      <c r="T622" s="295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2"/>
      <c r="AL622" s="295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93" t="s">
        <v>183</v>
      </c>
      <c r="C623" s="27" t="s">
        <v>27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0"/>
      <c r="T623" s="293" t="s">
        <v>183</v>
      </c>
      <c r="U623" s="27" t="s">
        <v>27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2"/>
      <c r="AL623" s="293" t="s">
        <v>183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4"/>
      <c r="C624" s="29" t="s">
        <v>28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0"/>
      <c r="T624" s="294"/>
      <c r="U624" s="29" t="s">
        <v>28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2"/>
      <c r="AL624" s="294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4"/>
      <c r="C625" s="29" t="s">
        <v>29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0"/>
      <c r="T625" s="294"/>
      <c r="U625" s="29" t="s">
        <v>29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2"/>
      <c r="AL625" s="294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4"/>
      <c r="C626" s="29" t="s">
        <v>31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0"/>
      <c r="T626" s="294"/>
      <c r="U626" s="29" t="s">
        <v>31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2"/>
      <c r="AL626" s="294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5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0"/>
      <c r="T627" s="295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2"/>
      <c r="AL627" s="295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93" t="s">
        <v>184</v>
      </c>
      <c r="C628" s="27" t="s">
        <v>27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0"/>
      <c r="T628" s="293" t="s">
        <v>184</v>
      </c>
      <c r="U628" s="27" t="s">
        <v>27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2"/>
      <c r="AL628" s="293" t="s">
        <v>184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4"/>
      <c r="C629" s="29" t="s">
        <v>28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0"/>
      <c r="T629" s="294"/>
      <c r="U629" s="29" t="s">
        <v>28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2"/>
      <c r="AL629" s="294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4"/>
      <c r="C630" s="29" t="s">
        <v>29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0"/>
      <c r="T630" s="294"/>
      <c r="U630" s="29" t="s">
        <v>29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2"/>
      <c r="AL630" s="294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4"/>
      <c r="C631" s="29" t="s">
        <v>31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0"/>
      <c r="T631" s="294"/>
      <c r="U631" s="29" t="s">
        <v>31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2"/>
      <c r="AL631" s="294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5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0"/>
      <c r="T632" s="295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2"/>
      <c r="AL632" s="295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93" t="s">
        <v>185</v>
      </c>
      <c r="C633" s="27" t="s">
        <v>27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0"/>
      <c r="T633" s="293" t="s">
        <v>185</v>
      </c>
      <c r="U633" s="27" t="s">
        <v>27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2"/>
      <c r="AL633" s="293" t="s">
        <v>185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4"/>
      <c r="C634" s="29" t="s">
        <v>28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0"/>
      <c r="T634" s="294"/>
      <c r="U634" s="29" t="s">
        <v>28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2"/>
      <c r="AL634" s="294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4"/>
      <c r="C635" s="29" t="s">
        <v>29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0"/>
      <c r="T635" s="294"/>
      <c r="U635" s="29" t="s">
        <v>29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2"/>
      <c r="AL635" s="294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4"/>
      <c r="C636" s="29" t="s">
        <v>31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0"/>
      <c r="T636" s="294"/>
      <c r="U636" s="29" t="s">
        <v>31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2"/>
      <c r="AL636" s="294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5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0"/>
      <c r="T637" s="295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2"/>
      <c r="AL637" s="295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0"/>
      <c r="C638" s="210"/>
      <c r="D638" s="210"/>
      <c r="E638" s="210"/>
      <c r="F638" s="210"/>
      <c r="G638" s="210"/>
      <c r="H638" s="210"/>
      <c r="I638" s="210"/>
      <c r="J638" s="210"/>
      <c r="K638" s="210"/>
      <c r="L638" s="210"/>
      <c r="M638" s="210"/>
      <c r="N638" s="210"/>
      <c r="O638" s="254"/>
      <c r="P638" s="210"/>
      <c r="Q638" s="210"/>
      <c r="R638" s="94"/>
      <c r="S638" s="210"/>
      <c r="T638" s="210"/>
      <c r="U638" s="210"/>
      <c r="V638" s="210"/>
      <c r="W638" s="210"/>
      <c r="X638" s="210"/>
      <c r="Y638" s="210"/>
      <c r="Z638" s="210"/>
      <c r="AA638" s="210"/>
      <c r="AB638" s="210"/>
      <c r="AC638" s="210"/>
      <c r="AD638" s="210"/>
      <c r="AE638" s="210"/>
      <c r="AF638" s="210"/>
      <c r="AG638" s="254"/>
      <c r="AH638" s="210"/>
      <c r="AI638" s="210"/>
      <c r="AJ638" s="94"/>
      <c r="AK638" s="212"/>
      <c r="AL638" s="212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5"/>
      <c r="D639" s="104"/>
      <c r="E639" s="265"/>
      <c r="F639" s="32" t="s">
        <v>44</v>
      </c>
      <c r="G639" s="216" t="s">
        <v>44</v>
      </c>
      <c r="H639" s="216" t="s">
        <v>44</v>
      </c>
      <c r="I639" s="216" t="s">
        <v>44</v>
      </c>
      <c r="J639" s="216" t="s">
        <v>44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5"/>
      <c r="V639" s="104"/>
      <c r="W639" s="265"/>
      <c r="X639" s="32" t="s">
        <v>44</v>
      </c>
      <c r="Y639" s="216" t="s">
        <v>44</v>
      </c>
      <c r="Z639" s="216" t="s">
        <v>44</v>
      </c>
      <c r="AA639" s="216" t="s">
        <v>44</v>
      </c>
      <c r="AB639" s="216" t="s">
        <v>44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2"/>
      <c r="F640" s="93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8"/>
      <c r="T640" s="143"/>
      <c r="U640" s="212"/>
      <c r="V640" s="8"/>
      <c r="W640" s="236"/>
      <c r="X640" s="93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93" t="s">
        <v>186</v>
      </c>
      <c r="C641" s="27" t="s">
        <v>27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28.152414633333319</v>
      </c>
      <c r="G641" s="138">
        <f t="shared" si="59"/>
        <v>31.64819833333333</v>
      </c>
      <c r="H641" s="138">
        <f t="shared" si="59"/>
        <v>0.96123721133333306</v>
      </c>
      <c r="I641" s="138">
        <f t="shared" si="59"/>
        <v>0.9678347169999999</v>
      </c>
      <c r="J641" s="138">
        <f t="shared" si="59"/>
        <v>5.5772741899999992E-2</v>
      </c>
      <c r="K641" s="112"/>
      <c r="L641" s="112"/>
      <c r="M641" s="112"/>
      <c r="N641" s="112"/>
      <c r="O641" s="267"/>
      <c r="P641" s="112"/>
      <c r="Q641" s="113"/>
      <c r="R641" s="114"/>
      <c r="T641" s="293" t="s">
        <v>186</v>
      </c>
      <c r="U641" s="27" t="s">
        <v>27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4"/>
      <c r="C642" s="29" t="s">
        <v>28</v>
      </c>
      <c r="D642" s="110"/>
      <c r="E642" s="268"/>
      <c r="F642" s="20">
        <f t="shared" si="59"/>
        <v>31.366383466666669</v>
      </c>
      <c r="G642" s="20">
        <f t="shared" si="59"/>
        <v>34.878139233333322</v>
      </c>
      <c r="H642" s="20">
        <f t="shared" si="59"/>
        <v>0.97785817266666675</v>
      </c>
      <c r="I642" s="20">
        <f t="shared" si="59"/>
        <v>0.98195703999999995</v>
      </c>
      <c r="J642" s="20">
        <f t="shared" si="59"/>
        <v>3.7115929266666667E-2</v>
      </c>
      <c r="K642" s="115"/>
      <c r="L642" s="115"/>
      <c r="M642" s="115"/>
      <c r="N642" s="115"/>
      <c r="O642" s="269"/>
      <c r="P642" s="115"/>
      <c r="Q642" s="116"/>
      <c r="R642" s="117"/>
      <c r="T642" s="294"/>
      <c r="U642" s="29" t="s">
        <v>28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4"/>
      <c r="C643" s="29" t="s">
        <v>29</v>
      </c>
      <c r="D643" s="110"/>
      <c r="E643" s="268"/>
      <c r="F643" s="20">
        <f t="shared" si="59"/>
        <v>34.863741566666661</v>
      </c>
      <c r="G643" s="20">
        <f t="shared" si="59"/>
        <v>38.976689099999987</v>
      </c>
      <c r="H643" s="20">
        <f t="shared" si="59"/>
        <v>0.98815126133333331</v>
      </c>
      <c r="I643" s="20">
        <f t="shared" si="59"/>
        <v>0.99128826099999989</v>
      </c>
      <c r="J643" s="20">
        <f t="shared" si="59"/>
        <v>2.207871396666667E-2</v>
      </c>
      <c r="K643" s="115"/>
      <c r="L643" s="115"/>
      <c r="M643" s="115"/>
      <c r="N643" s="115"/>
      <c r="O643" s="269"/>
      <c r="P643" s="115"/>
      <c r="Q643" s="116"/>
      <c r="R643" s="117"/>
      <c r="T643" s="294"/>
      <c r="U643" s="29" t="s">
        <v>29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4"/>
      <c r="C644" s="29" t="s">
        <v>31</v>
      </c>
      <c r="D644" s="110"/>
      <c r="E644" s="268"/>
      <c r="F644" s="20">
        <f t="shared" si="59"/>
        <v>37.83487019999999</v>
      </c>
      <c r="G644" s="20">
        <f t="shared" si="59"/>
        <v>42.150858433333333</v>
      </c>
      <c r="H644" s="20">
        <f t="shared" si="59"/>
        <v>0.99346047266666637</v>
      </c>
      <c r="I644" s="20">
        <f t="shared" si="59"/>
        <v>0.99553496733333335</v>
      </c>
      <c r="J644" s="20">
        <f t="shared" si="59"/>
        <v>1.1405834016666659E-2</v>
      </c>
      <c r="K644" s="115"/>
      <c r="L644" s="115"/>
      <c r="M644" s="115"/>
      <c r="N644" s="115"/>
      <c r="O644" s="269"/>
      <c r="P644" s="115"/>
      <c r="Q644" s="116"/>
      <c r="R644" s="117"/>
      <c r="T644" s="294"/>
      <c r="U644" s="29" t="s">
        <v>31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5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5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305" t="s">
        <v>187</v>
      </c>
      <c r="C646" s="27" t="s">
        <v>27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32.348767166666669</v>
      </c>
      <c r="G646" s="138">
        <f t="shared" si="61"/>
        <v>36.294003199999992</v>
      </c>
      <c r="H646" s="138">
        <f t="shared" si="61"/>
        <v>0.97301658866666696</v>
      </c>
      <c r="I646" s="138">
        <f t="shared" si="61"/>
        <v>0.98058377933333329</v>
      </c>
      <c r="J646" s="138">
        <f t="shared" si="61"/>
        <v>7.5542787266666675E-2</v>
      </c>
      <c r="K646" s="112"/>
      <c r="L646" s="112"/>
      <c r="M646" s="112"/>
      <c r="N646" s="112"/>
      <c r="O646" s="267"/>
      <c r="P646" s="112"/>
      <c r="Q646" s="113"/>
      <c r="R646" s="114"/>
      <c r="T646" s="305" t="s">
        <v>187</v>
      </c>
      <c r="U646" s="27" t="s">
        <v>27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4"/>
      <c r="C647" s="29" t="s">
        <v>28</v>
      </c>
      <c r="D647" s="110"/>
      <c r="E647" s="268"/>
      <c r="F647" s="20">
        <f t="shared" si="61"/>
        <v>34.523348066666657</v>
      </c>
      <c r="G647" s="20">
        <f t="shared" si="61"/>
        <v>38.213963000000007</v>
      </c>
      <c r="H647" s="20">
        <f t="shared" si="61"/>
        <v>0.98236613266666661</v>
      </c>
      <c r="I647" s="20">
        <f t="shared" si="61"/>
        <v>0.98751377033333332</v>
      </c>
      <c r="J647" s="20">
        <f t="shared" si="61"/>
        <v>5.2218214899999983E-2</v>
      </c>
      <c r="K647" s="115"/>
      <c r="L647" s="115"/>
      <c r="M647" s="115"/>
      <c r="N647" s="115"/>
      <c r="O647" s="269"/>
      <c r="P647" s="115"/>
      <c r="Q647" s="116"/>
      <c r="R647" s="117"/>
      <c r="T647" s="294"/>
      <c r="U647" s="29" t="s">
        <v>28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4"/>
      <c r="C648" s="29" t="s">
        <v>29</v>
      </c>
      <c r="D648" s="110"/>
      <c r="E648" s="268"/>
      <c r="F648" s="20">
        <f t="shared" si="61"/>
        <v>38.258201966666668</v>
      </c>
      <c r="G648" s="20">
        <f t="shared" si="61"/>
        <v>41.726277433333323</v>
      </c>
      <c r="H648" s="20">
        <f t="shared" si="61"/>
        <v>0.99018370700000002</v>
      </c>
      <c r="I648" s="20">
        <f t="shared" si="61"/>
        <v>0.99350195966666666</v>
      </c>
      <c r="J648" s="20">
        <f t="shared" si="61"/>
        <v>2.9923755366666669E-2</v>
      </c>
      <c r="K648" s="115"/>
      <c r="L648" s="115"/>
      <c r="M648" s="115"/>
      <c r="N648" s="115"/>
      <c r="O648" s="269"/>
      <c r="P648" s="115"/>
      <c r="Q648" s="116"/>
      <c r="R648" s="117"/>
      <c r="T648" s="294"/>
      <c r="U648" s="29" t="s">
        <v>29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4"/>
      <c r="C649" s="29" t="s">
        <v>31</v>
      </c>
      <c r="D649" s="110"/>
      <c r="E649" s="268"/>
      <c r="F649" s="20">
        <f t="shared" si="61"/>
        <v>41.949339599999988</v>
      </c>
      <c r="G649" s="20">
        <f t="shared" si="61"/>
        <v>45.484655733333327</v>
      </c>
      <c r="H649" s="20">
        <f t="shared" si="61"/>
        <v>0.99417331399999997</v>
      </c>
      <c r="I649" s="20">
        <f t="shared" si="61"/>
        <v>0.99654939399999987</v>
      </c>
      <c r="J649" s="20">
        <f t="shared" si="61"/>
        <v>1.67594717E-2</v>
      </c>
      <c r="K649" s="115"/>
      <c r="L649" s="115"/>
      <c r="M649" s="115"/>
      <c r="N649" s="115"/>
      <c r="O649" s="269"/>
      <c r="P649" s="115"/>
      <c r="Q649" s="116"/>
      <c r="R649" s="117"/>
      <c r="T649" s="294"/>
      <c r="U649" s="29" t="s">
        <v>31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5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5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3" t="s">
        <v>188</v>
      </c>
      <c r="C651" s="27" t="s">
        <v>27</v>
      </c>
      <c r="D651" s="109"/>
      <c r="E651" s="266"/>
      <c r="F651" s="138">
        <f t="shared" ref="F651:J654" si="63">F646-F641</f>
        <v>4.19635253333335</v>
      </c>
      <c r="G651" s="138">
        <f t="shared" si="63"/>
        <v>4.645804866666662</v>
      </c>
      <c r="H651" s="138">
        <f t="shared" si="63"/>
        <v>1.1779377333333896E-2</v>
      </c>
      <c r="I651" s="138">
        <f t="shared" si="63"/>
        <v>1.2749062333333394E-2</v>
      </c>
      <c r="J651" s="138">
        <f t="shared" si="63"/>
        <v>1.9770045366666683E-2</v>
      </c>
      <c r="K651" s="112"/>
      <c r="L651" s="112"/>
      <c r="M651" s="112"/>
      <c r="N651" s="112"/>
      <c r="O651" s="267"/>
      <c r="P651" s="112"/>
      <c r="Q651" s="113"/>
      <c r="R651" s="114"/>
      <c r="T651" s="303" t="s">
        <v>188</v>
      </c>
      <c r="U651" s="27" t="s">
        <v>27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4"/>
      <c r="C652" s="29" t="s">
        <v>28</v>
      </c>
      <c r="D652" s="110"/>
      <c r="E652" s="268"/>
      <c r="F652" s="20">
        <f t="shared" si="63"/>
        <v>3.1569645999999878</v>
      </c>
      <c r="G652" s="20">
        <f t="shared" si="63"/>
        <v>3.3358237666666852</v>
      </c>
      <c r="H652" s="20">
        <f t="shared" si="63"/>
        <v>4.5079599999998665E-3</v>
      </c>
      <c r="I652" s="20">
        <f t="shared" si="63"/>
        <v>5.5567303333333706E-3</v>
      </c>
      <c r="J652" s="20">
        <f t="shared" si="63"/>
        <v>1.5102285633333316E-2</v>
      </c>
      <c r="K652" s="115"/>
      <c r="L652" s="115"/>
      <c r="M652" s="115"/>
      <c r="N652" s="115"/>
      <c r="O652" s="269"/>
      <c r="P652" s="115"/>
      <c r="Q652" s="116"/>
      <c r="R652" s="117"/>
      <c r="T652" s="294"/>
      <c r="U652" s="29" t="s">
        <v>28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4"/>
      <c r="C653" s="29" t="s">
        <v>29</v>
      </c>
      <c r="D653" s="110"/>
      <c r="E653" s="268"/>
      <c r="F653" s="20">
        <f t="shared" si="63"/>
        <v>3.3944604000000069</v>
      </c>
      <c r="G653" s="20">
        <f t="shared" si="63"/>
        <v>2.7495883333333353</v>
      </c>
      <c r="H653" s="20">
        <f t="shared" si="63"/>
        <v>2.0324456666667157E-3</v>
      </c>
      <c r="I653" s="20">
        <f t="shared" si="63"/>
        <v>2.2136986666667635E-3</v>
      </c>
      <c r="J653" s="20">
        <f t="shared" si="63"/>
        <v>7.8450413999999989E-3</v>
      </c>
      <c r="K653" s="115"/>
      <c r="L653" s="115"/>
      <c r="M653" s="115"/>
      <c r="N653" s="115"/>
      <c r="O653" s="269"/>
      <c r="P653" s="115"/>
      <c r="Q653" s="116"/>
      <c r="R653" s="117"/>
      <c r="T653" s="294"/>
      <c r="U653" s="29" t="s">
        <v>29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4"/>
      <c r="C654" s="29" t="s">
        <v>31</v>
      </c>
      <c r="D654" s="110"/>
      <c r="E654" s="268"/>
      <c r="F654" s="20">
        <f t="shared" si="63"/>
        <v>4.1144693999999973</v>
      </c>
      <c r="G654" s="20">
        <f t="shared" si="63"/>
        <v>3.3337972999999934</v>
      </c>
      <c r="H654" s="20">
        <f t="shared" si="63"/>
        <v>7.1284133333360256E-4</v>
      </c>
      <c r="I654" s="20">
        <f t="shared" si="63"/>
        <v>1.0144266666665125E-3</v>
      </c>
      <c r="J654" s="20">
        <f t="shared" si="63"/>
        <v>5.3536376833333409E-3</v>
      </c>
      <c r="K654" s="115"/>
      <c r="L654" s="115"/>
      <c r="M654" s="115"/>
      <c r="N654" s="115"/>
      <c r="O654" s="269"/>
      <c r="P654" s="115"/>
      <c r="Q654" s="116"/>
      <c r="R654" s="117"/>
      <c r="T654" s="294"/>
      <c r="U654" s="29" t="s">
        <v>31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5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5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301"/>
      <c r="C675" s="210"/>
      <c r="D675" s="210"/>
      <c r="E675" s="93"/>
      <c r="F675" s="160"/>
      <c r="G675" s="160"/>
      <c r="H675" s="160"/>
      <c r="I675" s="93"/>
      <c r="J675" s="93"/>
    </row>
    <row r="676" spans="2:10" x14ac:dyDescent="0.15">
      <c r="B676" s="290"/>
      <c r="C676" s="210"/>
      <c r="D676" s="210"/>
      <c r="E676" s="93"/>
      <c r="F676" s="160"/>
      <c r="G676" s="160"/>
      <c r="H676" s="160"/>
      <c r="I676" s="93"/>
      <c r="J676" s="93"/>
    </row>
    <row r="677" spans="2:10" x14ac:dyDescent="0.15">
      <c r="B677" s="290"/>
      <c r="C677" s="210"/>
      <c r="D677" s="210"/>
      <c r="E677" s="93"/>
      <c r="F677" s="160"/>
      <c r="G677" s="160"/>
      <c r="H677" s="160"/>
      <c r="I677" s="93"/>
      <c r="J677" s="93"/>
    </row>
    <row r="678" spans="2:10" x14ac:dyDescent="0.15">
      <c r="B678" s="290"/>
      <c r="C678" s="210"/>
      <c r="D678" s="210"/>
      <c r="E678" s="93"/>
      <c r="F678" s="160"/>
      <c r="G678" s="160"/>
      <c r="H678" s="160"/>
      <c r="I678" s="93"/>
      <c r="J678" s="93"/>
    </row>
    <row r="679" spans="2:10" x14ac:dyDescent="0.15">
      <c r="B679" s="290"/>
      <c r="C679" s="210"/>
      <c r="D679" s="210"/>
      <c r="E679" s="93"/>
      <c r="F679" s="160"/>
      <c r="G679" s="160"/>
      <c r="H679" s="160"/>
      <c r="I679" s="93"/>
      <c r="J679" s="93"/>
    </row>
    <row r="680" spans="2:10" x14ac:dyDescent="0.15">
      <c r="B680" s="301"/>
      <c r="C680" s="210"/>
      <c r="D680" s="210"/>
      <c r="E680" s="93"/>
      <c r="F680" s="160"/>
      <c r="G680" s="160"/>
      <c r="H680" s="160"/>
      <c r="I680" s="160"/>
      <c r="J680" s="160"/>
    </row>
    <row r="681" spans="2:10" x14ac:dyDescent="0.15">
      <c r="B681" s="290"/>
      <c r="C681" s="210"/>
      <c r="D681" s="210"/>
      <c r="E681" s="93"/>
      <c r="F681" s="160"/>
      <c r="G681" s="160"/>
      <c r="H681" s="160"/>
      <c r="I681" s="160"/>
      <c r="J681" s="160"/>
    </row>
    <row r="682" spans="2:10" x14ac:dyDescent="0.15">
      <c r="B682" s="290"/>
      <c r="C682" s="210"/>
      <c r="D682" s="210"/>
      <c r="E682" s="93"/>
      <c r="F682" s="160"/>
      <c r="G682" s="160"/>
      <c r="H682" s="160"/>
      <c r="I682" s="160"/>
      <c r="J682" s="160"/>
    </row>
    <row r="683" spans="2:10" x14ac:dyDescent="0.15">
      <c r="B683" s="290"/>
      <c r="C683" s="210"/>
      <c r="D683" s="210"/>
      <c r="E683" s="93"/>
      <c r="F683" s="160"/>
      <c r="G683" s="160"/>
      <c r="H683" s="160"/>
      <c r="I683" s="160"/>
      <c r="J683" s="160"/>
    </row>
    <row r="684" spans="2:10" x14ac:dyDescent="0.15">
      <c r="B684" s="290"/>
      <c r="C684" s="210"/>
      <c r="D684" s="210"/>
      <c r="E684" s="93"/>
      <c r="F684" s="160"/>
      <c r="G684" s="160"/>
      <c r="H684" s="160"/>
      <c r="I684" s="160"/>
      <c r="J684" s="160"/>
    </row>
    <row r="685" spans="2:10" x14ac:dyDescent="0.15">
      <c r="B685" s="301"/>
      <c r="C685" s="210"/>
      <c r="D685" s="210"/>
      <c r="E685" s="93"/>
      <c r="F685" s="160"/>
      <c r="G685" s="160"/>
      <c r="H685" s="160"/>
      <c r="I685" s="160"/>
      <c r="J685" s="160"/>
    </row>
    <row r="686" spans="2:10" x14ac:dyDescent="0.15">
      <c r="B686" s="290"/>
      <c r="C686" s="210"/>
      <c r="D686" s="210"/>
      <c r="E686" s="93"/>
      <c r="F686" s="160"/>
      <c r="G686" s="160"/>
      <c r="H686" s="160"/>
      <c r="I686" s="160"/>
      <c r="J686" s="160"/>
    </row>
    <row r="687" spans="2:10" x14ac:dyDescent="0.15">
      <c r="B687" s="290"/>
      <c r="C687" s="210"/>
      <c r="D687" s="210"/>
      <c r="E687" s="93"/>
      <c r="F687" s="160"/>
      <c r="G687" s="160"/>
      <c r="H687" s="160"/>
      <c r="I687" s="160"/>
      <c r="J687" s="160"/>
    </row>
    <row r="688" spans="2:10" x14ac:dyDescent="0.15">
      <c r="B688" s="290"/>
      <c r="C688" s="210"/>
      <c r="D688" s="210"/>
      <c r="E688" s="93"/>
      <c r="F688" s="160"/>
      <c r="G688" s="160"/>
      <c r="H688" s="160"/>
      <c r="I688" s="160"/>
      <c r="J688" s="160"/>
    </row>
    <row r="689" spans="2:10" x14ac:dyDescent="0.15">
      <c r="B689" s="290"/>
      <c r="C689" s="210"/>
      <c r="D689" s="210"/>
      <c r="E689" s="93"/>
      <c r="F689" s="160"/>
      <c r="G689" s="160"/>
      <c r="H689" s="160"/>
      <c r="I689" s="160"/>
      <c r="J689" s="160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13</v>
      </c>
      <c r="C2" s="308" t="str">
        <f>CONCATENATE("Summary [ ",'Summary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0"/>
      <c r="T2" s="144" t="str">
        <f>$B$2</f>
        <v>cinema_semitrack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12"/>
      <c r="AL2" s="164" t="str">
        <f>$B$2</f>
        <v>cinema_semitrack</v>
      </c>
      <c r="AM2" s="302" t="s">
        <v>43</v>
      </c>
      <c r="AN2" s="273"/>
      <c r="AO2" s="273"/>
      <c r="AP2" s="273"/>
      <c r="AQ2" s="298"/>
      <c r="AR2" s="39"/>
      <c r="AS2" s="238"/>
      <c r="AT2" s="39"/>
    </row>
    <row r="3" spans="1:58" ht="13.5" customHeight="1" x14ac:dyDescent="0.3">
      <c r="B3" s="158"/>
      <c r="C3" s="215"/>
      <c r="D3" s="96"/>
      <c r="E3" s="239" t="s">
        <v>25</v>
      </c>
      <c r="F3" s="32" t="s">
        <v>44</v>
      </c>
      <c r="G3" s="216" t="s">
        <v>44</v>
      </c>
      <c r="H3" s="216" t="s">
        <v>44</v>
      </c>
      <c r="I3" s="216" t="s">
        <v>44</v>
      </c>
      <c r="J3" s="216" t="s">
        <v>44</v>
      </c>
      <c r="K3" s="216"/>
      <c r="L3" s="216"/>
      <c r="M3" s="216"/>
      <c r="N3" s="216"/>
      <c r="O3" s="240"/>
      <c r="P3" s="304" t="s">
        <v>45</v>
      </c>
      <c r="Q3" s="304" t="s">
        <v>46</v>
      </c>
      <c r="R3" s="310" t="s">
        <v>47</v>
      </c>
      <c r="S3" s="210"/>
      <c r="T3" s="142"/>
      <c r="U3" s="215"/>
      <c r="V3" s="96"/>
      <c r="W3" s="239" t="s">
        <v>25</v>
      </c>
      <c r="X3" s="32" t="s">
        <v>44</v>
      </c>
      <c r="Y3" s="216" t="s">
        <v>44</v>
      </c>
      <c r="Z3" s="216" t="s">
        <v>44</v>
      </c>
      <c r="AA3" s="216" t="s">
        <v>44</v>
      </c>
      <c r="AB3" s="216" t="s">
        <v>44</v>
      </c>
      <c r="AC3" s="216"/>
      <c r="AD3" s="216"/>
      <c r="AE3" s="216"/>
      <c r="AF3" s="216"/>
      <c r="AG3" s="240"/>
      <c r="AH3" s="304" t="s">
        <v>45</v>
      </c>
      <c r="AI3" s="304" t="s">
        <v>46</v>
      </c>
      <c r="AJ3" s="310" t="s">
        <v>47</v>
      </c>
      <c r="AK3" s="212"/>
      <c r="AL3" s="142"/>
      <c r="AM3" s="165"/>
      <c r="AN3" s="165"/>
      <c r="AO3" s="165"/>
      <c r="AP3" s="165"/>
      <c r="AQ3" s="166"/>
      <c r="AR3" s="44"/>
      <c r="AS3" s="52"/>
      <c r="AT3" s="21" t="s">
        <v>48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3"/>
      <c r="C4" s="212"/>
      <c r="D4" s="34"/>
      <c r="E4" s="241" t="s">
        <v>49</v>
      </c>
      <c r="F4" s="35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21"/>
      <c r="M4" s="121"/>
      <c r="N4" s="94"/>
      <c r="O4" s="242"/>
      <c r="P4" s="277"/>
      <c r="Q4" s="277"/>
      <c r="R4" s="311"/>
      <c r="S4" s="210"/>
      <c r="T4" s="143"/>
      <c r="U4" s="212"/>
      <c r="V4" s="34"/>
      <c r="W4" s="241" t="s">
        <v>49</v>
      </c>
      <c r="X4" s="35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4"/>
      <c r="AG4" s="242"/>
      <c r="AH4" s="277"/>
      <c r="AI4" s="277"/>
      <c r="AJ4" s="311"/>
      <c r="AK4" s="210"/>
      <c r="AL4" s="214"/>
      <c r="AM4" s="93" t="s">
        <v>23</v>
      </c>
      <c r="AN4" s="93" t="s">
        <v>34</v>
      </c>
      <c r="AO4" s="93" t="s">
        <v>37</v>
      </c>
      <c r="AP4" s="93" t="s">
        <v>40</v>
      </c>
      <c r="AQ4" s="167" t="s">
        <v>50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5"/>
      <c r="C5" s="27" t="s">
        <v>27</v>
      </c>
      <c r="D5" s="28"/>
      <c r="E5" s="128">
        <f>E23</f>
        <v>845747.51199999999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30.37096978571428</v>
      </c>
      <c r="G5" s="32">
        <f t="shared" si="0"/>
        <v>33.98965329365079</v>
      </c>
      <c r="H5" s="32">
        <f t="shared" si="0"/>
        <v>0.96590289023809528</v>
      </c>
      <c r="I5" s="93">
        <f t="shared" si="0"/>
        <v>0.97295868495238103</v>
      </c>
      <c r="J5" s="93">
        <f t="shared" si="0"/>
        <v>6.262357097301588E-2</v>
      </c>
      <c r="K5" s="57"/>
      <c r="L5" s="57"/>
      <c r="M5" s="57"/>
      <c r="N5" s="28"/>
      <c r="O5" s="58"/>
      <c r="P5" s="133">
        <f t="shared" ref="P5:Q8" si="1">P16</f>
        <v>0</v>
      </c>
      <c r="Q5" s="154">
        <f t="shared" si="1"/>
        <v>0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0"/>
      <c r="T5" s="306"/>
      <c r="U5" s="27" t="s">
        <v>27</v>
      </c>
      <c r="V5" s="28"/>
      <c r="W5" s="129">
        <f>W16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2"/>
      <c r="AL5" s="161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3"/>
      <c r="AT5" s="21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9" t="s">
        <v>28</v>
      </c>
      <c r="D6" s="30"/>
      <c r="E6" s="159">
        <f>E24</f>
        <v>1228477.4640000002</v>
      </c>
      <c r="F6" s="93">
        <f t="shared" si="0"/>
        <v>33.247802463492064</v>
      </c>
      <c r="G6" s="93">
        <f t="shared" si="0"/>
        <v>36.773963382539684</v>
      </c>
      <c r="H6" s="93">
        <f t="shared" si="0"/>
        <v>0.97912883755555569</v>
      </c>
      <c r="I6" s="93">
        <f t="shared" si="0"/>
        <v>0.98406331850793616</v>
      </c>
      <c r="J6" s="93">
        <f t="shared" si="0"/>
        <v>4.2635829165079367E-2</v>
      </c>
      <c r="K6" s="58"/>
      <c r="L6" s="58"/>
      <c r="M6" s="58"/>
      <c r="N6" s="30"/>
      <c r="O6" s="58"/>
      <c r="P6" s="133">
        <f t="shared" si="1"/>
        <v>0</v>
      </c>
      <c r="Q6" s="133">
        <f t="shared" si="1"/>
        <v>0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0"/>
      <c r="T6" s="294"/>
      <c r="U6" s="29" t="s">
        <v>28</v>
      </c>
      <c r="V6" s="30"/>
      <c r="W6" s="130">
        <f>W17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2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9" t="s">
        <v>29</v>
      </c>
      <c r="D7" s="30"/>
      <c r="E7" s="159">
        <f>E25</f>
        <v>1847887.2159999998</v>
      </c>
      <c r="F7" s="93">
        <f t="shared" si="0"/>
        <v>36.500060906349205</v>
      </c>
      <c r="G7" s="93">
        <f t="shared" si="0"/>
        <v>40.420725961904765</v>
      </c>
      <c r="H7" s="93">
        <f t="shared" si="0"/>
        <v>0.98869275990476202</v>
      </c>
      <c r="I7" s="93">
        <f t="shared" si="0"/>
        <v>0.99208217306349189</v>
      </c>
      <c r="J7" s="93">
        <f t="shared" si="0"/>
        <v>2.6237598503174604E-2</v>
      </c>
      <c r="K7" s="58"/>
      <c r="L7" s="58"/>
      <c r="M7" s="58"/>
      <c r="N7" s="30"/>
      <c r="O7" s="58"/>
      <c r="P7" s="133">
        <f t="shared" si="1"/>
        <v>0</v>
      </c>
      <c r="Q7" s="133">
        <f t="shared" si="1"/>
        <v>0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0"/>
      <c r="T7" s="294"/>
      <c r="U7" s="29" t="s">
        <v>29</v>
      </c>
      <c r="V7" s="30"/>
      <c r="W7" s="130">
        <f>W18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2"/>
      <c r="AL7" s="161"/>
      <c r="AM7" s="249"/>
      <c r="AN7" s="250"/>
      <c r="AO7" s="162"/>
      <c r="AP7" s="162"/>
      <c r="AQ7" s="45"/>
      <c r="AR7" s="247"/>
      <c r="AS7" s="54"/>
      <c r="AT7" s="21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9" t="s">
        <v>31</v>
      </c>
      <c r="D8" s="30"/>
      <c r="E8" s="159">
        <f>E26</f>
        <v>2700594.264</v>
      </c>
      <c r="F8" s="93">
        <f t="shared" si="0"/>
        <v>39.46655222857143</v>
      </c>
      <c r="G8" s="93">
        <f t="shared" si="0"/>
        <v>43.574959430158735</v>
      </c>
      <c r="H8" s="93">
        <f t="shared" si="0"/>
        <v>0.99350967128571421</v>
      </c>
      <c r="I8" s="93">
        <f t="shared" si="0"/>
        <v>0.99584707030158726</v>
      </c>
      <c r="J8" s="93">
        <f t="shared" si="0"/>
        <v>1.4405928774603175E-2</v>
      </c>
      <c r="K8" s="58"/>
      <c r="L8" s="58"/>
      <c r="M8" s="58"/>
      <c r="N8" s="30"/>
      <c r="O8" s="58"/>
      <c r="P8" s="133">
        <f t="shared" si="1"/>
        <v>0</v>
      </c>
      <c r="Q8" s="133">
        <f t="shared" si="1"/>
        <v>0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0"/>
      <c r="T8" s="294"/>
      <c r="U8" s="29" t="s">
        <v>31</v>
      </c>
      <c r="V8" s="30"/>
      <c r="W8" s="130">
        <f>W19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2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0"/>
      <c r="T9" s="294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2"/>
      <c r="AL9" s="161"/>
      <c r="AM9" s="47"/>
      <c r="AN9" s="153"/>
      <c r="AO9" s="153"/>
      <c r="AP9" s="153"/>
      <c r="AQ9" s="48"/>
      <c r="AR9" s="212"/>
      <c r="AS9" s="212"/>
      <c r="AT9" s="212"/>
      <c r="BF9" s="12"/>
    </row>
    <row r="10" spans="1:58" ht="13.5" customHeight="1" thickBot="1" x14ac:dyDescent="0.2">
      <c r="B10" s="156" t="s">
        <v>53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 t="e">
        <f>GEOMEAN(P5:P8)</f>
        <v>#NUM!</v>
      </c>
      <c r="Q10" s="157" t="e">
        <f>GEOMEAN(Q5:Q8)</f>
        <v>#NUM!</v>
      </c>
      <c r="R10" s="137" t="e">
        <f>AVERAGE(R5:R8)</f>
        <v>#DIV/0!</v>
      </c>
      <c r="S10" s="210"/>
      <c r="T10" s="156" t="s">
        <v>53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2"/>
      <c r="AL10" s="163"/>
      <c r="AM10" s="49"/>
      <c r="AN10" s="50"/>
      <c r="AO10" s="50"/>
      <c r="AP10" s="50"/>
      <c r="AQ10" s="51"/>
      <c r="AR10" s="212"/>
      <c r="AS10" s="212"/>
      <c r="AT10" s="212"/>
      <c r="BF10" s="12"/>
    </row>
    <row r="11" spans="1:58" ht="13.5" customHeight="1" x14ac:dyDescent="0.15">
      <c r="B11" s="210"/>
      <c r="C11" s="210"/>
      <c r="D11" s="210"/>
      <c r="E11" s="253"/>
      <c r="F11" s="93"/>
      <c r="G11" s="93"/>
      <c r="H11" s="93"/>
      <c r="I11" s="93"/>
      <c r="J11" s="93"/>
      <c r="K11" s="93"/>
      <c r="L11" s="210"/>
      <c r="M11" s="94"/>
      <c r="N11" s="94"/>
      <c r="O11" s="254"/>
      <c r="P11" s="93"/>
      <c r="Q11" s="93"/>
      <c r="R11" s="133"/>
      <c r="S11" s="210"/>
      <c r="T11" s="210"/>
      <c r="U11" s="210"/>
      <c r="V11" s="210"/>
      <c r="W11" s="253"/>
      <c r="X11" s="93"/>
      <c r="Y11" s="93"/>
      <c r="Z11" s="93"/>
      <c r="AA11" s="93"/>
      <c r="AB11" s="93"/>
      <c r="AC11" s="93"/>
      <c r="AD11" s="210"/>
      <c r="AE11" s="94"/>
      <c r="AF11" s="94"/>
      <c r="AG11" s="254"/>
      <c r="AH11" s="93"/>
      <c r="AI11" s="93"/>
      <c r="AJ11" s="133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BF11" s="12"/>
    </row>
    <row r="12" spans="1:58" ht="13.5" customHeight="1" thickBot="1" x14ac:dyDescent="0.2">
      <c r="B12" s="210"/>
      <c r="C12" s="210"/>
      <c r="D12" s="210"/>
      <c r="E12" s="253"/>
      <c r="F12" s="93"/>
      <c r="G12" s="93"/>
      <c r="H12" s="93"/>
      <c r="I12" s="93"/>
      <c r="J12" s="93"/>
      <c r="K12" s="93"/>
      <c r="L12" s="210"/>
      <c r="M12" s="94"/>
      <c r="N12" s="94"/>
      <c r="O12" s="254"/>
      <c r="P12" s="93"/>
      <c r="Q12" s="93"/>
      <c r="R12" s="133"/>
      <c r="S12" s="210"/>
      <c r="T12" s="210"/>
      <c r="U12" s="210"/>
      <c r="V12" s="210"/>
      <c r="W12" s="253"/>
      <c r="X12" s="93"/>
      <c r="Y12" s="93"/>
      <c r="Z12" s="93"/>
      <c r="AA12" s="93"/>
      <c r="AB12" s="93"/>
      <c r="AC12" s="93"/>
      <c r="AD12" s="210"/>
      <c r="AE12" s="94"/>
      <c r="AF12" s="94"/>
      <c r="AG12" s="254"/>
      <c r="AH12" s="93"/>
      <c r="AI12" s="93"/>
      <c r="AJ12" s="133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BF12" s="12"/>
    </row>
    <row r="13" spans="1:58" ht="16.2" customHeight="1" thickBot="1" x14ac:dyDescent="0.3">
      <c r="B13" s="152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3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8"/>
      <c r="C14" s="104"/>
      <c r="D14" s="104"/>
      <c r="E14" s="255" t="s">
        <v>54</v>
      </c>
      <c r="F14" s="138" t="s">
        <v>55</v>
      </c>
      <c r="G14" s="138" t="s">
        <v>56</v>
      </c>
      <c r="H14" s="138" t="s">
        <v>57</v>
      </c>
      <c r="I14" s="138" t="s">
        <v>58</v>
      </c>
      <c r="J14" s="138" t="s">
        <v>59</v>
      </c>
      <c r="K14" s="138" t="s">
        <v>60</v>
      </c>
      <c r="L14" s="138" t="s">
        <v>61</v>
      </c>
      <c r="M14" s="105" t="s">
        <v>62</v>
      </c>
      <c r="N14" s="105"/>
      <c r="O14" s="256"/>
      <c r="P14" s="105"/>
      <c r="Q14" s="106"/>
      <c r="R14" s="107"/>
      <c r="S14" s="212"/>
      <c r="T14" s="158"/>
      <c r="U14" s="104"/>
      <c r="V14" s="104"/>
      <c r="W14" s="255" t="s">
        <v>54</v>
      </c>
      <c r="X14" s="138" t="s">
        <v>55</v>
      </c>
      <c r="Y14" s="138" t="s">
        <v>56</v>
      </c>
      <c r="Z14" s="138" t="s">
        <v>57</v>
      </c>
      <c r="AA14" s="138" t="s">
        <v>58</v>
      </c>
      <c r="AB14" s="138" t="s">
        <v>59</v>
      </c>
      <c r="AC14" s="138" t="s">
        <v>60</v>
      </c>
      <c r="AD14" s="138" t="s">
        <v>61</v>
      </c>
      <c r="AE14" s="105" t="s">
        <v>62</v>
      </c>
      <c r="AF14" s="105"/>
      <c r="AG14" s="256"/>
      <c r="AH14" s="105"/>
      <c r="AI14" s="106"/>
      <c r="AJ14" s="107"/>
      <c r="AK14" s="212"/>
      <c r="AL14" s="21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5"/>
      <c r="O15" s="242"/>
      <c r="P15" s="217" t="s">
        <v>45</v>
      </c>
      <c r="Q15" s="217" t="s">
        <v>46</v>
      </c>
      <c r="R15" s="36"/>
      <c r="S15" s="210"/>
      <c r="T15" s="151"/>
      <c r="U15" s="34"/>
      <c r="V15" s="34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5"/>
      <c r="AG15" s="242"/>
      <c r="AH15" s="217" t="s">
        <v>45</v>
      </c>
      <c r="AI15" s="217" t="s">
        <v>46</v>
      </c>
      <c r="AJ15" s="36"/>
      <c r="AK15" s="210"/>
      <c r="AL15" s="210"/>
      <c r="AM15" s="93"/>
      <c r="AN15" s="93"/>
      <c r="AO15" s="93"/>
      <c r="AP15" s="210"/>
      <c r="AQ15" s="210"/>
      <c r="AR15" s="210"/>
      <c r="AS15" s="210"/>
      <c r="AT15" s="210"/>
      <c r="AZ15" s="17"/>
      <c r="BA15" s="17"/>
      <c r="BB15" s="213"/>
      <c r="BC15" s="213"/>
    </row>
    <row r="16" spans="1:58" ht="12.75" customHeight="1" x14ac:dyDescent="0.25">
      <c r="B16" s="307"/>
      <c r="C16" s="27" t="s">
        <v>27</v>
      </c>
      <c r="D16" s="28"/>
      <c r="E16" s="131">
        <v>139863.76800000001</v>
      </c>
      <c r="F16" s="169">
        <v>179781.38399999999</v>
      </c>
      <c r="G16" s="169">
        <v>33820.423999999992</v>
      </c>
      <c r="H16" s="169">
        <v>11674.464</v>
      </c>
      <c r="I16" s="169">
        <v>4982.4479999999994</v>
      </c>
      <c r="J16" s="169">
        <v>262730.99200000003</v>
      </c>
      <c r="K16" s="62">
        <v>156552.04</v>
      </c>
      <c r="L16" s="62">
        <v>56341.991999999977</v>
      </c>
      <c r="M16" s="62">
        <v>0</v>
      </c>
      <c r="N16" s="57"/>
      <c r="O16" s="257"/>
      <c r="P16" s="132"/>
      <c r="Q16" s="132"/>
      <c r="R16" s="145"/>
      <c r="S16" s="210"/>
      <c r="T16" s="307"/>
      <c r="U16" s="27" t="s">
        <v>27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2"/>
      <c r="AL16" s="212"/>
      <c r="AP16" s="22"/>
      <c r="AQ16" s="22"/>
      <c r="AR16" s="212"/>
      <c r="AS16" s="212"/>
      <c r="AT16" s="212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4"/>
      <c r="C17" s="29" t="s">
        <v>28</v>
      </c>
      <c r="D17" s="30"/>
      <c r="E17" s="146">
        <v>139863.76800000001</v>
      </c>
      <c r="F17" s="170">
        <v>235850.05600000001</v>
      </c>
      <c r="G17" s="170">
        <v>120604.47199999999</v>
      </c>
      <c r="H17" s="170">
        <v>61410.055999999997</v>
      </c>
      <c r="I17" s="170">
        <v>45101.696000000004</v>
      </c>
      <c r="J17" s="170">
        <v>338910.28</v>
      </c>
      <c r="K17" s="64">
        <v>212175.60800000001</v>
      </c>
      <c r="L17" s="64">
        <v>74561.527999999991</v>
      </c>
      <c r="M17" s="64">
        <v>0</v>
      </c>
      <c r="N17" s="58"/>
      <c r="O17" s="243"/>
      <c r="P17" s="147"/>
      <c r="Q17" s="147"/>
      <c r="R17" s="148"/>
      <c r="S17" s="210"/>
      <c r="T17" s="294"/>
      <c r="U17" s="29" t="s">
        <v>28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2"/>
      <c r="AL17" s="212"/>
      <c r="AN17" s="22"/>
      <c r="AO17" s="22"/>
      <c r="AP17" s="22"/>
      <c r="AQ17" s="22"/>
      <c r="AR17" s="212"/>
      <c r="AS17" s="212"/>
      <c r="AT17" s="212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4"/>
      <c r="C18" s="29" t="s">
        <v>29</v>
      </c>
      <c r="D18" s="30"/>
      <c r="E18" s="146">
        <v>139863.76800000001</v>
      </c>
      <c r="F18" s="170">
        <v>294171.66399999999</v>
      </c>
      <c r="G18" s="170">
        <v>257560.81599999999</v>
      </c>
      <c r="H18" s="170">
        <v>191408.19200000001</v>
      </c>
      <c r="I18" s="170">
        <v>183500.96799999999</v>
      </c>
      <c r="J18" s="170">
        <v>417781.70399999991</v>
      </c>
      <c r="K18" s="64">
        <v>270305.86399999988</v>
      </c>
      <c r="L18" s="64">
        <v>93294.239999999991</v>
      </c>
      <c r="M18" s="64">
        <v>0</v>
      </c>
      <c r="N18" s="58"/>
      <c r="O18" s="243"/>
      <c r="P18" s="147"/>
      <c r="Q18" s="147"/>
      <c r="R18" s="148"/>
      <c r="S18" s="210"/>
      <c r="T18" s="294"/>
      <c r="U18" s="29" t="s">
        <v>29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2"/>
      <c r="AL18" s="212"/>
      <c r="AP18" s="22"/>
      <c r="AQ18" s="22"/>
      <c r="AR18" s="212"/>
      <c r="AS18" s="212"/>
      <c r="AT18" s="212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4"/>
      <c r="C19" s="29" t="s">
        <v>31</v>
      </c>
      <c r="D19" s="30"/>
      <c r="E19" s="146">
        <v>139863.76800000001</v>
      </c>
      <c r="F19" s="170">
        <v>349959.53600000002</v>
      </c>
      <c r="G19" s="170">
        <v>412885.10399999999</v>
      </c>
      <c r="H19" s="170">
        <v>402324.56800000003</v>
      </c>
      <c r="I19" s="170">
        <v>451234.17599999992</v>
      </c>
      <c r="J19" s="170">
        <v>499947.01600000012</v>
      </c>
      <c r="K19" s="64">
        <v>331571.24</v>
      </c>
      <c r="L19" s="64">
        <v>112808.856</v>
      </c>
      <c r="M19" s="64">
        <v>0</v>
      </c>
      <c r="N19" s="58"/>
      <c r="O19" s="243"/>
      <c r="P19" s="147"/>
      <c r="Q19" s="147"/>
      <c r="R19" s="148"/>
      <c r="S19" s="210"/>
      <c r="T19" s="294"/>
      <c r="U19" s="29" t="s">
        <v>31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2"/>
      <c r="AL19" s="212"/>
      <c r="AN19" s="22"/>
      <c r="AO19" s="21"/>
      <c r="AP19" s="22"/>
      <c r="AQ19" s="22"/>
      <c r="AR19" s="212"/>
      <c r="AS19" s="212"/>
      <c r="AT19" s="212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4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0"/>
      <c r="T20" s="294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2"/>
      <c r="AL20" s="212"/>
      <c r="AN20" s="22"/>
      <c r="AO20" s="22"/>
      <c r="AP20" s="22"/>
      <c r="AQ20" s="22"/>
      <c r="AR20" s="212"/>
      <c r="AS20" s="212"/>
      <c r="AT20" s="212"/>
      <c r="AX20" s="12"/>
      <c r="AZ20" s="213"/>
      <c r="BA20" s="213"/>
      <c r="BD20" s="9"/>
    </row>
    <row r="21" spans="2:56" ht="13.5" customHeight="1" x14ac:dyDescent="0.15">
      <c r="B21" s="291"/>
      <c r="C21" s="96"/>
      <c r="D21" s="96"/>
      <c r="E21" s="239" t="s">
        <v>25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6"/>
      <c r="R21" s="33"/>
      <c r="S21" s="210"/>
      <c r="T21" s="291"/>
      <c r="U21" s="96"/>
      <c r="V21" s="96"/>
      <c r="W21" s="259" t="s">
        <v>25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6"/>
      <c r="AJ21" s="33"/>
      <c r="AK21" s="212"/>
      <c r="AL21" s="212"/>
      <c r="AP21" s="22"/>
      <c r="AQ21" s="22"/>
      <c r="AR21" s="211"/>
      <c r="AS21" s="211"/>
      <c r="AT21" s="211"/>
      <c r="AV21" s="289"/>
      <c r="AW21" s="290"/>
      <c r="AX21" s="290"/>
    </row>
    <row r="22" spans="2:56" s="8" customFormat="1" ht="13.5" customHeight="1" thickBot="1" x14ac:dyDescent="0.3">
      <c r="B22" s="292"/>
      <c r="C22" s="34"/>
      <c r="D22" s="34"/>
      <c r="E22" s="241" t="s">
        <v>49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7"/>
      <c r="R22" s="36"/>
      <c r="S22" s="210"/>
      <c r="T22" s="292"/>
      <c r="U22" s="34"/>
      <c r="V22" s="34"/>
      <c r="W22" s="260" t="s">
        <v>49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7"/>
      <c r="AJ22" s="36"/>
      <c r="AK22" s="210"/>
      <c r="AL22" s="210"/>
      <c r="AM22" s="93"/>
      <c r="AN22" s="93"/>
      <c r="AO22" s="93"/>
      <c r="AP22" s="210"/>
      <c r="AQ22" s="210"/>
      <c r="AR22" s="210"/>
      <c r="AS22" s="210"/>
      <c r="AT22" s="210"/>
      <c r="AZ22" s="213"/>
      <c r="BA22" s="56"/>
    </row>
    <row r="23" spans="2:56" ht="13.5" customHeight="1" x14ac:dyDescent="0.15">
      <c r="B23" s="305"/>
      <c r="C23" s="27" t="s">
        <v>27</v>
      </c>
      <c r="D23" s="28"/>
      <c r="E23" s="130">
        <f>SUM(E16:L16)</f>
        <v>845747.51199999999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0"/>
      <c r="T23" s="305"/>
      <c r="U23" s="27" t="s">
        <v>27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2"/>
      <c r="AL23" s="212"/>
      <c r="AM23" s="38"/>
      <c r="AN23" s="38"/>
      <c r="AO23" s="38"/>
      <c r="AP23" s="212"/>
      <c r="AQ23" s="212"/>
      <c r="AR23" s="212"/>
      <c r="AS23" s="212"/>
      <c r="AT23" s="212"/>
      <c r="AX23" s="12"/>
    </row>
    <row r="24" spans="2:56" x14ac:dyDescent="0.15">
      <c r="B24" s="294"/>
      <c r="C24" s="29" t="s">
        <v>28</v>
      </c>
      <c r="D24" s="30"/>
      <c r="E24" s="130">
        <f>SUM(E17:L17)</f>
        <v>1228477.4640000002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0"/>
      <c r="T24" s="294"/>
      <c r="U24" s="29" t="s">
        <v>28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2"/>
      <c r="AL24" s="212"/>
      <c r="AM24" s="38"/>
      <c r="AN24" s="38"/>
      <c r="AO24" s="38"/>
      <c r="AP24" s="212"/>
      <c r="AQ24" s="212"/>
      <c r="AR24" s="212"/>
      <c r="AS24" s="212"/>
      <c r="AT24" s="212"/>
      <c r="AX24" s="12"/>
      <c r="AZ24" s="8"/>
      <c r="BA24" s="8"/>
    </row>
    <row r="25" spans="2:56" x14ac:dyDescent="0.15">
      <c r="B25" s="294"/>
      <c r="C25" s="29" t="s">
        <v>29</v>
      </c>
      <c r="D25" s="30"/>
      <c r="E25" s="130">
        <f>SUM(E18:L18)</f>
        <v>1847887.2159999998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0"/>
      <c r="T25" s="294"/>
      <c r="U25" s="29" t="s">
        <v>29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  <c r="AX25" s="12"/>
    </row>
    <row r="26" spans="2:56" x14ac:dyDescent="0.15">
      <c r="B26" s="294"/>
      <c r="C26" s="29" t="s">
        <v>31</v>
      </c>
      <c r="D26" s="30"/>
      <c r="E26" s="130">
        <f>SUM(E19:L19)</f>
        <v>2700594.264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0"/>
      <c r="T26" s="294"/>
      <c r="U26" s="29" t="s">
        <v>31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X26" s="12"/>
    </row>
    <row r="27" spans="2:56" ht="13.5" customHeight="1" thickBot="1" x14ac:dyDescent="0.2">
      <c r="B27" s="295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0"/>
      <c r="T27" s="295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2"/>
      <c r="AL27" s="212"/>
      <c r="AM27" s="212"/>
      <c r="AN27" s="212"/>
      <c r="AO27" s="212"/>
      <c r="AP27" s="212"/>
      <c r="AQ27" s="212"/>
      <c r="AR27" s="212"/>
      <c r="AS27" s="212"/>
      <c r="AT27" s="212"/>
      <c r="AX27" s="12"/>
    </row>
    <row r="28" spans="2:56" x14ac:dyDescent="0.15">
      <c r="B28" s="210"/>
      <c r="C28" s="210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0"/>
      <c r="T28" s="210"/>
      <c r="U28" s="210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2"/>
      <c r="AL28" s="212"/>
      <c r="AM28" s="212"/>
      <c r="AN28" s="212"/>
      <c r="AO28" s="212"/>
      <c r="AP28" s="212"/>
      <c r="AQ28" s="212"/>
      <c r="AR28" s="212"/>
      <c r="AS28" s="212"/>
      <c r="AT28" s="212"/>
      <c r="AX28" s="12"/>
    </row>
    <row r="29" spans="2:56" ht="13.5" customHeight="1" x14ac:dyDescent="0.15">
      <c r="B29" s="210"/>
      <c r="C29" s="210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54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210"/>
      <c r="AA29" s="210"/>
      <c r="AB29" s="210"/>
      <c r="AC29" s="210"/>
      <c r="AD29" s="210"/>
      <c r="AE29" s="210"/>
      <c r="AF29" s="210"/>
      <c r="AG29" s="254"/>
      <c r="AH29" s="210"/>
      <c r="AI29" s="210"/>
      <c r="AJ29" s="210"/>
      <c r="AK29" s="212"/>
      <c r="AL29" s="212"/>
      <c r="AM29" s="212"/>
      <c r="AN29" s="212"/>
      <c r="AO29" s="212"/>
      <c r="AP29" s="212"/>
      <c r="AQ29" s="212"/>
      <c r="AR29" s="212"/>
      <c r="AS29" s="212"/>
      <c r="AT29" s="212"/>
    </row>
    <row r="30" spans="2:56" ht="13.5" customHeight="1" thickBot="1" x14ac:dyDescent="0.2">
      <c r="B30" s="210"/>
      <c r="C30" s="210"/>
      <c r="D30" s="210"/>
      <c r="E30" s="253"/>
      <c r="F30" s="210"/>
      <c r="G30" s="210"/>
      <c r="H30" s="210"/>
      <c r="I30" s="210"/>
      <c r="J30" s="210"/>
      <c r="K30" s="210"/>
      <c r="L30" s="210"/>
      <c r="M30" s="210"/>
      <c r="N30" s="210"/>
      <c r="O30" s="254"/>
      <c r="P30" s="210"/>
      <c r="Q30" s="210"/>
      <c r="R30" s="210"/>
      <c r="S30" s="210"/>
      <c r="T30" s="210"/>
      <c r="U30" s="210"/>
      <c r="V30" s="210"/>
      <c r="W30" s="253"/>
      <c r="X30" s="210"/>
      <c r="Y30" s="210"/>
      <c r="Z30" s="210"/>
      <c r="AA30" s="210"/>
      <c r="AB30" s="210"/>
      <c r="AC30" s="210"/>
      <c r="AD30" s="210"/>
      <c r="AE30" s="210"/>
      <c r="AF30" s="210"/>
      <c r="AG30" s="254"/>
      <c r="AH30" s="210"/>
      <c r="AI30" s="210"/>
      <c r="AJ30" s="210"/>
      <c r="AK30" s="212"/>
      <c r="AL30" s="212"/>
      <c r="AM30" s="212"/>
      <c r="AN30" s="212"/>
      <c r="AO30" s="212"/>
      <c r="AP30" s="212"/>
      <c r="AQ30" s="212"/>
      <c r="AR30" s="212"/>
      <c r="AS30" s="212"/>
      <c r="AT30" s="212"/>
    </row>
    <row r="31" spans="2:56" ht="13.5" customHeight="1" thickBot="1" x14ac:dyDescent="0.3">
      <c r="B31" s="23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0"/>
      <c r="T31" s="23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12"/>
      <c r="AL31" s="212"/>
      <c r="AM31" s="309" t="s">
        <v>63</v>
      </c>
      <c r="AN31" s="283"/>
      <c r="AO31" s="283"/>
      <c r="AP31" s="283"/>
      <c r="AQ31" s="155"/>
      <c r="AR31" s="212"/>
      <c r="AS31" s="212"/>
      <c r="AT31" s="212"/>
    </row>
    <row r="32" spans="2:56" ht="13.5" customHeight="1" thickBot="1" x14ac:dyDescent="0.2">
      <c r="B32" s="26" t="s">
        <v>64</v>
      </c>
      <c r="C32" s="97"/>
      <c r="D32" s="97"/>
      <c r="E32" s="210"/>
      <c r="F32" s="24" t="s">
        <v>23</v>
      </c>
      <c r="G32" s="24" t="s">
        <v>34</v>
      </c>
      <c r="H32" s="24" t="s">
        <v>37</v>
      </c>
      <c r="I32" s="24" t="s">
        <v>40</v>
      </c>
      <c r="J32" s="24" t="s">
        <v>50</v>
      </c>
      <c r="K32" s="24"/>
      <c r="L32" s="121"/>
      <c r="M32" s="121"/>
      <c r="N32" s="24"/>
      <c r="O32" s="261"/>
      <c r="P32" s="24"/>
      <c r="Q32" s="24"/>
      <c r="R32" s="25" t="s">
        <v>47</v>
      </c>
      <c r="S32" s="210"/>
      <c r="T32" s="26" t="s">
        <v>64</v>
      </c>
      <c r="U32" s="97"/>
      <c r="V32" s="97"/>
      <c r="W32" s="210"/>
      <c r="X32" s="24" t="s">
        <v>23</v>
      </c>
      <c r="Y32" s="24" t="s">
        <v>34</v>
      </c>
      <c r="Z32" s="24" t="s">
        <v>37</v>
      </c>
      <c r="AA32" s="24" t="s">
        <v>40</v>
      </c>
      <c r="AB32" s="24" t="s">
        <v>50</v>
      </c>
      <c r="AC32" s="24"/>
      <c r="AD32" s="210"/>
      <c r="AE32" s="210"/>
      <c r="AF32" s="24"/>
      <c r="AG32" s="261"/>
      <c r="AH32" s="24"/>
      <c r="AI32" s="24"/>
      <c r="AJ32" s="25" t="s">
        <v>47</v>
      </c>
      <c r="AK32" s="212"/>
      <c r="AL32" s="26" t="s">
        <v>64</v>
      </c>
      <c r="AM32" s="101" t="s">
        <v>23</v>
      </c>
      <c r="AN32" s="32" t="s">
        <v>34</v>
      </c>
      <c r="AO32" s="32" t="s">
        <v>37</v>
      </c>
      <c r="AP32" s="32" t="s">
        <v>40</v>
      </c>
      <c r="AQ32" s="100" t="s">
        <v>50</v>
      </c>
      <c r="AR32" s="93"/>
      <c r="AS32" s="254"/>
      <c r="AT32" s="93"/>
    </row>
    <row r="33" spans="2:52" x14ac:dyDescent="0.15">
      <c r="B33" s="296" t="s">
        <v>65</v>
      </c>
      <c r="C33" s="27" t="s">
        <v>27</v>
      </c>
      <c r="D33" s="41"/>
      <c r="E33" s="57"/>
      <c r="F33" s="99">
        <v>27.832600800000002</v>
      </c>
      <c r="G33" s="99">
        <v>31.434733433333331</v>
      </c>
      <c r="H33" s="99">
        <v>0.95919423766666678</v>
      </c>
      <c r="I33" s="62">
        <v>0.96632539633333325</v>
      </c>
      <c r="J33" s="62">
        <v>7.8006558466666653E-2</v>
      </c>
      <c r="K33" s="63"/>
      <c r="L33" s="262"/>
      <c r="M33" s="262"/>
      <c r="N33" s="57"/>
      <c r="O33" s="28"/>
      <c r="P33" s="57"/>
      <c r="Q33" s="28"/>
      <c r="R33" s="134"/>
      <c r="S33" s="210"/>
      <c r="T33" s="296" t="s">
        <v>65</v>
      </c>
      <c r="U33" s="27" t="s">
        <v>27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2"/>
      <c r="AL33" s="296" t="s">
        <v>65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9" t="s">
        <v>28</v>
      </c>
      <c r="D34" s="191"/>
      <c r="E34" s="58"/>
      <c r="F34" s="192">
        <v>31.305804033333342</v>
      </c>
      <c r="G34" s="192">
        <v>34.824723200000001</v>
      </c>
      <c r="H34" s="192">
        <v>0.97704362400000044</v>
      </c>
      <c r="I34" s="64">
        <v>0.98154048766666668</v>
      </c>
      <c r="J34" s="64">
        <v>5.302909963333334E-2</v>
      </c>
      <c r="K34" s="193"/>
      <c r="L34" s="263"/>
      <c r="M34" s="263"/>
      <c r="N34" s="58"/>
      <c r="O34" s="30"/>
      <c r="P34" s="58"/>
      <c r="Q34" s="30"/>
      <c r="R34" s="135"/>
      <c r="S34" s="210"/>
      <c r="T34" s="294"/>
      <c r="U34" s="29" t="s">
        <v>28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2"/>
      <c r="AL34" s="294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4"/>
      <c r="C35" s="29" t="s">
        <v>29</v>
      </c>
      <c r="D35" s="191"/>
      <c r="E35" s="58"/>
      <c r="F35" s="192">
        <v>34.841891433333338</v>
      </c>
      <c r="G35" s="192">
        <v>38.957843199999999</v>
      </c>
      <c r="H35" s="192">
        <v>0.98844880199999996</v>
      </c>
      <c r="I35" s="64">
        <v>0.99160614866666685</v>
      </c>
      <c r="J35" s="64">
        <v>3.0416726333333342E-2</v>
      </c>
      <c r="K35" s="193"/>
      <c r="L35" s="263"/>
      <c r="M35" s="263"/>
      <c r="N35" s="58"/>
      <c r="O35" s="30"/>
      <c r="P35" s="58"/>
      <c r="Q35" s="30"/>
      <c r="R35" s="135"/>
      <c r="S35" s="210"/>
      <c r="T35" s="294"/>
      <c r="U35" s="29" t="s">
        <v>29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2"/>
      <c r="AL35" s="294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4"/>
      <c r="C36" s="29" t="s">
        <v>31</v>
      </c>
      <c r="D36" s="191"/>
      <c r="E36" s="58"/>
      <c r="F36" s="192">
        <v>37.708839133333328</v>
      </c>
      <c r="G36" s="192">
        <v>42.016809100000003</v>
      </c>
      <c r="H36" s="192">
        <v>0.99345010966666658</v>
      </c>
      <c r="I36" s="64">
        <v>0.99570498200000013</v>
      </c>
      <c r="J36" s="64">
        <v>1.7095737733333331E-2</v>
      </c>
      <c r="K36" s="193"/>
      <c r="L36" s="263"/>
      <c r="M36" s="263"/>
      <c r="N36" s="58"/>
      <c r="O36" s="30"/>
      <c r="P36" s="58"/>
      <c r="Q36" s="30"/>
      <c r="R36" s="135"/>
      <c r="S36" s="210"/>
      <c r="T36" s="294"/>
      <c r="U36" s="29" t="s">
        <v>31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2"/>
      <c r="AL36" s="294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4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0"/>
      <c r="T37" s="294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2"/>
      <c r="AL37" s="294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6" t="s">
        <v>66</v>
      </c>
      <c r="C38" s="27" t="s">
        <v>27</v>
      </c>
      <c r="D38" s="41"/>
      <c r="E38" s="57"/>
      <c r="F38" s="99">
        <v>28.428221366666669</v>
      </c>
      <c r="G38" s="99">
        <v>32.167704399999998</v>
      </c>
      <c r="H38" s="99">
        <v>0.9612879163333331</v>
      </c>
      <c r="I38" s="62">
        <v>0.96746331399999974</v>
      </c>
      <c r="J38" s="62">
        <v>6.972464040000001E-2</v>
      </c>
      <c r="K38" s="63"/>
      <c r="L38" s="262"/>
      <c r="M38" s="262"/>
      <c r="N38" s="57"/>
      <c r="O38" s="28"/>
      <c r="P38" s="57"/>
      <c r="Q38" s="28"/>
      <c r="R38" s="134"/>
      <c r="S38" s="210"/>
      <c r="T38" s="296" t="s">
        <v>66</v>
      </c>
      <c r="U38" s="27" t="s">
        <v>27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2"/>
      <c r="AL38" s="296" t="s">
        <v>66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4"/>
      <c r="C39" s="29" t="s">
        <v>28</v>
      </c>
      <c r="D39" s="191"/>
      <c r="E39" s="58"/>
      <c r="F39" s="192">
        <v>31.74997530000001</v>
      </c>
      <c r="G39" s="192">
        <v>35.33209973333333</v>
      </c>
      <c r="H39" s="192">
        <v>0.97729958399999994</v>
      </c>
      <c r="I39" s="64">
        <v>0.98159193999999994</v>
      </c>
      <c r="J39" s="64">
        <v>4.8543448366666672E-2</v>
      </c>
      <c r="K39" s="193"/>
      <c r="L39" s="263"/>
      <c r="M39" s="263"/>
      <c r="N39" s="58"/>
      <c r="O39" s="30"/>
      <c r="P39" s="58"/>
      <c r="Q39" s="30"/>
      <c r="R39" s="135"/>
      <c r="S39" s="210"/>
      <c r="T39" s="294"/>
      <c r="U39" s="29" t="s">
        <v>28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2"/>
      <c r="AL39" s="294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4"/>
      <c r="C40" s="29" t="s">
        <v>29</v>
      </c>
      <c r="D40" s="191"/>
      <c r="E40" s="58"/>
      <c r="F40" s="192">
        <v>35.198194033333337</v>
      </c>
      <c r="G40" s="192">
        <v>39.20784170000001</v>
      </c>
      <c r="H40" s="192">
        <v>0.9882933943333333</v>
      </c>
      <c r="I40" s="64">
        <v>0.99141442666666646</v>
      </c>
      <c r="J40" s="64">
        <v>2.9197718200000011E-2</v>
      </c>
      <c r="K40" s="193"/>
      <c r="L40" s="263"/>
      <c r="M40" s="263"/>
      <c r="N40" s="58"/>
      <c r="O40" s="30"/>
      <c r="P40" s="58"/>
      <c r="Q40" s="30"/>
      <c r="R40" s="135"/>
      <c r="S40" s="210"/>
      <c r="T40" s="294"/>
      <c r="U40" s="29" t="s">
        <v>29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2"/>
      <c r="AL40" s="294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4"/>
      <c r="C41" s="29" t="s">
        <v>31</v>
      </c>
      <c r="D41" s="191"/>
      <c r="E41" s="58"/>
      <c r="F41" s="192">
        <v>37.968075599999999</v>
      </c>
      <c r="G41" s="192">
        <v>42.1916534</v>
      </c>
      <c r="H41" s="192">
        <v>0.99339415799999997</v>
      </c>
      <c r="I41" s="64">
        <v>0.99565228199999967</v>
      </c>
      <c r="J41" s="64">
        <v>1.6759090266666658E-2</v>
      </c>
      <c r="K41" s="193"/>
      <c r="L41" s="263"/>
      <c r="M41" s="263"/>
      <c r="N41" s="58"/>
      <c r="O41" s="30"/>
      <c r="P41" s="58"/>
      <c r="Q41" s="30"/>
      <c r="R41" s="135"/>
      <c r="S41" s="210"/>
      <c r="T41" s="294"/>
      <c r="U41" s="29" t="s">
        <v>31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2"/>
      <c r="AL41" s="294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4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0"/>
      <c r="T42" s="294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2"/>
      <c r="AL42" s="294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6" t="s">
        <v>67</v>
      </c>
      <c r="C43" s="27" t="s">
        <v>27</v>
      </c>
      <c r="D43" s="41"/>
      <c r="E43" s="57"/>
      <c r="F43" s="99">
        <v>28.994373700000001</v>
      </c>
      <c r="G43" s="99">
        <v>32.628378566666662</v>
      </c>
      <c r="H43" s="99">
        <v>0.96213141200000007</v>
      </c>
      <c r="I43" s="62">
        <v>0.96847815933333325</v>
      </c>
      <c r="J43" s="62">
        <v>6.8694921999999978E-2</v>
      </c>
      <c r="K43" s="63"/>
      <c r="L43" s="262"/>
      <c r="M43" s="262"/>
      <c r="N43" s="57"/>
      <c r="O43" s="28"/>
      <c r="P43" s="57"/>
      <c r="Q43" s="28"/>
      <c r="R43" s="134"/>
      <c r="S43" s="210"/>
      <c r="T43" s="296" t="s">
        <v>67</v>
      </c>
      <c r="U43" s="27" t="s">
        <v>27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2"/>
      <c r="AL43" s="296" t="s">
        <v>67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4"/>
      <c r="C44" s="29" t="s">
        <v>28</v>
      </c>
      <c r="D44" s="191"/>
      <c r="E44" s="58"/>
      <c r="F44" s="192">
        <v>32.110674333333343</v>
      </c>
      <c r="G44" s="192">
        <v>35.67642570000001</v>
      </c>
      <c r="H44" s="192">
        <v>0.97742448099999979</v>
      </c>
      <c r="I44" s="64">
        <v>0.98173265700000001</v>
      </c>
      <c r="J44" s="64">
        <v>4.7336880133333342E-2</v>
      </c>
      <c r="K44" s="193"/>
      <c r="L44" s="263"/>
      <c r="M44" s="263"/>
      <c r="N44" s="58"/>
      <c r="O44" s="30"/>
      <c r="P44" s="58"/>
      <c r="Q44" s="30"/>
      <c r="R44" s="135"/>
      <c r="S44" s="210"/>
      <c r="T44" s="294"/>
      <c r="U44" s="29" t="s">
        <v>28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2"/>
      <c r="AL44" s="294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4"/>
      <c r="C45" s="29" t="s">
        <v>29</v>
      </c>
      <c r="D45" s="191"/>
      <c r="E45" s="58"/>
      <c r="F45" s="192">
        <v>35.37141523333333</v>
      </c>
      <c r="G45" s="192">
        <v>39.417346199999997</v>
      </c>
      <c r="H45" s="192">
        <v>0.9882027836666667</v>
      </c>
      <c r="I45" s="64">
        <v>0.99134020233333353</v>
      </c>
      <c r="J45" s="64">
        <v>2.985959366666667E-2</v>
      </c>
      <c r="K45" s="193"/>
      <c r="L45" s="263"/>
      <c r="M45" s="263"/>
      <c r="N45" s="58"/>
      <c r="O45" s="30"/>
      <c r="P45" s="58"/>
      <c r="Q45" s="30"/>
      <c r="R45" s="135"/>
      <c r="S45" s="210"/>
      <c r="T45" s="294"/>
      <c r="U45" s="29" t="s">
        <v>29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2"/>
      <c r="AL45" s="294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4"/>
      <c r="C46" s="29" t="s">
        <v>31</v>
      </c>
      <c r="D46" s="191"/>
      <c r="E46" s="58"/>
      <c r="F46" s="192">
        <v>38.42127983333333</v>
      </c>
      <c r="G46" s="192">
        <v>42.638754599999992</v>
      </c>
      <c r="H46" s="192">
        <v>0.99339195933333357</v>
      </c>
      <c r="I46" s="64">
        <v>0.995625698</v>
      </c>
      <c r="J46" s="64">
        <v>1.5884380833333329E-2</v>
      </c>
      <c r="K46" s="193"/>
      <c r="L46" s="263"/>
      <c r="M46" s="263"/>
      <c r="N46" s="58"/>
      <c r="O46" s="30"/>
      <c r="P46" s="58"/>
      <c r="Q46" s="30"/>
      <c r="R46" s="135"/>
      <c r="S46" s="210"/>
      <c r="T46" s="294"/>
      <c r="U46" s="29" t="s">
        <v>31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2"/>
      <c r="AL46" s="294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4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0"/>
      <c r="T47" s="294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2"/>
      <c r="AL47" s="294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6" t="s">
        <v>68</v>
      </c>
      <c r="C48" s="27" t="s">
        <v>27</v>
      </c>
      <c r="D48" s="41"/>
      <c r="E48" s="57"/>
      <c r="F48" s="99">
        <v>29.6219228</v>
      </c>
      <c r="G48" s="99">
        <v>33.057797066666673</v>
      </c>
      <c r="H48" s="99">
        <v>0.961999521333333</v>
      </c>
      <c r="I48" s="62">
        <v>0.96895311999999989</v>
      </c>
      <c r="J48" s="62">
        <v>6.304791026666666E-2</v>
      </c>
      <c r="K48" s="63"/>
      <c r="L48" s="262"/>
      <c r="M48" s="262"/>
      <c r="N48" s="57"/>
      <c r="O48" s="28"/>
      <c r="P48" s="57"/>
      <c r="Q48" s="28"/>
      <c r="R48" s="134"/>
      <c r="S48" s="210"/>
      <c r="T48" s="296" t="s">
        <v>68</v>
      </c>
      <c r="U48" s="27" t="s">
        <v>27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2"/>
      <c r="AL48" s="296" t="s">
        <v>68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4"/>
      <c r="C49" s="29" t="s">
        <v>28</v>
      </c>
      <c r="D49" s="191"/>
      <c r="E49" s="58"/>
      <c r="F49" s="192">
        <v>32.808333233333343</v>
      </c>
      <c r="G49" s="192">
        <v>36.169014533333332</v>
      </c>
      <c r="H49" s="192">
        <v>0.9768852143333332</v>
      </c>
      <c r="I49" s="64">
        <v>0.98183248833333325</v>
      </c>
      <c r="J49" s="64">
        <v>4.2578090566666657E-2</v>
      </c>
      <c r="K49" s="193"/>
      <c r="L49" s="263"/>
      <c r="M49" s="263"/>
      <c r="N49" s="58"/>
      <c r="O49" s="30"/>
      <c r="P49" s="58"/>
      <c r="Q49" s="30"/>
      <c r="R49" s="135"/>
      <c r="S49" s="210"/>
      <c r="T49" s="294"/>
      <c r="U49" s="29" t="s">
        <v>28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2"/>
      <c r="AL49" s="294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4"/>
      <c r="C50" s="29" t="s">
        <v>29</v>
      </c>
      <c r="D50" s="191"/>
      <c r="E50" s="58"/>
      <c r="F50" s="192">
        <v>35.9720893</v>
      </c>
      <c r="G50" s="192">
        <v>39.933882833333342</v>
      </c>
      <c r="H50" s="192">
        <v>0.98775662433333333</v>
      </c>
      <c r="I50" s="64">
        <v>0.9911046836666666</v>
      </c>
      <c r="J50" s="64">
        <v>2.7289342466666668E-2</v>
      </c>
      <c r="K50" s="193"/>
      <c r="L50" s="263"/>
      <c r="M50" s="263"/>
      <c r="N50" s="58"/>
      <c r="O50" s="30"/>
      <c r="P50" s="58"/>
      <c r="Q50" s="30"/>
      <c r="R50" s="135"/>
      <c r="S50" s="210"/>
      <c r="T50" s="294"/>
      <c r="U50" s="29" t="s">
        <v>29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2"/>
      <c r="AL50" s="294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4"/>
      <c r="C51" s="29" t="s">
        <v>31</v>
      </c>
      <c r="D51" s="191"/>
      <c r="E51" s="58"/>
      <c r="F51" s="192">
        <v>38.935107066666667</v>
      </c>
      <c r="G51" s="192">
        <v>43.123744266666669</v>
      </c>
      <c r="H51" s="192">
        <v>0.99324546433333294</v>
      </c>
      <c r="I51" s="64">
        <v>0.99548298833333349</v>
      </c>
      <c r="J51" s="64">
        <v>1.4459905933333329E-2</v>
      </c>
      <c r="K51" s="193"/>
      <c r="L51" s="263"/>
      <c r="M51" s="263"/>
      <c r="N51" s="58"/>
      <c r="O51" s="30"/>
      <c r="P51" s="58"/>
      <c r="Q51" s="30"/>
      <c r="R51" s="135"/>
      <c r="S51" s="210"/>
      <c r="T51" s="294"/>
      <c r="U51" s="29" t="s">
        <v>31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2"/>
      <c r="AL51" s="294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4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0"/>
      <c r="T52" s="294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2"/>
      <c r="AL52" s="294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6" t="s">
        <v>69</v>
      </c>
      <c r="C53" s="27" t="s">
        <v>27</v>
      </c>
      <c r="D53" s="41"/>
      <c r="E53" s="57"/>
      <c r="F53" s="99">
        <v>29.400806299999999</v>
      </c>
      <c r="G53" s="99">
        <v>32.976178366666673</v>
      </c>
      <c r="H53" s="99">
        <v>0.96170269033333322</v>
      </c>
      <c r="I53" s="62">
        <v>0.96895836466666674</v>
      </c>
      <c r="J53" s="62">
        <v>6.3557110466666664E-2</v>
      </c>
      <c r="K53" s="63"/>
      <c r="L53" s="262"/>
      <c r="M53" s="262"/>
      <c r="N53" s="57"/>
      <c r="O53" s="28"/>
      <c r="P53" s="57"/>
      <c r="Q53" s="28"/>
      <c r="R53" s="134"/>
      <c r="S53" s="210"/>
      <c r="T53" s="296" t="s">
        <v>69</v>
      </c>
      <c r="U53" s="27" t="s">
        <v>27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2"/>
      <c r="AL53" s="296" t="s">
        <v>69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4"/>
      <c r="C54" s="29" t="s">
        <v>28</v>
      </c>
      <c r="D54" s="191"/>
      <c r="E54" s="58"/>
      <c r="F54" s="192">
        <v>32.62651266666667</v>
      </c>
      <c r="G54" s="192">
        <v>36.080301066666678</v>
      </c>
      <c r="H54" s="192">
        <v>0.97697189266666684</v>
      </c>
      <c r="I54" s="64">
        <v>0.98174514600000007</v>
      </c>
      <c r="J54" s="64">
        <v>4.2293822466666658E-2</v>
      </c>
      <c r="K54" s="193"/>
      <c r="L54" s="263"/>
      <c r="M54" s="263"/>
      <c r="N54" s="58"/>
      <c r="O54" s="30"/>
      <c r="P54" s="58"/>
      <c r="Q54" s="30"/>
      <c r="R54" s="135"/>
      <c r="S54" s="210"/>
      <c r="T54" s="294"/>
      <c r="U54" s="29" t="s">
        <v>28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2"/>
      <c r="AL54" s="294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4"/>
      <c r="C55" s="29" t="s">
        <v>29</v>
      </c>
      <c r="D55" s="191"/>
      <c r="E55" s="58"/>
      <c r="F55" s="192">
        <v>36.041458533333333</v>
      </c>
      <c r="G55" s="192">
        <v>39.940945433333333</v>
      </c>
      <c r="H55" s="192">
        <v>0.98764118099999976</v>
      </c>
      <c r="I55" s="64">
        <v>0.99097957533333347</v>
      </c>
      <c r="J55" s="64">
        <v>2.6324113733333331E-2</v>
      </c>
      <c r="K55" s="193"/>
      <c r="L55" s="263"/>
      <c r="M55" s="263"/>
      <c r="N55" s="58"/>
      <c r="O55" s="30"/>
      <c r="P55" s="58"/>
      <c r="Q55" s="30"/>
      <c r="R55" s="135"/>
      <c r="S55" s="210"/>
      <c r="T55" s="294"/>
      <c r="U55" s="29" t="s">
        <v>29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2"/>
      <c r="AL55" s="294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4"/>
      <c r="C56" s="29" t="s">
        <v>31</v>
      </c>
      <c r="D56" s="191"/>
      <c r="E56" s="58"/>
      <c r="F56" s="192">
        <v>39.107694466666658</v>
      </c>
      <c r="G56" s="192">
        <v>43.189655333333327</v>
      </c>
      <c r="H56" s="192">
        <v>0.99319882766666678</v>
      </c>
      <c r="I56" s="64">
        <v>0.99539359166666663</v>
      </c>
      <c r="J56" s="64">
        <v>1.341337028333333E-2</v>
      </c>
      <c r="K56" s="193"/>
      <c r="L56" s="263"/>
      <c r="M56" s="263"/>
      <c r="N56" s="58"/>
      <c r="O56" s="30"/>
      <c r="P56" s="58"/>
      <c r="Q56" s="30"/>
      <c r="R56" s="135"/>
      <c r="S56" s="210"/>
      <c r="T56" s="294"/>
      <c r="U56" s="29" t="s">
        <v>31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2"/>
      <c r="AL56" s="294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4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0"/>
      <c r="T57" s="294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2"/>
      <c r="AL57" s="294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6" t="s">
        <v>70</v>
      </c>
      <c r="C58" s="27" t="s">
        <v>27</v>
      </c>
      <c r="D58" s="41"/>
      <c r="E58" s="57"/>
      <c r="F58" s="99">
        <v>29.36449166666667</v>
      </c>
      <c r="G58" s="99">
        <v>32.976593466666678</v>
      </c>
      <c r="H58" s="99">
        <v>0.96154984500000018</v>
      </c>
      <c r="I58" s="62">
        <v>0.96897865233333347</v>
      </c>
      <c r="J58" s="62">
        <v>6.503088953333333E-2</v>
      </c>
      <c r="K58" s="63"/>
      <c r="L58" s="262"/>
      <c r="M58" s="262"/>
      <c r="N58" s="57"/>
      <c r="O58" s="28"/>
      <c r="P58" s="57"/>
      <c r="Q58" s="28"/>
      <c r="R58" s="134"/>
      <c r="S58" s="210"/>
      <c r="T58" s="296" t="s">
        <v>70</v>
      </c>
      <c r="U58" s="27" t="s">
        <v>27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2"/>
      <c r="AL58" s="296" t="s">
        <v>70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4"/>
      <c r="C59" s="29" t="s">
        <v>28</v>
      </c>
      <c r="D59" s="191"/>
      <c r="E59" s="58"/>
      <c r="F59" s="192">
        <v>32.567153300000001</v>
      </c>
      <c r="G59" s="192">
        <v>36.056780633333332</v>
      </c>
      <c r="H59" s="192">
        <v>0.97716343000000017</v>
      </c>
      <c r="I59" s="64">
        <v>0.98199730399999996</v>
      </c>
      <c r="J59" s="64">
        <v>4.351107806666666E-2</v>
      </c>
      <c r="K59" s="193"/>
      <c r="L59" s="263"/>
      <c r="M59" s="263"/>
      <c r="N59" s="58"/>
      <c r="O59" s="30"/>
      <c r="P59" s="58"/>
      <c r="Q59" s="30"/>
      <c r="R59" s="135"/>
      <c r="S59" s="210"/>
      <c r="T59" s="294"/>
      <c r="U59" s="29" t="s">
        <v>28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2"/>
      <c r="AL59" s="294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4"/>
      <c r="C60" s="29" t="s">
        <v>29</v>
      </c>
      <c r="D60" s="191"/>
      <c r="E60" s="58"/>
      <c r="F60" s="192">
        <v>36.10684606666667</v>
      </c>
      <c r="G60" s="192">
        <v>39.9771997</v>
      </c>
      <c r="H60" s="192">
        <v>0.987897409</v>
      </c>
      <c r="I60" s="64">
        <v>0.99107025299999996</v>
      </c>
      <c r="J60" s="64">
        <v>2.6295366366666659E-2</v>
      </c>
      <c r="K60" s="193"/>
      <c r="L60" s="263"/>
      <c r="M60" s="263"/>
      <c r="N60" s="58"/>
      <c r="O60" s="30"/>
      <c r="P60" s="58"/>
      <c r="Q60" s="30"/>
      <c r="R60" s="135"/>
      <c r="S60" s="210"/>
      <c r="T60" s="294"/>
      <c r="U60" s="29" t="s">
        <v>29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2"/>
      <c r="AL60" s="294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4"/>
      <c r="C61" s="29" t="s">
        <v>31</v>
      </c>
      <c r="D61" s="191"/>
      <c r="E61" s="58"/>
      <c r="F61" s="192">
        <v>39.402753133333341</v>
      </c>
      <c r="G61" s="192">
        <v>43.410642733333333</v>
      </c>
      <c r="H61" s="192">
        <v>0.99332877966666666</v>
      </c>
      <c r="I61" s="64">
        <v>0.99544374866666652</v>
      </c>
      <c r="J61" s="64">
        <v>1.2874004283333341E-2</v>
      </c>
      <c r="K61" s="193"/>
      <c r="L61" s="263"/>
      <c r="M61" s="263"/>
      <c r="N61" s="58"/>
      <c r="O61" s="30"/>
      <c r="P61" s="58"/>
      <c r="Q61" s="30"/>
      <c r="R61" s="135"/>
      <c r="S61" s="210"/>
      <c r="T61" s="294"/>
      <c r="U61" s="29" t="s">
        <v>31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2"/>
      <c r="AL61" s="294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4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0"/>
      <c r="T62" s="294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2"/>
      <c r="AL62" s="294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6" t="s">
        <v>71</v>
      </c>
      <c r="C63" s="27" t="s">
        <v>27</v>
      </c>
      <c r="D63" s="41"/>
      <c r="E63" s="57"/>
      <c r="F63" s="99">
        <v>29.54961836666666</v>
      </c>
      <c r="G63" s="99">
        <v>33.282082033333332</v>
      </c>
      <c r="H63" s="99">
        <v>0.96047747366666691</v>
      </c>
      <c r="I63" s="62">
        <v>0.96927376166666646</v>
      </c>
      <c r="J63" s="62">
        <v>6.5466128133333343E-2</v>
      </c>
      <c r="K63" s="63"/>
      <c r="L63" s="262"/>
      <c r="M63" s="262"/>
      <c r="N63" s="57"/>
      <c r="O63" s="28"/>
      <c r="P63" s="57"/>
      <c r="Q63" s="28"/>
      <c r="R63" s="134"/>
      <c r="S63" s="210"/>
      <c r="T63" s="296" t="s">
        <v>71</v>
      </c>
      <c r="U63" s="27" t="s">
        <v>27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2"/>
      <c r="AL63" s="296" t="s">
        <v>71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4"/>
      <c r="C64" s="29" t="s">
        <v>28</v>
      </c>
      <c r="D64" s="191"/>
      <c r="E64" s="58"/>
      <c r="F64" s="192">
        <v>32.96415806666667</v>
      </c>
      <c r="G64" s="192">
        <v>36.394609699999997</v>
      </c>
      <c r="H64" s="192">
        <v>0.97690838566666649</v>
      </c>
      <c r="I64" s="64">
        <v>0.98223190233333335</v>
      </c>
      <c r="J64" s="64">
        <v>4.2658618399999987E-2</v>
      </c>
      <c r="K64" s="193"/>
      <c r="L64" s="263"/>
      <c r="M64" s="263"/>
      <c r="N64" s="58"/>
      <c r="O64" s="30"/>
      <c r="P64" s="58"/>
      <c r="Q64" s="30"/>
      <c r="R64" s="135"/>
      <c r="S64" s="210"/>
      <c r="T64" s="294"/>
      <c r="U64" s="29" t="s">
        <v>28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2"/>
      <c r="AL64" s="294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4"/>
      <c r="C65" s="29" t="s">
        <v>29</v>
      </c>
      <c r="D65" s="191"/>
      <c r="E65" s="58"/>
      <c r="F65" s="192">
        <v>36.544067099999999</v>
      </c>
      <c r="G65" s="192">
        <v>40.275305233333341</v>
      </c>
      <c r="H65" s="192">
        <v>0.98801937866666689</v>
      </c>
      <c r="I65" s="64">
        <v>0.9913009353333333</v>
      </c>
      <c r="J65" s="64">
        <v>2.5470005366666659E-2</v>
      </c>
      <c r="K65" s="193"/>
      <c r="L65" s="263"/>
      <c r="M65" s="263"/>
      <c r="N65" s="58"/>
      <c r="O65" s="30"/>
      <c r="P65" s="58"/>
      <c r="Q65" s="30"/>
      <c r="R65" s="135"/>
      <c r="S65" s="210"/>
      <c r="T65" s="294"/>
      <c r="U65" s="29" t="s">
        <v>29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2"/>
      <c r="AL65" s="294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9" t="s">
        <v>31</v>
      </c>
      <c r="D66" s="191"/>
      <c r="E66" s="58"/>
      <c r="F66" s="192">
        <v>39.96005176666668</v>
      </c>
      <c r="G66" s="192">
        <v>43.777255500000003</v>
      </c>
      <c r="H66" s="192">
        <v>0.99340129233333319</v>
      </c>
      <c r="I66" s="64">
        <v>0.99558824266666679</v>
      </c>
      <c r="J66" s="64">
        <v>1.233181855E-2</v>
      </c>
      <c r="K66" s="193"/>
      <c r="L66" s="263"/>
      <c r="M66" s="263"/>
      <c r="N66" s="58"/>
      <c r="O66" s="30"/>
      <c r="P66" s="58"/>
      <c r="Q66" s="30"/>
      <c r="R66" s="135"/>
      <c r="S66" s="210"/>
      <c r="T66" s="294"/>
      <c r="U66" s="29" t="s">
        <v>31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2"/>
      <c r="AL66" s="294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4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0"/>
      <c r="T67" s="294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2"/>
      <c r="AL67" s="294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6" t="s">
        <v>72</v>
      </c>
      <c r="C68" s="27" t="s">
        <v>27</v>
      </c>
      <c r="D68" s="41"/>
      <c r="E68" s="57"/>
      <c r="F68" s="99">
        <v>29.222928599999989</v>
      </c>
      <c r="G68" s="99">
        <v>32.775049766666669</v>
      </c>
      <c r="H68" s="99">
        <v>0.96238197400000003</v>
      </c>
      <c r="I68" s="62">
        <v>0.96893223233333337</v>
      </c>
      <c r="J68" s="62">
        <v>6.6086287366666677E-2</v>
      </c>
      <c r="K68" s="63"/>
      <c r="L68" s="262"/>
      <c r="M68" s="262"/>
      <c r="N68" s="57"/>
      <c r="O68" s="28"/>
      <c r="P68" s="57"/>
      <c r="Q68" s="28"/>
      <c r="R68" s="134"/>
      <c r="S68" s="210"/>
      <c r="T68" s="296" t="s">
        <v>72</v>
      </c>
      <c r="U68" s="27" t="s">
        <v>27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2"/>
      <c r="AL68" s="296" t="s">
        <v>72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4"/>
      <c r="C69" s="29" t="s">
        <v>28</v>
      </c>
      <c r="D69" s="191"/>
      <c r="E69" s="58"/>
      <c r="F69" s="192">
        <v>32.3254029</v>
      </c>
      <c r="G69" s="192">
        <v>35.951755833333337</v>
      </c>
      <c r="H69" s="192">
        <v>0.9780283150000002</v>
      </c>
      <c r="I69" s="64">
        <v>0.98266997733333328</v>
      </c>
      <c r="J69" s="64">
        <v>4.4052643866666658E-2</v>
      </c>
      <c r="K69" s="193"/>
      <c r="L69" s="263"/>
      <c r="M69" s="263"/>
      <c r="N69" s="58"/>
      <c r="O69" s="30"/>
      <c r="P69" s="58"/>
      <c r="Q69" s="30"/>
      <c r="R69" s="135"/>
      <c r="S69" s="210"/>
      <c r="T69" s="294"/>
      <c r="U69" s="29" t="s">
        <v>28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2"/>
      <c r="AL69" s="294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4"/>
      <c r="C70" s="29" t="s">
        <v>29</v>
      </c>
      <c r="D70" s="191"/>
      <c r="E70" s="58"/>
      <c r="F70" s="192">
        <v>35.475604266666657</v>
      </c>
      <c r="G70" s="192">
        <v>39.661955966666667</v>
      </c>
      <c r="H70" s="192">
        <v>0.9886263123333332</v>
      </c>
      <c r="I70" s="64">
        <v>0.99177579966666651</v>
      </c>
      <c r="J70" s="64">
        <v>2.6806726233333342E-2</v>
      </c>
      <c r="K70" s="193"/>
      <c r="L70" s="263"/>
      <c r="M70" s="263"/>
      <c r="N70" s="58"/>
      <c r="O70" s="30"/>
      <c r="P70" s="58"/>
      <c r="Q70" s="30"/>
      <c r="R70" s="135"/>
      <c r="S70" s="210"/>
      <c r="T70" s="294"/>
      <c r="U70" s="29" t="s">
        <v>29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2"/>
      <c r="AL70" s="294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4"/>
      <c r="C71" s="29" t="s">
        <v>31</v>
      </c>
      <c r="D71" s="191"/>
      <c r="E71" s="58"/>
      <c r="F71" s="192">
        <v>38.013045699999999</v>
      </c>
      <c r="G71" s="192">
        <v>42.446806433333329</v>
      </c>
      <c r="H71" s="192">
        <v>0.99345602833333324</v>
      </c>
      <c r="I71" s="64">
        <v>0.99570550666666668</v>
      </c>
      <c r="J71" s="64">
        <v>1.6203376916666661E-2</v>
      </c>
      <c r="K71" s="193"/>
      <c r="L71" s="263"/>
      <c r="M71" s="263"/>
      <c r="N71" s="58"/>
      <c r="O71" s="30"/>
      <c r="P71" s="58"/>
      <c r="Q71" s="30"/>
      <c r="R71" s="135"/>
      <c r="S71" s="210"/>
      <c r="T71" s="294"/>
      <c r="U71" s="29" t="s">
        <v>31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2"/>
      <c r="AL71" s="294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4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0"/>
      <c r="T72" s="294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2"/>
      <c r="AL72" s="294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6" t="s">
        <v>73</v>
      </c>
      <c r="C73" s="27" t="s">
        <v>27</v>
      </c>
      <c r="D73" s="41"/>
      <c r="E73" s="57"/>
      <c r="F73" s="99">
        <v>29.992577600000001</v>
      </c>
      <c r="G73" s="99">
        <v>33.723709700000001</v>
      </c>
      <c r="H73" s="99">
        <v>0.96448075966666658</v>
      </c>
      <c r="I73" s="62">
        <v>0.96984127166666667</v>
      </c>
      <c r="J73" s="62">
        <v>5.8376115733333338E-2</v>
      </c>
      <c r="K73" s="63"/>
      <c r="L73" s="262"/>
      <c r="M73" s="262"/>
      <c r="N73" s="57"/>
      <c r="O73" s="28"/>
      <c r="P73" s="57"/>
      <c r="Q73" s="28"/>
      <c r="R73" s="134"/>
      <c r="S73" s="210"/>
      <c r="T73" s="296" t="s">
        <v>73</v>
      </c>
      <c r="U73" s="27" t="s">
        <v>27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2"/>
      <c r="AL73" s="296" t="s">
        <v>73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4"/>
      <c r="C74" s="29" t="s">
        <v>28</v>
      </c>
      <c r="D74" s="191"/>
      <c r="E74" s="58"/>
      <c r="F74" s="192">
        <v>32.815018733333318</v>
      </c>
      <c r="G74" s="192">
        <v>36.527206399999997</v>
      </c>
      <c r="H74" s="192">
        <v>0.9783210080000001</v>
      </c>
      <c r="I74" s="64">
        <v>0.9826616600000001</v>
      </c>
      <c r="J74" s="64">
        <v>3.9358622699999998E-2</v>
      </c>
      <c r="K74" s="193"/>
      <c r="L74" s="263"/>
      <c r="M74" s="263"/>
      <c r="N74" s="58"/>
      <c r="O74" s="30"/>
      <c r="P74" s="58"/>
      <c r="Q74" s="30"/>
      <c r="R74" s="135"/>
      <c r="S74" s="210"/>
      <c r="T74" s="294"/>
      <c r="U74" s="29" t="s">
        <v>28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2"/>
      <c r="AL74" s="294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4"/>
      <c r="C75" s="29" t="s">
        <v>29</v>
      </c>
      <c r="D75" s="191"/>
      <c r="E75" s="58"/>
      <c r="F75" s="192">
        <v>36.140293733333337</v>
      </c>
      <c r="G75" s="192">
        <v>40.153244899999997</v>
      </c>
      <c r="H75" s="192">
        <v>0.98849597299999992</v>
      </c>
      <c r="I75" s="64">
        <v>0.99166459733333323</v>
      </c>
      <c r="J75" s="64">
        <v>2.4013586933333331E-2</v>
      </c>
      <c r="K75" s="193"/>
      <c r="L75" s="263"/>
      <c r="M75" s="263"/>
      <c r="N75" s="58"/>
      <c r="O75" s="30"/>
      <c r="P75" s="58"/>
      <c r="Q75" s="30"/>
      <c r="R75" s="135"/>
      <c r="S75" s="210"/>
      <c r="T75" s="294"/>
      <c r="U75" s="29" t="s">
        <v>29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2"/>
      <c r="AL75" s="294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4"/>
      <c r="C76" s="29" t="s">
        <v>31</v>
      </c>
      <c r="D76" s="191"/>
      <c r="E76" s="58"/>
      <c r="F76" s="192">
        <v>38.494810433333328</v>
      </c>
      <c r="G76" s="192">
        <v>42.788468933333341</v>
      </c>
      <c r="H76" s="192">
        <v>0.99345364100000011</v>
      </c>
      <c r="I76" s="64">
        <v>0.99573027199999997</v>
      </c>
      <c r="J76" s="64">
        <v>1.5057342333333329E-2</v>
      </c>
      <c r="K76" s="193"/>
      <c r="L76" s="263"/>
      <c r="M76" s="263"/>
      <c r="N76" s="58"/>
      <c r="O76" s="30"/>
      <c r="P76" s="58"/>
      <c r="Q76" s="30"/>
      <c r="R76" s="135"/>
      <c r="S76" s="210"/>
      <c r="T76" s="294"/>
      <c r="U76" s="29" t="s">
        <v>31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2"/>
      <c r="AL76" s="294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4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0"/>
      <c r="T77" s="294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2"/>
      <c r="AL77" s="294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6" t="s">
        <v>74</v>
      </c>
      <c r="C78" s="27" t="s">
        <v>27</v>
      </c>
      <c r="D78" s="41"/>
      <c r="E78" s="57"/>
      <c r="F78" s="99">
        <v>30.0837264</v>
      </c>
      <c r="G78" s="99">
        <v>33.711899866666677</v>
      </c>
      <c r="H78" s="99">
        <v>0.96592612233333319</v>
      </c>
      <c r="I78" s="62">
        <v>0.97113869933333341</v>
      </c>
      <c r="J78" s="62">
        <v>6.1063164299999993E-2</v>
      </c>
      <c r="K78" s="63"/>
      <c r="L78" s="262"/>
      <c r="M78" s="262"/>
      <c r="N78" s="57"/>
      <c r="O78" s="28"/>
      <c r="P78" s="57"/>
      <c r="Q78" s="28"/>
      <c r="R78" s="134"/>
      <c r="S78" s="210"/>
      <c r="T78" s="296" t="s">
        <v>74</v>
      </c>
      <c r="U78" s="27" t="s">
        <v>27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2"/>
      <c r="AL78" s="296" t="s">
        <v>74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4"/>
      <c r="C79" s="29" t="s">
        <v>28</v>
      </c>
      <c r="D79" s="191"/>
      <c r="E79" s="58"/>
      <c r="F79" s="192">
        <v>32.772756733333338</v>
      </c>
      <c r="G79" s="192">
        <v>36.523304666666668</v>
      </c>
      <c r="H79" s="192">
        <v>0.97889394066666668</v>
      </c>
      <c r="I79" s="64">
        <v>0.98311591800000009</v>
      </c>
      <c r="J79" s="64">
        <v>4.1894577299999999E-2</v>
      </c>
      <c r="K79" s="193"/>
      <c r="L79" s="263"/>
      <c r="M79" s="263"/>
      <c r="N79" s="58"/>
      <c r="O79" s="30"/>
      <c r="P79" s="58"/>
      <c r="Q79" s="30"/>
      <c r="R79" s="135"/>
      <c r="S79" s="210"/>
      <c r="T79" s="294"/>
      <c r="U79" s="29" t="s">
        <v>28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2"/>
      <c r="AL79" s="294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4"/>
      <c r="C80" s="29" t="s">
        <v>29</v>
      </c>
      <c r="D80" s="191"/>
      <c r="E80" s="58"/>
      <c r="F80" s="192">
        <v>35.891600133333327</v>
      </c>
      <c r="G80" s="192">
        <v>40.113738800000007</v>
      </c>
      <c r="H80" s="192">
        <v>0.98857844333333333</v>
      </c>
      <c r="I80" s="64">
        <v>0.99173034866666654</v>
      </c>
      <c r="J80" s="64">
        <v>2.73034742E-2</v>
      </c>
      <c r="K80" s="193"/>
      <c r="L80" s="263"/>
      <c r="M80" s="263"/>
      <c r="N80" s="58"/>
      <c r="O80" s="30"/>
      <c r="P80" s="58"/>
      <c r="Q80" s="30"/>
      <c r="R80" s="135"/>
      <c r="S80" s="210"/>
      <c r="T80" s="294"/>
      <c r="U80" s="29" t="s">
        <v>29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2"/>
      <c r="AL80" s="294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4"/>
      <c r="C81" s="29" t="s">
        <v>31</v>
      </c>
      <c r="D81" s="191"/>
      <c r="E81" s="58"/>
      <c r="F81" s="192">
        <v>38.864684266666671</v>
      </c>
      <c r="G81" s="192">
        <v>43.180496299999987</v>
      </c>
      <c r="H81" s="192">
        <v>0.9934966443333334</v>
      </c>
      <c r="I81" s="64">
        <v>0.9957266296666667</v>
      </c>
      <c r="J81" s="64">
        <v>1.467211166666667E-2</v>
      </c>
      <c r="K81" s="193"/>
      <c r="L81" s="263"/>
      <c r="M81" s="263"/>
      <c r="N81" s="58"/>
      <c r="O81" s="30"/>
      <c r="P81" s="58"/>
      <c r="Q81" s="30"/>
      <c r="R81" s="135"/>
      <c r="S81" s="210"/>
      <c r="T81" s="294"/>
      <c r="U81" s="29" t="s">
        <v>31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2"/>
      <c r="AL81" s="294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4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0"/>
      <c r="T82" s="294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2"/>
      <c r="AL82" s="294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93" t="s">
        <v>75</v>
      </c>
      <c r="C83" s="27" t="s">
        <v>27</v>
      </c>
      <c r="D83" s="41"/>
      <c r="E83" s="57"/>
      <c r="F83" s="99">
        <v>30.586587399999999</v>
      </c>
      <c r="G83" s="99">
        <v>33.89720406666666</v>
      </c>
      <c r="H83" s="99">
        <v>0.96687510900000007</v>
      </c>
      <c r="I83" s="62">
        <v>0.97248905966666677</v>
      </c>
      <c r="J83" s="62">
        <v>5.7789953166666658E-2</v>
      </c>
      <c r="K83" s="63"/>
      <c r="L83" s="262"/>
      <c r="M83" s="262"/>
      <c r="N83" s="57"/>
      <c r="O83" s="28"/>
      <c r="P83" s="57"/>
      <c r="Q83" s="28"/>
      <c r="R83" s="134"/>
      <c r="S83" s="210"/>
      <c r="T83" s="293" t="s">
        <v>75</v>
      </c>
      <c r="U83" s="27" t="s">
        <v>27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2"/>
      <c r="AL83" s="293" t="s">
        <v>75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4"/>
      <c r="C84" s="29" t="s">
        <v>28</v>
      </c>
      <c r="D84" s="191"/>
      <c r="E84" s="58"/>
      <c r="F84" s="192">
        <v>33.53938216666667</v>
      </c>
      <c r="G84" s="192">
        <v>36.885370766666668</v>
      </c>
      <c r="H84" s="192">
        <v>0.97929627566666655</v>
      </c>
      <c r="I84" s="64">
        <v>0.98385235599999976</v>
      </c>
      <c r="J84" s="64">
        <v>3.9523843166666663E-2</v>
      </c>
      <c r="K84" s="193"/>
      <c r="L84" s="263"/>
      <c r="M84" s="263"/>
      <c r="N84" s="58"/>
      <c r="O84" s="30"/>
      <c r="P84" s="58"/>
      <c r="Q84" s="30"/>
      <c r="R84" s="135"/>
      <c r="S84" s="210"/>
      <c r="T84" s="294"/>
      <c r="U84" s="29" t="s">
        <v>28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2"/>
      <c r="AL84" s="294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4"/>
      <c r="C85" s="29" t="s">
        <v>29</v>
      </c>
      <c r="D85" s="191"/>
      <c r="E85" s="58"/>
      <c r="F85" s="192">
        <v>36.497714266666662</v>
      </c>
      <c r="G85" s="192">
        <v>40.530107499999993</v>
      </c>
      <c r="H85" s="192">
        <v>0.98839003466666664</v>
      </c>
      <c r="I85" s="64">
        <v>0.99177886466666665</v>
      </c>
      <c r="J85" s="64">
        <v>2.5497175266666668E-2</v>
      </c>
      <c r="K85" s="193"/>
      <c r="L85" s="263"/>
      <c r="M85" s="263"/>
      <c r="N85" s="58"/>
      <c r="O85" s="30"/>
      <c r="P85" s="58"/>
      <c r="Q85" s="30"/>
      <c r="R85" s="135"/>
      <c r="S85" s="210"/>
      <c r="T85" s="294"/>
      <c r="U85" s="29" t="s">
        <v>29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2"/>
      <c r="AL85" s="294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4"/>
      <c r="C86" s="29" t="s">
        <v>31</v>
      </c>
      <c r="D86" s="191"/>
      <c r="E86" s="58"/>
      <c r="F86" s="192">
        <v>39.178087366666659</v>
      </c>
      <c r="G86" s="192">
        <v>43.429605633333338</v>
      </c>
      <c r="H86" s="192">
        <v>0.99330124566666667</v>
      </c>
      <c r="I86" s="64">
        <v>0.99560999166666664</v>
      </c>
      <c r="J86" s="64">
        <v>1.4081517466666671E-2</v>
      </c>
      <c r="K86" s="193"/>
      <c r="L86" s="263"/>
      <c r="M86" s="263"/>
      <c r="N86" s="58"/>
      <c r="O86" s="30"/>
      <c r="P86" s="58"/>
      <c r="Q86" s="30"/>
      <c r="R86" s="135"/>
      <c r="S86" s="210"/>
      <c r="T86" s="294"/>
      <c r="U86" s="29" t="s">
        <v>31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2"/>
      <c r="AL86" s="294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5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0"/>
      <c r="T87" s="295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2"/>
      <c r="AL87" s="295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93" t="s">
        <v>76</v>
      </c>
      <c r="C88" s="27" t="s">
        <v>27</v>
      </c>
      <c r="D88" s="41"/>
      <c r="E88" s="57"/>
      <c r="F88" s="99">
        <v>30.479340633333329</v>
      </c>
      <c r="G88" s="99">
        <v>34.017302166666667</v>
      </c>
      <c r="H88" s="99">
        <v>0.96743502133333337</v>
      </c>
      <c r="I88" s="62">
        <v>0.97256459999999989</v>
      </c>
      <c r="J88" s="62">
        <v>5.6817543866666667E-2</v>
      </c>
      <c r="K88" s="63"/>
      <c r="L88" s="262"/>
      <c r="M88" s="262"/>
      <c r="N88" s="57"/>
      <c r="O88" s="28"/>
      <c r="P88" s="57"/>
      <c r="Q88" s="28"/>
      <c r="R88" s="134"/>
      <c r="S88" s="210"/>
      <c r="T88" s="293" t="s">
        <v>76</v>
      </c>
      <c r="U88" s="27" t="s">
        <v>27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2"/>
      <c r="AL88" s="293" t="s">
        <v>76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4"/>
      <c r="C89" s="29" t="s">
        <v>28</v>
      </c>
      <c r="D89" s="191"/>
      <c r="E89" s="58"/>
      <c r="F89" s="192">
        <v>33.544945966666667</v>
      </c>
      <c r="G89" s="192">
        <v>36.955741633333332</v>
      </c>
      <c r="H89" s="192">
        <v>0.9796442516666668</v>
      </c>
      <c r="I89" s="64">
        <v>0.98390524466666673</v>
      </c>
      <c r="J89" s="64">
        <v>3.8444865533333338E-2</v>
      </c>
      <c r="K89" s="193"/>
      <c r="L89" s="263"/>
      <c r="M89" s="263"/>
      <c r="N89" s="58"/>
      <c r="O89" s="30"/>
      <c r="P89" s="58"/>
      <c r="Q89" s="30"/>
      <c r="R89" s="135"/>
      <c r="S89" s="210"/>
      <c r="T89" s="294"/>
      <c r="U89" s="29" t="s">
        <v>28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2"/>
      <c r="AL89" s="294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4"/>
      <c r="C90" s="29" t="s">
        <v>29</v>
      </c>
      <c r="D90" s="191"/>
      <c r="E90" s="58"/>
      <c r="F90" s="192">
        <v>36.815146766666658</v>
      </c>
      <c r="G90" s="192">
        <v>40.747856933333338</v>
      </c>
      <c r="H90" s="192">
        <v>0.98858370166666687</v>
      </c>
      <c r="I90" s="64">
        <v>0.99180644000000007</v>
      </c>
      <c r="J90" s="64">
        <v>2.39455451E-2</v>
      </c>
      <c r="K90" s="193"/>
      <c r="L90" s="263"/>
      <c r="M90" s="263"/>
      <c r="N90" s="58"/>
      <c r="O90" s="30"/>
      <c r="P90" s="58"/>
      <c r="Q90" s="30"/>
      <c r="R90" s="135"/>
      <c r="S90" s="210"/>
      <c r="T90" s="294"/>
      <c r="U90" s="29" t="s">
        <v>29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2"/>
      <c r="AL90" s="294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4"/>
      <c r="C91" s="29" t="s">
        <v>31</v>
      </c>
      <c r="D91" s="191"/>
      <c r="E91" s="58"/>
      <c r="F91" s="192">
        <v>39.607103066666667</v>
      </c>
      <c r="G91" s="192">
        <v>43.782438933333331</v>
      </c>
      <c r="H91" s="192">
        <v>0.99350730433333334</v>
      </c>
      <c r="I91" s="64">
        <v>0.99571193066666674</v>
      </c>
      <c r="J91" s="64">
        <v>1.304464996666666E-2</v>
      </c>
      <c r="K91" s="193"/>
      <c r="L91" s="263"/>
      <c r="M91" s="263"/>
      <c r="N91" s="58"/>
      <c r="O91" s="30"/>
      <c r="P91" s="58"/>
      <c r="Q91" s="30"/>
      <c r="R91" s="135"/>
      <c r="S91" s="210"/>
      <c r="T91" s="294"/>
      <c r="U91" s="29" t="s">
        <v>31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2"/>
      <c r="AL91" s="294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5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0"/>
      <c r="T92" s="295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2"/>
      <c r="AL92" s="295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93" t="s">
        <v>77</v>
      </c>
      <c r="C93" s="27" t="s">
        <v>27</v>
      </c>
      <c r="D93" s="41"/>
      <c r="E93" s="57"/>
      <c r="F93" s="99">
        <v>30.458462233333329</v>
      </c>
      <c r="G93" s="99">
        <v>34.151276500000002</v>
      </c>
      <c r="H93" s="99">
        <v>0.9675725443333334</v>
      </c>
      <c r="I93" s="62">
        <v>0.97289851266666649</v>
      </c>
      <c r="J93" s="62">
        <v>5.8348755033333331E-2</v>
      </c>
      <c r="K93" s="63"/>
      <c r="L93" s="262"/>
      <c r="M93" s="262"/>
      <c r="N93" s="57"/>
      <c r="O93" s="28"/>
      <c r="P93" s="57"/>
      <c r="Q93" s="28"/>
      <c r="R93" s="134"/>
      <c r="S93" s="210"/>
      <c r="T93" s="293" t="s">
        <v>77</v>
      </c>
      <c r="U93" s="27" t="s">
        <v>27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2"/>
      <c r="AL93" s="293" t="s">
        <v>77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4"/>
      <c r="C94" s="29" t="s">
        <v>28</v>
      </c>
      <c r="D94" s="191"/>
      <c r="E94" s="58"/>
      <c r="F94" s="192">
        <v>33.418923599999999</v>
      </c>
      <c r="G94" s="192">
        <v>37.017834899999997</v>
      </c>
      <c r="H94" s="192">
        <v>0.97993731333333334</v>
      </c>
      <c r="I94" s="64">
        <v>0.98425911200000005</v>
      </c>
      <c r="J94" s="64">
        <v>3.9893655833333333E-2</v>
      </c>
      <c r="K94" s="193"/>
      <c r="L94" s="263"/>
      <c r="M94" s="263"/>
      <c r="N94" s="58"/>
      <c r="O94" s="30"/>
      <c r="P94" s="58"/>
      <c r="Q94" s="30"/>
      <c r="R94" s="135"/>
      <c r="S94" s="210"/>
      <c r="T94" s="294"/>
      <c r="U94" s="29" t="s">
        <v>28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2"/>
      <c r="AL94" s="294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4"/>
      <c r="C95" s="29" t="s">
        <v>29</v>
      </c>
      <c r="D95" s="191"/>
      <c r="E95" s="58"/>
      <c r="F95" s="192">
        <v>36.835034433333327</v>
      </c>
      <c r="G95" s="192">
        <v>40.75532973333334</v>
      </c>
      <c r="H95" s="192">
        <v>0.9889089423333336</v>
      </c>
      <c r="I95" s="64">
        <v>0.99201209066666673</v>
      </c>
      <c r="J95" s="64">
        <v>2.38881354E-2</v>
      </c>
      <c r="K95" s="193"/>
      <c r="L95" s="263"/>
      <c r="M95" s="263"/>
      <c r="N95" s="58"/>
      <c r="O95" s="30"/>
      <c r="P95" s="58"/>
      <c r="Q95" s="30"/>
      <c r="R95" s="135"/>
      <c r="S95" s="210"/>
      <c r="T95" s="294"/>
      <c r="U95" s="29" t="s">
        <v>29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2"/>
      <c r="AL95" s="294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4"/>
      <c r="C96" s="29" t="s">
        <v>31</v>
      </c>
      <c r="D96" s="191"/>
      <c r="E96" s="58"/>
      <c r="F96" s="192">
        <v>39.925276699999998</v>
      </c>
      <c r="G96" s="192">
        <v>44.050942133333329</v>
      </c>
      <c r="H96" s="192">
        <v>0.99367977399999985</v>
      </c>
      <c r="I96" s="64">
        <v>0.99580192500000009</v>
      </c>
      <c r="J96" s="64">
        <v>1.255529446666667E-2</v>
      </c>
      <c r="K96" s="193"/>
      <c r="L96" s="263"/>
      <c r="M96" s="263"/>
      <c r="N96" s="58"/>
      <c r="O96" s="30"/>
      <c r="P96" s="58"/>
      <c r="Q96" s="30"/>
      <c r="R96" s="135"/>
      <c r="S96" s="210"/>
      <c r="T96" s="294"/>
      <c r="U96" s="29" t="s">
        <v>31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2"/>
      <c r="AL96" s="294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5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0"/>
      <c r="T97" s="295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2"/>
      <c r="AL97" s="295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93" t="s">
        <v>78</v>
      </c>
      <c r="C98" s="27" t="s">
        <v>27</v>
      </c>
      <c r="D98" s="41"/>
      <c r="E98" s="57"/>
      <c r="F98" s="99">
        <v>30.795961433333339</v>
      </c>
      <c r="G98" s="99">
        <v>34.6884844</v>
      </c>
      <c r="H98" s="99">
        <v>0.9666730566666667</v>
      </c>
      <c r="I98" s="62">
        <v>0.97300066166666677</v>
      </c>
      <c r="J98" s="62">
        <v>5.7282628533333331E-2</v>
      </c>
      <c r="K98" s="63"/>
      <c r="L98" s="262"/>
      <c r="M98" s="262"/>
      <c r="N98" s="57"/>
      <c r="O98" s="28"/>
      <c r="P98" s="57"/>
      <c r="Q98" s="28"/>
      <c r="R98" s="134"/>
      <c r="S98" s="210"/>
      <c r="T98" s="293" t="s">
        <v>78</v>
      </c>
      <c r="U98" s="27" t="s">
        <v>27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2"/>
      <c r="AL98" s="293" t="s">
        <v>78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4"/>
      <c r="C99" s="29" t="s">
        <v>28</v>
      </c>
      <c r="D99" s="191"/>
      <c r="E99" s="58"/>
      <c r="F99" s="192">
        <v>34.029721799999997</v>
      </c>
      <c r="G99" s="192">
        <v>37.551122033333321</v>
      </c>
      <c r="H99" s="192">
        <v>0.97962261766666658</v>
      </c>
      <c r="I99" s="64">
        <v>0.98435583800000026</v>
      </c>
      <c r="J99" s="64">
        <v>3.7988481999999997E-2</v>
      </c>
      <c r="K99" s="193"/>
      <c r="L99" s="263"/>
      <c r="M99" s="263"/>
      <c r="N99" s="58"/>
      <c r="O99" s="30"/>
      <c r="P99" s="58"/>
      <c r="Q99" s="30"/>
      <c r="R99" s="135"/>
      <c r="S99" s="210"/>
      <c r="T99" s="294"/>
      <c r="U99" s="29" t="s">
        <v>28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2"/>
      <c r="AL99" s="294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4"/>
      <c r="C100" s="29" t="s">
        <v>29</v>
      </c>
      <c r="D100" s="191"/>
      <c r="E100" s="58"/>
      <c r="F100" s="192">
        <v>37.378885933333343</v>
      </c>
      <c r="G100" s="192">
        <v>41.081815100000007</v>
      </c>
      <c r="H100" s="192">
        <v>0.98898123599999976</v>
      </c>
      <c r="I100" s="64">
        <v>0.99216607700000015</v>
      </c>
      <c r="J100" s="64">
        <v>2.2664373833333341E-2</v>
      </c>
      <c r="K100" s="193"/>
      <c r="L100" s="263"/>
      <c r="M100" s="263"/>
      <c r="N100" s="58"/>
      <c r="O100" s="30"/>
      <c r="P100" s="58"/>
      <c r="Q100" s="30"/>
      <c r="R100" s="135"/>
      <c r="S100" s="210"/>
      <c r="T100" s="294"/>
      <c r="U100" s="29" t="s">
        <v>29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2"/>
      <c r="AL100" s="294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4"/>
      <c r="C101" s="29" t="s">
        <v>31</v>
      </c>
      <c r="D101" s="191"/>
      <c r="E101" s="58"/>
      <c r="F101" s="192">
        <v>40.608054133333333</v>
      </c>
      <c r="G101" s="192">
        <v>44.492599666666671</v>
      </c>
      <c r="H101" s="192">
        <v>0.99376016100000009</v>
      </c>
      <c r="I101" s="64">
        <v>0.9959265869999997</v>
      </c>
      <c r="J101" s="64">
        <v>1.1842787166666671E-2</v>
      </c>
      <c r="K101" s="193"/>
      <c r="L101" s="263"/>
      <c r="M101" s="263"/>
      <c r="N101" s="58"/>
      <c r="O101" s="30"/>
      <c r="P101" s="58"/>
      <c r="Q101" s="30"/>
      <c r="R101" s="135"/>
      <c r="S101" s="210"/>
      <c r="T101" s="294"/>
      <c r="U101" s="29" t="s">
        <v>31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2"/>
      <c r="AL101" s="294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5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0"/>
      <c r="T102" s="295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2"/>
      <c r="AL102" s="295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93" t="s">
        <v>79</v>
      </c>
      <c r="C103" s="27" t="s">
        <v>27</v>
      </c>
      <c r="D103" s="41"/>
      <c r="E103" s="57"/>
      <c r="F103" s="99">
        <v>31.064765399999999</v>
      </c>
      <c r="G103" s="99">
        <v>34.640421833333342</v>
      </c>
      <c r="H103" s="99">
        <v>0.96802729300000012</v>
      </c>
      <c r="I103" s="62">
        <v>0.97675503699999988</v>
      </c>
      <c r="J103" s="62">
        <v>6.7749241500000015E-2</v>
      </c>
      <c r="K103" s="63"/>
      <c r="L103" s="262"/>
      <c r="M103" s="262"/>
      <c r="N103" s="57"/>
      <c r="O103" s="28"/>
      <c r="P103" s="57"/>
      <c r="Q103" s="28"/>
      <c r="R103" s="134"/>
      <c r="S103" s="210"/>
      <c r="T103" s="293" t="s">
        <v>79</v>
      </c>
      <c r="U103" s="27" t="s">
        <v>27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2"/>
      <c r="AL103" s="293" t="s">
        <v>79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4"/>
      <c r="C104" s="29" t="s">
        <v>28</v>
      </c>
      <c r="D104" s="191"/>
      <c r="E104" s="58"/>
      <c r="F104" s="192">
        <v>33.790935700000013</v>
      </c>
      <c r="G104" s="192">
        <v>37.291624300000002</v>
      </c>
      <c r="H104" s="192">
        <v>0.98049525299999984</v>
      </c>
      <c r="I104" s="64">
        <v>0.9865459179999998</v>
      </c>
      <c r="J104" s="64">
        <v>4.5443970133333338E-2</v>
      </c>
      <c r="K104" s="193"/>
      <c r="L104" s="263"/>
      <c r="M104" s="263"/>
      <c r="N104" s="58"/>
      <c r="O104" s="30"/>
      <c r="P104" s="58"/>
      <c r="Q104" s="30"/>
      <c r="R104" s="135"/>
      <c r="S104" s="210"/>
      <c r="T104" s="294"/>
      <c r="U104" s="29" t="s">
        <v>28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2"/>
      <c r="AL104" s="294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4"/>
      <c r="C105" s="29" t="s">
        <v>29</v>
      </c>
      <c r="D105" s="191"/>
      <c r="E105" s="58"/>
      <c r="F105" s="192">
        <v>36.564227566666673</v>
      </c>
      <c r="G105" s="192">
        <v>40.595032333333322</v>
      </c>
      <c r="H105" s="192">
        <v>0.98941237933333326</v>
      </c>
      <c r="I105" s="64">
        <v>0.99302479366666685</v>
      </c>
      <c r="J105" s="64">
        <v>2.8394763899999991E-2</v>
      </c>
      <c r="K105" s="193"/>
      <c r="L105" s="263"/>
      <c r="M105" s="263"/>
      <c r="N105" s="58"/>
      <c r="O105" s="30"/>
      <c r="P105" s="58"/>
      <c r="Q105" s="30"/>
      <c r="R105" s="135"/>
      <c r="S105" s="210"/>
      <c r="T105" s="294"/>
      <c r="U105" s="29" t="s">
        <v>29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2"/>
      <c r="AL105" s="294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4"/>
      <c r="C106" s="29" t="s">
        <v>31</v>
      </c>
      <c r="D106" s="191"/>
      <c r="E106" s="58"/>
      <c r="F106" s="192">
        <v>39.10397926666667</v>
      </c>
      <c r="G106" s="192">
        <v>43.416143300000002</v>
      </c>
      <c r="H106" s="192">
        <v>0.99358604766666681</v>
      </c>
      <c r="I106" s="64">
        <v>0.99613064133333329</v>
      </c>
      <c r="J106" s="64">
        <v>1.7418145566666671E-2</v>
      </c>
      <c r="K106" s="193"/>
      <c r="L106" s="263"/>
      <c r="M106" s="263"/>
      <c r="N106" s="58"/>
      <c r="O106" s="30"/>
      <c r="P106" s="58"/>
      <c r="Q106" s="30"/>
      <c r="R106" s="135"/>
      <c r="S106" s="210"/>
      <c r="T106" s="294"/>
      <c r="U106" s="29" t="s">
        <v>31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2"/>
      <c r="AL106" s="294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5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0"/>
      <c r="T107" s="295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2"/>
      <c r="AL107" s="295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93" t="s">
        <v>80</v>
      </c>
      <c r="C108" s="27" t="s">
        <v>27</v>
      </c>
      <c r="D108" s="41"/>
      <c r="E108" s="57"/>
      <c r="F108" s="99">
        <v>31.517804166666661</v>
      </c>
      <c r="G108" s="99">
        <v>35.14299126666667</v>
      </c>
      <c r="H108" s="99">
        <v>0.96989499433333337</v>
      </c>
      <c r="I108" s="62">
        <v>0.97815537366666683</v>
      </c>
      <c r="J108" s="62">
        <v>6.0505159599999997E-2</v>
      </c>
      <c r="K108" s="63"/>
      <c r="L108" s="262"/>
      <c r="M108" s="262"/>
      <c r="N108" s="57"/>
      <c r="O108" s="28"/>
      <c r="P108" s="57"/>
      <c r="Q108" s="28"/>
      <c r="R108" s="134"/>
      <c r="S108" s="210"/>
      <c r="T108" s="293" t="s">
        <v>80</v>
      </c>
      <c r="U108" s="27" t="s">
        <v>27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2"/>
      <c r="AL108" s="293" t="s">
        <v>80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4"/>
      <c r="C109" s="29" t="s">
        <v>28</v>
      </c>
      <c r="D109" s="191"/>
      <c r="E109" s="58"/>
      <c r="F109" s="192">
        <v>34.355653833333342</v>
      </c>
      <c r="G109" s="192">
        <v>37.802775200000013</v>
      </c>
      <c r="H109" s="192">
        <v>0.98104007233333312</v>
      </c>
      <c r="I109" s="64">
        <v>0.98685670999999964</v>
      </c>
      <c r="J109" s="64">
        <v>4.0579939833333342E-2</v>
      </c>
      <c r="K109" s="193"/>
      <c r="L109" s="263"/>
      <c r="M109" s="263"/>
      <c r="N109" s="58"/>
      <c r="O109" s="30"/>
      <c r="P109" s="58"/>
      <c r="Q109" s="30"/>
      <c r="R109" s="135"/>
      <c r="S109" s="210"/>
      <c r="T109" s="294"/>
      <c r="U109" s="29" t="s">
        <v>28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2"/>
      <c r="AL109" s="294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4"/>
      <c r="C110" s="29" t="s">
        <v>29</v>
      </c>
      <c r="D110" s="191"/>
      <c r="E110" s="58"/>
      <c r="F110" s="192">
        <v>37.445576766666669</v>
      </c>
      <c r="G110" s="192">
        <v>41.234276366666663</v>
      </c>
      <c r="H110" s="192">
        <v>0.98943311833333358</v>
      </c>
      <c r="I110" s="64">
        <v>0.99310947300000019</v>
      </c>
      <c r="J110" s="64">
        <v>2.5250525933333341E-2</v>
      </c>
      <c r="K110" s="193"/>
      <c r="L110" s="263"/>
      <c r="M110" s="263"/>
      <c r="N110" s="58"/>
      <c r="O110" s="30"/>
      <c r="P110" s="58"/>
      <c r="Q110" s="30"/>
      <c r="R110" s="135"/>
      <c r="S110" s="210"/>
      <c r="T110" s="294"/>
      <c r="U110" s="29" t="s">
        <v>29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2"/>
      <c r="AL110" s="294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4"/>
      <c r="C111" s="29" t="s">
        <v>31</v>
      </c>
      <c r="D111" s="191"/>
      <c r="E111" s="58"/>
      <c r="F111" s="192">
        <v>39.630305900000003</v>
      </c>
      <c r="G111" s="192">
        <v>43.826875033333337</v>
      </c>
      <c r="H111" s="192">
        <v>0.99363765300000007</v>
      </c>
      <c r="I111" s="64">
        <v>0.99614150866666651</v>
      </c>
      <c r="J111" s="64">
        <v>1.6410754600000001E-2</v>
      </c>
      <c r="K111" s="193"/>
      <c r="L111" s="263"/>
      <c r="M111" s="263"/>
      <c r="N111" s="58"/>
      <c r="O111" s="30"/>
      <c r="P111" s="58"/>
      <c r="Q111" s="30"/>
      <c r="R111" s="135"/>
      <c r="S111" s="210"/>
      <c r="T111" s="294"/>
      <c r="U111" s="29" t="s">
        <v>31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2"/>
      <c r="AL111" s="294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5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0"/>
      <c r="T112" s="295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2"/>
      <c r="AL112" s="295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93" t="s">
        <v>81</v>
      </c>
      <c r="C113" s="27" t="s">
        <v>27</v>
      </c>
      <c r="D113" s="41"/>
      <c r="E113" s="57"/>
      <c r="F113" s="99">
        <v>31.450140399999999</v>
      </c>
      <c r="G113" s="99">
        <v>35.028078566666672</v>
      </c>
      <c r="H113" s="99">
        <v>0.97047551433333334</v>
      </c>
      <c r="I113" s="62">
        <v>0.9787842133333331</v>
      </c>
      <c r="J113" s="62">
        <v>6.3561208299999991E-2</v>
      </c>
      <c r="K113" s="63"/>
      <c r="L113" s="262"/>
      <c r="M113" s="262"/>
      <c r="N113" s="57"/>
      <c r="O113" s="28"/>
      <c r="P113" s="57"/>
      <c r="Q113" s="28"/>
      <c r="R113" s="134"/>
      <c r="S113" s="210"/>
      <c r="T113" s="293" t="s">
        <v>81</v>
      </c>
      <c r="U113" s="27" t="s">
        <v>27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2"/>
      <c r="AL113" s="293" t="s">
        <v>81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4"/>
      <c r="C114" s="29" t="s">
        <v>28</v>
      </c>
      <c r="D114" s="191"/>
      <c r="E114" s="58"/>
      <c r="F114" s="192">
        <v>33.906160700000001</v>
      </c>
      <c r="G114" s="192">
        <v>37.567420666666663</v>
      </c>
      <c r="H114" s="192">
        <v>0.98125338366666626</v>
      </c>
      <c r="I114" s="64">
        <v>0.98696215033333334</v>
      </c>
      <c r="J114" s="64">
        <v>4.4317021500000012E-2</v>
      </c>
      <c r="K114" s="193"/>
      <c r="L114" s="263"/>
      <c r="M114" s="263"/>
      <c r="N114" s="58"/>
      <c r="O114" s="30"/>
      <c r="P114" s="58"/>
      <c r="Q114" s="30"/>
      <c r="R114" s="135"/>
      <c r="S114" s="210"/>
      <c r="T114" s="294"/>
      <c r="U114" s="29" t="s">
        <v>28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2"/>
      <c r="AL114" s="294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4"/>
      <c r="C115" s="29" t="s">
        <v>29</v>
      </c>
      <c r="D115" s="191"/>
      <c r="E115" s="58"/>
      <c r="F115" s="192">
        <v>36.714398799999998</v>
      </c>
      <c r="G115" s="192">
        <v>40.826407166666662</v>
      </c>
      <c r="H115" s="192">
        <v>0.9893098256666667</v>
      </c>
      <c r="I115" s="64">
        <v>0.99310818533333345</v>
      </c>
      <c r="J115" s="64">
        <v>2.933637079999999E-2</v>
      </c>
      <c r="K115" s="193"/>
      <c r="L115" s="263"/>
      <c r="M115" s="263"/>
      <c r="N115" s="58"/>
      <c r="O115" s="30"/>
      <c r="P115" s="58"/>
      <c r="Q115" s="30"/>
      <c r="R115" s="135"/>
      <c r="S115" s="210"/>
      <c r="T115" s="294"/>
      <c r="U115" s="29" t="s">
        <v>29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2"/>
      <c r="AL115" s="294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4"/>
      <c r="C116" s="29" t="s">
        <v>31</v>
      </c>
      <c r="D116" s="191"/>
      <c r="E116" s="58"/>
      <c r="F116" s="192">
        <v>39.764123833333322</v>
      </c>
      <c r="G116" s="192">
        <v>43.946504299999987</v>
      </c>
      <c r="H116" s="192">
        <v>0.9935994533333331</v>
      </c>
      <c r="I116" s="64">
        <v>0.99615460033333347</v>
      </c>
      <c r="J116" s="64">
        <v>1.56622129E-2</v>
      </c>
      <c r="K116" s="193"/>
      <c r="L116" s="263"/>
      <c r="M116" s="263"/>
      <c r="N116" s="58"/>
      <c r="O116" s="30"/>
      <c r="P116" s="58"/>
      <c r="Q116" s="30"/>
      <c r="R116" s="135"/>
      <c r="S116" s="210"/>
      <c r="T116" s="294"/>
      <c r="U116" s="29" t="s">
        <v>31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2"/>
      <c r="AL116" s="294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5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0"/>
      <c r="T117" s="295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2"/>
      <c r="AL117" s="295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93" t="s">
        <v>82</v>
      </c>
      <c r="C118" s="27" t="s">
        <v>27</v>
      </c>
      <c r="D118" s="41"/>
      <c r="E118" s="57"/>
      <c r="F118" s="99">
        <v>32.174319466666667</v>
      </c>
      <c r="G118" s="99">
        <v>35.518954766666667</v>
      </c>
      <c r="H118" s="99">
        <v>0.9712818126666668</v>
      </c>
      <c r="I118" s="62">
        <v>0.98029283099999998</v>
      </c>
      <c r="J118" s="62">
        <v>5.8173164066666658E-2</v>
      </c>
      <c r="K118" s="63"/>
      <c r="L118" s="262"/>
      <c r="M118" s="262"/>
      <c r="N118" s="57"/>
      <c r="O118" s="28"/>
      <c r="P118" s="57"/>
      <c r="Q118" s="28"/>
      <c r="R118" s="134"/>
      <c r="S118" s="210"/>
      <c r="T118" s="293" t="s">
        <v>82</v>
      </c>
      <c r="U118" s="27" t="s">
        <v>27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2"/>
      <c r="AL118" s="293" t="s">
        <v>82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4"/>
      <c r="C119" s="29" t="s">
        <v>28</v>
      </c>
      <c r="D119" s="191"/>
      <c r="E119" s="58"/>
      <c r="F119" s="192">
        <v>34.439775133333328</v>
      </c>
      <c r="G119" s="192">
        <v>37.843162433333333</v>
      </c>
      <c r="H119" s="192">
        <v>0.98116003300000032</v>
      </c>
      <c r="I119" s="64">
        <v>0.98729468600000014</v>
      </c>
      <c r="J119" s="64">
        <v>4.0823744799999999E-2</v>
      </c>
      <c r="K119" s="193"/>
      <c r="L119" s="263"/>
      <c r="M119" s="263"/>
      <c r="N119" s="58"/>
      <c r="O119" s="30"/>
      <c r="P119" s="58"/>
      <c r="Q119" s="30"/>
      <c r="R119" s="135"/>
      <c r="S119" s="210"/>
      <c r="T119" s="294"/>
      <c r="U119" s="29" t="s">
        <v>28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2"/>
      <c r="AL119" s="294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4"/>
      <c r="C120" s="29" t="s">
        <v>29</v>
      </c>
      <c r="D120" s="191"/>
      <c r="E120" s="58"/>
      <c r="F120" s="192">
        <v>37.318453266666673</v>
      </c>
      <c r="G120" s="192">
        <v>41.178025333333352</v>
      </c>
      <c r="H120" s="192">
        <v>0.98908714633333339</v>
      </c>
      <c r="I120" s="64">
        <v>0.99316574533333346</v>
      </c>
      <c r="J120" s="64">
        <v>2.6075978766666671E-2</v>
      </c>
      <c r="K120" s="193"/>
      <c r="L120" s="263"/>
      <c r="M120" s="263"/>
      <c r="N120" s="58"/>
      <c r="O120" s="30"/>
      <c r="P120" s="58"/>
      <c r="Q120" s="30"/>
      <c r="R120" s="135"/>
      <c r="S120" s="210"/>
      <c r="T120" s="294"/>
      <c r="U120" s="29" t="s">
        <v>29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2"/>
      <c r="AL120" s="294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4"/>
      <c r="C121" s="29" t="s">
        <v>31</v>
      </c>
      <c r="D121" s="191"/>
      <c r="E121" s="58"/>
      <c r="F121" s="192">
        <v>40.266971066666677</v>
      </c>
      <c r="G121" s="192">
        <v>44.310228866666669</v>
      </c>
      <c r="H121" s="192">
        <v>0.99350999333333312</v>
      </c>
      <c r="I121" s="64">
        <v>0.99619134099999984</v>
      </c>
      <c r="J121" s="64">
        <v>1.450185071666666E-2</v>
      </c>
      <c r="K121" s="193"/>
      <c r="L121" s="263"/>
      <c r="M121" s="263"/>
      <c r="N121" s="58"/>
      <c r="O121" s="30"/>
      <c r="P121" s="58"/>
      <c r="Q121" s="30"/>
      <c r="R121" s="135"/>
      <c r="S121" s="210"/>
      <c r="T121" s="294"/>
      <c r="U121" s="29" t="s">
        <v>31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2"/>
      <c r="AL121" s="294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5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0"/>
      <c r="T122" s="295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2"/>
      <c r="AL122" s="295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93" t="s">
        <v>83</v>
      </c>
      <c r="C123" s="27" t="s">
        <v>27</v>
      </c>
      <c r="D123" s="41"/>
      <c r="E123" s="57"/>
      <c r="F123" s="99">
        <v>32.265829899999993</v>
      </c>
      <c r="G123" s="99">
        <v>35.8397097</v>
      </c>
      <c r="H123" s="99">
        <v>0.97166369866666658</v>
      </c>
      <c r="I123" s="62">
        <v>0.97993360033333354</v>
      </c>
      <c r="J123" s="62">
        <v>5.7538903666666648E-2</v>
      </c>
      <c r="K123" s="63"/>
      <c r="L123" s="262"/>
      <c r="M123" s="262"/>
      <c r="N123" s="57"/>
      <c r="O123" s="28"/>
      <c r="P123" s="57"/>
      <c r="Q123" s="28"/>
      <c r="R123" s="134"/>
      <c r="S123" s="210"/>
      <c r="T123" s="293" t="s">
        <v>83</v>
      </c>
      <c r="U123" s="27" t="s">
        <v>27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2"/>
      <c r="AL123" s="293" t="s">
        <v>83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4"/>
      <c r="C124" s="29" t="s">
        <v>28</v>
      </c>
      <c r="D124" s="191"/>
      <c r="E124" s="58"/>
      <c r="F124" s="192">
        <v>34.430544733333328</v>
      </c>
      <c r="G124" s="192">
        <v>37.832195899999988</v>
      </c>
      <c r="H124" s="192">
        <v>0.98132802633333327</v>
      </c>
      <c r="I124" s="64">
        <v>0.98693190399999986</v>
      </c>
      <c r="J124" s="64">
        <v>4.084674960000001E-2</v>
      </c>
      <c r="K124" s="193"/>
      <c r="L124" s="263"/>
      <c r="M124" s="263"/>
      <c r="N124" s="58"/>
      <c r="O124" s="30"/>
      <c r="P124" s="58"/>
      <c r="Q124" s="30"/>
      <c r="R124" s="135"/>
      <c r="S124" s="210"/>
      <c r="T124" s="294"/>
      <c r="U124" s="29" t="s">
        <v>28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2"/>
      <c r="AL124" s="294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4"/>
      <c r="C125" s="29" t="s">
        <v>29</v>
      </c>
      <c r="D125" s="191"/>
      <c r="E125" s="58"/>
      <c r="F125" s="192">
        <v>37.656654133333333</v>
      </c>
      <c r="G125" s="192">
        <v>41.357377266666667</v>
      </c>
      <c r="H125" s="192">
        <v>0.98921066566666671</v>
      </c>
      <c r="I125" s="64">
        <v>0.9931175676666667</v>
      </c>
      <c r="J125" s="64">
        <v>2.5010214666666669E-2</v>
      </c>
      <c r="K125" s="193"/>
      <c r="L125" s="263"/>
      <c r="M125" s="263"/>
      <c r="N125" s="58"/>
      <c r="O125" s="30"/>
      <c r="P125" s="58"/>
      <c r="Q125" s="30"/>
      <c r="R125" s="135"/>
      <c r="S125" s="210"/>
      <c r="T125" s="294"/>
      <c r="U125" s="29" t="s">
        <v>29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2"/>
      <c r="AL125" s="294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4"/>
      <c r="C126" s="29" t="s">
        <v>31</v>
      </c>
      <c r="D126" s="191"/>
      <c r="E126" s="58"/>
      <c r="F126" s="192">
        <v>40.78319066666667</v>
      </c>
      <c r="G126" s="192">
        <v>44.667382000000003</v>
      </c>
      <c r="H126" s="192">
        <v>0.99360176033333336</v>
      </c>
      <c r="I126" s="64">
        <v>0.99625720533333328</v>
      </c>
      <c r="J126" s="64">
        <v>1.36167209E-2</v>
      </c>
      <c r="K126" s="193"/>
      <c r="L126" s="263"/>
      <c r="M126" s="263"/>
      <c r="N126" s="58"/>
      <c r="O126" s="30"/>
      <c r="P126" s="58"/>
      <c r="Q126" s="30"/>
      <c r="R126" s="135"/>
      <c r="S126" s="210"/>
      <c r="T126" s="294"/>
      <c r="U126" s="29" t="s">
        <v>31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2"/>
      <c r="AL126" s="294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5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0"/>
      <c r="T127" s="295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2"/>
      <c r="AL127" s="295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93" t="s">
        <v>84</v>
      </c>
      <c r="C128" s="27" t="s">
        <v>27</v>
      </c>
      <c r="D128" s="41"/>
      <c r="E128" s="57"/>
      <c r="F128" s="99">
        <v>32.205158066666669</v>
      </c>
      <c r="G128" s="99">
        <v>35.911448166666673</v>
      </c>
      <c r="H128" s="99">
        <v>0.97185277966666661</v>
      </c>
      <c r="I128" s="62">
        <v>0.97974773733333331</v>
      </c>
      <c r="J128" s="62">
        <v>5.8681874533333331E-2</v>
      </c>
      <c r="K128" s="63"/>
      <c r="L128" s="262"/>
      <c r="M128" s="262"/>
      <c r="N128" s="57"/>
      <c r="O128" s="28"/>
      <c r="P128" s="57"/>
      <c r="Q128" s="28"/>
      <c r="R128" s="134"/>
      <c r="S128" s="210"/>
      <c r="T128" s="293" t="s">
        <v>84</v>
      </c>
      <c r="U128" s="27" t="s">
        <v>27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2"/>
      <c r="AL128" s="293" t="s">
        <v>84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4"/>
      <c r="C129" s="29" t="s">
        <v>28</v>
      </c>
      <c r="D129" s="191"/>
      <c r="E129" s="58"/>
      <c r="F129" s="192">
        <v>34.193031366666673</v>
      </c>
      <c r="G129" s="192">
        <v>37.81986100000001</v>
      </c>
      <c r="H129" s="192">
        <v>0.98152842400000029</v>
      </c>
      <c r="I129" s="64">
        <v>0.98667788799999978</v>
      </c>
      <c r="J129" s="64">
        <v>4.1686462866666663E-2</v>
      </c>
      <c r="K129" s="193"/>
      <c r="L129" s="263"/>
      <c r="M129" s="263"/>
      <c r="N129" s="58"/>
      <c r="O129" s="30"/>
      <c r="P129" s="58"/>
      <c r="Q129" s="30"/>
      <c r="R129" s="135"/>
      <c r="S129" s="210"/>
      <c r="T129" s="294"/>
      <c r="U129" s="29" t="s">
        <v>28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2"/>
      <c r="AL129" s="294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4"/>
      <c r="C130" s="29" t="s">
        <v>29</v>
      </c>
      <c r="D130" s="191"/>
      <c r="E130" s="58"/>
      <c r="F130" s="192">
        <v>37.572635799999993</v>
      </c>
      <c r="G130" s="192">
        <v>41.279480033333343</v>
      </c>
      <c r="H130" s="192">
        <v>0.98950414399999997</v>
      </c>
      <c r="I130" s="64">
        <v>0.99312741266666671</v>
      </c>
      <c r="J130" s="64">
        <v>2.4571305766666669E-2</v>
      </c>
      <c r="K130" s="193"/>
      <c r="L130" s="263"/>
      <c r="M130" s="263"/>
      <c r="N130" s="58"/>
      <c r="O130" s="30"/>
      <c r="P130" s="58"/>
      <c r="Q130" s="30"/>
      <c r="R130" s="135"/>
      <c r="S130" s="210"/>
      <c r="T130" s="294"/>
      <c r="U130" s="29" t="s">
        <v>29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2"/>
      <c r="AL130" s="294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4"/>
      <c r="C131" s="29" t="s">
        <v>31</v>
      </c>
      <c r="D131" s="191"/>
      <c r="E131" s="58"/>
      <c r="F131" s="192">
        <v>41.206174266666658</v>
      </c>
      <c r="G131" s="192">
        <v>44.990517433333324</v>
      </c>
      <c r="H131" s="192">
        <v>0.99378430733333323</v>
      </c>
      <c r="I131" s="64">
        <v>0.99636068799999988</v>
      </c>
      <c r="J131" s="64">
        <v>1.2660484749999999E-2</v>
      </c>
      <c r="K131" s="193"/>
      <c r="L131" s="263"/>
      <c r="M131" s="263"/>
      <c r="N131" s="58"/>
      <c r="O131" s="30"/>
      <c r="P131" s="58"/>
      <c r="Q131" s="30"/>
      <c r="R131" s="135"/>
      <c r="S131" s="210"/>
      <c r="T131" s="294"/>
      <c r="U131" s="29" t="s">
        <v>31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2"/>
      <c r="AL131" s="294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5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0"/>
      <c r="T132" s="295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2"/>
      <c r="AL132" s="295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93" t="s">
        <v>85</v>
      </c>
      <c r="C133" s="27" t="s">
        <v>27</v>
      </c>
      <c r="D133" s="41"/>
      <c r="E133" s="57"/>
      <c r="F133" s="99">
        <v>32.300728800000009</v>
      </c>
      <c r="G133" s="99">
        <v>36.212721066666667</v>
      </c>
      <c r="H133" s="99">
        <v>0.97107691866666668</v>
      </c>
      <c r="I133" s="62">
        <v>0.97916778566666685</v>
      </c>
      <c r="J133" s="62">
        <v>5.9592831500000013E-2</v>
      </c>
      <c r="K133" s="63"/>
      <c r="L133" s="262"/>
      <c r="M133" s="262"/>
      <c r="N133" s="57"/>
      <c r="O133" s="28"/>
      <c r="P133" s="57"/>
      <c r="Q133" s="28"/>
      <c r="R133" s="134"/>
      <c r="S133" s="210"/>
      <c r="T133" s="293" t="s">
        <v>85</v>
      </c>
      <c r="U133" s="27" t="s">
        <v>27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2"/>
      <c r="AL133" s="293" t="s">
        <v>85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4"/>
      <c r="C134" s="29" t="s">
        <v>28</v>
      </c>
      <c r="D134" s="191"/>
      <c r="E134" s="58"/>
      <c r="F134" s="192">
        <v>34.508987433333353</v>
      </c>
      <c r="G134" s="192">
        <v>38.149900733333332</v>
      </c>
      <c r="H134" s="192">
        <v>0.98146006266666685</v>
      </c>
      <c r="I134" s="64">
        <v>0.98656840099999976</v>
      </c>
      <c r="J134" s="64">
        <v>4.0546795699999999E-2</v>
      </c>
      <c r="K134" s="193"/>
      <c r="L134" s="263"/>
      <c r="M134" s="263"/>
      <c r="N134" s="58"/>
      <c r="O134" s="30"/>
      <c r="P134" s="58"/>
      <c r="Q134" s="30"/>
      <c r="R134" s="135"/>
      <c r="S134" s="210"/>
      <c r="T134" s="294"/>
      <c r="U134" s="29" t="s">
        <v>28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2"/>
      <c r="AL134" s="294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4"/>
      <c r="C135" s="29" t="s">
        <v>29</v>
      </c>
      <c r="D135" s="191"/>
      <c r="E135" s="58"/>
      <c r="F135" s="192">
        <v>38.11909146666666</v>
      </c>
      <c r="G135" s="192">
        <v>41.610233466666678</v>
      </c>
      <c r="H135" s="192">
        <v>0.98976646233333332</v>
      </c>
      <c r="I135" s="64">
        <v>0.99332201366666673</v>
      </c>
      <c r="J135" s="64">
        <v>2.3378525633333331E-2</v>
      </c>
      <c r="K135" s="193"/>
      <c r="L135" s="263"/>
      <c r="M135" s="263"/>
      <c r="N135" s="58"/>
      <c r="O135" s="30"/>
      <c r="P135" s="58"/>
      <c r="Q135" s="30"/>
      <c r="R135" s="135"/>
      <c r="S135" s="210"/>
      <c r="T135" s="294"/>
      <c r="U135" s="29" t="s">
        <v>29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2"/>
      <c r="AL135" s="294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4"/>
      <c r="C136" s="29" t="s">
        <v>31</v>
      </c>
      <c r="D136" s="191"/>
      <c r="E136" s="58"/>
      <c r="F136" s="192">
        <v>41.847989133333343</v>
      </c>
      <c r="G136" s="192">
        <v>45.396624133333333</v>
      </c>
      <c r="H136" s="192">
        <v>0.9939184923333334</v>
      </c>
      <c r="I136" s="64">
        <v>0.99644811566666658</v>
      </c>
      <c r="J136" s="64">
        <v>1.1978946966666669E-2</v>
      </c>
      <c r="K136" s="193"/>
      <c r="L136" s="263"/>
      <c r="M136" s="263"/>
      <c r="N136" s="58"/>
      <c r="O136" s="30"/>
      <c r="P136" s="58"/>
      <c r="Q136" s="30"/>
      <c r="R136" s="135"/>
      <c r="S136" s="210"/>
      <c r="T136" s="294"/>
      <c r="U136" s="29" t="s">
        <v>31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2"/>
      <c r="AL136" s="294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5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0"/>
      <c r="T137" s="295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2"/>
      <c r="AL137" s="295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93" t="s">
        <v>86</v>
      </c>
      <c r="C138" s="27" t="s">
        <v>27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0"/>
      <c r="T138" s="293" t="s">
        <v>86</v>
      </c>
      <c r="U138" s="27" t="s">
        <v>27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2"/>
      <c r="AL138" s="293" t="s">
        <v>86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4"/>
      <c r="C139" s="29" t="s">
        <v>28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0"/>
      <c r="T139" s="294"/>
      <c r="U139" s="29" t="s">
        <v>28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2"/>
      <c r="AL139" s="294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4"/>
      <c r="C140" s="29" t="s">
        <v>29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0"/>
      <c r="T140" s="294"/>
      <c r="U140" s="29" t="s">
        <v>29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2"/>
      <c r="AL140" s="294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4"/>
      <c r="C141" s="29" t="s">
        <v>31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0"/>
      <c r="T141" s="294"/>
      <c r="U141" s="29" t="s">
        <v>31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2"/>
      <c r="AL141" s="294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5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0"/>
      <c r="T142" s="295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2"/>
      <c r="AL142" s="295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93" t="s">
        <v>87</v>
      </c>
      <c r="C143" s="27" t="s">
        <v>27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0"/>
      <c r="T143" s="293" t="s">
        <v>87</v>
      </c>
      <c r="U143" s="27" t="s">
        <v>27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2"/>
      <c r="AL143" s="293" t="s">
        <v>87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4"/>
      <c r="C144" s="29" t="s">
        <v>28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0"/>
      <c r="T144" s="294"/>
      <c r="U144" s="29" t="s">
        <v>28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2"/>
      <c r="AL144" s="294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4"/>
      <c r="C145" s="29" t="s">
        <v>29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0"/>
      <c r="T145" s="294"/>
      <c r="U145" s="29" t="s">
        <v>29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2"/>
      <c r="AL145" s="294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4"/>
      <c r="C146" s="29" t="s">
        <v>31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0"/>
      <c r="T146" s="294"/>
      <c r="U146" s="29" t="s">
        <v>31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2"/>
      <c r="AL146" s="294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5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0"/>
      <c r="T147" s="295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2"/>
      <c r="AL147" s="295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93" t="s">
        <v>88</v>
      </c>
      <c r="C148" s="27" t="s">
        <v>27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0"/>
      <c r="T148" s="293" t="s">
        <v>88</v>
      </c>
      <c r="U148" s="27" t="s">
        <v>27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2"/>
      <c r="AL148" s="293" t="s">
        <v>88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4"/>
      <c r="C149" s="29" t="s">
        <v>28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0"/>
      <c r="T149" s="294"/>
      <c r="U149" s="29" t="s">
        <v>28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2"/>
      <c r="AL149" s="294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4"/>
      <c r="C150" s="29" t="s">
        <v>29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0"/>
      <c r="T150" s="294"/>
      <c r="U150" s="29" t="s">
        <v>29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2"/>
      <c r="AL150" s="294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4"/>
      <c r="C151" s="29" t="s">
        <v>31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0"/>
      <c r="T151" s="294"/>
      <c r="U151" s="29" t="s">
        <v>31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2"/>
      <c r="AL151" s="294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5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0"/>
      <c r="T152" s="295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2"/>
      <c r="AL152" s="295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93" t="s">
        <v>89</v>
      </c>
      <c r="C153" s="27" t="s">
        <v>27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0"/>
      <c r="T153" s="293" t="s">
        <v>89</v>
      </c>
      <c r="U153" s="27" t="s">
        <v>27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2"/>
      <c r="AL153" s="293" t="s">
        <v>89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4"/>
      <c r="C154" s="29" t="s">
        <v>28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0"/>
      <c r="T154" s="294"/>
      <c r="U154" s="29" t="s">
        <v>28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2"/>
      <c r="AL154" s="294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4"/>
      <c r="C155" s="29" t="s">
        <v>29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0"/>
      <c r="T155" s="294"/>
      <c r="U155" s="29" t="s">
        <v>29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2"/>
      <c r="AL155" s="294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4"/>
      <c r="C156" s="29" t="s">
        <v>31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0"/>
      <c r="T156" s="294"/>
      <c r="U156" s="29" t="s">
        <v>31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2"/>
      <c r="AL156" s="294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5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0"/>
      <c r="T157" s="295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2"/>
      <c r="AL157" s="295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93" t="s">
        <v>90</v>
      </c>
      <c r="C158" s="27" t="s">
        <v>27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0"/>
      <c r="T158" s="293" t="s">
        <v>90</v>
      </c>
      <c r="U158" s="27" t="s">
        <v>27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2"/>
      <c r="AL158" s="293" t="s">
        <v>90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4"/>
      <c r="C159" s="29" t="s">
        <v>28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0"/>
      <c r="T159" s="294"/>
      <c r="U159" s="29" t="s">
        <v>28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2"/>
      <c r="AL159" s="294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4"/>
      <c r="C160" s="29" t="s">
        <v>29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0"/>
      <c r="T160" s="294"/>
      <c r="U160" s="29" t="s">
        <v>29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2"/>
      <c r="AL160" s="294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4"/>
      <c r="C161" s="29" t="s">
        <v>31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0"/>
      <c r="T161" s="294"/>
      <c r="U161" s="29" t="s">
        <v>31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2"/>
      <c r="AL161" s="294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5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0"/>
      <c r="T162" s="295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2"/>
      <c r="AL162" s="295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93" t="s">
        <v>91</v>
      </c>
      <c r="C163" s="27" t="s">
        <v>27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0"/>
      <c r="T163" s="293" t="s">
        <v>91</v>
      </c>
      <c r="U163" s="27" t="s">
        <v>27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2"/>
      <c r="AL163" s="293" t="s">
        <v>91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4"/>
      <c r="C164" s="29" t="s">
        <v>28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0"/>
      <c r="T164" s="294"/>
      <c r="U164" s="29" t="s">
        <v>28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2"/>
      <c r="AL164" s="294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4"/>
      <c r="C165" s="29" t="s">
        <v>29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0"/>
      <c r="T165" s="294"/>
      <c r="U165" s="29" t="s">
        <v>29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2"/>
      <c r="AL165" s="294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4"/>
      <c r="C166" s="29" t="s">
        <v>31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0"/>
      <c r="T166" s="294"/>
      <c r="U166" s="29" t="s">
        <v>31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2"/>
      <c r="AL166" s="294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5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0"/>
      <c r="T167" s="295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2"/>
      <c r="AL167" s="295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93" t="s">
        <v>92</v>
      </c>
      <c r="C168" s="27" t="s">
        <v>27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0"/>
      <c r="T168" s="293" t="s">
        <v>92</v>
      </c>
      <c r="U168" s="27" t="s">
        <v>27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2"/>
      <c r="AL168" s="293" t="s">
        <v>92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4"/>
      <c r="C169" s="29" t="s">
        <v>28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0"/>
      <c r="T169" s="294"/>
      <c r="U169" s="29" t="s">
        <v>28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2"/>
      <c r="AL169" s="294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4"/>
      <c r="C170" s="29" t="s">
        <v>29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0"/>
      <c r="T170" s="294"/>
      <c r="U170" s="29" t="s">
        <v>29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2"/>
      <c r="AL170" s="294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4"/>
      <c r="C171" s="29" t="s">
        <v>31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0"/>
      <c r="T171" s="294"/>
      <c r="U171" s="29" t="s">
        <v>31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2"/>
      <c r="AL171" s="294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5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0"/>
      <c r="T172" s="295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2"/>
      <c r="AL172" s="295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93" t="s">
        <v>93</v>
      </c>
      <c r="C173" s="27" t="s">
        <v>27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0"/>
      <c r="T173" s="293" t="s">
        <v>93</v>
      </c>
      <c r="U173" s="27" t="s">
        <v>27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2"/>
      <c r="AL173" s="293" t="s">
        <v>93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4"/>
      <c r="C174" s="29" t="s">
        <v>28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0"/>
      <c r="T174" s="294"/>
      <c r="U174" s="29" t="s">
        <v>28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2"/>
      <c r="AL174" s="294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4"/>
      <c r="C175" s="29" t="s">
        <v>29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0"/>
      <c r="T175" s="294"/>
      <c r="U175" s="29" t="s">
        <v>29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2"/>
      <c r="AL175" s="294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4"/>
      <c r="C176" s="29" t="s">
        <v>31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0"/>
      <c r="T176" s="294"/>
      <c r="U176" s="29" t="s">
        <v>31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2"/>
      <c r="AL176" s="294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5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0"/>
      <c r="T177" s="295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2"/>
      <c r="AL177" s="295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93" t="s">
        <v>94</v>
      </c>
      <c r="C178" s="27" t="s">
        <v>27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0"/>
      <c r="T178" s="293" t="s">
        <v>94</v>
      </c>
      <c r="U178" s="27" t="s">
        <v>27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2"/>
      <c r="AL178" s="293" t="s">
        <v>94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4"/>
      <c r="C179" s="29" t="s">
        <v>28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0"/>
      <c r="T179" s="294"/>
      <c r="U179" s="29" t="s">
        <v>28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2"/>
      <c r="AL179" s="294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4"/>
      <c r="C180" s="29" t="s">
        <v>29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0"/>
      <c r="T180" s="294"/>
      <c r="U180" s="29" t="s">
        <v>29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2"/>
      <c r="AL180" s="294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4"/>
      <c r="C181" s="29" t="s">
        <v>31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0"/>
      <c r="T181" s="294"/>
      <c r="U181" s="29" t="s">
        <v>31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2"/>
      <c r="AL181" s="294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5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0"/>
      <c r="T182" s="295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2"/>
      <c r="AL182" s="295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93" t="s">
        <v>95</v>
      </c>
      <c r="C183" s="27" t="s">
        <v>27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0"/>
      <c r="T183" s="293" t="s">
        <v>95</v>
      </c>
      <c r="U183" s="27" t="s">
        <v>27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2"/>
      <c r="AL183" s="293" t="s">
        <v>95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4"/>
      <c r="C184" s="29" t="s">
        <v>28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0"/>
      <c r="T184" s="294"/>
      <c r="U184" s="29" t="s">
        <v>28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2"/>
      <c r="AL184" s="294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4"/>
      <c r="C185" s="29" t="s">
        <v>29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0"/>
      <c r="T185" s="294"/>
      <c r="U185" s="29" t="s">
        <v>29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2"/>
      <c r="AL185" s="294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4"/>
      <c r="C186" s="29" t="s">
        <v>31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0"/>
      <c r="T186" s="294"/>
      <c r="U186" s="29" t="s">
        <v>31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2"/>
      <c r="AL186" s="294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5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0"/>
      <c r="T187" s="295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2"/>
      <c r="AL187" s="295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93" t="s">
        <v>96</v>
      </c>
      <c r="C188" s="27" t="s">
        <v>27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0"/>
      <c r="T188" s="293" t="s">
        <v>96</v>
      </c>
      <c r="U188" s="27" t="s">
        <v>27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2"/>
      <c r="AL188" s="293" t="s">
        <v>96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4"/>
      <c r="C189" s="29" t="s">
        <v>28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0"/>
      <c r="T189" s="294"/>
      <c r="U189" s="29" t="s">
        <v>28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2"/>
      <c r="AL189" s="294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4"/>
      <c r="C190" s="29" t="s">
        <v>29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0"/>
      <c r="T190" s="294"/>
      <c r="U190" s="29" t="s">
        <v>29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2"/>
      <c r="AL190" s="294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4"/>
      <c r="C191" s="29" t="s">
        <v>31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0"/>
      <c r="T191" s="294"/>
      <c r="U191" s="29" t="s">
        <v>31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2"/>
      <c r="AL191" s="294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5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0"/>
      <c r="T192" s="295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2"/>
      <c r="AL192" s="295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93" t="s">
        <v>97</v>
      </c>
      <c r="C193" s="27" t="s">
        <v>27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0"/>
      <c r="T193" s="293" t="s">
        <v>97</v>
      </c>
      <c r="U193" s="27" t="s">
        <v>27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2"/>
      <c r="AL193" s="293" t="s">
        <v>97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4"/>
      <c r="C194" s="29" t="s">
        <v>28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0"/>
      <c r="T194" s="294"/>
      <c r="U194" s="29" t="s">
        <v>28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2"/>
      <c r="AL194" s="294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4"/>
      <c r="C195" s="29" t="s">
        <v>29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0"/>
      <c r="T195" s="294"/>
      <c r="U195" s="29" t="s">
        <v>29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2"/>
      <c r="AL195" s="294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4"/>
      <c r="C196" s="29" t="s">
        <v>31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0"/>
      <c r="T196" s="294"/>
      <c r="U196" s="29" t="s">
        <v>31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2"/>
      <c r="AL196" s="294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5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0"/>
      <c r="T197" s="295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2"/>
      <c r="AL197" s="295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93" t="s">
        <v>98</v>
      </c>
      <c r="C198" s="27" t="s">
        <v>27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0"/>
      <c r="T198" s="293" t="s">
        <v>98</v>
      </c>
      <c r="U198" s="27" t="s">
        <v>27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2"/>
      <c r="AL198" s="293" t="s">
        <v>98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4"/>
      <c r="C199" s="29" t="s">
        <v>28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0"/>
      <c r="T199" s="294"/>
      <c r="U199" s="29" t="s">
        <v>28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2"/>
      <c r="AL199" s="294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4"/>
      <c r="C200" s="29" t="s">
        <v>29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0"/>
      <c r="T200" s="294"/>
      <c r="U200" s="29" t="s">
        <v>29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2"/>
      <c r="AL200" s="294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4"/>
      <c r="C201" s="29" t="s">
        <v>31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0"/>
      <c r="T201" s="294"/>
      <c r="U201" s="29" t="s">
        <v>31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2"/>
      <c r="AL201" s="294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5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0"/>
      <c r="T202" s="295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2"/>
      <c r="AL202" s="295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93" t="s">
        <v>99</v>
      </c>
      <c r="C203" s="27" t="s">
        <v>27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0"/>
      <c r="T203" s="293" t="s">
        <v>99</v>
      </c>
      <c r="U203" s="27" t="s">
        <v>27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2"/>
      <c r="AL203" s="293" t="s">
        <v>99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4"/>
      <c r="C204" s="29" t="s">
        <v>28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0"/>
      <c r="T204" s="294"/>
      <c r="U204" s="29" t="s">
        <v>28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2"/>
      <c r="AL204" s="294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4"/>
      <c r="C205" s="29" t="s">
        <v>29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0"/>
      <c r="T205" s="294"/>
      <c r="U205" s="29" t="s">
        <v>29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2"/>
      <c r="AL205" s="294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4"/>
      <c r="C206" s="29" t="s">
        <v>31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0"/>
      <c r="T206" s="294"/>
      <c r="U206" s="29" t="s">
        <v>31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2"/>
      <c r="AL206" s="294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5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0"/>
      <c r="T207" s="295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2"/>
      <c r="AL207" s="295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93" t="s">
        <v>100</v>
      </c>
      <c r="C208" s="27" t="s">
        <v>27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0"/>
      <c r="T208" s="293" t="s">
        <v>100</v>
      </c>
      <c r="U208" s="27" t="s">
        <v>27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2"/>
      <c r="AL208" s="293" t="s">
        <v>100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4"/>
      <c r="C209" s="29" t="s">
        <v>28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0"/>
      <c r="T209" s="294"/>
      <c r="U209" s="29" t="s">
        <v>28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2"/>
      <c r="AL209" s="294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4"/>
      <c r="C210" s="29" t="s">
        <v>29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0"/>
      <c r="T210" s="294"/>
      <c r="U210" s="29" t="s">
        <v>29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2"/>
      <c r="AL210" s="294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4"/>
      <c r="C211" s="29" t="s">
        <v>31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0"/>
      <c r="T211" s="294"/>
      <c r="U211" s="29" t="s">
        <v>31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2"/>
      <c r="AL211" s="294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5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0"/>
      <c r="T212" s="295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2"/>
      <c r="AL212" s="295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93" t="s">
        <v>101</v>
      </c>
      <c r="C213" s="27" t="s">
        <v>27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0"/>
      <c r="T213" s="293" t="s">
        <v>101</v>
      </c>
      <c r="U213" s="27" t="s">
        <v>27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2"/>
      <c r="AL213" s="293" t="s">
        <v>101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4"/>
      <c r="C214" s="29" t="s">
        <v>28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0"/>
      <c r="T214" s="294"/>
      <c r="U214" s="29" t="s">
        <v>28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2"/>
      <c r="AL214" s="294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4"/>
      <c r="C215" s="29" t="s">
        <v>29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0"/>
      <c r="T215" s="294"/>
      <c r="U215" s="29" t="s">
        <v>29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2"/>
      <c r="AL215" s="294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4"/>
      <c r="C216" s="29" t="s">
        <v>31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0"/>
      <c r="T216" s="294"/>
      <c r="U216" s="29" t="s">
        <v>31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2"/>
      <c r="AL216" s="294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5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0"/>
      <c r="T217" s="295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2"/>
      <c r="AL217" s="295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93" t="s">
        <v>102</v>
      </c>
      <c r="C218" s="27" t="s">
        <v>27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0"/>
      <c r="T218" s="293" t="s">
        <v>102</v>
      </c>
      <c r="U218" s="27" t="s">
        <v>27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2"/>
      <c r="AL218" s="293" t="s">
        <v>102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4"/>
      <c r="C219" s="29" t="s">
        <v>28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0"/>
      <c r="T219" s="294"/>
      <c r="U219" s="29" t="s">
        <v>28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2"/>
      <c r="AL219" s="294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4"/>
      <c r="C220" s="29" t="s">
        <v>29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0"/>
      <c r="T220" s="294"/>
      <c r="U220" s="29" t="s">
        <v>29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2"/>
      <c r="AL220" s="294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4"/>
      <c r="C221" s="29" t="s">
        <v>31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0"/>
      <c r="T221" s="294"/>
      <c r="U221" s="29" t="s">
        <v>31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2"/>
      <c r="AL221" s="294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5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0"/>
      <c r="T222" s="295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2"/>
      <c r="AL222" s="295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93" t="s">
        <v>103</v>
      </c>
      <c r="C223" s="27" t="s">
        <v>27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0"/>
      <c r="T223" s="293" t="s">
        <v>103</v>
      </c>
      <c r="U223" s="27" t="s">
        <v>27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2"/>
      <c r="AL223" s="293" t="s">
        <v>103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4"/>
      <c r="C224" s="29" t="s">
        <v>28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0"/>
      <c r="T224" s="294"/>
      <c r="U224" s="29" t="s">
        <v>28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2"/>
      <c r="AL224" s="294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4"/>
      <c r="C225" s="29" t="s">
        <v>29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0"/>
      <c r="T225" s="294"/>
      <c r="U225" s="29" t="s">
        <v>29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2"/>
      <c r="AL225" s="294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4"/>
      <c r="C226" s="29" t="s">
        <v>31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0"/>
      <c r="T226" s="294"/>
      <c r="U226" s="29" t="s">
        <v>31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2"/>
      <c r="AL226" s="294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5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0"/>
      <c r="T227" s="295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2"/>
      <c r="AL227" s="295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93" t="s">
        <v>104</v>
      </c>
      <c r="C228" s="27" t="s">
        <v>27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0"/>
      <c r="T228" s="293" t="s">
        <v>104</v>
      </c>
      <c r="U228" s="27" t="s">
        <v>27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2"/>
      <c r="AL228" s="293" t="s">
        <v>104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4"/>
      <c r="C229" s="29" t="s">
        <v>28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0"/>
      <c r="T229" s="294"/>
      <c r="U229" s="29" t="s">
        <v>28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2"/>
      <c r="AL229" s="294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4"/>
      <c r="C230" s="29" t="s">
        <v>29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0"/>
      <c r="T230" s="294"/>
      <c r="U230" s="29" t="s">
        <v>29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2"/>
      <c r="AL230" s="294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4"/>
      <c r="C231" s="29" t="s">
        <v>31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0"/>
      <c r="T231" s="294"/>
      <c r="U231" s="29" t="s">
        <v>31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2"/>
      <c r="AL231" s="294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5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0"/>
      <c r="T232" s="295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2"/>
      <c r="AL232" s="295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93" t="s">
        <v>105</v>
      </c>
      <c r="C233" s="27" t="s">
        <v>27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0"/>
      <c r="T233" s="293" t="s">
        <v>105</v>
      </c>
      <c r="U233" s="27" t="s">
        <v>27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2"/>
      <c r="AL233" s="293" t="s">
        <v>105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4"/>
      <c r="C234" s="29" t="s">
        <v>28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0"/>
      <c r="T234" s="294"/>
      <c r="U234" s="29" t="s">
        <v>28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2"/>
      <c r="AL234" s="294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4"/>
      <c r="C235" s="29" t="s">
        <v>29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0"/>
      <c r="T235" s="294"/>
      <c r="U235" s="29" t="s">
        <v>29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2"/>
      <c r="AL235" s="294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4"/>
      <c r="C236" s="29" t="s">
        <v>31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0"/>
      <c r="T236" s="294"/>
      <c r="U236" s="29" t="s">
        <v>31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2"/>
      <c r="AL236" s="294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5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0"/>
      <c r="T237" s="295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2"/>
      <c r="AL237" s="295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93" t="s">
        <v>106</v>
      </c>
      <c r="C238" s="27" t="s">
        <v>27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0"/>
      <c r="T238" s="293" t="s">
        <v>106</v>
      </c>
      <c r="U238" s="27" t="s">
        <v>27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2"/>
      <c r="AL238" s="293" t="s">
        <v>106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4"/>
      <c r="C239" s="29" t="s">
        <v>28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0"/>
      <c r="T239" s="294"/>
      <c r="U239" s="29" t="s">
        <v>28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2"/>
      <c r="AL239" s="294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4"/>
      <c r="C240" s="29" t="s">
        <v>29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0"/>
      <c r="T240" s="294"/>
      <c r="U240" s="29" t="s">
        <v>29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2"/>
      <c r="AL240" s="294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4"/>
      <c r="C241" s="29" t="s">
        <v>31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0"/>
      <c r="T241" s="294"/>
      <c r="U241" s="29" t="s">
        <v>31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2"/>
      <c r="AL241" s="294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5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0"/>
      <c r="T242" s="295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2"/>
      <c r="AL242" s="295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93" t="s">
        <v>107</v>
      </c>
      <c r="C243" s="27" t="s">
        <v>27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0"/>
      <c r="T243" s="293" t="s">
        <v>107</v>
      </c>
      <c r="U243" s="27" t="s">
        <v>27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2"/>
      <c r="AL243" s="293" t="s">
        <v>107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4"/>
      <c r="C244" s="29" t="s">
        <v>28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0"/>
      <c r="T244" s="294"/>
      <c r="U244" s="29" t="s">
        <v>28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2"/>
      <c r="AL244" s="294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4"/>
      <c r="C245" s="29" t="s">
        <v>29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0"/>
      <c r="T245" s="294"/>
      <c r="U245" s="29" t="s">
        <v>29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2"/>
      <c r="AL245" s="294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4"/>
      <c r="C246" s="29" t="s">
        <v>31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0"/>
      <c r="T246" s="294"/>
      <c r="U246" s="29" t="s">
        <v>31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2"/>
      <c r="AL246" s="294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5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0"/>
      <c r="T247" s="295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2"/>
      <c r="AL247" s="295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93" t="s">
        <v>108</v>
      </c>
      <c r="C248" s="27" t="s">
        <v>27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0"/>
      <c r="T248" s="293" t="s">
        <v>108</v>
      </c>
      <c r="U248" s="27" t="s">
        <v>27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2"/>
      <c r="AL248" s="293" t="s">
        <v>108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4"/>
      <c r="C249" s="29" t="s">
        <v>28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0"/>
      <c r="T249" s="294"/>
      <c r="U249" s="29" t="s">
        <v>28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2"/>
      <c r="AL249" s="294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4"/>
      <c r="C250" s="29" t="s">
        <v>29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0"/>
      <c r="T250" s="294"/>
      <c r="U250" s="29" t="s">
        <v>29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2"/>
      <c r="AL250" s="294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4"/>
      <c r="C251" s="29" t="s">
        <v>31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0"/>
      <c r="T251" s="294"/>
      <c r="U251" s="29" t="s">
        <v>31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2"/>
      <c r="AL251" s="294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5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0"/>
      <c r="T252" s="295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2"/>
      <c r="AL252" s="295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93" t="s">
        <v>109</v>
      </c>
      <c r="C253" s="27" t="s">
        <v>27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0"/>
      <c r="T253" s="293" t="s">
        <v>109</v>
      </c>
      <c r="U253" s="27" t="s">
        <v>27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2"/>
      <c r="AL253" s="293" t="s">
        <v>109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4"/>
      <c r="C254" s="29" t="s">
        <v>28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0"/>
      <c r="T254" s="294"/>
      <c r="U254" s="29" t="s">
        <v>28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2"/>
      <c r="AL254" s="294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4"/>
      <c r="C255" s="29" t="s">
        <v>29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0"/>
      <c r="T255" s="294"/>
      <c r="U255" s="29" t="s">
        <v>29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2"/>
      <c r="AL255" s="294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4"/>
      <c r="C256" s="29" t="s">
        <v>31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0"/>
      <c r="T256" s="294"/>
      <c r="U256" s="29" t="s">
        <v>31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2"/>
      <c r="AL256" s="294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5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0"/>
      <c r="T257" s="295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2"/>
      <c r="AL257" s="295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93" t="s">
        <v>110</v>
      </c>
      <c r="C258" s="27" t="s">
        <v>27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0"/>
      <c r="T258" s="293" t="s">
        <v>110</v>
      </c>
      <c r="U258" s="27" t="s">
        <v>27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2"/>
      <c r="AL258" s="293" t="s">
        <v>110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4"/>
      <c r="C259" s="29" t="s">
        <v>28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0"/>
      <c r="T259" s="294"/>
      <c r="U259" s="29" t="s">
        <v>28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2"/>
      <c r="AL259" s="294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4"/>
      <c r="C260" s="29" t="s">
        <v>29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0"/>
      <c r="T260" s="294"/>
      <c r="U260" s="29" t="s">
        <v>29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2"/>
      <c r="AL260" s="294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4"/>
      <c r="C261" s="29" t="s">
        <v>31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0"/>
      <c r="T261" s="294"/>
      <c r="U261" s="29" t="s">
        <v>31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2"/>
      <c r="AL261" s="294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5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0"/>
      <c r="T262" s="295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2"/>
      <c r="AL262" s="295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93" t="s">
        <v>111</v>
      </c>
      <c r="C263" s="27" t="s">
        <v>27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0"/>
      <c r="T263" s="293" t="s">
        <v>111</v>
      </c>
      <c r="U263" s="27" t="s">
        <v>27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2"/>
      <c r="AL263" s="293" t="s">
        <v>111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4"/>
      <c r="C264" s="29" t="s">
        <v>28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0"/>
      <c r="T264" s="294"/>
      <c r="U264" s="29" t="s">
        <v>28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2"/>
      <c r="AL264" s="294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4"/>
      <c r="C265" s="29" t="s">
        <v>29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0"/>
      <c r="T265" s="294"/>
      <c r="U265" s="29" t="s">
        <v>29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2"/>
      <c r="AL265" s="294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4"/>
      <c r="C266" s="29" t="s">
        <v>31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0"/>
      <c r="T266" s="294"/>
      <c r="U266" s="29" t="s">
        <v>31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2"/>
      <c r="AL266" s="294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5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0"/>
      <c r="T267" s="295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2"/>
      <c r="AL267" s="295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93" t="s">
        <v>112</v>
      </c>
      <c r="C268" s="27" t="s">
        <v>27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0"/>
      <c r="T268" s="293" t="s">
        <v>112</v>
      </c>
      <c r="U268" s="27" t="s">
        <v>27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2"/>
      <c r="AL268" s="293" t="s">
        <v>112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4"/>
      <c r="C269" s="29" t="s">
        <v>28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0"/>
      <c r="T269" s="294"/>
      <c r="U269" s="29" t="s">
        <v>28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2"/>
      <c r="AL269" s="294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4"/>
      <c r="C270" s="29" t="s">
        <v>29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0"/>
      <c r="T270" s="294"/>
      <c r="U270" s="29" t="s">
        <v>29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2"/>
      <c r="AL270" s="294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4"/>
      <c r="C271" s="29" t="s">
        <v>31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0"/>
      <c r="T271" s="294"/>
      <c r="U271" s="29" t="s">
        <v>31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2"/>
      <c r="AL271" s="294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5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0"/>
      <c r="T272" s="295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2"/>
      <c r="AL272" s="295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93" t="s">
        <v>113</v>
      </c>
      <c r="C273" s="27" t="s">
        <v>27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0"/>
      <c r="T273" s="293" t="s">
        <v>113</v>
      </c>
      <c r="U273" s="27" t="s">
        <v>27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2"/>
      <c r="AL273" s="293" t="s">
        <v>113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4"/>
      <c r="C274" s="29" t="s">
        <v>28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0"/>
      <c r="T274" s="294"/>
      <c r="U274" s="29" t="s">
        <v>28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2"/>
      <c r="AL274" s="294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4"/>
      <c r="C275" s="29" t="s">
        <v>29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0"/>
      <c r="T275" s="294"/>
      <c r="U275" s="29" t="s">
        <v>29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2"/>
      <c r="AL275" s="294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4"/>
      <c r="C276" s="29" t="s">
        <v>31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0"/>
      <c r="T276" s="294"/>
      <c r="U276" s="29" t="s">
        <v>31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2"/>
      <c r="AL276" s="294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5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0"/>
      <c r="T277" s="295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2"/>
      <c r="AL277" s="295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93" t="s">
        <v>114</v>
      </c>
      <c r="C278" s="27" t="s">
        <v>27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0"/>
      <c r="T278" s="293" t="s">
        <v>114</v>
      </c>
      <c r="U278" s="27" t="s">
        <v>27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2"/>
      <c r="AL278" s="293" t="s">
        <v>114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4"/>
      <c r="C279" s="29" t="s">
        <v>28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0"/>
      <c r="T279" s="294"/>
      <c r="U279" s="29" t="s">
        <v>28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2"/>
      <c r="AL279" s="294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4"/>
      <c r="C280" s="29" t="s">
        <v>29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0"/>
      <c r="T280" s="294"/>
      <c r="U280" s="29" t="s">
        <v>29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2"/>
      <c r="AL280" s="294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4"/>
      <c r="C281" s="29" t="s">
        <v>31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0"/>
      <c r="T281" s="294"/>
      <c r="U281" s="29" t="s">
        <v>31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2"/>
      <c r="AL281" s="294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5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0"/>
      <c r="T282" s="295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2"/>
      <c r="AL282" s="295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93" t="s">
        <v>115</v>
      </c>
      <c r="C283" s="27" t="s">
        <v>27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0"/>
      <c r="T283" s="293" t="s">
        <v>115</v>
      </c>
      <c r="U283" s="27" t="s">
        <v>27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2"/>
      <c r="AL283" s="293" t="s">
        <v>115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4"/>
      <c r="C284" s="29" t="s">
        <v>28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0"/>
      <c r="T284" s="294"/>
      <c r="U284" s="29" t="s">
        <v>28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2"/>
      <c r="AL284" s="294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4"/>
      <c r="C285" s="29" t="s">
        <v>29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0"/>
      <c r="T285" s="294"/>
      <c r="U285" s="29" t="s">
        <v>29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2"/>
      <c r="AL285" s="294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4"/>
      <c r="C286" s="29" t="s">
        <v>31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0"/>
      <c r="T286" s="294"/>
      <c r="U286" s="29" t="s">
        <v>31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2"/>
      <c r="AL286" s="294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5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0"/>
      <c r="T287" s="295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2"/>
      <c r="AL287" s="295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93" t="s">
        <v>116</v>
      </c>
      <c r="C288" s="27" t="s">
        <v>27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0"/>
      <c r="T288" s="293" t="s">
        <v>116</v>
      </c>
      <c r="U288" s="27" t="s">
        <v>27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2"/>
      <c r="AL288" s="293" t="s">
        <v>116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4"/>
      <c r="C289" s="29" t="s">
        <v>28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0"/>
      <c r="T289" s="294"/>
      <c r="U289" s="29" t="s">
        <v>28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2"/>
      <c r="AL289" s="294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4"/>
      <c r="C290" s="29" t="s">
        <v>29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0"/>
      <c r="T290" s="294"/>
      <c r="U290" s="29" t="s">
        <v>29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2"/>
      <c r="AL290" s="294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4"/>
      <c r="C291" s="29" t="s">
        <v>31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0"/>
      <c r="T291" s="294"/>
      <c r="U291" s="29" t="s">
        <v>31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2"/>
      <c r="AL291" s="294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5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0"/>
      <c r="T292" s="295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2"/>
      <c r="AL292" s="295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93" t="s">
        <v>117</v>
      </c>
      <c r="C293" s="27" t="s">
        <v>27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0"/>
      <c r="T293" s="293" t="s">
        <v>117</v>
      </c>
      <c r="U293" s="27" t="s">
        <v>27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2"/>
      <c r="AL293" s="293" t="s">
        <v>117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4"/>
      <c r="C294" s="29" t="s">
        <v>28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0"/>
      <c r="T294" s="294"/>
      <c r="U294" s="29" t="s">
        <v>28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2"/>
      <c r="AL294" s="294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4"/>
      <c r="C295" s="29" t="s">
        <v>29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0"/>
      <c r="T295" s="294"/>
      <c r="U295" s="29" t="s">
        <v>29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2"/>
      <c r="AL295" s="294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4"/>
      <c r="C296" s="29" t="s">
        <v>31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0"/>
      <c r="T296" s="294"/>
      <c r="U296" s="29" t="s">
        <v>31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2"/>
      <c r="AL296" s="294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5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0"/>
      <c r="T297" s="295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2"/>
      <c r="AL297" s="295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93" t="s">
        <v>118</v>
      </c>
      <c r="C298" s="27" t="s">
        <v>27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0"/>
      <c r="T298" s="293" t="s">
        <v>118</v>
      </c>
      <c r="U298" s="27" t="s">
        <v>27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2"/>
      <c r="AL298" s="293" t="s">
        <v>118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4"/>
      <c r="C299" s="29" t="s">
        <v>28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0"/>
      <c r="T299" s="294"/>
      <c r="U299" s="29" t="s">
        <v>28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2"/>
      <c r="AL299" s="294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4"/>
      <c r="C300" s="29" t="s">
        <v>29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0"/>
      <c r="T300" s="294"/>
      <c r="U300" s="29" t="s">
        <v>29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2"/>
      <c r="AL300" s="294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4"/>
      <c r="C301" s="29" t="s">
        <v>31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0"/>
      <c r="T301" s="294"/>
      <c r="U301" s="29" t="s">
        <v>31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2"/>
      <c r="AL301" s="294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5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0"/>
      <c r="T302" s="295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2"/>
      <c r="AL302" s="295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93" t="s">
        <v>119</v>
      </c>
      <c r="C303" s="27" t="s">
        <v>27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0"/>
      <c r="T303" s="293" t="s">
        <v>119</v>
      </c>
      <c r="U303" s="27" t="s">
        <v>27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2"/>
      <c r="AL303" s="293" t="s">
        <v>119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4"/>
      <c r="C304" s="29" t="s">
        <v>28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0"/>
      <c r="T304" s="294"/>
      <c r="U304" s="29" t="s">
        <v>28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2"/>
      <c r="AL304" s="294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4"/>
      <c r="C305" s="29" t="s">
        <v>29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0"/>
      <c r="T305" s="294"/>
      <c r="U305" s="29" t="s">
        <v>29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2"/>
      <c r="AL305" s="294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4"/>
      <c r="C306" s="29" t="s">
        <v>31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0"/>
      <c r="T306" s="294"/>
      <c r="U306" s="29" t="s">
        <v>31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2"/>
      <c r="AL306" s="294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5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0"/>
      <c r="T307" s="295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2"/>
      <c r="AL307" s="295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93" t="s">
        <v>120</v>
      </c>
      <c r="C308" s="27" t="s">
        <v>27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0"/>
      <c r="T308" s="293" t="s">
        <v>120</v>
      </c>
      <c r="U308" s="27" t="s">
        <v>27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2"/>
      <c r="AL308" s="293" t="s">
        <v>120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4"/>
      <c r="C309" s="29" t="s">
        <v>28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0"/>
      <c r="T309" s="294"/>
      <c r="U309" s="29" t="s">
        <v>28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2"/>
      <c r="AL309" s="294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4"/>
      <c r="C310" s="29" t="s">
        <v>29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0"/>
      <c r="T310" s="294"/>
      <c r="U310" s="29" t="s">
        <v>29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2"/>
      <c r="AL310" s="294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4"/>
      <c r="C311" s="29" t="s">
        <v>31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0"/>
      <c r="T311" s="294"/>
      <c r="U311" s="29" t="s">
        <v>31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2"/>
      <c r="AL311" s="294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5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0"/>
      <c r="T312" s="295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2"/>
      <c r="AL312" s="295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93" t="s">
        <v>121</v>
      </c>
      <c r="C313" s="27" t="s">
        <v>27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0"/>
      <c r="T313" s="293" t="s">
        <v>121</v>
      </c>
      <c r="U313" s="27" t="s">
        <v>27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2"/>
      <c r="AL313" s="293" t="s">
        <v>121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4"/>
      <c r="C314" s="29" t="s">
        <v>28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0"/>
      <c r="T314" s="294"/>
      <c r="U314" s="29" t="s">
        <v>28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2"/>
      <c r="AL314" s="294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4"/>
      <c r="C315" s="29" t="s">
        <v>29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0"/>
      <c r="T315" s="294"/>
      <c r="U315" s="29" t="s">
        <v>29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2"/>
      <c r="AL315" s="294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4"/>
      <c r="C316" s="29" t="s">
        <v>31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0"/>
      <c r="T316" s="294"/>
      <c r="U316" s="29" t="s">
        <v>31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2"/>
      <c r="AL316" s="294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5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0"/>
      <c r="T317" s="295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2"/>
      <c r="AL317" s="295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93" t="s">
        <v>122</v>
      </c>
      <c r="C318" s="27" t="s">
        <v>27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0"/>
      <c r="T318" s="293" t="s">
        <v>122</v>
      </c>
      <c r="U318" s="27" t="s">
        <v>27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2"/>
      <c r="AL318" s="293" t="s">
        <v>122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4"/>
      <c r="C319" s="29" t="s">
        <v>28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0"/>
      <c r="T319" s="294"/>
      <c r="U319" s="29" t="s">
        <v>28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2"/>
      <c r="AL319" s="294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4"/>
      <c r="C320" s="29" t="s">
        <v>29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0"/>
      <c r="T320" s="294"/>
      <c r="U320" s="29" t="s">
        <v>29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2"/>
      <c r="AL320" s="294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4"/>
      <c r="C321" s="29" t="s">
        <v>31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0"/>
      <c r="T321" s="294"/>
      <c r="U321" s="29" t="s">
        <v>31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2"/>
      <c r="AL321" s="294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5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0"/>
      <c r="T322" s="295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2"/>
      <c r="AL322" s="295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93" t="s">
        <v>123</v>
      </c>
      <c r="C323" s="27" t="s">
        <v>27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0"/>
      <c r="T323" s="293" t="s">
        <v>123</v>
      </c>
      <c r="U323" s="27" t="s">
        <v>27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2"/>
      <c r="AL323" s="293" t="s">
        <v>123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4"/>
      <c r="C324" s="29" t="s">
        <v>28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0"/>
      <c r="T324" s="294"/>
      <c r="U324" s="29" t="s">
        <v>28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2"/>
      <c r="AL324" s="294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4"/>
      <c r="C325" s="29" t="s">
        <v>29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0"/>
      <c r="T325" s="294"/>
      <c r="U325" s="29" t="s">
        <v>29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2"/>
      <c r="AL325" s="294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4"/>
      <c r="C326" s="29" t="s">
        <v>31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0"/>
      <c r="T326" s="294"/>
      <c r="U326" s="29" t="s">
        <v>31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2"/>
      <c r="AL326" s="294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5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0"/>
      <c r="T327" s="295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2"/>
      <c r="AL327" s="295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93" t="s">
        <v>124</v>
      </c>
      <c r="C328" s="27" t="s">
        <v>27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0"/>
      <c r="T328" s="293" t="s">
        <v>124</v>
      </c>
      <c r="U328" s="27" t="s">
        <v>27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2"/>
      <c r="AL328" s="293" t="s">
        <v>124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4"/>
      <c r="C329" s="29" t="s">
        <v>28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0"/>
      <c r="T329" s="294"/>
      <c r="U329" s="29" t="s">
        <v>28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2"/>
      <c r="AL329" s="294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4"/>
      <c r="C330" s="29" t="s">
        <v>29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0"/>
      <c r="T330" s="294"/>
      <c r="U330" s="29" t="s">
        <v>29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2"/>
      <c r="AL330" s="294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4"/>
      <c r="C331" s="29" t="s">
        <v>31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0"/>
      <c r="T331" s="294"/>
      <c r="U331" s="29" t="s">
        <v>31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2"/>
      <c r="AL331" s="294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5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0"/>
      <c r="T332" s="295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2"/>
      <c r="AL332" s="295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93" t="s">
        <v>125</v>
      </c>
      <c r="C333" s="27" t="s">
        <v>27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0"/>
      <c r="T333" s="293" t="s">
        <v>125</v>
      </c>
      <c r="U333" s="27" t="s">
        <v>27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2"/>
      <c r="AL333" s="293" t="s">
        <v>125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4"/>
      <c r="C334" s="29" t="s">
        <v>28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0"/>
      <c r="T334" s="294"/>
      <c r="U334" s="29" t="s">
        <v>28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2"/>
      <c r="AL334" s="294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4"/>
      <c r="C335" s="29" t="s">
        <v>29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0"/>
      <c r="T335" s="294"/>
      <c r="U335" s="29" t="s">
        <v>29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2"/>
      <c r="AL335" s="294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4"/>
      <c r="C336" s="29" t="s">
        <v>31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0"/>
      <c r="T336" s="294"/>
      <c r="U336" s="29" t="s">
        <v>31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2"/>
      <c r="AL336" s="294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5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0"/>
      <c r="T337" s="295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2"/>
      <c r="AL337" s="295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93" t="s">
        <v>126</v>
      </c>
      <c r="C338" s="27" t="s">
        <v>27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0"/>
      <c r="T338" s="293" t="s">
        <v>126</v>
      </c>
      <c r="U338" s="27" t="s">
        <v>27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2"/>
      <c r="AL338" s="293" t="s">
        <v>126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4"/>
      <c r="C339" s="29" t="s">
        <v>28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0"/>
      <c r="T339" s="294"/>
      <c r="U339" s="29" t="s">
        <v>28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2"/>
      <c r="AL339" s="294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4"/>
      <c r="C340" s="29" t="s">
        <v>29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0"/>
      <c r="T340" s="294"/>
      <c r="U340" s="29" t="s">
        <v>29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2"/>
      <c r="AL340" s="294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4"/>
      <c r="C341" s="29" t="s">
        <v>31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0"/>
      <c r="T341" s="294"/>
      <c r="U341" s="29" t="s">
        <v>31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2"/>
      <c r="AL341" s="294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5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0"/>
      <c r="T342" s="295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2"/>
      <c r="AL342" s="295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93" t="s">
        <v>127</v>
      </c>
      <c r="C343" s="27" t="s">
        <v>27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0"/>
      <c r="T343" s="293" t="s">
        <v>127</v>
      </c>
      <c r="U343" s="27" t="s">
        <v>27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2"/>
      <c r="AL343" s="293" t="s">
        <v>127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4"/>
      <c r="C344" s="29" t="s">
        <v>28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0"/>
      <c r="T344" s="294"/>
      <c r="U344" s="29" t="s">
        <v>28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2"/>
      <c r="AL344" s="294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4"/>
      <c r="C345" s="29" t="s">
        <v>29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0"/>
      <c r="T345" s="294"/>
      <c r="U345" s="29" t="s">
        <v>29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2"/>
      <c r="AL345" s="294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4"/>
      <c r="C346" s="29" t="s">
        <v>31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0"/>
      <c r="T346" s="294"/>
      <c r="U346" s="29" t="s">
        <v>31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2"/>
      <c r="AL346" s="294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5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0"/>
      <c r="T347" s="295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2"/>
      <c r="AL347" s="295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93" t="s">
        <v>128</v>
      </c>
      <c r="C348" s="27" t="s">
        <v>27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0"/>
      <c r="T348" s="293" t="s">
        <v>128</v>
      </c>
      <c r="U348" s="27" t="s">
        <v>27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2"/>
      <c r="AL348" s="293" t="s">
        <v>128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4"/>
      <c r="C349" s="29" t="s">
        <v>28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0"/>
      <c r="T349" s="294"/>
      <c r="U349" s="29" t="s">
        <v>28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2"/>
      <c r="AL349" s="294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4"/>
      <c r="C350" s="29" t="s">
        <v>29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0"/>
      <c r="T350" s="294"/>
      <c r="U350" s="29" t="s">
        <v>29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2"/>
      <c r="AL350" s="294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4"/>
      <c r="C351" s="29" t="s">
        <v>31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0"/>
      <c r="T351" s="294"/>
      <c r="U351" s="29" t="s">
        <v>31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2"/>
      <c r="AL351" s="294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5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0"/>
      <c r="T352" s="295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2"/>
      <c r="AL352" s="295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93" t="s">
        <v>129</v>
      </c>
      <c r="C353" s="27" t="s">
        <v>27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0"/>
      <c r="T353" s="293" t="s">
        <v>129</v>
      </c>
      <c r="U353" s="27" t="s">
        <v>27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2"/>
      <c r="AL353" s="293" t="s">
        <v>129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4"/>
      <c r="C354" s="29" t="s">
        <v>28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0"/>
      <c r="T354" s="294"/>
      <c r="U354" s="29" t="s">
        <v>28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2"/>
      <c r="AL354" s="294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4"/>
      <c r="C355" s="29" t="s">
        <v>29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0"/>
      <c r="T355" s="294"/>
      <c r="U355" s="29" t="s">
        <v>29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2"/>
      <c r="AL355" s="294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4"/>
      <c r="C356" s="29" t="s">
        <v>31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0"/>
      <c r="T356" s="294"/>
      <c r="U356" s="29" t="s">
        <v>31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2"/>
      <c r="AL356" s="294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5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0"/>
      <c r="T357" s="295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2"/>
      <c r="AL357" s="295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93" t="s">
        <v>130</v>
      </c>
      <c r="C358" s="27" t="s">
        <v>27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0"/>
      <c r="T358" s="293" t="s">
        <v>130</v>
      </c>
      <c r="U358" s="27" t="s">
        <v>27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2"/>
      <c r="AL358" s="293" t="s">
        <v>130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4"/>
      <c r="C359" s="29" t="s">
        <v>28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0"/>
      <c r="T359" s="294"/>
      <c r="U359" s="29" t="s">
        <v>28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2"/>
      <c r="AL359" s="294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4"/>
      <c r="C360" s="29" t="s">
        <v>29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0"/>
      <c r="T360" s="294"/>
      <c r="U360" s="29" t="s">
        <v>29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2"/>
      <c r="AL360" s="294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4"/>
      <c r="C361" s="29" t="s">
        <v>31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0"/>
      <c r="T361" s="294"/>
      <c r="U361" s="29" t="s">
        <v>31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2"/>
      <c r="AL361" s="294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5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0"/>
      <c r="T362" s="295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2"/>
      <c r="AL362" s="295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93" t="s">
        <v>131</v>
      </c>
      <c r="C363" s="27" t="s">
        <v>27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0"/>
      <c r="T363" s="293" t="s">
        <v>131</v>
      </c>
      <c r="U363" s="27" t="s">
        <v>27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2"/>
      <c r="AL363" s="293" t="s">
        <v>131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4"/>
      <c r="C364" s="29" t="s">
        <v>28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0"/>
      <c r="T364" s="294"/>
      <c r="U364" s="29" t="s">
        <v>28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2"/>
      <c r="AL364" s="294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4"/>
      <c r="C365" s="29" t="s">
        <v>29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0"/>
      <c r="T365" s="294"/>
      <c r="U365" s="29" t="s">
        <v>29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2"/>
      <c r="AL365" s="294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4"/>
      <c r="C366" s="29" t="s">
        <v>31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0"/>
      <c r="T366" s="294"/>
      <c r="U366" s="29" t="s">
        <v>31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2"/>
      <c r="AL366" s="294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5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0"/>
      <c r="T367" s="295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2"/>
      <c r="AL367" s="295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93" t="s">
        <v>132</v>
      </c>
      <c r="C368" s="27" t="s">
        <v>27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0"/>
      <c r="T368" s="293" t="s">
        <v>132</v>
      </c>
      <c r="U368" s="27" t="s">
        <v>27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2"/>
      <c r="AL368" s="293" t="s">
        <v>132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4"/>
      <c r="C369" s="29" t="s">
        <v>28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0"/>
      <c r="T369" s="294"/>
      <c r="U369" s="29" t="s">
        <v>28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2"/>
      <c r="AL369" s="294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4"/>
      <c r="C370" s="29" t="s">
        <v>29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0"/>
      <c r="T370" s="294"/>
      <c r="U370" s="29" t="s">
        <v>29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2"/>
      <c r="AL370" s="294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4"/>
      <c r="C371" s="29" t="s">
        <v>31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0"/>
      <c r="T371" s="294"/>
      <c r="U371" s="29" t="s">
        <v>31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2"/>
      <c r="AL371" s="294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5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0"/>
      <c r="T372" s="295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2"/>
      <c r="AL372" s="295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93" t="s">
        <v>133</v>
      </c>
      <c r="C373" s="27" t="s">
        <v>27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0"/>
      <c r="T373" s="293" t="s">
        <v>133</v>
      </c>
      <c r="U373" s="27" t="s">
        <v>27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2"/>
      <c r="AL373" s="293" t="s">
        <v>133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4"/>
      <c r="C374" s="29" t="s">
        <v>28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0"/>
      <c r="T374" s="294"/>
      <c r="U374" s="29" t="s">
        <v>28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2"/>
      <c r="AL374" s="294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4"/>
      <c r="C375" s="29" t="s">
        <v>29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0"/>
      <c r="T375" s="294"/>
      <c r="U375" s="29" t="s">
        <v>29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2"/>
      <c r="AL375" s="294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4"/>
      <c r="C376" s="29" t="s">
        <v>31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0"/>
      <c r="T376" s="294"/>
      <c r="U376" s="29" t="s">
        <v>31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2"/>
      <c r="AL376" s="294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5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0"/>
      <c r="T377" s="295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2"/>
      <c r="AL377" s="295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93" t="s">
        <v>134</v>
      </c>
      <c r="C378" s="27" t="s">
        <v>27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0"/>
      <c r="T378" s="293" t="s">
        <v>134</v>
      </c>
      <c r="U378" s="27" t="s">
        <v>27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2"/>
      <c r="AL378" s="293" t="s">
        <v>134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4"/>
      <c r="C379" s="29" t="s">
        <v>28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0"/>
      <c r="T379" s="294"/>
      <c r="U379" s="29" t="s">
        <v>28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2"/>
      <c r="AL379" s="294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4"/>
      <c r="C380" s="29" t="s">
        <v>29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0"/>
      <c r="T380" s="294"/>
      <c r="U380" s="29" t="s">
        <v>29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2"/>
      <c r="AL380" s="294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4"/>
      <c r="C381" s="29" t="s">
        <v>31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0"/>
      <c r="T381" s="294"/>
      <c r="U381" s="29" t="s">
        <v>31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2"/>
      <c r="AL381" s="294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5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0"/>
      <c r="T382" s="295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2"/>
      <c r="AL382" s="295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93" t="s">
        <v>135</v>
      </c>
      <c r="C383" s="27" t="s">
        <v>27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0"/>
      <c r="T383" s="293" t="s">
        <v>135</v>
      </c>
      <c r="U383" s="27" t="s">
        <v>27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2"/>
      <c r="AL383" s="293" t="s">
        <v>135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4"/>
      <c r="C384" s="29" t="s">
        <v>28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0"/>
      <c r="T384" s="294"/>
      <c r="U384" s="29" t="s">
        <v>28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2"/>
      <c r="AL384" s="294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4"/>
      <c r="C385" s="29" t="s">
        <v>29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0"/>
      <c r="T385" s="294"/>
      <c r="U385" s="29" t="s">
        <v>29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2"/>
      <c r="AL385" s="294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4"/>
      <c r="C386" s="29" t="s">
        <v>31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0"/>
      <c r="T386" s="294"/>
      <c r="U386" s="29" t="s">
        <v>31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2"/>
      <c r="AL386" s="294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5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0"/>
      <c r="T387" s="295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2"/>
      <c r="AL387" s="295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93" t="s">
        <v>136</v>
      </c>
      <c r="C388" s="27" t="s">
        <v>27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0"/>
      <c r="T388" s="293" t="s">
        <v>136</v>
      </c>
      <c r="U388" s="27" t="s">
        <v>27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2"/>
      <c r="AL388" s="293" t="s">
        <v>136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4"/>
      <c r="C389" s="29" t="s">
        <v>28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0"/>
      <c r="T389" s="294"/>
      <c r="U389" s="29" t="s">
        <v>28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2"/>
      <c r="AL389" s="294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4"/>
      <c r="C390" s="29" t="s">
        <v>29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0"/>
      <c r="T390" s="294"/>
      <c r="U390" s="29" t="s">
        <v>29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2"/>
      <c r="AL390" s="294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4"/>
      <c r="C391" s="29" t="s">
        <v>31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0"/>
      <c r="T391" s="294"/>
      <c r="U391" s="29" t="s">
        <v>31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2"/>
      <c r="AL391" s="294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5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0"/>
      <c r="T392" s="295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2"/>
      <c r="AL392" s="295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93" t="s">
        <v>137</v>
      </c>
      <c r="C393" s="27" t="s">
        <v>27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0"/>
      <c r="T393" s="293" t="s">
        <v>137</v>
      </c>
      <c r="U393" s="27" t="s">
        <v>27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2"/>
      <c r="AL393" s="293" t="s">
        <v>137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4"/>
      <c r="C394" s="29" t="s">
        <v>28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0"/>
      <c r="T394" s="294"/>
      <c r="U394" s="29" t="s">
        <v>28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2"/>
      <c r="AL394" s="294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4"/>
      <c r="C395" s="29" t="s">
        <v>29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0"/>
      <c r="T395" s="294"/>
      <c r="U395" s="29" t="s">
        <v>29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2"/>
      <c r="AL395" s="294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4"/>
      <c r="C396" s="29" t="s">
        <v>31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0"/>
      <c r="T396" s="294"/>
      <c r="U396" s="29" t="s">
        <v>31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2"/>
      <c r="AL396" s="294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5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0"/>
      <c r="T397" s="295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2"/>
      <c r="AL397" s="295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93" t="s">
        <v>138</v>
      </c>
      <c r="C398" s="27" t="s">
        <v>27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0"/>
      <c r="T398" s="293" t="s">
        <v>138</v>
      </c>
      <c r="U398" s="27" t="s">
        <v>27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2"/>
      <c r="AL398" s="293" t="s">
        <v>138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4"/>
      <c r="C399" s="29" t="s">
        <v>28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0"/>
      <c r="T399" s="294"/>
      <c r="U399" s="29" t="s">
        <v>28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2"/>
      <c r="AL399" s="294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4"/>
      <c r="C400" s="29" t="s">
        <v>29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0"/>
      <c r="T400" s="294"/>
      <c r="U400" s="29" t="s">
        <v>29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2"/>
      <c r="AL400" s="294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4"/>
      <c r="C401" s="29" t="s">
        <v>31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0"/>
      <c r="T401" s="294"/>
      <c r="U401" s="29" t="s">
        <v>31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2"/>
      <c r="AL401" s="294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5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0"/>
      <c r="T402" s="295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2"/>
      <c r="AL402" s="295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93" t="s">
        <v>139</v>
      </c>
      <c r="C403" s="27" t="s">
        <v>27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0"/>
      <c r="T403" s="293" t="s">
        <v>139</v>
      </c>
      <c r="U403" s="27" t="s">
        <v>27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2"/>
      <c r="AL403" s="293" t="s">
        <v>139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4"/>
      <c r="C404" s="29" t="s">
        <v>28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0"/>
      <c r="T404" s="294"/>
      <c r="U404" s="29" t="s">
        <v>28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2"/>
      <c r="AL404" s="294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4"/>
      <c r="C405" s="29" t="s">
        <v>29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0"/>
      <c r="T405" s="294"/>
      <c r="U405" s="29" t="s">
        <v>29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2"/>
      <c r="AL405" s="294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4"/>
      <c r="C406" s="29" t="s">
        <v>31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0"/>
      <c r="T406" s="294"/>
      <c r="U406" s="29" t="s">
        <v>31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2"/>
      <c r="AL406" s="294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5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0"/>
      <c r="T407" s="295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2"/>
      <c r="AL407" s="295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93" t="s">
        <v>140</v>
      </c>
      <c r="C408" s="27" t="s">
        <v>27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0"/>
      <c r="T408" s="293" t="s">
        <v>140</v>
      </c>
      <c r="U408" s="27" t="s">
        <v>27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2"/>
      <c r="AL408" s="293" t="s">
        <v>140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4"/>
      <c r="C409" s="29" t="s">
        <v>28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0"/>
      <c r="T409" s="294"/>
      <c r="U409" s="29" t="s">
        <v>28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2"/>
      <c r="AL409" s="294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4"/>
      <c r="C410" s="29" t="s">
        <v>29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0"/>
      <c r="T410" s="294"/>
      <c r="U410" s="29" t="s">
        <v>29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2"/>
      <c r="AL410" s="294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4"/>
      <c r="C411" s="29" t="s">
        <v>31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0"/>
      <c r="T411" s="294"/>
      <c r="U411" s="29" t="s">
        <v>31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2"/>
      <c r="AL411" s="294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5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0"/>
      <c r="T412" s="295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2"/>
      <c r="AL412" s="295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93" t="s">
        <v>141</v>
      </c>
      <c r="C413" s="27" t="s">
        <v>27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0"/>
      <c r="T413" s="293" t="s">
        <v>141</v>
      </c>
      <c r="U413" s="27" t="s">
        <v>27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2"/>
      <c r="AL413" s="293" t="s">
        <v>141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4"/>
      <c r="C414" s="29" t="s">
        <v>28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0"/>
      <c r="T414" s="294"/>
      <c r="U414" s="29" t="s">
        <v>28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2"/>
      <c r="AL414" s="294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4"/>
      <c r="C415" s="29" t="s">
        <v>29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0"/>
      <c r="T415" s="294"/>
      <c r="U415" s="29" t="s">
        <v>29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2"/>
      <c r="AL415" s="294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4"/>
      <c r="C416" s="29" t="s">
        <v>31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0"/>
      <c r="T416" s="294"/>
      <c r="U416" s="29" t="s">
        <v>31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2"/>
      <c r="AL416" s="294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5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0"/>
      <c r="T417" s="295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2"/>
      <c r="AL417" s="295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93" t="s">
        <v>142</v>
      </c>
      <c r="C418" s="27" t="s">
        <v>27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0"/>
      <c r="T418" s="293" t="s">
        <v>142</v>
      </c>
      <c r="U418" s="27" t="s">
        <v>27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2"/>
      <c r="AL418" s="293" t="s">
        <v>142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4"/>
      <c r="C419" s="29" t="s">
        <v>28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0"/>
      <c r="T419" s="294"/>
      <c r="U419" s="29" t="s">
        <v>28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2"/>
      <c r="AL419" s="294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4"/>
      <c r="C420" s="29" t="s">
        <v>29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0"/>
      <c r="T420" s="294"/>
      <c r="U420" s="29" t="s">
        <v>29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2"/>
      <c r="AL420" s="294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4"/>
      <c r="C421" s="29" t="s">
        <v>31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0"/>
      <c r="T421" s="294"/>
      <c r="U421" s="29" t="s">
        <v>31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2"/>
      <c r="AL421" s="294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5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0"/>
      <c r="T422" s="295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2"/>
      <c r="AL422" s="295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93" t="s">
        <v>143</v>
      </c>
      <c r="C423" s="27" t="s">
        <v>27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0"/>
      <c r="T423" s="293" t="s">
        <v>143</v>
      </c>
      <c r="U423" s="27" t="s">
        <v>27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2"/>
      <c r="AL423" s="293" t="s">
        <v>143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4"/>
      <c r="C424" s="29" t="s">
        <v>28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0"/>
      <c r="T424" s="294"/>
      <c r="U424" s="29" t="s">
        <v>28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2"/>
      <c r="AL424" s="294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4"/>
      <c r="C425" s="29" t="s">
        <v>29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0"/>
      <c r="T425" s="294"/>
      <c r="U425" s="29" t="s">
        <v>29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2"/>
      <c r="AL425" s="294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4"/>
      <c r="C426" s="29" t="s">
        <v>31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0"/>
      <c r="T426" s="294"/>
      <c r="U426" s="29" t="s">
        <v>31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2"/>
      <c r="AL426" s="294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5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0"/>
      <c r="T427" s="295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2"/>
      <c r="AL427" s="295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93" t="s">
        <v>144</v>
      </c>
      <c r="C428" s="27" t="s">
        <v>27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0"/>
      <c r="T428" s="293" t="s">
        <v>144</v>
      </c>
      <c r="U428" s="27" t="s">
        <v>27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2"/>
      <c r="AL428" s="293" t="s">
        <v>144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4"/>
      <c r="C429" s="29" t="s">
        <v>28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0"/>
      <c r="T429" s="294"/>
      <c r="U429" s="29" t="s">
        <v>28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2"/>
      <c r="AL429" s="294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4"/>
      <c r="C430" s="29" t="s">
        <v>29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0"/>
      <c r="T430" s="294"/>
      <c r="U430" s="29" t="s">
        <v>29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2"/>
      <c r="AL430" s="294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4"/>
      <c r="C431" s="29" t="s">
        <v>31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0"/>
      <c r="T431" s="294"/>
      <c r="U431" s="29" t="s">
        <v>31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2"/>
      <c r="AL431" s="294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5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0"/>
      <c r="T432" s="295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2"/>
      <c r="AL432" s="295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93" t="s">
        <v>145</v>
      </c>
      <c r="C433" s="27" t="s">
        <v>27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0"/>
      <c r="T433" s="293" t="s">
        <v>145</v>
      </c>
      <c r="U433" s="27" t="s">
        <v>27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2"/>
      <c r="AL433" s="293" t="s">
        <v>145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4"/>
      <c r="C434" s="29" t="s">
        <v>28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0"/>
      <c r="T434" s="294"/>
      <c r="U434" s="29" t="s">
        <v>28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2"/>
      <c r="AL434" s="294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4"/>
      <c r="C435" s="29" t="s">
        <v>29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0"/>
      <c r="T435" s="294"/>
      <c r="U435" s="29" t="s">
        <v>29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2"/>
      <c r="AL435" s="294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4"/>
      <c r="C436" s="29" t="s">
        <v>31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0"/>
      <c r="T436" s="294"/>
      <c r="U436" s="29" t="s">
        <v>31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2"/>
      <c r="AL436" s="294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5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0"/>
      <c r="T437" s="295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2"/>
      <c r="AL437" s="295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93" t="s">
        <v>146</v>
      </c>
      <c r="C438" s="27" t="s">
        <v>27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0"/>
      <c r="T438" s="293" t="s">
        <v>146</v>
      </c>
      <c r="U438" s="27" t="s">
        <v>27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2"/>
      <c r="AL438" s="293" t="s">
        <v>146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4"/>
      <c r="C439" s="29" t="s">
        <v>28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0"/>
      <c r="T439" s="294"/>
      <c r="U439" s="29" t="s">
        <v>28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2"/>
      <c r="AL439" s="294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4"/>
      <c r="C440" s="29" t="s">
        <v>29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0"/>
      <c r="T440" s="294"/>
      <c r="U440" s="29" t="s">
        <v>29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2"/>
      <c r="AL440" s="294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4"/>
      <c r="C441" s="29" t="s">
        <v>31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0"/>
      <c r="T441" s="294"/>
      <c r="U441" s="29" t="s">
        <v>31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2"/>
      <c r="AL441" s="294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5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0"/>
      <c r="T442" s="295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2"/>
      <c r="AL442" s="295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93" t="s">
        <v>147</v>
      </c>
      <c r="C443" s="27" t="s">
        <v>27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0"/>
      <c r="T443" s="293" t="s">
        <v>147</v>
      </c>
      <c r="U443" s="27" t="s">
        <v>27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2"/>
      <c r="AL443" s="293" t="s">
        <v>147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4"/>
      <c r="C444" s="29" t="s">
        <v>28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0"/>
      <c r="T444" s="294"/>
      <c r="U444" s="29" t="s">
        <v>28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2"/>
      <c r="AL444" s="294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4"/>
      <c r="C445" s="29" t="s">
        <v>29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0"/>
      <c r="T445" s="294"/>
      <c r="U445" s="29" t="s">
        <v>29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2"/>
      <c r="AL445" s="294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4"/>
      <c r="C446" s="29" t="s">
        <v>31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0"/>
      <c r="T446" s="294"/>
      <c r="U446" s="29" t="s">
        <v>31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2"/>
      <c r="AL446" s="294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5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0"/>
      <c r="T447" s="295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2"/>
      <c r="AL447" s="295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93" t="s">
        <v>148</v>
      </c>
      <c r="C448" s="27" t="s">
        <v>27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0"/>
      <c r="T448" s="293" t="s">
        <v>148</v>
      </c>
      <c r="U448" s="27" t="s">
        <v>27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2"/>
      <c r="AL448" s="293" t="s">
        <v>148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4"/>
      <c r="C449" s="29" t="s">
        <v>28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0"/>
      <c r="T449" s="294"/>
      <c r="U449" s="29" t="s">
        <v>28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2"/>
      <c r="AL449" s="294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4"/>
      <c r="C450" s="29" t="s">
        <v>29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0"/>
      <c r="T450" s="294"/>
      <c r="U450" s="29" t="s">
        <v>29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2"/>
      <c r="AL450" s="294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4"/>
      <c r="C451" s="29" t="s">
        <v>31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0"/>
      <c r="T451" s="294"/>
      <c r="U451" s="29" t="s">
        <v>31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2"/>
      <c r="AL451" s="294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5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0"/>
      <c r="T452" s="295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2"/>
      <c r="AL452" s="295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93" t="s">
        <v>149</v>
      </c>
      <c r="C453" s="27" t="s">
        <v>27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0"/>
      <c r="T453" s="293" t="s">
        <v>149</v>
      </c>
      <c r="U453" s="27" t="s">
        <v>27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2"/>
      <c r="AL453" s="293" t="s">
        <v>149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4"/>
      <c r="C454" s="29" t="s">
        <v>28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0"/>
      <c r="T454" s="294"/>
      <c r="U454" s="29" t="s">
        <v>28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2"/>
      <c r="AL454" s="294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4"/>
      <c r="C455" s="29" t="s">
        <v>29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0"/>
      <c r="T455" s="294"/>
      <c r="U455" s="29" t="s">
        <v>29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2"/>
      <c r="AL455" s="294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4"/>
      <c r="C456" s="29" t="s">
        <v>31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0"/>
      <c r="T456" s="294"/>
      <c r="U456" s="29" t="s">
        <v>31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2"/>
      <c r="AL456" s="294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5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0"/>
      <c r="T457" s="295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2"/>
      <c r="AL457" s="295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93" t="s">
        <v>150</v>
      </c>
      <c r="C458" s="27" t="s">
        <v>27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0"/>
      <c r="T458" s="293" t="s">
        <v>150</v>
      </c>
      <c r="U458" s="27" t="s">
        <v>27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2"/>
      <c r="AL458" s="293" t="s">
        <v>150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4"/>
      <c r="C459" s="29" t="s">
        <v>28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0"/>
      <c r="T459" s="294"/>
      <c r="U459" s="29" t="s">
        <v>28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2"/>
      <c r="AL459" s="294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4"/>
      <c r="C460" s="29" t="s">
        <v>29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0"/>
      <c r="T460" s="294"/>
      <c r="U460" s="29" t="s">
        <v>29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2"/>
      <c r="AL460" s="294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4"/>
      <c r="C461" s="29" t="s">
        <v>31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0"/>
      <c r="T461" s="294"/>
      <c r="U461" s="29" t="s">
        <v>31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2"/>
      <c r="AL461" s="294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5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0"/>
      <c r="T462" s="295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2"/>
      <c r="AL462" s="295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93" t="s">
        <v>151</v>
      </c>
      <c r="C463" s="27" t="s">
        <v>27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0"/>
      <c r="T463" s="293" t="s">
        <v>151</v>
      </c>
      <c r="U463" s="27" t="s">
        <v>27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2"/>
      <c r="AL463" s="293" t="s">
        <v>151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4"/>
      <c r="C464" s="29" t="s">
        <v>28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0"/>
      <c r="T464" s="294"/>
      <c r="U464" s="29" t="s">
        <v>28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2"/>
      <c r="AL464" s="294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4"/>
      <c r="C465" s="29" t="s">
        <v>29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0"/>
      <c r="T465" s="294"/>
      <c r="U465" s="29" t="s">
        <v>29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2"/>
      <c r="AL465" s="294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4"/>
      <c r="C466" s="29" t="s">
        <v>31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0"/>
      <c r="T466" s="294"/>
      <c r="U466" s="29" t="s">
        <v>31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2"/>
      <c r="AL466" s="294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5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0"/>
      <c r="T467" s="295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2"/>
      <c r="AL467" s="295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93" t="s">
        <v>152</v>
      </c>
      <c r="C468" s="27" t="s">
        <v>27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0"/>
      <c r="T468" s="293" t="s">
        <v>152</v>
      </c>
      <c r="U468" s="27" t="s">
        <v>27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2"/>
      <c r="AL468" s="293" t="s">
        <v>152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4"/>
      <c r="C469" s="29" t="s">
        <v>28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0"/>
      <c r="T469" s="294"/>
      <c r="U469" s="29" t="s">
        <v>28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2"/>
      <c r="AL469" s="294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4"/>
      <c r="C470" s="29" t="s">
        <v>29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0"/>
      <c r="T470" s="294"/>
      <c r="U470" s="29" t="s">
        <v>29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2"/>
      <c r="AL470" s="294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4"/>
      <c r="C471" s="29" t="s">
        <v>31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0"/>
      <c r="T471" s="294"/>
      <c r="U471" s="29" t="s">
        <v>31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2"/>
      <c r="AL471" s="294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5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0"/>
      <c r="T472" s="295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2"/>
      <c r="AL472" s="295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93" t="s">
        <v>153</v>
      </c>
      <c r="C473" s="27" t="s">
        <v>27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0"/>
      <c r="T473" s="293" t="s">
        <v>153</v>
      </c>
      <c r="U473" s="27" t="s">
        <v>27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2"/>
      <c r="AL473" s="293" t="s">
        <v>153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4"/>
      <c r="C474" s="29" t="s">
        <v>28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0"/>
      <c r="T474" s="294"/>
      <c r="U474" s="29" t="s">
        <v>28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2"/>
      <c r="AL474" s="294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4"/>
      <c r="C475" s="29" t="s">
        <v>29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0"/>
      <c r="T475" s="294"/>
      <c r="U475" s="29" t="s">
        <v>29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2"/>
      <c r="AL475" s="294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4"/>
      <c r="C476" s="29" t="s">
        <v>31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0"/>
      <c r="T476" s="294"/>
      <c r="U476" s="29" t="s">
        <v>31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2"/>
      <c r="AL476" s="294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5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0"/>
      <c r="T477" s="295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2"/>
      <c r="AL477" s="295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93" t="s">
        <v>154</v>
      </c>
      <c r="C478" s="27" t="s">
        <v>27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0"/>
      <c r="T478" s="293" t="s">
        <v>154</v>
      </c>
      <c r="U478" s="27" t="s">
        <v>27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2"/>
      <c r="AL478" s="293" t="s">
        <v>154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4"/>
      <c r="C479" s="29" t="s">
        <v>28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0"/>
      <c r="T479" s="294"/>
      <c r="U479" s="29" t="s">
        <v>28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2"/>
      <c r="AL479" s="294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4"/>
      <c r="C480" s="29" t="s">
        <v>29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0"/>
      <c r="T480" s="294"/>
      <c r="U480" s="29" t="s">
        <v>29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2"/>
      <c r="AL480" s="294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4"/>
      <c r="C481" s="29" t="s">
        <v>31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0"/>
      <c r="T481" s="294"/>
      <c r="U481" s="29" t="s">
        <v>31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2"/>
      <c r="AL481" s="294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5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0"/>
      <c r="T482" s="295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2"/>
      <c r="AL482" s="295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93" t="s">
        <v>155</v>
      </c>
      <c r="C483" s="27" t="s">
        <v>27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0"/>
      <c r="T483" s="293" t="s">
        <v>155</v>
      </c>
      <c r="U483" s="27" t="s">
        <v>27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2"/>
      <c r="AL483" s="293" t="s">
        <v>155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4"/>
      <c r="C484" s="29" t="s">
        <v>28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0"/>
      <c r="T484" s="294"/>
      <c r="U484" s="29" t="s">
        <v>28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2"/>
      <c r="AL484" s="294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4"/>
      <c r="C485" s="29" t="s">
        <v>29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0"/>
      <c r="T485" s="294"/>
      <c r="U485" s="29" t="s">
        <v>29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2"/>
      <c r="AL485" s="294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4"/>
      <c r="C486" s="29" t="s">
        <v>31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0"/>
      <c r="T486" s="294"/>
      <c r="U486" s="29" t="s">
        <v>31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2"/>
      <c r="AL486" s="294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5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0"/>
      <c r="T487" s="295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2"/>
      <c r="AL487" s="295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93" t="s">
        <v>156</v>
      </c>
      <c r="C488" s="27" t="s">
        <v>27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0"/>
      <c r="T488" s="293" t="s">
        <v>156</v>
      </c>
      <c r="U488" s="27" t="s">
        <v>27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2"/>
      <c r="AL488" s="293" t="s">
        <v>156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4"/>
      <c r="C489" s="29" t="s">
        <v>28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0"/>
      <c r="T489" s="294"/>
      <c r="U489" s="29" t="s">
        <v>28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2"/>
      <c r="AL489" s="294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4"/>
      <c r="C490" s="29" t="s">
        <v>29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0"/>
      <c r="T490" s="294"/>
      <c r="U490" s="29" t="s">
        <v>29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2"/>
      <c r="AL490" s="294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4"/>
      <c r="C491" s="29" t="s">
        <v>31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0"/>
      <c r="T491" s="294"/>
      <c r="U491" s="29" t="s">
        <v>31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2"/>
      <c r="AL491" s="294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5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0"/>
      <c r="T492" s="295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2"/>
      <c r="AL492" s="295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93" t="s">
        <v>157</v>
      </c>
      <c r="C493" s="27" t="s">
        <v>27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0"/>
      <c r="T493" s="293" t="s">
        <v>157</v>
      </c>
      <c r="U493" s="27" t="s">
        <v>27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2"/>
      <c r="AL493" s="293" t="s">
        <v>157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4"/>
      <c r="C494" s="29" t="s">
        <v>28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0"/>
      <c r="T494" s="294"/>
      <c r="U494" s="29" t="s">
        <v>28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2"/>
      <c r="AL494" s="294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4"/>
      <c r="C495" s="29" t="s">
        <v>29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0"/>
      <c r="T495" s="294"/>
      <c r="U495" s="29" t="s">
        <v>29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2"/>
      <c r="AL495" s="294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4"/>
      <c r="C496" s="29" t="s">
        <v>31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0"/>
      <c r="T496" s="294"/>
      <c r="U496" s="29" t="s">
        <v>31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2"/>
      <c r="AL496" s="294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5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0"/>
      <c r="T497" s="295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2"/>
      <c r="AL497" s="295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93" t="s">
        <v>158</v>
      </c>
      <c r="C498" s="27" t="s">
        <v>27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0"/>
      <c r="T498" s="293" t="s">
        <v>158</v>
      </c>
      <c r="U498" s="27" t="s">
        <v>27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2"/>
      <c r="AL498" s="293" t="s">
        <v>158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4"/>
      <c r="C499" s="29" t="s">
        <v>28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0"/>
      <c r="T499" s="294"/>
      <c r="U499" s="29" t="s">
        <v>28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2"/>
      <c r="AL499" s="294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4"/>
      <c r="C500" s="29" t="s">
        <v>29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0"/>
      <c r="T500" s="294"/>
      <c r="U500" s="29" t="s">
        <v>29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2"/>
      <c r="AL500" s="294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4"/>
      <c r="C501" s="29" t="s">
        <v>31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0"/>
      <c r="T501" s="294"/>
      <c r="U501" s="29" t="s">
        <v>31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2"/>
      <c r="AL501" s="294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5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0"/>
      <c r="T502" s="295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2"/>
      <c r="AL502" s="295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93" t="s">
        <v>159</v>
      </c>
      <c r="C503" s="27" t="s">
        <v>27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0"/>
      <c r="T503" s="293" t="s">
        <v>159</v>
      </c>
      <c r="U503" s="27" t="s">
        <v>27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2"/>
      <c r="AL503" s="293" t="s">
        <v>159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4"/>
      <c r="C504" s="29" t="s">
        <v>28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0"/>
      <c r="T504" s="294"/>
      <c r="U504" s="29" t="s">
        <v>28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2"/>
      <c r="AL504" s="294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4"/>
      <c r="C505" s="29" t="s">
        <v>29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0"/>
      <c r="T505" s="294"/>
      <c r="U505" s="29" t="s">
        <v>29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2"/>
      <c r="AL505" s="294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4"/>
      <c r="C506" s="29" t="s">
        <v>31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0"/>
      <c r="T506" s="294"/>
      <c r="U506" s="29" t="s">
        <v>31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2"/>
      <c r="AL506" s="294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5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0"/>
      <c r="T507" s="295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2"/>
      <c r="AL507" s="295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93" t="s">
        <v>160</v>
      </c>
      <c r="C508" s="27" t="s">
        <v>27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0"/>
      <c r="T508" s="293" t="s">
        <v>160</v>
      </c>
      <c r="U508" s="27" t="s">
        <v>27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2"/>
      <c r="AL508" s="293" t="s">
        <v>160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4"/>
      <c r="C509" s="29" t="s">
        <v>28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0"/>
      <c r="T509" s="294"/>
      <c r="U509" s="29" t="s">
        <v>28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2"/>
      <c r="AL509" s="294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4"/>
      <c r="C510" s="29" t="s">
        <v>29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0"/>
      <c r="T510" s="294"/>
      <c r="U510" s="29" t="s">
        <v>29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2"/>
      <c r="AL510" s="294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4"/>
      <c r="C511" s="29" t="s">
        <v>31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0"/>
      <c r="T511" s="294"/>
      <c r="U511" s="29" t="s">
        <v>31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2"/>
      <c r="AL511" s="294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5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0"/>
      <c r="T512" s="295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2"/>
      <c r="AL512" s="295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93" t="s">
        <v>161</v>
      </c>
      <c r="C513" s="27" t="s">
        <v>27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0"/>
      <c r="T513" s="293" t="s">
        <v>161</v>
      </c>
      <c r="U513" s="27" t="s">
        <v>27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2"/>
      <c r="AL513" s="293" t="s">
        <v>161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4"/>
      <c r="C514" s="29" t="s">
        <v>28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0"/>
      <c r="T514" s="294"/>
      <c r="U514" s="29" t="s">
        <v>28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2"/>
      <c r="AL514" s="294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4"/>
      <c r="C515" s="29" t="s">
        <v>29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0"/>
      <c r="T515" s="294"/>
      <c r="U515" s="29" t="s">
        <v>29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2"/>
      <c r="AL515" s="294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4"/>
      <c r="C516" s="29" t="s">
        <v>31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0"/>
      <c r="T516" s="294"/>
      <c r="U516" s="29" t="s">
        <v>31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2"/>
      <c r="AL516" s="294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5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0"/>
      <c r="T517" s="295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2"/>
      <c r="AL517" s="295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93" t="s">
        <v>162</v>
      </c>
      <c r="C518" s="27" t="s">
        <v>27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0"/>
      <c r="T518" s="293" t="s">
        <v>162</v>
      </c>
      <c r="U518" s="27" t="s">
        <v>27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2"/>
      <c r="AL518" s="293" t="s">
        <v>162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4"/>
      <c r="C519" s="29" t="s">
        <v>28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0"/>
      <c r="T519" s="294"/>
      <c r="U519" s="29" t="s">
        <v>28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2"/>
      <c r="AL519" s="294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4"/>
      <c r="C520" s="29" t="s">
        <v>29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0"/>
      <c r="T520" s="294"/>
      <c r="U520" s="29" t="s">
        <v>29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2"/>
      <c r="AL520" s="294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4"/>
      <c r="C521" s="29" t="s">
        <v>31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0"/>
      <c r="T521" s="294"/>
      <c r="U521" s="29" t="s">
        <v>31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2"/>
      <c r="AL521" s="294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5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0"/>
      <c r="T522" s="295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2"/>
      <c r="AL522" s="295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93" t="s">
        <v>163</v>
      </c>
      <c r="C523" s="27" t="s">
        <v>27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0"/>
      <c r="T523" s="293" t="s">
        <v>163</v>
      </c>
      <c r="U523" s="27" t="s">
        <v>27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2"/>
      <c r="AL523" s="293" t="s">
        <v>163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4"/>
      <c r="C524" s="29" t="s">
        <v>28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0"/>
      <c r="T524" s="294"/>
      <c r="U524" s="29" t="s">
        <v>28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2"/>
      <c r="AL524" s="294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4"/>
      <c r="C525" s="29" t="s">
        <v>29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0"/>
      <c r="T525" s="294"/>
      <c r="U525" s="29" t="s">
        <v>29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2"/>
      <c r="AL525" s="294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4"/>
      <c r="C526" s="29" t="s">
        <v>31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0"/>
      <c r="T526" s="294"/>
      <c r="U526" s="29" t="s">
        <v>31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2"/>
      <c r="AL526" s="294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5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0"/>
      <c r="T527" s="295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2"/>
      <c r="AL527" s="295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93" t="s">
        <v>164</v>
      </c>
      <c r="C528" s="27" t="s">
        <v>27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0"/>
      <c r="T528" s="293" t="s">
        <v>164</v>
      </c>
      <c r="U528" s="27" t="s">
        <v>27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2"/>
      <c r="AL528" s="293" t="s">
        <v>164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4"/>
      <c r="C529" s="29" t="s">
        <v>28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0"/>
      <c r="T529" s="294"/>
      <c r="U529" s="29" t="s">
        <v>28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2"/>
      <c r="AL529" s="294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4"/>
      <c r="C530" s="29" t="s">
        <v>29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0"/>
      <c r="T530" s="294"/>
      <c r="U530" s="29" t="s">
        <v>29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2"/>
      <c r="AL530" s="294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4"/>
      <c r="C531" s="29" t="s">
        <v>31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0"/>
      <c r="T531" s="294"/>
      <c r="U531" s="29" t="s">
        <v>31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2"/>
      <c r="AL531" s="294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5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0"/>
      <c r="T532" s="295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2"/>
      <c r="AL532" s="295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93" t="s">
        <v>165</v>
      </c>
      <c r="C533" s="27" t="s">
        <v>27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0"/>
      <c r="T533" s="293" t="s">
        <v>165</v>
      </c>
      <c r="U533" s="27" t="s">
        <v>27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2"/>
      <c r="AL533" s="293" t="s">
        <v>165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4"/>
      <c r="C534" s="29" t="s">
        <v>28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0"/>
      <c r="T534" s="294"/>
      <c r="U534" s="29" t="s">
        <v>28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2"/>
      <c r="AL534" s="294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4"/>
      <c r="C535" s="29" t="s">
        <v>29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0"/>
      <c r="T535" s="294"/>
      <c r="U535" s="29" t="s">
        <v>29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2"/>
      <c r="AL535" s="294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4"/>
      <c r="C536" s="29" t="s">
        <v>31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0"/>
      <c r="T536" s="294"/>
      <c r="U536" s="29" t="s">
        <v>31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2"/>
      <c r="AL536" s="294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5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0"/>
      <c r="T537" s="295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2"/>
      <c r="AL537" s="295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93" t="s">
        <v>166</v>
      </c>
      <c r="C538" s="27" t="s">
        <v>27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0"/>
      <c r="T538" s="293" t="s">
        <v>166</v>
      </c>
      <c r="U538" s="27" t="s">
        <v>27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2"/>
      <c r="AL538" s="293" t="s">
        <v>166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4"/>
      <c r="C539" s="29" t="s">
        <v>28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0"/>
      <c r="T539" s="294"/>
      <c r="U539" s="29" t="s">
        <v>28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2"/>
      <c r="AL539" s="294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4"/>
      <c r="C540" s="29" t="s">
        <v>29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0"/>
      <c r="T540" s="294"/>
      <c r="U540" s="29" t="s">
        <v>29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2"/>
      <c r="AL540" s="294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4"/>
      <c r="C541" s="29" t="s">
        <v>31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0"/>
      <c r="T541" s="294"/>
      <c r="U541" s="29" t="s">
        <v>31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2"/>
      <c r="AL541" s="294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5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0"/>
      <c r="T542" s="295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2"/>
      <c r="AL542" s="295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93" t="s">
        <v>167</v>
      </c>
      <c r="C543" s="27" t="s">
        <v>27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0"/>
      <c r="T543" s="293" t="s">
        <v>167</v>
      </c>
      <c r="U543" s="27" t="s">
        <v>27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2"/>
      <c r="AL543" s="293" t="s">
        <v>167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4"/>
      <c r="C544" s="29" t="s">
        <v>28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0"/>
      <c r="T544" s="294"/>
      <c r="U544" s="29" t="s">
        <v>28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2"/>
      <c r="AL544" s="294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4"/>
      <c r="C545" s="29" t="s">
        <v>29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0"/>
      <c r="T545" s="294"/>
      <c r="U545" s="29" t="s">
        <v>29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2"/>
      <c r="AL545" s="294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4"/>
      <c r="C546" s="29" t="s">
        <v>31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0"/>
      <c r="T546" s="294"/>
      <c r="U546" s="29" t="s">
        <v>31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2"/>
      <c r="AL546" s="294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5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0"/>
      <c r="T547" s="295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2"/>
      <c r="AL547" s="295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93" t="s">
        <v>168</v>
      </c>
      <c r="C548" s="27" t="s">
        <v>27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0"/>
      <c r="T548" s="293" t="s">
        <v>168</v>
      </c>
      <c r="U548" s="27" t="s">
        <v>27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2"/>
      <c r="AL548" s="293" t="s">
        <v>168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4"/>
      <c r="C549" s="29" t="s">
        <v>28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0"/>
      <c r="T549" s="294"/>
      <c r="U549" s="29" t="s">
        <v>28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2"/>
      <c r="AL549" s="294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4"/>
      <c r="C550" s="29" t="s">
        <v>29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0"/>
      <c r="T550" s="294"/>
      <c r="U550" s="29" t="s">
        <v>29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2"/>
      <c r="AL550" s="294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4"/>
      <c r="C551" s="29" t="s">
        <v>31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0"/>
      <c r="T551" s="294"/>
      <c r="U551" s="29" t="s">
        <v>31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2"/>
      <c r="AL551" s="294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5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0"/>
      <c r="T552" s="295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2"/>
      <c r="AL552" s="295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93" t="s">
        <v>169</v>
      </c>
      <c r="C553" s="27" t="s">
        <v>27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0"/>
      <c r="T553" s="293" t="s">
        <v>169</v>
      </c>
      <c r="U553" s="27" t="s">
        <v>27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2"/>
      <c r="AL553" s="293" t="s">
        <v>169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4"/>
      <c r="C554" s="29" t="s">
        <v>28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0"/>
      <c r="T554" s="294"/>
      <c r="U554" s="29" t="s">
        <v>28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2"/>
      <c r="AL554" s="294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4"/>
      <c r="C555" s="29" t="s">
        <v>29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0"/>
      <c r="T555" s="294"/>
      <c r="U555" s="29" t="s">
        <v>29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2"/>
      <c r="AL555" s="294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4"/>
      <c r="C556" s="29" t="s">
        <v>31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0"/>
      <c r="T556" s="294"/>
      <c r="U556" s="29" t="s">
        <v>31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2"/>
      <c r="AL556" s="294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5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0"/>
      <c r="T557" s="295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2"/>
      <c r="AL557" s="295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93" t="s">
        <v>170</v>
      </c>
      <c r="C558" s="27" t="s">
        <v>27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0"/>
      <c r="T558" s="293" t="s">
        <v>170</v>
      </c>
      <c r="U558" s="27" t="s">
        <v>27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2"/>
      <c r="AL558" s="293" t="s">
        <v>170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4"/>
      <c r="C559" s="29" t="s">
        <v>28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0"/>
      <c r="T559" s="294"/>
      <c r="U559" s="29" t="s">
        <v>28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2"/>
      <c r="AL559" s="294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4"/>
      <c r="C560" s="29" t="s">
        <v>29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0"/>
      <c r="T560" s="294"/>
      <c r="U560" s="29" t="s">
        <v>29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2"/>
      <c r="AL560" s="294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4"/>
      <c r="C561" s="29" t="s">
        <v>31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0"/>
      <c r="T561" s="294"/>
      <c r="U561" s="29" t="s">
        <v>31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2"/>
      <c r="AL561" s="294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5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0"/>
      <c r="T562" s="295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2"/>
      <c r="AL562" s="295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93" t="s">
        <v>171</v>
      </c>
      <c r="C563" s="27" t="s">
        <v>27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0"/>
      <c r="T563" s="293" t="s">
        <v>171</v>
      </c>
      <c r="U563" s="27" t="s">
        <v>27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2"/>
      <c r="AL563" s="293" t="s">
        <v>171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4"/>
      <c r="C564" s="29" t="s">
        <v>28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0"/>
      <c r="T564" s="294"/>
      <c r="U564" s="29" t="s">
        <v>28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2"/>
      <c r="AL564" s="294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4"/>
      <c r="C565" s="29" t="s">
        <v>29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0"/>
      <c r="T565" s="294"/>
      <c r="U565" s="29" t="s">
        <v>29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2"/>
      <c r="AL565" s="294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4"/>
      <c r="C566" s="29" t="s">
        <v>31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0"/>
      <c r="T566" s="294"/>
      <c r="U566" s="29" t="s">
        <v>31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2"/>
      <c r="AL566" s="294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5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0"/>
      <c r="T567" s="295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2"/>
      <c r="AL567" s="295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93" t="s">
        <v>172</v>
      </c>
      <c r="C568" s="27" t="s">
        <v>27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0"/>
      <c r="T568" s="293" t="s">
        <v>172</v>
      </c>
      <c r="U568" s="27" t="s">
        <v>27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2"/>
      <c r="AL568" s="293" t="s">
        <v>172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4"/>
      <c r="C569" s="29" t="s">
        <v>28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0"/>
      <c r="T569" s="294"/>
      <c r="U569" s="29" t="s">
        <v>28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2"/>
      <c r="AL569" s="294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4"/>
      <c r="C570" s="29" t="s">
        <v>29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0"/>
      <c r="T570" s="294"/>
      <c r="U570" s="29" t="s">
        <v>29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2"/>
      <c r="AL570" s="294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4"/>
      <c r="C571" s="29" t="s">
        <v>31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0"/>
      <c r="T571" s="294"/>
      <c r="U571" s="29" t="s">
        <v>31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2"/>
      <c r="AL571" s="294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5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0"/>
      <c r="T572" s="295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2"/>
      <c r="AL572" s="295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93" t="s">
        <v>173</v>
      </c>
      <c r="C573" s="27" t="s">
        <v>27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0"/>
      <c r="T573" s="293" t="s">
        <v>173</v>
      </c>
      <c r="U573" s="27" t="s">
        <v>27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2"/>
      <c r="AL573" s="293" t="s">
        <v>173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4"/>
      <c r="C574" s="29" t="s">
        <v>28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0"/>
      <c r="T574" s="294"/>
      <c r="U574" s="29" t="s">
        <v>28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2"/>
      <c r="AL574" s="294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4"/>
      <c r="C575" s="29" t="s">
        <v>29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0"/>
      <c r="T575" s="294"/>
      <c r="U575" s="29" t="s">
        <v>29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2"/>
      <c r="AL575" s="294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4"/>
      <c r="C576" s="29" t="s">
        <v>31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0"/>
      <c r="T576" s="294"/>
      <c r="U576" s="29" t="s">
        <v>31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2"/>
      <c r="AL576" s="294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5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0"/>
      <c r="T577" s="295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2"/>
      <c r="AL577" s="295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93" t="s">
        <v>174</v>
      </c>
      <c r="C578" s="27" t="s">
        <v>27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0"/>
      <c r="T578" s="293" t="s">
        <v>174</v>
      </c>
      <c r="U578" s="27" t="s">
        <v>27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2"/>
      <c r="AL578" s="293" t="s">
        <v>174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4"/>
      <c r="C579" s="29" t="s">
        <v>28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0"/>
      <c r="T579" s="294"/>
      <c r="U579" s="29" t="s">
        <v>28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2"/>
      <c r="AL579" s="294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4"/>
      <c r="C580" s="29" t="s">
        <v>29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0"/>
      <c r="T580" s="294"/>
      <c r="U580" s="29" t="s">
        <v>29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2"/>
      <c r="AL580" s="294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4"/>
      <c r="C581" s="29" t="s">
        <v>31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0"/>
      <c r="T581" s="294"/>
      <c r="U581" s="29" t="s">
        <v>31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2"/>
      <c r="AL581" s="294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5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0"/>
      <c r="T582" s="295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2"/>
      <c r="AL582" s="295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93" t="s">
        <v>175</v>
      </c>
      <c r="C583" s="27" t="s">
        <v>27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0"/>
      <c r="T583" s="293" t="s">
        <v>175</v>
      </c>
      <c r="U583" s="27" t="s">
        <v>27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2"/>
      <c r="AL583" s="293" t="s">
        <v>175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4"/>
      <c r="C584" s="29" t="s">
        <v>28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0"/>
      <c r="T584" s="294"/>
      <c r="U584" s="29" t="s">
        <v>28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2"/>
      <c r="AL584" s="294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4"/>
      <c r="C585" s="29" t="s">
        <v>29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0"/>
      <c r="T585" s="294"/>
      <c r="U585" s="29" t="s">
        <v>29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2"/>
      <c r="AL585" s="294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4"/>
      <c r="C586" s="29" t="s">
        <v>31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0"/>
      <c r="T586" s="294"/>
      <c r="U586" s="29" t="s">
        <v>31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2"/>
      <c r="AL586" s="294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5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0"/>
      <c r="T587" s="295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2"/>
      <c r="AL587" s="295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93" t="s">
        <v>176</v>
      </c>
      <c r="C588" s="27" t="s">
        <v>27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0"/>
      <c r="T588" s="293" t="s">
        <v>176</v>
      </c>
      <c r="U588" s="27" t="s">
        <v>27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2"/>
      <c r="AL588" s="293" t="s">
        <v>176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4"/>
      <c r="C589" s="29" t="s">
        <v>28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0"/>
      <c r="T589" s="294"/>
      <c r="U589" s="29" t="s">
        <v>28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2"/>
      <c r="AL589" s="294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4"/>
      <c r="C590" s="29" t="s">
        <v>29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0"/>
      <c r="T590" s="294"/>
      <c r="U590" s="29" t="s">
        <v>29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2"/>
      <c r="AL590" s="294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4"/>
      <c r="C591" s="29" t="s">
        <v>31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0"/>
      <c r="T591" s="294"/>
      <c r="U591" s="29" t="s">
        <v>31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2"/>
      <c r="AL591" s="294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5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0"/>
      <c r="T592" s="295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2"/>
      <c r="AL592" s="295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93" t="s">
        <v>177</v>
      </c>
      <c r="C593" s="27" t="s">
        <v>27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0"/>
      <c r="T593" s="293" t="s">
        <v>177</v>
      </c>
      <c r="U593" s="27" t="s">
        <v>27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2"/>
      <c r="AL593" s="293" t="s">
        <v>177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4"/>
      <c r="C594" s="29" t="s">
        <v>28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0"/>
      <c r="T594" s="294"/>
      <c r="U594" s="29" t="s">
        <v>28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2"/>
      <c r="AL594" s="294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4"/>
      <c r="C595" s="29" t="s">
        <v>29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0"/>
      <c r="T595" s="294"/>
      <c r="U595" s="29" t="s">
        <v>29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2"/>
      <c r="AL595" s="294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4"/>
      <c r="C596" s="29" t="s">
        <v>31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0"/>
      <c r="T596" s="294"/>
      <c r="U596" s="29" t="s">
        <v>31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2"/>
      <c r="AL596" s="294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5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0"/>
      <c r="T597" s="295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2"/>
      <c r="AL597" s="295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93" t="s">
        <v>178</v>
      </c>
      <c r="C598" s="27" t="s">
        <v>27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0"/>
      <c r="T598" s="293" t="s">
        <v>178</v>
      </c>
      <c r="U598" s="27" t="s">
        <v>27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2"/>
      <c r="AL598" s="293" t="s">
        <v>178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4"/>
      <c r="C599" s="29" t="s">
        <v>28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0"/>
      <c r="T599" s="294"/>
      <c r="U599" s="29" t="s">
        <v>28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2"/>
      <c r="AL599" s="294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4"/>
      <c r="C600" s="29" t="s">
        <v>29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0"/>
      <c r="T600" s="294"/>
      <c r="U600" s="29" t="s">
        <v>29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2"/>
      <c r="AL600" s="294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4"/>
      <c r="C601" s="29" t="s">
        <v>31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0"/>
      <c r="T601" s="294"/>
      <c r="U601" s="29" t="s">
        <v>31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2"/>
      <c r="AL601" s="294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5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0"/>
      <c r="T602" s="295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2"/>
      <c r="AL602" s="295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93" t="s">
        <v>179</v>
      </c>
      <c r="C603" s="27" t="s">
        <v>27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0"/>
      <c r="T603" s="293" t="s">
        <v>179</v>
      </c>
      <c r="U603" s="27" t="s">
        <v>27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2"/>
      <c r="AL603" s="293" t="s">
        <v>179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4"/>
      <c r="C604" s="29" t="s">
        <v>28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0"/>
      <c r="T604" s="294"/>
      <c r="U604" s="29" t="s">
        <v>28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2"/>
      <c r="AL604" s="294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4"/>
      <c r="C605" s="29" t="s">
        <v>29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0"/>
      <c r="T605" s="294"/>
      <c r="U605" s="29" t="s">
        <v>29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2"/>
      <c r="AL605" s="294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4"/>
      <c r="C606" s="29" t="s">
        <v>31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0"/>
      <c r="T606" s="294"/>
      <c r="U606" s="29" t="s">
        <v>31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2"/>
      <c r="AL606" s="294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5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0"/>
      <c r="T607" s="295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2"/>
      <c r="AL607" s="295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93" t="s">
        <v>180</v>
      </c>
      <c r="C608" s="27" t="s">
        <v>27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0"/>
      <c r="T608" s="293" t="s">
        <v>180</v>
      </c>
      <c r="U608" s="27" t="s">
        <v>27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2"/>
      <c r="AL608" s="293" t="s">
        <v>180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4"/>
      <c r="C609" s="29" t="s">
        <v>28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0"/>
      <c r="T609" s="294"/>
      <c r="U609" s="29" t="s">
        <v>28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2"/>
      <c r="AL609" s="294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4"/>
      <c r="C610" s="29" t="s">
        <v>29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0"/>
      <c r="T610" s="294"/>
      <c r="U610" s="29" t="s">
        <v>29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2"/>
      <c r="AL610" s="294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4"/>
      <c r="C611" s="29" t="s">
        <v>31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0"/>
      <c r="T611" s="294"/>
      <c r="U611" s="29" t="s">
        <v>31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2"/>
      <c r="AL611" s="294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5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0"/>
      <c r="T612" s="295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2"/>
      <c r="AL612" s="295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93" t="s">
        <v>181</v>
      </c>
      <c r="C613" s="27" t="s">
        <v>27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0"/>
      <c r="T613" s="293" t="s">
        <v>181</v>
      </c>
      <c r="U613" s="27" t="s">
        <v>27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2"/>
      <c r="AL613" s="293" t="s">
        <v>181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4"/>
      <c r="C614" s="29" t="s">
        <v>28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0"/>
      <c r="T614" s="294"/>
      <c r="U614" s="29" t="s">
        <v>28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2"/>
      <c r="AL614" s="294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4"/>
      <c r="C615" s="29" t="s">
        <v>29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0"/>
      <c r="T615" s="294"/>
      <c r="U615" s="29" t="s">
        <v>29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2"/>
      <c r="AL615" s="294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4"/>
      <c r="C616" s="29" t="s">
        <v>31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0"/>
      <c r="T616" s="294"/>
      <c r="U616" s="29" t="s">
        <v>31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2"/>
      <c r="AL616" s="294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5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0"/>
      <c r="T617" s="295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2"/>
      <c r="AL617" s="295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93" t="s">
        <v>182</v>
      </c>
      <c r="C618" s="27" t="s">
        <v>27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0"/>
      <c r="T618" s="293" t="s">
        <v>182</v>
      </c>
      <c r="U618" s="27" t="s">
        <v>27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2"/>
      <c r="AL618" s="293" t="s">
        <v>182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4"/>
      <c r="C619" s="29" t="s">
        <v>28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0"/>
      <c r="T619" s="294"/>
      <c r="U619" s="29" t="s">
        <v>28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2"/>
      <c r="AL619" s="294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4"/>
      <c r="C620" s="29" t="s">
        <v>29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0"/>
      <c r="T620" s="294"/>
      <c r="U620" s="29" t="s">
        <v>29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2"/>
      <c r="AL620" s="294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4"/>
      <c r="C621" s="29" t="s">
        <v>31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0"/>
      <c r="T621" s="294"/>
      <c r="U621" s="29" t="s">
        <v>31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2"/>
      <c r="AL621" s="294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5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0"/>
      <c r="T622" s="295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2"/>
      <c r="AL622" s="295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93" t="s">
        <v>183</v>
      </c>
      <c r="C623" s="27" t="s">
        <v>27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0"/>
      <c r="T623" s="293" t="s">
        <v>183</v>
      </c>
      <c r="U623" s="27" t="s">
        <v>27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2"/>
      <c r="AL623" s="293" t="s">
        <v>183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4"/>
      <c r="C624" s="29" t="s">
        <v>28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0"/>
      <c r="T624" s="294"/>
      <c r="U624" s="29" t="s">
        <v>28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2"/>
      <c r="AL624" s="294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4"/>
      <c r="C625" s="29" t="s">
        <v>29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0"/>
      <c r="T625" s="294"/>
      <c r="U625" s="29" t="s">
        <v>29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2"/>
      <c r="AL625" s="294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4"/>
      <c r="C626" s="29" t="s">
        <v>31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0"/>
      <c r="T626" s="294"/>
      <c r="U626" s="29" t="s">
        <v>31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2"/>
      <c r="AL626" s="294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5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0"/>
      <c r="T627" s="295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2"/>
      <c r="AL627" s="295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93" t="s">
        <v>184</v>
      </c>
      <c r="C628" s="27" t="s">
        <v>27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0"/>
      <c r="T628" s="293" t="s">
        <v>184</v>
      </c>
      <c r="U628" s="27" t="s">
        <v>27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2"/>
      <c r="AL628" s="293" t="s">
        <v>184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4"/>
      <c r="C629" s="29" t="s">
        <v>28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0"/>
      <c r="T629" s="294"/>
      <c r="U629" s="29" t="s">
        <v>28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2"/>
      <c r="AL629" s="294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4"/>
      <c r="C630" s="29" t="s">
        <v>29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0"/>
      <c r="T630" s="294"/>
      <c r="U630" s="29" t="s">
        <v>29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2"/>
      <c r="AL630" s="294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4"/>
      <c r="C631" s="29" t="s">
        <v>31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0"/>
      <c r="T631" s="294"/>
      <c r="U631" s="29" t="s">
        <v>31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2"/>
      <c r="AL631" s="294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5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0"/>
      <c r="T632" s="295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2"/>
      <c r="AL632" s="295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93" t="s">
        <v>185</v>
      </c>
      <c r="C633" s="27" t="s">
        <v>27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0"/>
      <c r="T633" s="293" t="s">
        <v>185</v>
      </c>
      <c r="U633" s="27" t="s">
        <v>27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2"/>
      <c r="AL633" s="293" t="s">
        <v>185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4"/>
      <c r="C634" s="29" t="s">
        <v>28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0"/>
      <c r="T634" s="294"/>
      <c r="U634" s="29" t="s">
        <v>28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2"/>
      <c r="AL634" s="294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4"/>
      <c r="C635" s="29" t="s">
        <v>29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0"/>
      <c r="T635" s="294"/>
      <c r="U635" s="29" t="s">
        <v>29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2"/>
      <c r="AL635" s="294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4"/>
      <c r="C636" s="29" t="s">
        <v>31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0"/>
      <c r="T636" s="294"/>
      <c r="U636" s="29" t="s">
        <v>31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2"/>
      <c r="AL636" s="294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5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0"/>
      <c r="T637" s="295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2"/>
      <c r="AL637" s="295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0"/>
      <c r="C638" s="210"/>
      <c r="D638" s="210"/>
      <c r="E638" s="210"/>
      <c r="F638" s="210"/>
      <c r="G638" s="210"/>
      <c r="H638" s="210"/>
      <c r="I638" s="210"/>
      <c r="J638" s="210"/>
      <c r="K638" s="210"/>
      <c r="L638" s="210"/>
      <c r="M638" s="210"/>
      <c r="N638" s="210"/>
      <c r="O638" s="254"/>
      <c r="P638" s="210"/>
      <c r="Q638" s="210"/>
      <c r="R638" s="94"/>
      <c r="S638" s="210"/>
      <c r="T638" s="210"/>
      <c r="U638" s="210"/>
      <c r="V638" s="210"/>
      <c r="W638" s="210"/>
      <c r="X638" s="210"/>
      <c r="Y638" s="210"/>
      <c r="Z638" s="210"/>
      <c r="AA638" s="210"/>
      <c r="AB638" s="210"/>
      <c r="AC638" s="210"/>
      <c r="AD638" s="210"/>
      <c r="AE638" s="210"/>
      <c r="AF638" s="210"/>
      <c r="AG638" s="254"/>
      <c r="AH638" s="210"/>
      <c r="AI638" s="210"/>
      <c r="AJ638" s="94"/>
      <c r="AK638" s="212"/>
      <c r="AL638" s="212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5"/>
      <c r="D639" s="104"/>
      <c r="E639" s="265"/>
      <c r="F639" s="32" t="s">
        <v>44</v>
      </c>
      <c r="G639" s="216" t="s">
        <v>44</v>
      </c>
      <c r="H639" s="216" t="s">
        <v>44</v>
      </c>
      <c r="I639" s="216" t="s">
        <v>44</v>
      </c>
      <c r="J639" s="216" t="s">
        <v>44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5"/>
      <c r="V639" s="104"/>
      <c r="W639" s="265"/>
      <c r="X639" s="32" t="s">
        <v>44</v>
      </c>
      <c r="Y639" s="216" t="s">
        <v>44</v>
      </c>
      <c r="Z639" s="216" t="s">
        <v>44</v>
      </c>
      <c r="AA639" s="216" t="s">
        <v>44</v>
      </c>
      <c r="AB639" s="216" t="s">
        <v>44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2"/>
      <c r="F640" s="93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8"/>
      <c r="T640" s="143"/>
      <c r="U640" s="212"/>
      <c r="V640" s="8"/>
      <c r="W640" s="236"/>
      <c r="X640" s="93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93" t="s">
        <v>186</v>
      </c>
      <c r="C641" s="27" t="s">
        <v>27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27.832600800000002</v>
      </c>
      <c r="G641" s="138">
        <f t="shared" si="59"/>
        <v>31.434733433333331</v>
      </c>
      <c r="H641" s="138">
        <f t="shared" si="59"/>
        <v>0.95919423766666678</v>
      </c>
      <c r="I641" s="138">
        <f t="shared" si="59"/>
        <v>0.96632539633333325</v>
      </c>
      <c r="J641" s="138">
        <f t="shared" si="59"/>
        <v>5.6817543866666667E-2</v>
      </c>
      <c r="K641" s="112"/>
      <c r="L641" s="112"/>
      <c r="M641" s="112"/>
      <c r="N641" s="112"/>
      <c r="O641" s="267"/>
      <c r="P641" s="112"/>
      <c r="Q641" s="113"/>
      <c r="R641" s="114"/>
      <c r="T641" s="293" t="s">
        <v>186</v>
      </c>
      <c r="U641" s="27" t="s">
        <v>27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4"/>
      <c r="C642" s="29" t="s">
        <v>28</v>
      </c>
      <c r="D642" s="110"/>
      <c r="E642" s="268"/>
      <c r="F642" s="20">
        <f t="shared" si="59"/>
        <v>31.305804033333342</v>
      </c>
      <c r="G642" s="20">
        <f t="shared" si="59"/>
        <v>34.824723200000001</v>
      </c>
      <c r="H642" s="20">
        <f t="shared" si="59"/>
        <v>0.9768852143333332</v>
      </c>
      <c r="I642" s="20">
        <f t="shared" si="59"/>
        <v>0.98154048766666668</v>
      </c>
      <c r="J642" s="20">
        <f t="shared" si="59"/>
        <v>3.7988481999999997E-2</v>
      </c>
      <c r="K642" s="115"/>
      <c r="L642" s="115"/>
      <c r="M642" s="115"/>
      <c r="N642" s="115"/>
      <c r="O642" s="269"/>
      <c r="P642" s="115"/>
      <c r="Q642" s="116"/>
      <c r="R642" s="117"/>
      <c r="T642" s="294"/>
      <c r="U642" s="29" t="s">
        <v>28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4"/>
      <c r="C643" s="29" t="s">
        <v>29</v>
      </c>
      <c r="D643" s="110"/>
      <c r="E643" s="268"/>
      <c r="F643" s="20">
        <f t="shared" si="59"/>
        <v>34.841891433333338</v>
      </c>
      <c r="G643" s="20">
        <f t="shared" si="59"/>
        <v>38.957843199999999</v>
      </c>
      <c r="H643" s="20">
        <f t="shared" si="59"/>
        <v>0.98764118099999976</v>
      </c>
      <c r="I643" s="20">
        <f t="shared" si="59"/>
        <v>0.99097957533333347</v>
      </c>
      <c r="J643" s="20">
        <f t="shared" si="59"/>
        <v>2.2664373833333341E-2</v>
      </c>
      <c r="K643" s="115"/>
      <c r="L643" s="115"/>
      <c r="M643" s="115"/>
      <c r="N643" s="115"/>
      <c r="O643" s="269"/>
      <c r="P643" s="115"/>
      <c r="Q643" s="116"/>
      <c r="R643" s="117"/>
      <c r="T643" s="294"/>
      <c r="U643" s="29" t="s">
        <v>29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4"/>
      <c r="C644" s="29" t="s">
        <v>31</v>
      </c>
      <c r="D644" s="110"/>
      <c r="E644" s="268"/>
      <c r="F644" s="20">
        <f t="shared" si="59"/>
        <v>37.708839133333328</v>
      </c>
      <c r="G644" s="20">
        <f t="shared" si="59"/>
        <v>42.016809100000003</v>
      </c>
      <c r="H644" s="20">
        <f t="shared" si="59"/>
        <v>0.99319882766666678</v>
      </c>
      <c r="I644" s="20">
        <f t="shared" si="59"/>
        <v>0.99539359166666663</v>
      </c>
      <c r="J644" s="20">
        <f t="shared" si="59"/>
        <v>1.1842787166666671E-2</v>
      </c>
      <c r="K644" s="115"/>
      <c r="L644" s="115"/>
      <c r="M644" s="115"/>
      <c r="N644" s="115"/>
      <c r="O644" s="269"/>
      <c r="P644" s="115"/>
      <c r="Q644" s="116"/>
      <c r="R644" s="117"/>
      <c r="T644" s="294"/>
      <c r="U644" s="29" t="s">
        <v>31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5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5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305" t="s">
        <v>187</v>
      </c>
      <c r="C646" s="27" t="s">
        <v>27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32.300728800000009</v>
      </c>
      <c r="G646" s="138">
        <f t="shared" si="61"/>
        <v>36.212721066666667</v>
      </c>
      <c r="H646" s="138">
        <f t="shared" si="61"/>
        <v>0.97185277966666661</v>
      </c>
      <c r="I646" s="138">
        <f t="shared" si="61"/>
        <v>0.98029283099999998</v>
      </c>
      <c r="J646" s="138">
        <f t="shared" si="61"/>
        <v>7.8006558466666653E-2</v>
      </c>
      <c r="K646" s="112"/>
      <c r="L646" s="112"/>
      <c r="M646" s="112"/>
      <c r="N646" s="112"/>
      <c r="O646" s="267"/>
      <c r="P646" s="112"/>
      <c r="Q646" s="113"/>
      <c r="R646" s="114"/>
      <c r="T646" s="305" t="s">
        <v>187</v>
      </c>
      <c r="U646" s="27" t="s">
        <v>27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4"/>
      <c r="C647" s="29" t="s">
        <v>28</v>
      </c>
      <c r="D647" s="110"/>
      <c r="E647" s="268"/>
      <c r="F647" s="20">
        <f t="shared" si="61"/>
        <v>34.508987433333353</v>
      </c>
      <c r="G647" s="20">
        <f t="shared" si="61"/>
        <v>38.149900733333332</v>
      </c>
      <c r="H647" s="20">
        <f t="shared" si="61"/>
        <v>0.98152842400000029</v>
      </c>
      <c r="I647" s="20">
        <f t="shared" si="61"/>
        <v>0.98729468600000014</v>
      </c>
      <c r="J647" s="20">
        <f t="shared" si="61"/>
        <v>5.302909963333334E-2</v>
      </c>
      <c r="K647" s="115"/>
      <c r="L647" s="115"/>
      <c r="M647" s="115"/>
      <c r="N647" s="115"/>
      <c r="O647" s="269"/>
      <c r="P647" s="115"/>
      <c r="Q647" s="116"/>
      <c r="R647" s="117"/>
      <c r="T647" s="294"/>
      <c r="U647" s="29" t="s">
        <v>28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4"/>
      <c r="C648" s="29" t="s">
        <v>29</v>
      </c>
      <c r="D648" s="110"/>
      <c r="E648" s="268"/>
      <c r="F648" s="20">
        <f t="shared" si="61"/>
        <v>38.11909146666666</v>
      </c>
      <c r="G648" s="20">
        <f t="shared" si="61"/>
        <v>41.610233466666678</v>
      </c>
      <c r="H648" s="20">
        <f t="shared" si="61"/>
        <v>0.98976646233333332</v>
      </c>
      <c r="I648" s="20">
        <f t="shared" si="61"/>
        <v>0.99332201366666673</v>
      </c>
      <c r="J648" s="20">
        <f t="shared" si="61"/>
        <v>3.0416726333333342E-2</v>
      </c>
      <c r="K648" s="115"/>
      <c r="L648" s="115"/>
      <c r="M648" s="115"/>
      <c r="N648" s="115"/>
      <c r="O648" s="269"/>
      <c r="P648" s="115"/>
      <c r="Q648" s="116"/>
      <c r="R648" s="117"/>
      <c r="T648" s="294"/>
      <c r="U648" s="29" t="s">
        <v>29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4"/>
      <c r="C649" s="29" t="s">
        <v>31</v>
      </c>
      <c r="D649" s="110"/>
      <c r="E649" s="268"/>
      <c r="F649" s="20">
        <f t="shared" si="61"/>
        <v>41.847989133333343</v>
      </c>
      <c r="G649" s="20">
        <f t="shared" si="61"/>
        <v>45.396624133333333</v>
      </c>
      <c r="H649" s="20">
        <f t="shared" si="61"/>
        <v>0.9939184923333334</v>
      </c>
      <c r="I649" s="20">
        <f t="shared" si="61"/>
        <v>0.99644811566666658</v>
      </c>
      <c r="J649" s="20">
        <f t="shared" si="61"/>
        <v>1.7418145566666671E-2</v>
      </c>
      <c r="K649" s="115"/>
      <c r="L649" s="115"/>
      <c r="M649" s="115"/>
      <c r="N649" s="115"/>
      <c r="O649" s="269"/>
      <c r="P649" s="115"/>
      <c r="Q649" s="116"/>
      <c r="R649" s="117"/>
      <c r="T649" s="294"/>
      <c r="U649" s="29" t="s">
        <v>31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5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5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3" t="s">
        <v>188</v>
      </c>
      <c r="C651" s="27" t="s">
        <v>27</v>
      </c>
      <c r="D651" s="109"/>
      <c r="E651" s="266"/>
      <c r="F651" s="138">
        <f t="shared" ref="F651:J654" si="63">F646-F641</f>
        <v>4.4681280000000072</v>
      </c>
      <c r="G651" s="138">
        <f t="shared" si="63"/>
        <v>4.7779876333333355</v>
      </c>
      <c r="H651" s="138">
        <f t="shared" si="63"/>
        <v>1.2658541999999828E-2</v>
      </c>
      <c r="I651" s="138">
        <f t="shared" si="63"/>
        <v>1.3967434666666723E-2</v>
      </c>
      <c r="J651" s="138">
        <f t="shared" si="63"/>
        <v>2.1189014599999986E-2</v>
      </c>
      <c r="K651" s="112"/>
      <c r="L651" s="112"/>
      <c r="M651" s="112"/>
      <c r="N651" s="112"/>
      <c r="O651" s="267"/>
      <c r="P651" s="112"/>
      <c r="Q651" s="113"/>
      <c r="R651" s="114"/>
      <c r="T651" s="303" t="s">
        <v>188</v>
      </c>
      <c r="U651" s="27" t="s">
        <v>27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4"/>
      <c r="C652" s="29" t="s">
        <v>28</v>
      </c>
      <c r="D652" s="110"/>
      <c r="E652" s="268"/>
      <c r="F652" s="20">
        <f t="shared" si="63"/>
        <v>3.203183400000011</v>
      </c>
      <c r="G652" s="20">
        <f t="shared" si="63"/>
        <v>3.3251775333333313</v>
      </c>
      <c r="H652" s="20">
        <f t="shared" si="63"/>
        <v>4.6432096666670919E-3</v>
      </c>
      <c r="I652" s="20">
        <f t="shared" si="63"/>
        <v>5.7541983333334601E-3</v>
      </c>
      <c r="J652" s="20">
        <f t="shared" si="63"/>
        <v>1.5040617633333343E-2</v>
      </c>
      <c r="K652" s="115"/>
      <c r="L652" s="115"/>
      <c r="M652" s="115"/>
      <c r="N652" s="115"/>
      <c r="O652" s="269"/>
      <c r="P652" s="115"/>
      <c r="Q652" s="116"/>
      <c r="R652" s="117"/>
      <c r="T652" s="294"/>
      <c r="U652" s="29" t="s">
        <v>28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4"/>
      <c r="C653" s="29" t="s">
        <v>29</v>
      </c>
      <c r="D653" s="110"/>
      <c r="E653" s="268"/>
      <c r="F653" s="20">
        <f t="shared" si="63"/>
        <v>3.2772000333333224</v>
      </c>
      <c r="G653" s="20">
        <f t="shared" si="63"/>
        <v>2.6523902666666785</v>
      </c>
      <c r="H653" s="20">
        <f t="shared" si="63"/>
        <v>2.1252813333335618E-3</v>
      </c>
      <c r="I653" s="20">
        <f t="shared" si="63"/>
        <v>2.3424383333332521E-3</v>
      </c>
      <c r="J653" s="20">
        <f t="shared" si="63"/>
        <v>7.7523525000000003E-3</v>
      </c>
      <c r="K653" s="115"/>
      <c r="L653" s="115"/>
      <c r="M653" s="115"/>
      <c r="N653" s="115"/>
      <c r="O653" s="269"/>
      <c r="P653" s="115"/>
      <c r="Q653" s="116"/>
      <c r="R653" s="117"/>
      <c r="T653" s="294"/>
      <c r="U653" s="29" t="s">
        <v>29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4"/>
      <c r="C654" s="29" t="s">
        <v>31</v>
      </c>
      <c r="D654" s="110"/>
      <c r="E654" s="268"/>
      <c r="F654" s="20">
        <f t="shared" si="63"/>
        <v>4.139150000000015</v>
      </c>
      <c r="G654" s="20">
        <f t="shared" si="63"/>
        <v>3.3798150333333297</v>
      </c>
      <c r="H654" s="20">
        <f t="shared" si="63"/>
        <v>7.1966466666661955E-4</v>
      </c>
      <c r="I654" s="20">
        <f t="shared" si="63"/>
        <v>1.0545239999999456E-3</v>
      </c>
      <c r="J654" s="20">
        <f t="shared" si="63"/>
        <v>5.5753584000000009E-3</v>
      </c>
      <c r="K654" s="115"/>
      <c r="L654" s="115"/>
      <c r="M654" s="115"/>
      <c r="N654" s="115"/>
      <c r="O654" s="269"/>
      <c r="P654" s="115"/>
      <c r="Q654" s="116"/>
      <c r="R654" s="117"/>
      <c r="T654" s="294"/>
      <c r="U654" s="29" t="s">
        <v>31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5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5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301"/>
      <c r="C675" s="210"/>
      <c r="D675" s="210"/>
      <c r="E675" s="93"/>
      <c r="F675" s="160"/>
      <c r="G675" s="160"/>
      <c r="H675" s="160"/>
      <c r="I675" s="93"/>
      <c r="J675" s="93"/>
    </row>
    <row r="676" spans="2:10" x14ac:dyDescent="0.15">
      <c r="B676" s="290"/>
      <c r="C676" s="210"/>
      <c r="D676" s="210"/>
      <c r="E676" s="93"/>
      <c r="F676" s="160"/>
      <c r="G676" s="160"/>
      <c r="H676" s="160"/>
      <c r="I676" s="93"/>
      <c r="J676" s="93"/>
    </row>
    <row r="677" spans="2:10" x14ac:dyDescent="0.15">
      <c r="B677" s="290"/>
      <c r="C677" s="210"/>
      <c r="D677" s="210"/>
      <c r="E677" s="93"/>
      <c r="F677" s="160"/>
      <c r="G677" s="160"/>
      <c r="H677" s="160"/>
      <c r="I677" s="93"/>
      <c r="J677" s="93"/>
    </row>
    <row r="678" spans="2:10" x14ac:dyDescent="0.15">
      <c r="B678" s="290"/>
      <c r="C678" s="210"/>
      <c r="D678" s="210"/>
      <c r="E678" s="93"/>
      <c r="F678" s="160"/>
      <c r="G678" s="160"/>
      <c r="H678" s="160"/>
      <c r="I678" s="93"/>
      <c r="J678" s="93"/>
    </row>
    <row r="679" spans="2:10" x14ac:dyDescent="0.15">
      <c r="B679" s="290"/>
      <c r="C679" s="210"/>
      <c r="D679" s="210"/>
      <c r="E679" s="93"/>
      <c r="F679" s="160"/>
      <c r="G679" s="160"/>
      <c r="H679" s="160"/>
      <c r="I679" s="93"/>
      <c r="J679" s="93"/>
    </row>
    <row r="680" spans="2:10" x14ac:dyDescent="0.15">
      <c r="B680" s="301"/>
      <c r="C680" s="210"/>
      <c r="D680" s="210"/>
      <c r="E680" s="93"/>
      <c r="F680" s="160"/>
      <c r="G680" s="160"/>
      <c r="H680" s="160"/>
      <c r="I680" s="160"/>
      <c r="J680" s="160"/>
    </row>
    <row r="681" spans="2:10" x14ac:dyDescent="0.15">
      <c r="B681" s="290"/>
      <c r="C681" s="210"/>
      <c r="D681" s="210"/>
      <c r="E681" s="93"/>
      <c r="F681" s="160"/>
      <c r="G681" s="160"/>
      <c r="H681" s="160"/>
      <c r="I681" s="160"/>
      <c r="J681" s="160"/>
    </row>
    <row r="682" spans="2:10" x14ac:dyDescent="0.15">
      <c r="B682" s="290"/>
      <c r="C682" s="210"/>
      <c r="D682" s="210"/>
      <c r="E682" s="93"/>
      <c r="F682" s="160"/>
      <c r="G682" s="160"/>
      <c r="H682" s="160"/>
      <c r="I682" s="160"/>
      <c r="J682" s="160"/>
    </row>
    <row r="683" spans="2:10" x14ac:dyDescent="0.15">
      <c r="B683" s="290"/>
      <c r="C683" s="210"/>
      <c r="D683" s="210"/>
      <c r="E683" s="93"/>
      <c r="F683" s="160"/>
      <c r="G683" s="160"/>
      <c r="H683" s="160"/>
      <c r="I683" s="160"/>
      <c r="J683" s="160"/>
    </row>
    <row r="684" spans="2:10" x14ac:dyDescent="0.15">
      <c r="B684" s="290"/>
      <c r="C684" s="210"/>
      <c r="D684" s="210"/>
      <c r="E684" s="93"/>
      <c r="F684" s="160"/>
      <c r="G684" s="160"/>
      <c r="H684" s="160"/>
      <c r="I684" s="160"/>
      <c r="J684" s="160"/>
    </row>
    <row r="685" spans="2:10" x14ac:dyDescent="0.15">
      <c r="B685" s="301"/>
      <c r="C685" s="210"/>
      <c r="D685" s="210"/>
      <c r="E685" s="93"/>
      <c r="F685" s="160"/>
      <c r="G685" s="160"/>
      <c r="H685" s="160"/>
      <c r="I685" s="160"/>
      <c r="J685" s="160"/>
    </row>
    <row r="686" spans="2:10" x14ac:dyDescent="0.15">
      <c r="B686" s="290"/>
      <c r="C686" s="210"/>
      <c r="D686" s="210"/>
      <c r="E686" s="93"/>
      <c r="F686" s="160"/>
      <c r="G686" s="160"/>
      <c r="H686" s="160"/>
      <c r="I686" s="160"/>
      <c r="J686" s="160"/>
    </row>
    <row r="687" spans="2:10" x14ac:dyDescent="0.15">
      <c r="B687" s="290"/>
      <c r="C687" s="210"/>
      <c r="D687" s="210"/>
      <c r="E687" s="93"/>
      <c r="F687" s="160"/>
      <c r="G687" s="160"/>
      <c r="H687" s="160"/>
      <c r="I687" s="160"/>
      <c r="J687" s="160"/>
    </row>
    <row r="688" spans="2:10" x14ac:dyDescent="0.15">
      <c r="B688" s="290"/>
      <c r="C688" s="210"/>
      <c r="D688" s="210"/>
      <c r="E688" s="93"/>
      <c r="F688" s="160"/>
      <c r="G688" s="160"/>
      <c r="H688" s="160"/>
      <c r="I688" s="160"/>
      <c r="J688" s="160"/>
    </row>
    <row r="689" spans="2:10" x14ac:dyDescent="0.15">
      <c r="B689" s="290"/>
      <c r="C689" s="210"/>
      <c r="D689" s="210"/>
      <c r="E689" s="93"/>
      <c r="F689" s="160"/>
      <c r="G689" s="160"/>
      <c r="H689" s="160"/>
      <c r="I689" s="160"/>
      <c r="J689" s="160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 (auto)</vt:lpstr>
      <vt:lpstr>RGB-PSNR</vt:lpstr>
      <vt:lpstr>YUV-PSNR</vt:lpstr>
      <vt:lpstr>YUV-SSIM</vt:lpstr>
      <vt:lpstr>YUV-IVSSIM</vt:lpstr>
      <vt:lpstr>LPIPS</vt:lpstr>
      <vt:lpstr>breakfast_track</vt:lpstr>
      <vt:lpstr>breakfast_semitrack</vt:lpstr>
      <vt:lpstr>cinema_track</vt:lpstr>
      <vt:lpstr>cinema_semitrack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2025-05-18T08:59:14Z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