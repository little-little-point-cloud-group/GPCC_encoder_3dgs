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ctc\"/>
    </mc:Choice>
  </mc:AlternateContent>
  <xr:revisionPtr revIDLastSave="0" documentId="13_ncr:1_{6CC2AE16-FE19-4A09-A7F2-552762A12B1B}" xr6:coauthVersionLast="47" xr6:coauthVersionMax="47" xr10:uidLastSave="{00000000-0000-0000-0000-000000000000}"/>
  <bookViews>
    <workbookView xWindow="-108" yWindow="-108" windowWidth="30936" windowHeight="16776" firstSheet="1" activeTab="8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10" l="1"/>
  <c r="W7" i="10"/>
  <c r="W6" i="10"/>
  <c r="W5" i="10"/>
  <c r="W8" i="9"/>
  <c r="W7" i="9"/>
  <c r="W6" i="9"/>
  <c r="W5" i="9"/>
  <c r="W8" i="7"/>
  <c r="W7" i="7"/>
  <c r="W6" i="7"/>
  <c r="W5" i="7"/>
  <c r="W8" i="8"/>
  <c r="W7" i="8"/>
  <c r="W6" i="8"/>
  <c r="W5" i="8"/>
  <c r="AB649" i="10"/>
  <c r="AB654" i="10" s="1"/>
  <c r="AA649" i="10"/>
  <c r="AA654" i="10" s="1"/>
  <c r="Z649" i="10"/>
  <c r="Z654" i="10" s="1"/>
  <c r="Y649" i="10"/>
  <c r="Y654" i="10" s="1"/>
  <c r="X649" i="10"/>
  <c r="X654" i="10" s="1"/>
  <c r="J649" i="10"/>
  <c r="J654" i="10" s="1"/>
  <c r="I649" i="10"/>
  <c r="I654" i="10" s="1"/>
  <c r="H649" i="10"/>
  <c r="H654" i="10" s="1"/>
  <c r="G649" i="10"/>
  <c r="G654" i="10" s="1"/>
  <c r="F649" i="10"/>
  <c r="F654" i="10" s="1"/>
  <c r="AB648" i="10"/>
  <c r="AB653" i="10" s="1"/>
  <c r="AA648" i="10"/>
  <c r="AA653" i="10" s="1"/>
  <c r="Z648" i="10"/>
  <c r="Z653" i="10" s="1"/>
  <c r="Y648" i="10"/>
  <c r="Y653" i="10" s="1"/>
  <c r="X648" i="10"/>
  <c r="X653" i="10" s="1"/>
  <c r="J648" i="10"/>
  <c r="J653" i="10" s="1"/>
  <c r="I648" i="10"/>
  <c r="I653" i="10" s="1"/>
  <c r="H648" i="10"/>
  <c r="H653" i="10" s="1"/>
  <c r="G648" i="10"/>
  <c r="G653" i="10" s="1"/>
  <c r="F648" i="10"/>
  <c r="F653" i="10" s="1"/>
  <c r="AB647" i="10"/>
  <c r="AB652" i="10" s="1"/>
  <c r="AA647" i="10"/>
  <c r="AA652" i="10" s="1"/>
  <c r="Z647" i="10"/>
  <c r="Z652" i="10" s="1"/>
  <c r="Y647" i="10"/>
  <c r="Y652" i="10" s="1"/>
  <c r="X647" i="10"/>
  <c r="X652" i="10" s="1"/>
  <c r="J647" i="10"/>
  <c r="J652" i="10" s="1"/>
  <c r="I647" i="10"/>
  <c r="I652" i="10" s="1"/>
  <c r="H647" i="10"/>
  <c r="H652" i="10" s="1"/>
  <c r="G647" i="10"/>
  <c r="G652" i="10" s="1"/>
  <c r="F647" i="10"/>
  <c r="F652" i="10" s="1"/>
  <c r="AB646" i="10"/>
  <c r="AB651" i="10" s="1"/>
  <c r="AA646" i="10"/>
  <c r="AA651" i="10" s="1"/>
  <c r="Z646" i="10"/>
  <c r="Z651" i="10" s="1"/>
  <c r="Y646" i="10"/>
  <c r="Y651" i="10" s="1"/>
  <c r="X646" i="10"/>
  <c r="X651" i="10" s="1"/>
  <c r="J646" i="10"/>
  <c r="J651" i="10" s="1"/>
  <c r="I646" i="10"/>
  <c r="I651" i="10" s="1"/>
  <c r="H646" i="10"/>
  <c r="H651" i="10" s="1"/>
  <c r="G646" i="10"/>
  <c r="G651" i="10" s="1"/>
  <c r="F646" i="10"/>
  <c r="F651" i="10" s="1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E8" i="10" s="1"/>
  <c r="W25" i="10"/>
  <c r="E25" i="10"/>
  <c r="E7" i="10" s="1"/>
  <c r="W24" i="10"/>
  <c r="E24" i="10"/>
  <c r="W23" i="10"/>
  <c r="E23" i="10"/>
  <c r="U13" i="10"/>
  <c r="C13" i="10"/>
  <c r="AJ10" i="10"/>
  <c r="R10" i="10"/>
  <c r="AJ8" i="10"/>
  <c r="AI8" i="10"/>
  <c r="AH8" i="10"/>
  <c r="AB8" i="10"/>
  <c r="AA8" i="10"/>
  <c r="Z8" i="10"/>
  <c r="Y8" i="10"/>
  <c r="X8" i="10"/>
  <c r="R8" i="10"/>
  <c r="Q8" i="10"/>
  <c r="P8" i="10"/>
  <c r="P10" i="10" s="1"/>
  <c r="J8" i="10"/>
  <c r="I8" i="10"/>
  <c r="H8" i="10"/>
  <c r="G8" i="10"/>
  <c r="F8" i="10"/>
  <c r="AJ7" i="10"/>
  <c r="AI7" i="10"/>
  <c r="AH7" i="10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AJ6" i="10"/>
  <c r="AI6" i="10"/>
  <c r="AI10" i="10" s="1"/>
  <c r="AH6" i="10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E6" i="10"/>
  <c r="AJ5" i="10"/>
  <c r="AI5" i="10"/>
  <c r="AH5" i="10"/>
  <c r="AH10" i="10" s="1"/>
  <c r="AB5" i="10"/>
  <c r="AA5" i="10"/>
  <c r="Z5" i="10"/>
  <c r="Y5" i="10"/>
  <c r="X5" i="10"/>
  <c r="R5" i="10"/>
  <c r="Q5" i="10"/>
  <c r="Q10" i="10" s="1"/>
  <c r="P5" i="10"/>
  <c r="J5" i="10"/>
  <c r="I5" i="10"/>
  <c r="H5" i="10"/>
  <c r="G5" i="10"/>
  <c r="F5" i="10"/>
  <c r="E5" i="10"/>
  <c r="AL2" i="10"/>
  <c r="U2" i="10"/>
  <c r="T2" i="10"/>
  <c r="C2" i="10"/>
  <c r="J654" i="9"/>
  <c r="F654" i="9"/>
  <c r="Y653" i="9"/>
  <c r="X653" i="9"/>
  <c r="Y652" i="9"/>
  <c r="X652" i="9"/>
  <c r="J652" i="9"/>
  <c r="I652" i="9"/>
  <c r="H652" i="9"/>
  <c r="Y651" i="9"/>
  <c r="H651" i="9"/>
  <c r="AB649" i="9"/>
  <c r="AA649" i="9"/>
  <c r="AA654" i="9" s="1"/>
  <c r="Z649" i="9"/>
  <c r="Z654" i="9" s="1"/>
  <c r="Y649" i="9"/>
  <c r="X649" i="9"/>
  <c r="J649" i="9"/>
  <c r="I649" i="9"/>
  <c r="I654" i="9" s="1"/>
  <c r="H649" i="9"/>
  <c r="H654" i="9" s="1"/>
  <c r="G649" i="9"/>
  <c r="F649" i="9"/>
  <c r="AB648" i="9"/>
  <c r="AA648" i="9"/>
  <c r="AA653" i="9" s="1"/>
  <c r="Z648" i="9"/>
  <c r="Z653" i="9" s="1"/>
  <c r="Y648" i="9"/>
  <c r="X648" i="9"/>
  <c r="J648" i="9"/>
  <c r="J653" i="9" s="1"/>
  <c r="I648" i="9"/>
  <c r="I653" i="9" s="1"/>
  <c r="H648" i="9"/>
  <c r="G648" i="9"/>
  <c r="G653" i="9" s="1"/>
  <c r="F648" i="9"/>
  <c r="F653" i="9" s="1"/>
  <c r="AB647" i="9"/>
  <c r="AB652" i="9" s="1"/>
  <c r="AA647" i="9"/>
  <c r="AA652" i="9" s="1"/>
  <c r="Z647" i="9"/>
  <c r="Z652" i="9" s="1"/>
  <c r="Y647" i="9"/>
  <c r="X647" i="9"/>
  <c r="J647" i="9"/>
  <c r="I647" i="9"/>
  <c r="H647" i="9"/>
  <c r="G647" i="9"/>
  <c r="F647" i="9"/>
  <c r="F652" i="9" s="1"/>
  <c r="AB646" i="9"/>
  <c r="AB651" i="9" s="1"/>
  <c r="AA646" i="9"/>
  <c r="Z646" i="9"/>
  <c r="Y646" i="9"/>
  <c r="X646" i="9"/>
  <c r="X651" i="9" s="1"/>
  <c r="J646" i="9"/>
  <c r="J651" i="9" s="1"/>
  <c r="I646" i="9"/>
  <c r="H646" i="9"/>
  <c r="G646" i="9"/>
  <c r="F646" i="9"/>
  <c r="F651" i="9" s="1"/>
  <c r="AB644" i="9"/>
  <c r="AB654" i="9" s="1"/>
  <c r="AA644" i="9"/>
  <c r="Z644" i="9"/>
  <c r="Y644" i="9"/>
  <c r="Y654" i="9" s="1"/>
  <c r="X644" i="9"/>
  <c r="X654" i="9" s="1"/>
  <c r="J644" i="9"/>
  <c r="I644" i="9"/>
  <c r="H644" i="9"/>
  <c r="G644" i="9"/>
  <c r="G654" i="9" s="1"/>
  <c r="F644" i="9"/>
  <c r="AB643" i="9"/>
  <c r="AB653" i="9" s="1"/>
  <c r="AA643" i="9"/>
  <c r="Z643" i="9"/>
  <c r="Y643" i="9"/>
  <c r="X643" i="9"/>
  <c r="J643" i="9"/>
  <c r="I643" i="9"/>
  <c r="H643" i="9"/>
  <c r="H653" i="9" s="1"/>
  <c r="G643" i="9"/>
  <c r="F643" i="9"/>
  <c r="AB642" i="9"/>
  <c r="AA642" i="9"/>
  <c r="Z642" i="9"/>
  <c r="Y642" i="9"/>
  <c r="X642" i="9"/>
  <c r="J642" i="9"/>
  <c r="I642" i="9"/>
  <c r="H642" i="9"/>
  <c r="G642" i="9"/>
  <c r="G652" i="9" s="1"/>
  <c r="F642" i="9"/>
  <c r="AB641" i="9"/>
  <c r="AA641" i="9"/>
  <c r="AA651" i="9" s="1"/>
  <c r="Z641" i="9"/>
  <c r="Z651" i="9" s="1"/>
  <c r="Y641" i="9"/>
  <c r="X641" i="9"/>
  <c r="J641" i="9"/>
  <c r="I641" i="9"/>
  <c r="I651" i="9" s="1"/>
  <c r="H641" i="9"/>
  <c r="G641" i="9"/>
  <c r="G651" i="9" s="1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W25" i="9"/>
  <c r="E25" i="9"/>
  <c r="E7" i="9" s="1"/>
  <c r="W24" i="9"/>
  <c r="E24" i="9"/>
  <c r="W23" i="9"/>
  <c r="E23" i="9"/>
  <c r="U13" i="9"/>
  <c r="C13" i="9"/>
  <c r="AJ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Q10" i="9" s="1"/>
  <c r="P6" i="9"/>
  <c r="J6" i="9"/>
  <c r="I6" i="9"/>
  <c r="H6" i="9"/>
  <c r="G6" i="9"/>
  <c r="F6" i="9"/>
  <c r="E6" i="9"/>
  <c r="AJ5" i="9"/>
  <c r="AI5" i="9"/>
  <c r="AI10" i="9" s="1"/>
  <c r="AH5" i="9"/>
  <c r="AH10" i="9" s="1"/>
  <c r="AB5" i="9"/>
  <c r="AA5" i="9"/>
  <c r="Z5" i="9"/>
  <c r="Y5" i="9"/>
  <c r="X5" i="9"/>
  <c r="R5" i="9"/>
  <c r="R10" i="9" s="1"/>
  <c r="Q5" i="9"/>
  <c r="P5" i="9"/>
  <c r="P10" i="9" s="1"/>
  <c r="J5" i="9"/>
  <c r="I5" i="9"/>
  <c r="H5" i="9"/>
  <c r="G5" i="9"/>
  <c r="F5" i="9"/>
  <c r="E5" i="9"/>
  <c r="AL2" i="9"/>
  <c r="U2" i="9"/>
  <c r="T2" i="9"/>
  <c r="C2" i="9"/>
  <c r="H654" i="8"/>
  <c r="G654" i="8"/>
  <c r="Y653" i="8"/>
  <c r="X653" i="8"/>
  <c r="H653" i="8"/>
  <c r="G653" i="8"/>
  <c r="F653" i="8"/>
  <c r="AB652" i="8"/>
  <c r="AA652" i="8"/>
  <c r="X652" i="8"/>
  <c r="J651" i="8"/>
  <c r="I651" i="8"/>
  <c r="AB649" i="8"/>
  <c r="AB654" i="8" s="1"/>
  <c r="AA649" i="8"/>
  <c r="AA654" i="8" s="1"/>
  <c r="Z649" i="8"/>
  <c r="Z654" i="8" s="1"/>
  <c r="Y649" i="8"/>
  <c r="X649" i="8"/>
  <c r="J649" i="8"/>
  <c r="J654" i="8" s="1"/>
  <c r="I649" i="8"/>
  <c r="I654" i="8" s="1"/>
  <c r="H649" i="8"/>
  <c r="G649" i="8"/>
  <c r="F649" i="8"/>
  <c r="F654" i="8" s="1"/>
  <c r="AB648" i="8"/>
  <c r="AB653" i="8" s="1"/>
  <c r="AA648" i="8"/>
  <c r="Z648" i="8"/>
  <c r="Z653" i="8" s="1"/>
  <c r="Y648" i="8"/>
  <c r="X648" i="8"/>
  <c r="J648" i="8"/>
  <c r="J653" i="8" s="1"/>
  <c r="I648" i="8"/>
  <c r="I653" i="8" s="1"/>
  <c r="H648" i="8"/>
  <c r="G648" i="8"/>
  <c r="F648" i="8"/>
  <c r="AB647" i="8"/>
  <c r="AA647" i="8"/>
  <c r="Z647" i="8"/>
  <c r="Y647" i="8"/>
  <c r="Y652" i="8" s="1"/>
  <c r="X647" i="8"/>
  <c r="J647" i="8"/>
  <c r="I647" i="8"/>
  <c r="H647" i="8"/>
  <c r="G647" i="8"/>
  <c r="G652" i="8" s="1"/>
  <c r="F647" i="8"/>
  <c r="F652" i="8" s="1"/>
  <c r="AB646" i="8"/>
  <c r="AB651" i="8" s="1"/>
  <c r="AA646" i="8"/>
  <c r="Z646" i="8"/>
  <c r="Y646" i="8"/>
  <c r="Y651" i="8" s="1"/>
  <c r="X646" i="8"/>
  <c r="X651" i="8" s="1"/>
  <c r="J646" i="8"/>
  <c r="I646" i="8"/>
  <c r="H646" i="8"/>
  <c r="H651" i="8" s="1"/>
  <c r="G646" i="8"/>
  <c r="G651" i="8" s="1"/>
  <c r="F646" i="8"/>
  <c r="AB644" i="8"/>
  <c r="AA644" i="8"/>
  <c r="Z644" i="8"/>
  <c r="Y644" i="8"/>
  <c r="Y654" i="8" s="1"/>
  <c r="X644" i="8"/>
  <c r="X654" i="8" s="1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Z642" i="8"/>
  <c r="Z652" i="8" s="1"/>
  <c r="Y642" i="8"/>
  <c r="X642" i="8"/>
  <c r="J642" i="8"/>
  <c r="J652" i="8" s="1"/>
  <c r="I642" i="8"/>
  <c r="I652" i="8" s="1"/>
  <c r="H642" i="8"/>
  <c r="H652" i="8" s="1"/>
  <c r="G642" i="8"/>
  <c r="F642" i="8"/>
  <c r="AB641" i="8"/>
  <c r="AA641" i="8"/>
  <c r="AA651" i="8" s="1"/>
  <c r="Z641" i="8"/>
  <c r="Z651" i="8" s="1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E8" i="8" s="1"/>
  <c r="W25" i="8"/>
  <c r="E25" i="8"/>
  <c r="E7" i="8" s="1"/>
  <c r="W24" i="8"/>
  <c r="E24" i="8"/>
  <c r="E6" i="8" s="1"/>
  <c r="W23" i="8"/>
  <c r="E23" i="8"/>
  <c r="U13" i="8"/>
  <c r="C13" i="8"/>
  <c r="Q10" i="8"/>
  <c r="P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R6" i="8"/>
  <c r="Q6" i="8"/>
  <c r="P6" i="8"/>
  <c r="J6" i="8"/>
  <c r="I6" i="8"/>
  <c r="H6" i="8"/>
  <c r="G6" i="8"/>
  <c r="F6" i="8"/>
  <c r="AJ5" i="8"/>
  <c r="AJ10" i="8" s="1"/>
  <c r="AI5" i="8"/>
  <c r="AH5" i="8"/>
  <c r="AH10" i="8" s="1"/>
  <c r="AB5" i="8"/>
  <c r="AA5" i="8"/>
  <c r="Z5" i="8"/>
  <c r="Y5" i="8"/>
  <c r="X5" i="8"/>
  <c r="R5" i="8"/>
  <c r="R10" i="8" s="1"/>
  <c r="Q5" i="8"/>
  <c r="P5" i="8"/>
  <c r="J5" i="8"/>
  <c r="I5" i="8"/>
  <c r="H5" i="8"/>
  <c r="G5" i="8"/>
  <c r="F5" i="8"/>
  <c r="E5" i="8"/>
  <c r="AL2" i="8"/>
  <c r="U2" i="8"/>
  <c r="T2" i="8"/>
  <c r="C2" i="8"/>
  <c r="AA654" i="7"/>
  <c r="Z654" i="7"/>
  <c r="H654" i="7"/>
  <c r="G654" i="7"/>
  <c r="Z653" i="7"/>
  <c r="Y653" i="7"/>
  <c r="X653" i="7"/>
  <c r="J653" i="7"/>
  <c r="H653" i="7"/>
  <c r="G653" i="7"/>
  <c r="Y652" i="7"/>
  <c r="F652" i="7"/>
  <c r="AB651" i="7"/>
  <c r="J651" i="7"/>
  <c r="I651" i="7"/>
  <c r="AB649" i="7"/>
  <c r="AB654" i="7" s="1"/>
  <c r="AA649" i="7"/>
  <c r="Z649" i="7"/>
  <c r="Y649" i="7"/>
  <c r="Y654" i="7" s="1"/>
  <c r="X649" i="7"/>
  <c r="X654" i="7" s="1"/>
  <c r="J649" i="7"/>
  <c r="J654" i="7" s="1"/>
  <c r="I649" i="7"/>
  <c r="H649" i="7"/>
  <c r="G649" i="7"/>
  <c r="F649" i="7"/>
  <c r="F654" i="7" s="1"/>
  <c r="AB648" i="7"/>
  <c r="AB653" i="7" s="1"/>
  <c r="AA648" i="7"/>
  <c r="AA653" i="7" s="1"/>
  <c r="Z648" i="7"/>
  <c r="Y648" i="7"/>
  <c r="X648" i="7"/>
  <c r="J648" i="7"/>
  <c r="I648" i="7"/>
  <c r="H648" i="7"/>
  <c r="G648" i="7"/>
  <c r="F648" i="7"/>
  <c r="AB647" i="7"/>
  <c r="AA647" i="7"/>
  <c r="Z647" i="7"/>
  <c r="Z652" i="7" s="1"/>
  <c r="Y647" i="7"/>
  <c r="X647" i="7"/>
  <c r="X652" i="7" s="1"/>
  <c r="J647" i="7"/>
  <c r="I647" i="7"/>
  <c r="H647" i="7"/>
  <c r="G647" i="7"/>
  <c r="G652" i="7" s="1"/>
  <c r="F647" i="7"/>
  <c r="AB646" i="7"/>
  <c r="AA646" i="7"/>
  <c r="AA651" i="7" s="1"/>
  <c r="Z646" i="7"/>
  <c r="Z651" i="7" s="1"/>
  <c r="Y646" i="7"/>
  <c r="Y651" i="7" s="1"/>
  <c r="X646" i="7"/>
  <c r="J646" i="7"/>
  <c r="I646" i="7"/>
  <c r="H646" i="7"/>
  <c r="H651" i="7" s="1"/>
  <c r="G646" i="7"/>
  <c r="G651" i="7" s="1"/>
  <c r="F646" i="7"/>
  <c r="F651" i="7" s="1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Y643" i="7"/>
  <c r="X643" i="7"/>
  <c r="J643" i="7"/>
  <c r="I643" i="7"/>
  <c r="I653" i="7" s="1"/>
  <c r="H643" i="7"/>
  <c r="G643" i="7"/>
  <c r="F643" i="7"/>
  <c r="F653" i="7" s="1"/>
  <c r="AB642" i="7"/>
  <c r="AB652" i="7" s="1"/>
  <c r="AA642" i="7"/>
  <c r="AA652" i="7" s="1"/>
  <c r="Z642" i="7"/>
  <c r="Y642" i="7"/>
  <c r="X642" i="7"/>
  <c r="J642" i="7"/>
  <c r="J652" i="7" s="1"/>
  <c r="I642" i="7"/>
  <c r="I652" i="7" s="1"/>
  <c r="H642" i="7"/>
  <c r="H652" i="7" s="1"/>
  <c r="G642" i="7"/>
  <c r="F642" i="7"/>
  <c r="AB641" i="7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E8" i="7" s="1"/>
  <c r="W25" i="7"/>
  <c r="E25" i="7"/>
  <c r="E7" i="7" s="1"/>
  <c r="W24" i="7"/>
  <c r="E24" i="7"/>
  <c r="W23" i="7"/>
  <c r="E23" i="7"/>
  <c r="U13" i="7"/>
  <c r="C13" i="7"/>
  <c r="P10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R6" i="7"/>
  <c r="Q6" i="7"/>
  <c r="Q10" i="7" s="1"/>
  <c r="P6" i="7"/>
  <c r="J6" i="7"/>
  <c r="I6" i="7"/>
  <c r="H6" i="7"/>
  <c r="G6" i="7"/>
  <c r="F6" i="7"/>
  <c r="E6" i="7"/>
  <c r="AJ5" i="7"/>
  <c r="AJ10" i="7" s="1"/>
  <c r="AI5" i="7"/>
  <c r="AI10" i="7" s="1"/>
  <c r="AH5" i="7"/>
  <c r="AB5" i="7"/>
  <c r="AA5" i="7"/>
  <c r="Z5" i="7"/>
  <c r="Y5" i="7"/>
  <c r="X5" i="7"/>
  <c r="R5" i="7"/>
  <c r="R10" i="7" s="1"/>
  <c r="Q5" i="7"/>
  <c r="P5" i="7"/>
  <c r="J5" i="7"/>
  <c r="I5" i="7"/>
  <c r="H5" i="7"/>
  <c r="G5" i="7"/>
  <c r="F5" i="7"/>
  <c r="E5" i="7"/>
  <c r="AL2" i="7"/>
  <c r="U2" i="7"/>
  <c r="T2" i="7"/>
  <c r="C2" i="7"/>
  <c r="M112" i="6"/>
  <c r="L112" i="6"/>
  <c r="F106" i="6"/>
  <c r="F107" i="6" s="1"/>
  <c r="F108" i="6" s="1"/>
  <c r="F109" i="6" s="1"/>
  <c r="B106" i="6"/>
  <c r="L103" i="6"/>
  <c r="M105" i="6" s="1"/>
  <c r="F103" i="6"/>
  <c r="M101" i="6"/>
  <c r="L101" i="6"/>
  <c r="F95" i="6"/>
  <c r="F96" i="6" s="1"/>
  <c r="F97" i="6" s="1"/>
  <c r="F98" i="6" s="1"/>
  <c r="B95" i="6"/>
  <c r="F92" i="6"/>
  <c r="L92" i="6" s="1"/>
  <c r="M94" i="6" s="1"/>
  <c r="M90" i="6"/>
  <c r="L90" i="6"/>
  <c r="F84" i="6"/>
  <c r="F85" i="6" s="1"/>
  <c r="F86" i="6" s="1"/>
  <c r="F87" i="6" s="1"/>
  <c r="B84" i="6"/>
  <c r="L81" i="6"/>
  <c r="M83" i="6" s="1"/>
  <c r="F81" i="6"/>
  <c r="M79" i="6"/>
  <c r="L79" i="6"/>
  <c r="B73" i="6"/>
  <c r="F70" i="6"/>
  <c r="L70" i="6" s="1"/>
  <c r="M72" i="6" s="1"/>
  <c r="M68" i="6"/>
  <c r="L68" i="6"/>
  <c r="F62" i="6"/>
  <c r="F63" i="6" s="1"/>
  <c r="F64" i="6" s="1"/>
  <c r="F65" i="6" s="1"/>
  <c r="B62" i="6"/>
  <c r="L59" i="6"/>
  <c r="M61" i="6" s="1"/>
  <c r="F59" i="6"/>
  <c r="M57" i="6"/>
  <c r="L57" i="6"/>
  <c r="B51" i="6"/>
  <c r="F48" i="6"/>
  <c r="L48" i="6" s="1"/>
  <c r="M50" i="6" s="1"/>
  <c r="M46" i="6"/>
  <c r="L46" i="6"/>
  <c r="F40" i="6"/>
  <c r="F41" i="6" s="1"/>
  <c r="F42" i="6" s="1"/>
  <c r="F43" i="6" s="1"/>
  <c r="B40" i="6"/>
  <c r="L37" i="6"/>
  <c r="M39" i="6" s="1"/>
  <c r="F37" i="6"/>
  <c r="M35" i="6"/>
  <c r="L35" i="6"/>
  <c r="B29" i="6"/>
  <c r="F26" i="6"/>
  <c r="L26" i="6" s="1"/>
  <c r="M28" i="6" s="1"/>
  <c r="M24" i="6"/>
  <c r="L24" i="6"/>
  <c r="F18" i="6"/>
  <c r="F19" i="6" s="1"/>
  <c r="F20" i="6" s="1"/>
  <c r="F21" i="6" s="1"/>
  <c r="B18" i="6"/>
  <c r="L15" i="6"/>
  <c r="M17" i="6" s="1"/>
  <c r="F15" i="6"/>
  <c r="M13" i="6"/>
  <c r="L13" i="6"/>
  <c r="B7" i="6"/>
  <c r="F4" i="6"/>
  <c r="L4" i="6" s="1"/>
  <c r="M6" i="6" s="1"/>
  <c r="F2" i="6"/>
  <c r="B2" i="6"/>
  <c r="L28" i="6" s="1"/>
  <c r="M112" i="5"/>
  <c r="L112" i="5"/>
  <c r="F109" i="5"/>
  <c r="B107" i="5"/>
  <c r="B108" i="5" s="1"/>
  <c r="F106" i="5"/>
  <c r="F107" i="5" s="1"/>
  <c r="F108" i="5" s="1"/>
  <c r="B106" i="5"/>
  <c r="F103" i="5"/>
  <c r="L103" i="5" s="1"/>
  <c r="L105" i="5" s="1"/>
  <c r="M101" i="5"/>
  <c r="L101" i="5"/>
  <c r="F95" i="5"/>
  <c r="F96" i="5" s="1"/>
  <c r="F97" i="5" s="1"/>
  <c r="F98" i="5" s="1"/>
  <c r="B95" i="5"/>
  <c r="F92" i="5"/>
  <c r="L92" i="5" s="1"/>
  <c r="L94" i="5" s="1"/>
  <c r="M90" i="5"/>
  <c r="L90" i="5"/>
  <c r="F87" i="5"/>
  <c r="F84" i="5"/>
  <c r="F85" i="5" s="1"/>
  <c r="F86" i="5" s="1"/>
  <c r="B84" i="5"/>
  <c r="F81" i="5"/>
  <c r="L81" i="5" s="1"/>
  <c r="L83" i="5" s="1"/>
  <c r="M79" i="5"/>
  <c r="L79" i="5"/>
  <c r="F73" i="5"/>
  <c r="F74" i="5" s="1"/>
  <c r="F75" i="5" s="1"/>
  <c r="F76" i="5" s="1"/>
  <c r="B73" i="5"/>
  <c r="F70" i="5"/>
  <c r="L70" i="5" s="1"/>
  <c r="L72" i="5" s="1"/>
  <c r="M68" i="5"/>
  <c r="L68" i="5"/>
  <c r="F62" i="5"/>
  <c r="F63" i="5" s="1"/>
  <c r="F64" i="5" s="1"/>
  <c r="F65" i="5" s="1"/>
  <c r="B62" i="5"/>
  <c r="M61" i="5"/>
  <c r="F59" i="5"/>
  <c r="L59" i="5" s="1"/>
  <c r="L61" i="5" s="1"/>
  <c r="M57" i="5"/>
  <c r="L57" i="5"/>
  <c r="B51" i="5"/>
  <c r="F48" i="5"/>
  <c r="M46" i="5"/>
  <c r="L46" i="5"/>
  <c r="B41" i="5"/>
  <c r="B42" i="5" s="1"/>
  <c r="F40" i="5"/>
  <c r="F41" i="5" s="1"/>
  <c r="F42" i="5" s="1"/>
  <c r="F43" i="5" s="1"/>
  <c r="B40" i="5"/>
  <c r="F37" i="5"/>
  <c r="L37" i="5" s="1"/>
  <c r="L39" i="5" s="1"/>
  <c r="M35" i="5"/>
  <c r="L35" i="5"/>
  <c r="F29" i="5"/>
  <c r="F30" i="5" s="1"/>
  <c r="F31" i="5" s="1"/>
  <c r="F32" i="5" s="1"/>
  <c r="B29" i="5"/>
  <c r="F26" i="5"/>
  <c r="L26" i="5" s="1"/>
  <c r="L28" i="5" s="1"/>
  <c r="M24" i="5"/>
  <c r="L24" i="5"/>
  <c r="F18" i="5"/>
  <c r="F19" i="5" s="1"/>
  <c r="F20" i="5" s="1"/>
  <c r="F21" i="5" s="1"/>
  <c r="B18" i="5"/>
  <c r="F15" i="5"/>
  <c r="L15" i="5" s="1"/>
  <c r="L17" i="5" s="1"/>
  <c r="M13" i="5"/>
  <c r="L13" i="5"/>
  <c r="B7" i="5"/>
  <c r="F4" i="5"/>
  <c r="F2" i="5"/>
  <c r="B2" i="5"/>
  <c r="M112" i="4"/>
  <c r="L112" i="4"/>
  <c r="B106" i="4"/>
  <c r="B107" i="4" s="1"/>
  <c r="B108" i="4" s="1"/>
  <c r="F103" i="4"/>
  <c r="M101" i="4"/>
  <c r="L101" i="4"/>
  <c r="F97" i="4"/>
  <c r="F98" i="4" s="1"/>
  <c r="B96" i="4"/>
  <c r="F95" i="4"/>
  <c r="F96" i="4" s="1"/>
  <c r="B95" i="4"/>
  <c r="L92" i="4"/>
  <c r="M94" i="4" s="1"/>
  <c r="F92" i="4"/>
  <c r="M90" i="4"/>
  <c r="L90" i="4"/>
  <c r="B84" i="4"/>
  <c r="B85" i="4" s="1"/>
  <c r="F81" i="4"/>
  <c r="M79" i="4"/>
  <c r="L79" i="4"/>
  <c r="F75" i="4"/>
  <c r="F76" i="4" s="1"/>
  <c r="B74" i="4"/>
  <c r="F73" i="4"/>
  <c r="F74" i="4" s="1"/>
  <c r="B73" i="4"/>
  <c r="L70" i="4"/>
  <c r="M72" i="4" s="1"/>
  <c r="F70" i="4"/>
  <c r="M68" i="4"/>
  <c r="L68" i="4"/>
  <c r="B64" i="4"/>
  <c r="B62" i="4"/>
  <c r="B63" i="4" s="1"/>
  <c r="F59" i="4"/>
  <c r="M57" i="4"/>
  <c r="L57" i="4"/>
  <c r="F53" i="4"/>
  <c r="F54" i="4" s="1"/>
  <c r="B52" i="4"/>
  <c r="F51" i="4"/>
  <c r="F52" i="4" s="1"/>
  <c r="B51" i="4"/>
  <c r="L48" i="4"/>
  <c r="M50" i="4" s="1"/>
  <c r="F48" i="4"/>
  <c r="M46" i="4"/>
  <c r="L46" i="4"/>
  <c r="B42" i="4"/>
  <c r="B40" i="4"/>
  <c r="B41" i="4" s="1"/>
  <c r="F37" i="4"/>
  <c r="M35" i="4"/>
  <c r="L35" i="4"/>
  <c r="F31" i="4"/>
  <c r="F32" i="4" s="1"/>
  <c r="F29" i="4"/>
  <c r="F30" i="4" s="1"/>
  <c r="B29" i="4"/>
  <c r="L26" i="4"/>
  <c r="M28" i="4" s="1"/>
  <c r="F26" i="4"/>
  <c r="M24" i="4"/>
  <c r="L24" i="4"/>
  <c r="B20" i="4"/>
  <c r="B18" i="4"/>
  <c r="B19" i="4" s="1"/>
  <c r="F15" i="4"/>
  <c r="M13" i="4"/>
  <c r="L13" i="4"/>
  <c r="F9" i="4"/>
  <c r="F10" i="4" s="1"/>
  <c r="F7" i="4"/>
  <c r="F8" i="4" s="1"/>
  <c r="B7" i="4"/>
  <c r="L4" i="4"/>
  <c r="M6" i="4" s="1"/>
  <c r="F4" i="4"/>
  <c r="F2" i="4"/>
  <c r="B2" i="4"/>
  <c r="M112" i="3"/>
  <c r="L112" i="3"/>
  <c r="B106" i="3"/>
  <c r="L103" i="3"/>
  <c r="F103" i="3"/>
  <c r="F106" i="3" s="1"/>
  <c r="F107" i="3" s="1"/>
  <c r="F108" i="3" s="1"/>
  <c r="F109" i="3" s="1"/>
  <c r="M101" i="3"/>
  <c r="L101" i="3"/>
  <c r="F95" i="3"/>
  <c r="F96" i="3" s="1"/>
  <c r="F97" i="3" s="1"/>
  <c r="F98" i="3" s="1"/>
  <c r="B95" i="3"/>
  <c r="M94" i="3"/>
  <c r="F92" i="3"/>
  <c r="L92" i="3" s="1"/>
  <c r="M90" i="3"/>
  <c r="L90" i="3"/>
  <c r="F86" i="3"/>
  <c r="F87" i="3" s="1"/>
  <c r="B84" i="3"/>
  <c r="L83" i="3"/>
  <c r="L81" i="3"/>
  <c r="F81" i="3"/>
  <c r="F84" i="3" s="1"/>
  <c r="F85" i="3" s="1"/>
  <c r="M79" i="3"/>
  <c r="L79" i="3"/>
  <c r="B73" i="3"/>
  <c r="F70" i="3"/>
  <c r="M68" i="3"/>
  <c r="L68" i="3"/>
  <c r="B63" i="3"/>
  <c r="B62" i="3"/>
  <c r="L61" i="3"/>
  <c r="L59" i="3"/>
  <c r="F59" i="3"/>
  <c r="F62" i="3" s="1"/>
  <c r="F63" i="3" s="1"/>
  <c r="F64" i="3" s="1"/>
  <c r="F65" i="3" s="1"/>
  <c r="M57" i="3"/>
  <c r="L57" i="3"/>
  <c r="B51" i="3"/>
  <c r="F48" i="3"/>
  <c r="M46" i="3"/>
  <c r="L46" i="3"/>
  <c r="B41" i="3"/>
  <c r="B40" i="3"/>
  <c r="L37" i="3"/>
  <c r="F37" i="3"/>
  <c r="F40" i="3" s="1"/>
  <c r="F41" i="3" s="1"/>
  <c r="F42" i="3" s="1"/>
  <c r="F43" i="3" s="1"/>
  <c r="M35" i="3"/>
  <c r="L35" i="3"/>
  <c r="B29" i="3"/>
  <c r="F26" i="3"/>
  <c r="L26" i="3" s="1"/>
  <c r="M24" i="3"/>
  <c r="L24" i="3"/>
  <c r="B19" i="3"/>
  <c r="B18" i="3"/>
  <c r="L15" i="3"/>
  <c r="F15" i="3"/>
  <c r="F18" i="3" s="1"/>
  <c r="F19" i="3" s="1"/>
  <c r="F20" i="3" s="1"/>
  <c r="F21" i="3" s="1"/>
  <c r="M13" i="3"/>
  <c r="L13" i="3"/>
  <c r="F7" i="3"/>
  <c r="F8" i="3" s="1"/>
  <c r="F9" i="3" s="1"/>
  <c r="F10" i="3" s="1"/>
  <c r="B7" i="3"/>
  <c r="F4" i="3"/>
  <c r="L4" i="3" s="1"/>
  <c r="F2" i="3"/>
  <c r="B2" i="3"/>
  <c r="L17" i="3" s="1"/>
  <c r="M112" i="2"/>
  <c r="L112" i="2"/>
  <c r="B107" i="2"/>
  <c r="F106" i="2"/>
  <c r="F107" i="2" s="1"/>
  <c r="F108" i="2" s="1"/>
  <c r="F109" i="2" s="1"/>
  <c r="B106" i="2"/>
  <c r="F103" i="2"/>
  <c r="L103" i="2" s="1"/>
  <c r="M101" i="2"/>
  <c r="L101" i="2"/>
  <c r="F95" i="2"/>
  <c r="F96" i="2" s="1"/>
  <c r="F97" i="2" s="1"/>
  <c r="F98" i="2" s="1"/>
  <c r="B95" i="2"/>
  <c r="B96" i="2" s="1"/>
  <c r="L92" i="2"/>
  <c r="F92" i="2"/>
  <c r="M90" i="2"/>
  <c r="L90" i="2"/>
  <c r="F87" i="2"/>
  <c r="F84" i="2"/>
  <c r="F85" i="2" s="1"/>
  <c r="F86" i="2" s="1"/>
  <c r="B84" i="2"/>
  <c r="M83" i="2"/>
  <c r="F81" i="2"/>
  <c r="L81" i="2" s="1"/>
  <c r="M79" i="2"/>
  <c r="L79" i="2"/>
  <c r="F73" i="2"/>
  <c r="F74" i="2" s="1"/>
  <c r="F75" i="2" s="1"/>
  <c r="F76" i="2" s="1"/>
  <c r="B73" i="2"/>
  <c r="B74" i="2" s="1"/>
  <c r="L72" i="2"/>
  <c r="L70" i="2"/>
  <c r="F70" i="2"/>
  <c r="M68" i="2"/>
  <c r="L68" i="2"/>
  <c r="B62" i="2"/>
  <c r="F59" i="2"/>
  <c r="L59" i="2" s="1"/>
  <c r="M57" i="2"/>
  <c r="L57" i="2"/>
  <c r="F51" i="2"/>
  <c r="F52" i="2" s="1"/>
  <c r="F53" i="2" s="1"/>
  <c r="F54" i="2" s="1"/>
  <c r="B51" i="2"/>
  <c r="B52" i="2" s="1"/>
  <c r="L48" i="2"/>
  <c r="F48" i="2"/>
  <c r="M46" i="2"/>
  <c r="L46" i="2"/>
  <c r="B40" i="2"/>
  <c r="F37" i="2"/>
  <c r="M35" i="2"/>
  <c r="L35" i="2"/>
  <c r="B29" i="2"/>
  <c r="B30" i="2" s="1"/>
  <c r="F26" i="2"/>
  <c r="F29" i="2" s="1"/>
  <c r="F30" i="2" s="1"/>
  <c r="F31" i="2" s="1"/>
  <c r="F32" i="2" s="1"/>
  <c r="M24" i="2"/>
  <c r="L24" i="2"/>
  <c r="B18" i="2"/>
  <c r="F15" i="2"/>
  <c r="M13" i="2"/>
  <c r="L13" i="2"/>
  <c r="F9" i="2"/>
  <c r="F10" i="2" s="1"/>
  <c r="B7" i="2"/>
  <c r="B8" i="2" s="1"/>
  <c r="L4" i="2"/>
  <c r="F4" i="2"/>
  <c r="F7" i="2" s="1"/>
  <c r="F8" i="2" s="1"/>
  <c r="F2" i="2"/>
  <c r="B2" i="2"/>
  <c r="AP5" i="10"/>
  <c r="AO5" i="10"/>
  <c r="AN5" i="10"/>
  <c r="AM5" i="10"/>
  <c r="AQ5" i="10"/>
  <c r="AO5" i="9"/>
  <c r="AP5" i="9"/>
  <c r="AQ5" i="9"/>
  <c r="AM5" i="9"/>
  <c r="AN5" i="9"/>
  <c r="AQ5" i="7"/>
  <c r="AP5" i="7"/>
  <c r="AN5" i="7"/>
  <c r="AM5" i="7"/>
  <c r="AO5" i="7"/>
  <c r="AO5" i="8"/>
  <c r="AQ5" i="8"/>
  <c r="AN5" i="8"/>
  <c r="AM5" i="8"/>
  <c r="AP5" i="8"/>
  <c r="B17" i="1"/>
  <c r="B9" i="1"/>
  <c r="D11" i="1"/>
  <c r="M29" i="3"/>
  <c r="H85" i="4"/>
  <c r="D64" i="4"/>
  <c r="D29" i="2"/>
  <c r="D7" i="5"/>
  <c r="D18" i="4"/>
  <c r="L63" i="4"/>
  <c r="D96" i="4"/>
  <c r="H73" i="2"/>
  <c r="B14" i="1"/>
  <c r="B11" i="1"/>
  <c r="L29" i="3"/>
  <c r="L41" i="5"/>
  <c r="M29" i="6"/>
  <c r="M51" i="6"/>
  <c r="D106" i="4"/>
  <c r="M7" i="3"/>
  <c r="D51" i="2"/>
  <c r="L62" i="5"/>
  <c r="D40" i="4"/>
  <c r="G10" i="1"/>
  <c r="D107" i="5"/>
  <c r="D95" i="5"/>
  <c r="M84" i="2"/>
  <c r="H95" i="2"/>
  <c r="H51" i="2"/>
  <c r="H29" i="2"/>
  <c r="D73" i="5"/>
  <c r="D84" i="4"/>
  <c r="E12" i="1"/>
  <c r="L8" i="2"/>
  <c r="D42" i="4"/>
  <c r="H7" i="2"/>
  <c r="M40" i="3"/>
  <c r="D62" i="4"/>
  <c r="D41" i="3"/>
  <c r="H18" i="3"/>
  <c r="L7" i="3"/>
  <c r="D17" i="1"/>
  <c r="D12" i="1"/>
  <c r="M95" i="2"/>
  <c r="L40" i="5"/>
  <c r="D74" i="4"/>
  <c r="F18" i="1"/>
  <c r="M106" i="4"/>
  <c r="D16" i="1"/>
  <c r="F11" i="1"/>
  <c r="D15" i="1"/>
  <c r="F9" i="1"/>
  <c r="M62" i="4"/>
  <c r="H84" i="6"/>
  <c r="D106" i="6"/>
  <c r="F16" i="1"/>
  <c r="M40" i="4"/>
  <c r="G15" i="1"/>
  <c r="F10" i="1"/>
  <c r="L84" i="2"/>
  <c r="D51" i="5"/>
  <c r="H40" i="5"/>
  <c r="E9" i="1"/>
  <c r="M29" i="2"/>
  <c r="E18" i="1"/>
  <c r="B10" i="1"/>
  <c r="M73" i="6"/>
  <c r="H40" i="3"/>
  <c r="D84" i="6"/>
  <c r="D42" i="5"/>
  <c r="L85" i="4"/>
  <c r="H62" i="6"/>
  <c r="D7" i="2"/>
  <c r="H11" i="1"/>
  <c r="L106" i="5"/>
  <c r="L30" i="2"/>
  <c r="M18" i="3"/>
  <c r="M95" i="6"/>
  <c r="M41" i="5"/>
  <c r="D18" i="6"/>
  <c r="F17" i="1"/>
  <c r="F15" i="1"/>
  <c r="L84" i="5"/>
  <c r="H9" i="1"/>
  <c r="H18" i="1"/>
  <c r="E11" i="1"/>
  <c r="E10" i="1"/>
  <c r="M51" i="2"/>
  <c r="H62" i="3"/>
  <c r="M18" i="2"/>
  <c r="M73" i="2"/>
  <c r="E16" i="1"/>
  <c r="B16" i="1"/>
  <c r="L107" i="5"/>
  <c r="D95" i="2"/>
  <c r="H19" i="4"/>
  <c r="H41" i="4"/>
  <c r="D14" i="1"/>
  <c r="E17" i="1"/>
  <c r="G13" i="1"/>
  <c r="G9" i="1"/>
  <c r="H18" i="5"/>
  <c r="M7" i="6"/>
  <c r="D13" i="1"/>
  <c r="L106" i="4"/>
  <c r="D19" i="3"/>
  <c r="G18" i="1"/>
  <c r="B15" i="1"/>
  <c r="L84" i="4"/>
  <c r="G12" i="1"/>
  <c r="H106" i="3"/>
  <c r="H63" i="4"/>
  <c r="E13" i="1"/>
  <c r="D18" i="1"/>
  <c r="M7" i="2"/>
  <c r="L62" i="4"/>
  <c r="F12" i="1"/>
  <c r="L41" i="3"/>
  <c r="H15" i="1"/>
  <c r="B18" i="1"/>
  <c r="M18" i="4"/>
  <c r="H41" i="5"/>
  <c r="H17" i="1"/>
  <c r="F13" i="1"/>
  <c r="H14" i="1"/>
  <c r="L40" i="4"/>
  <c r="D40" i="6"/>
  <c r="D73" i="2"/>
  <c r="L41" i="4"/>
  <c r="D9" i="1"/>
  <c r="H12" i="1"/>
  <c r="E15" i="1"/>
  <c r="F14" i="1"/>
  <c r="G17" i="1"/>
  <c r="E14" i="1"/>
  <c r="G11" i="1"/>
  <c r="D10" i="1"/>
  <c r="H40" i="6"/>
  <c r="H13" i="1"/>
  <c r="G16" i="1"/>
  <c r="H107" i="5"/>
  <c r="H10" i="1"/>
  <c r="M84" i="4"/>
  <c r="B13" i="1"/>
  <c r="G14" i="1"/>
  <c r="L18" i="4"/>
  <c r="D8" i="2"/>
  <c r="H16" i="1"/>
  <c r="L62" i="2"/>
  <c r="M106" i="2"/>
  <c r="B12" i="1"/>
  <c r="H74" i="4"/>
  <c r="L106" i="2"/>
  <c r="D41" i="5"/>
  <c r="J89" i="6" l="1"/>
  <c r="J90" i="6"/>
  <c r="J107" i="5"/>
  <c r="N106" i="2"/>
  <c r="J57" i="2"/>
  <c r="J56" i="2"/>
  <c r="J40" i="6"/>
  <c r="J41" i="5"/>
  <c r="J78" i="2"/>
  <c r="J79" i="2"/>
  <c r="N41" i="5"/>
  <c r="J101" i="2"/>
  <c r="J100" i="2"/>
  <c r="F19" i="1"/>
  <c r="J111" i="6"/>
  <c r="J112" i="6"/>
  <c r="N84" i="2"/>
  <c r="J74" i="4"/>
  <c r="G19" i="1"/>
  <c r="N7" i="3"/>
  <c r="N29" i="3"/>
  <c r="D19" i="1"/>
  <c r="E19" i="1"/>
  <c r="J84" i="6"/>
  <c r="J101" i="5"/>
  <c r="J100" i="5"/>
  <c r="H19" i="1"/>
  <c r="J68" i="4"/>
  <c r="J67" i="4"/>
  <c r="J90" i="4"/>
  <c r="J89" i="4"/>
  <c r="J111" i="4"/>
  <c r="J112" i="4"/>
  <c r="N18" i="4"/>
  <c r="N40" i="4"/>
  <c r="N62" i="4"/>
  <c r="N84" i="4"/>
  <c r="N106" i="4"/>
  <c r="J79" i="5"/>
  <c r="J78" i="5"/>
  <c r="J57" i="5"/>
  <c r="J56" i="5"/>
  <c r="J7" i="2"/>
  <c r="J29" i="2"/>
  <c r="J51" i="2"/>
  <c r="J73" i="2"/>
  <c r="J95" i="2"/>
  <c r="B109" i="4"/>
  <c r="B21" i="4"/>
  <c r="L83" i="4"/>
  <c r="L61" i="6"/>
  <c r="L105" i="6"/>
  <c r="B85" i="2"/>
  <c r="L103" i="4"/>
  <c r="M105" i="4" s="1"/>
  <c r="F106" i="4"/>
  <c r="F107" i="4" s="1"/>
  <c r="F108" i="4" s="1"/>
  <c r="F109" i="4" s="1"/>
  <c r="L105" i="4"/>
  <c r="M83" i="5"/>
  <c r="B41" i="6"/>
  <c r="B107" i="6"/>
  <c r="L17" i="6"/>
  <c r="L6" i="4"/>
  <c r="B108" i="2"/>
  <c r="B86" i="4"/>
  <c r="L105" i="2"/>
  <c r="L83" i="2"/>
  <c r="L61" i="2"/>
  <c r="L6" i="2"/>
  <c r="L94" i="2"/>
  <c r="L28" i="4"/>
  <c r="M94" i="2"/>
  <c r="M72" i="2"/>
  <c r="M50" i="2"/>
  <c r="M28" i="2"/>
  <c r="M6" i="2"/>
  <c r="M105" i="2"/>
  <c r="B8" i="4"/>
  <c r="B65" i="4"/>
  <c r="B64" i="3"/>
  <c r="B85" i="3"/>
  <c r="B30" i="4"/>
  <c r="L26" i="2"/>
  <c r="L28" i="2" s="1"/>
  <c r="L50" i="2"/>
  <c r="B20" i="3"/>
  <c r="B42" i="3"/>
  <c r="L50" i="4"/>
  <c r="B31" i="2"/>
  <c r="B75" i="2"/>
  <c r="B107" i="3"/>
  <c r="L72" i="4"/>
  <c r="B53" i="2"/>
  <c r="B53" i="4"/>
  <c r="M94" i="5"/>
  <c r="M72" i="5"/>
  <c r="M28" i="5"/>
  <c r="M6" i="5"/>
  <c r="M39" i="5"/>
  <c r="M105" i="5"/>
  <c r="M17" i="5"/>
  <c r="B75" i="4"/>
  <c r="L4" i="5"/>
  <c r="L6" i="5" s="1"/>
  <c r="F7" i="5"/>
  <c r="F8" i="5" s="1"/>
  <c r="F9" i="5" s="1"/>
  <c r="F10" i="5" s="1"/>
  <c r="F73" i="6"/>
  <c r="F74" i="6" s="1"/>
  <c r="F75" i="6" s="1"/>
  <c r="F76" i="6" s="1"/>
  <c r="B97" i="2"/>
  <c r="L6" i="6"/>
  <c r="L83" i="6"/>
  <c r="L94" i="6"/>
  <c r="L39" i="6"/>
  <c r="L50" i="6"/>
  <c r="L72" i="6"/>
  <c r="B30" i="5"/>
  <c r="L48" i="5"/>
  <c r="L50" i="5" s="1"/>
  <c r="F51" i="5"/>
  <c r="F52" i="5" s="1"/>
  <c r="F53" i="5" s="1"/>
  <c r="F54" i="5" s="1"/>
  <c r="B43" i="4"/>
  <c r="B63" i="5"/>
  <c r="B30" i="6"/>
  <c r="L15" i="4"/>
  <c r="M17" i="4" s="1"/>
  <c r="F18" i="4"/>
  <c r="F19" i="4" s="1"/>
  <c r="F20" i="4" s="1"/>
  <c r="F21" i="4" s="1"/>
  <c r="B97" i="4"/>
  <c r="F29" i="6"/>
  <c r="F30" i="6" s="1"/>
  <c r="F31" i="6" s="1"/>
  <c r="F32" i="6" s="1"/>
  <c r="L48" i="3"/>
  <c r="M50" i="3" s="1"/>
  <c r="F51" i="3"/>
  <c r="F52" i="3" s="1"/>
  <c r="F53" i="3" s="1"/>
  <c r="F54" i="3" s="1"/>
  <c r="L70" i="3"/>
  <c r="M72" i="3" s="1"/>
  <c r="F73" i="3"/>
  <c r="F74" i="3" s="1"/>
  <c r="F75" i="3" s="1"/>
  <c r="F76" i="3" s="1"/>
  <c r="L94" i="4"/>
  <c r="B74" i="3"/>
  <c r="L39" i="4"/>
  <c r="L37" i="2"/>
  <c r="M39" i="2" s="1"/>
  <c r="F40" i="2"/>
  <c r="F41" i="2" s="1"/>
  <c r="F42" i="2" s="1"/>
  <c r="F43" i="2" s="1"/>
  <c r="M61" i="2"/>
  <c r="B96" i="3"/>
  <c r="L59" i="4"/>
  <c r="M61" i="4" s="1"/>
  <c r="F62" i="4"/>
  <c r="F63" i="4" s="1"/>
  <c r="F64" i="4" s="1"/>
  <c r="F65" i="4" s="1"/>
  <c r="L15" i="2"/>
  <c r="M17" i="2" s="1"/>
  <c r="F18" i="2"/>
  <c r="F19" i="2" s="1"/>
  <c r="F20" i="2" s="1"/>
  <c r="F21" i="2" s="1"/>
  <c r="B63" i="2"/>
  <c r="L37" i="4"/>
  <c r="M39" i="4" s="1"/>
  <c r="F40" i="4"/>
  <c r="F41" i="4" s="1"/>
  <c r="F42" i="4" s="1"/>
  <c r="F43" i="4" s="1"/>
  <c r="B41" i="2"/>
  <c r="F62" i="2"/>
  <c r="F63" i="2" s="1"/>
  <c r="F64" i="2" s="1"/>
  <c r="F65" i="2" s="1"/>
  <c r="L81" i="4"/>
  <c r="M83" i="4" s="1"/>
  <c r="F84" i="4"/>
  <c r="F85" i="4" s="1"/>
  <c r="F86" i="4" s="1"/>
  <c r="F87" i="4" s="1"/>
  <c r="L105" i="3"/>
  <c r="B43" i="5"/>
  <c r="B96" i="5"/>
  <c r="AH10" i="7"/>
  <c r="B109" i="5"/>
  <c r="B74" i="6"/>
  <c r="B8" i="5"/>
  <c r="B52" i="3"/>
  <c r="M105" i="3"/>
  <c r="M83" i="3"/>
  <c r="M61" i="3"/>
  <c r="M39" i="3"/>
  <c r="M17" i="3"/>
  <c r="M28" i="3"/>
  <c r="B30" i="3"/>
  <c r="B52" i="6"/>
  <c r="B63" i="6"/>
  <c r="AI10" i="8"/>
  <c r="L94" i="3"/>
  <c r="L72" i="3"/>
  <c r="L50" i="3"/>
  <c r="L28" i="3"/>
  <c r="L6" i="3"/>
  <c r="L39" i="3"/>
  <c r="B19" i="5"/>
  <c r="M6" i="3"/>
  <c r="F29" i="3"/>
  <c r="F30" i="3" s="1"/>
  <c r="F31" i="3" s="1"/>
  <c r="F32" i="3" s="1"/>
  <c r="B74" i="5"/>
  <c r="F51" i="6"/>
  <c r="F52" i="6" s="1"/>
  <c r="F53" i="6" s="1"/>
  <c r="F54" i="6" s="1"/>
  <c r="B8" i="3"/>
  <c r="B85" i="5"/>
  <c r="F651" i="8"/>
  <c r="AA653" i="8"/>
  <c r="B52" i="5"/>
  <c r="B19" i="6"/>
  <c r="X651" i="7"/>
  <c r="I654" i="7"/>
  <c r="B9" i="2"/>
  <c r="B8" i="6"/>
  <c r="F7" i="6"/>
  <c r="F8" i="6" s="1"/>
  <c r="F9" i="6" s="1"/>
  <c r="F10" i="6" s="1"/>
  <c r="B19" i="2"/>
  <c r="B96" i="6"/>
  <c r="B85" i="6"/>
  <c r="P62" i="4"/>
  <c r="P106" i="5"/>
  <c r="P98" i="2"/>
  <c r="P62" i="5"/>
  <c r="P76" i="5"/>
  <c r="P62" i="2"/>
  <c r="P84" i="4"/>
  <c r="P84" i="2"/>
  <c r="P54" i="5"/>
  <c r="P76" i="2"/>
  <c r="P106" i="4"/>
  <c r="P54" i="2"/>
  <c r="P106" i="2"/>
  <c r="P84" i="5"/>
  <c r="H84" i="5"/>
  <c r="L42" i="4"/>
  <c r="D52" i="4"/>
  <c r="M29" i="5"/>
  <c r="D73" i="3"/>
  <c r="H62" i="4"/>
  <c r="L62" i="6"/>
  <c r="D7" i="3"/>
  <c r="L51" i="5"/>
  <c r="L73" i="4"/>
  <c r="D62" i="2"/>
  <c r="H96" i="4"/>
  <c r="L51" i="4"/>
  <c r="H95" i="5"/>
  <c r="D18" i="2"/>
  <c r="M73" i="3"/>
  <c r="L18" i="3"/>
  <c r="H29" i="5"/>
  <c r="L42" i="5"/>
  <c r="D95" i="3"/>
  <c r="H18" i="6"/>
  <c r="M51" i="4"/>
  <c r="L84" i="3"/>
  <c r="D40" i="5"/>
  <c r="L62" i="3"/>
  <c r="H106" i="6"/>
  <c r="D95" i="4"/>
  <c r="H52" i="4"/>
  <c r="M40" i="2"/>
  <c r="M96" i="4"/>
  <c r="L40" i="2"/>
  <c r="H73" i="6"/>
  <c r="H107" i="2"/>
  <c r="D108" i="5"/>
  <c r="L63" i="3"/>
  <c r="L73" i="3"/>
  <c r="D107" i="2"/>
  <c r="M63" i="4"/>
  <c r="H74" i="2"/>
  <c r="L96" i="4"/>
  <c r="L64" i="4"/>
  <c r="H7" i="3"/>
  <c r="D108" i="4"/>
  <c r="M85" i="4"/>
  <c r="L7" i="4"/>
  <c r="L7" i="5"/>
  <c r="M84" i="6"/>
  <c r="L7" i="2"/>
  <c r="D85" i="4"/>
  <c r="H20" i="4"/>
  <c r="L108" i="5"/>
  <c r="M52" i="2"/>
  <c r="L107" i="4"/>
  <c r="M41" i="4"/>
  <c r="M41" i="3"/>
  <c r="H106" i="5"/>
  <c r="M40" i="5"/>
  <c r="M108" i="5"/>
  <c r="L19" i="4"/>
  <c r="M62" i="3"/>
  <c r="M107" i="4"/>
  <c r="D29" i="4"/>
  <c r="L20" i="4"/>
  <c r="L29" i="6"/>
  <c r="L74" i="2"/>
  <c r="L29" i="2"/>
  <c r="H7" i="5"/>
  <c r="M30" i="2"/>
  <c r="H62" i="5"/>
  <c r="D106" i="5"/>
  <c r="P109" i="5" s="1"/>
  <c r="L74" i="4"/>
  <c r="M63" i="3"/>
  <c r="L107" i="2"/>
  <c r="L29" i="5"/>
  <c r="H96" i="2"/>
  <c r="M29" i="4"/>
  <c r="M73" i="5"/>
  <c r="H40" i="4"/>
  <c r="M106" i="3"/>
  <c r="M73" i="4"/>
  <c r="M95" i="3"/>
  <c r="M74" i="4"/>
  <c r="L52" i="2"/>
  <c r="D62" i="5"/>
  <c r="P65" i="5" s="1"/>
  <c r="H108" i="5"/>
  <c r="M84" i="5"/>
  <c r="H51" i="4"/>
  <c r="L51" i="6"/>
  <c r="L95" i="5"/>
  <c r="H106" i="4"/>
  <c r="M106" i="5"/>
  <c r="H51" i="5"/>
  <c r="H52" i="2"/>
  <c r="D62" i="3"/>
  <c r="M108" i="4"/>
  <c r="L7" i="6"/>
  <c r="H107" i="4"/>
  <c r="H64" i="4"/>
  <c r="H84" i="3"/>
  <c r="L18" i="6"/>
  <c r="H63" i="3"/>
  <c r="D40" i="3"/>
  <c r="L73" i="6"/>
  <c r="H8" i="2"/>
  <c r="D84" i="2"/>
  <c r="M96" i="2"/>
  <c r="H95" i="4"/>
  <c r="D73" i="4"/>
  <c r="D51" i="4"/>
  <c r="M95" i="4"/>
  <c r="M62" i="5"/>
  <c r="L108" i="4"/>
  <c r="D63" i="4"/>
  <c r="H7" i="4"/>
  <c r="H51" i="6"/>
  <c r="D51" i="6"/>
  <c r="H41" i="3"/>
  <c r="H29" i="6"/>
  <c r="D96" i="2"/>
  <c r="H7" i="6"/>
  <c r="M52" i="4"/>
  <c r="H84" i="4"/>
  <c r="M42" i="5"/>
  <c r="L51" i="2"/>
  <c r="P51" i="2" s="1"/>
  <c r="L18" i="5"/>
  <c r="D52" i="2"/>
  <c r="M20" i="4"/>
  <c r="M62" i="6"/>
  <c r="D62" i="6"/>
  <c r="L73" i="5"/>
  <c r="P73" i="5" s="1"/>
  <c r="D51" i="3"/>
  <c r="D29" i="5"/>
  <c r="D7" i="6"/>
  <c r="D40" i="2"/>
  <c r="H42" i="5"/>
  <c r="L51" i="3"/>
  <c r="D41" i="4"/>
  <c r="D95" i="6"/>
  <c r="M8" i="2"/>
  <c r="L106" i="6"/>
  <c r="M106" i="6"/>
  <c r="D106" i="3"/>
  <c r="L19" i="3"/>
  <c r="H95" i="3"/>
  <c r="M74" i="2"/>
  <c r="L18" i="2"/>
  <c r="D73" i="6"/>
  <c r="M42" i="4"/>
  <c r="D84" i="3"/>
  <c r="L73" i="2"/>
  <c r="P73" i="2" s="1"/>
  <c r="H106" i="2"/>
  <c r="D7" i="4"/>
  <c r="M19" i="4"/>
  <c r="M107" i="5"/>
  <c r="L29" i="4"/>
  <c r="H18" i="4"/>
  <c r="M7" i="4"/>
  <c r="D30" i="2"/>
  <c r="L40" i="6"/>
  <c r="L95" i="6"/>
  <c r="H108" i="4"/>
  <c r="H40" i="2"/>
  <c r="H84" i="2"/>
  <c r="P87" i="2" s="1"/>
  <c r="D20" i="4"/>
  <c r="D106" i="2"/>
  <c r="P109" i="2" s="1"/>
  <c r="H95" i="6"/>
  <c r="M19" i="3"/>
  <c r="D63" i="3"/>
  <c r="H29" i="3"/>
  <c r="D74" i="2"/>
  <c r="M84" i="3"/>
  <c r="H29" i="4"/>
  <c r="M40" i="6"/>
  <c r="H30" i="2"/>
  <c r="L52" i="4"/>
  <c r="D19" i="4"/>
  <c r="D18" i="3"/>
  <c r="H42" i="4"/>
  <c r="L106" i="3"/>
  <c r="L96" i="2"/>
  <c r="H19" i="3"/>
  <c r="H73" i="3"/>
  <c r="H62" i="2"/>
  <c r="P65" i="2" s="1"/>
  <c r="M62" i="2"/>
  <c r="L95" i="2"/>
  <c r="P95" i="2" s="1"/>
  <c r="L95" i="4"/>
  <c r="M7" i="5"/>
  <c r="D29" i="6"/>
  <c r="D107" i="4"/>
  <c r="D29" i="3"/>
  <c r="L40" i="3"/>
  <c r="H73" i="4"/>
  <c r="M64" i="4"/>
  <c r="M51" i="3"/>
  <c r="D84" i="5"/>
  <c r="P87" i="5" s="1"/>
  <c r="L95" i="3"/>
  <c r="D18" i="5"/>
  <c r="M107" i="2"/>
  <c r="M18" i="6"/>
  <c r="H73" i="5"/>
  <c r="M51" i="5"/>
  <c r="P51" i="5" s="1"/>
  <c r="L84" i="6"/>
  <c r="H18" i="2"/>
  <c r="M95" i="5"/>
  <c r="M18" i="5"/>
  <c r="H51" i="3"/>
  <c r="P73" i="3"/>
  <c r="P76" i="3"/>
  <c r="P51" i="6"/>
  <c r="P54" i="6"/>
  <c r="P62" i="3"/>
  <c r="P65" i="3"/>
  <c r="P73" i="6"/>
  <c r="P76" i="6"/>
  <c r="P54" i="4"/>
  <c r="P51" i="4"/>
  <c r="P106" i="3"/>
  <c r="P109" i="3"/>
  <c r="P87" i="3"/>
  <c r="P84" i="3"/>
  <c r="P98" i="6"/>
  <c r="P95" i="6"/>
  <c r="P95" i="4"/>
  <c r="P98" i="4"/>
  <c r="P95" i="3"/>
  <c r="P98" i="3"/>
  <c r="N18" i="2" l="1"/>
  <c r="N41" i="4"/>
  <c r="N52" i="2"/>
  <c r="J20" i="4"/>
  <c r="N107" i="5"/>
  <c r="J42" i="5"/>
  <c r="J29" i="4"/>
  <c r="J112" i="2"/>
  <c r="J111" i="2"/>
  <c r="N106" i="5"/>
  <c r="J7" i="3"/>
  <c r="N62" i="6"/>
  <c r="N42" i="5"/>
  <c r="N95" i="3"/>
  <c r="J29" i="6"/>
  <c r="J96" i="2"/>
  <c r="J106" i="2"/>
  <c r="J112" i="5"/>
  <c r="J111" i="5"/>
  <c r="J7" i="5"/>
  <c r="J101" i="3"/>
  <c r="J100" i="3"/>
  <c r="N29" i="6"/>
  <c r="N96" i="2"/>
  <c r="J95" i="3"/>
  <c r="J112" i="3"/>
  <c r="J111" i="3"/>
  <c r="J106" i="3"/>
  <c r="J18" i="2"/>
  <c r="J73" i="5"/>
  <c r="J90" i="5"/>
  <c r="J89" i="5"/>
  <c r="N7" i="5"/>
  <c r="N84" i="3"/>
  <c r="N84" i="5"/>
  <c r="J68" i="5"/>
  <c r="J67" i="5"/>
  <c r="J7" i="6"/>
  <c r="N73" i="5"/>
  <c r="J57" i="6"/>
  <c r="J56" i="6"/>
  <c r="J101" i="4"/>
  <c r="J100" i="4"/>
  <c r="J63" i="4"/>
  <c r="N62" i="5"/>
  <c r="J90" i="3"/>
  <c r="J89" i="3"/>
  <c r="J90" i="2"/>
  <c r="J89" i="2"/>
  <c r="N107" i="4"/>
  <c r="J95" i="5"/>
  <c r="J62" i="4"/>
  <c r="J51" i="3"/>
  <c r="N95" i="5"/>
  <c r="J18" i="4"/>
  <c r="N7" i="6"/>
  <c r="J41" i="4"/>
  <c r="J52" i="2"/>
  <c r="N51" i="3"/>
  <c r="J42" i="4"/>
  <c r="J84" i="2"/>
  <c r="J106" i="4"/>
  <c r="N51" i="6"/>
  <c r="J74" i="2"/>
  <c r="J84" i="4"/>
  <c r="N73" i="4"/>
  <c r="J52" i="4"/>
  <c r="N63" i="3"/>
  <c r="J40" i="5"/>
  <c r="N51" i="4"/>
  <c r="J57" i="4"/>
  <c r="J56" i="4"/>
  <c r="N73" i="3"/>
  <c r="J8" i="2"/>
  <c r="N62" i="3"/>
  <c r="J79" i="3"/>
  <c r="J78" i="3"/>
  <c r="J64" i="4"/>
  <c r="N85" i="4"/>
  <c r="N8" i="2"/>
  <c r="J68" i="3"/>
  <c r="J67" i="3"/>
  <c r="J62" i="3"/>
  <c r="N64" i="4"/>
  <c r="N95" i="2"/>
  <c r="J18" i="3"/>
  <c r="J29" i="3"/>
  <c r="J40" i="2"/>
  <c r="N20" i="4"/>
  <c r="N51" i="2"/>
  <c r="J73" i="6"/>
  <c r="N96" i="4"/>
  <c r="J7" i="4"/>
  <c r="J62" i="5"/>
  <c r="N29" i="2"/>
  <c r="J95" i="4"/>
  <c r="N73" i="6"/>
  <c r="J96" i="4"/>
  <c r="N29" i="5"/>
  <c r="J84" i="3"/>
  <c r="N7" i="4"/>
  <c r="J107" i="4"/>
  <c r="N7" i="2"/>
  <c r="N18" i="6"/>
  <c r="J73" i="4"/>
  <c r="N62" i="2"/>
  <c r="J19" i="4"/>
  <c r="J108" i="4"/>
  <c r="N84" i="6"/>
  <c r="J51" i="4"/>
  <c r="J108" i="5"/>
  <c r="N19" i="4"/>
  <c r="N74" i="4"/>
  <c r="N106" i="3"/>
  <c r="J41" i="3"/>
  <c r="J106" i="6"/>
  <c r="N73" i="2"/>
  <c r="J29" i="5"/>
  <c r="J40" i="3"/>
  <c r="N108" i="5"/>
  <c r="J68" i="2"/>
  <c r="J67" i="2"/>
  <c r="N41" i="3"/>
  <c r="N106" i="6"/>
  <c r="N108" i="4"/>
  <c r="J51" i="5"/>
  <c r="N40" i="3"/>
  <c r="J62" i="2"/>
  <c r="N19" i="3"/>
  <c r="N95" i="6"/>
  <c r="J57" i="3"/>
  <c r="J56" i="3"/>
  <c r="N52" i="4"/>
  <c r="N29" i="4"/>
  <c r="J51" i="6"/>
  <c r="N95" i="4"/>
  <c r="J79" i="4"/>
  <c r="J78" i="4"/>
  <c r="N42" i="4"/>
  <c r="J63" i="3"/>
  <c r="N40" i="5"/>
  <c r="N74" i="2"/>
  <c r="J85" i="4"/>
  <c r="N107" i="2"/>
  <c r="J73" i="3"/>
  <c r="J30" i="2"/>
  <c r="J95" i="6"/>
  <c r="J67" i="6"/>
  <c r="J68" i="6"/>
  <c r="J62" i="6"/>
  <c r="N63" i="4"/>
  <c r="J107" i="2"/>
  <c r="J40" i="4"/>
  <c r="N40" i="2"/>
  <c r="N30" i="2"/>
  <c r="J18" i="6"/>
  <c r="N18" i="3"/>
  <c r="J79" i="6"/>
  <c r="J78" i="6"/>
  <c r="J106" i="5"/>
  <c r="J84" i="5"/>
  <c r="N18" i="5"/>
  <c r="J101" i="6"/>
  <c r="J100" i="6"/>
  <c r="N51" i="5"/>
  <c r="J18" i="5"/>
  <c r="J19" i="3"/>
  <c r="N40" i="6"/>
  <c r="B98" i="4"/>
  <c r="B53" i="5"/>
  <c r="B54" i="2"/>
  <c r="B31" i="4"/>
  <c r="B9" i="3"/>
  <c r="B64" i="6"/>
  <c r="B108" i="3"/>
  <c r="L17" i="2"/>
  <c r="B31" i="6"/>
  <c r="B98" i="2"/>
  <c r="L39" i="2"/>
  <c r="B97" i="3"/>
  <c r="B64" i="5"/>
  <c r="B9" i="5"/>
  <c r="B86" i="3"/>
  <c r="B86" i="2"/>
  <c r="B42" i="6"/>
  <c r="B21" i="3"/>
  <c r="B87" i="4"/>
  <c r="B20" i="2"/>
  <c r="B86" i="5"/>
  <c r="B53" i="3"/>
  <c r="B75" i="5"/>
  <c r="B76" i="4"/>
  <c r="B53" i="6"/>
  <c r="B42" i="2"/>
  <c r="B65" i="3"/>
  <c r="B10" i="2"/>
  <c r="B75" i="3"/>
  <c r="M50" i="5"/>
  <c r="B20" i="5"/>
  <c r="B75" i="6"/>
  <c r="B31" i="5"/>
  <c r="B9" i="4"/>
  <c r="B20" i="6"/>
  <c r="B64" i="2"/>
  <c r="B31" i="3"/>
  <c r="B32" i="2"/>
  <c r="B86" i="6"/>
  <c r="L17" i="4"/>
  <c r="B43" i="3"/>
  <c r="B108" i="6"/>
  <c r="B97" i="6"/>
  <c r="B97" i="5"/>
  <c r="B76" i="2"/>
  <c r="B9" i="6"/>
  <c r="B109" i="2"/>
  <c r="B54" i="4"/>
  <c r="L61" i="4"/>
  <c r="P54" i="3"/>
  <c r="P109" i="6"/>
  <c r="P62" i="6"/>
  <c r="P87" i="4"/>
  <c r="P73" i="4"/>
  <c r="P109" i="4"/>
  <c r="P65" i="6"/>
  <c r="P95" i="5"/>
  <c r="P87" i="6"/>
  <c r="P76" i="4"/>
  <c r="P106" i="6"/>
  <c r="P84" i="6"/>
  <c r="P65" i="4"/>
  <c r="P51" i="3"/>
  <c r="P98" i="5"/>
  <c r="H63" i="6"/>
  <c r="D8" i="5"/>
  <c r="L41" i="2"/>
  <c r="H43" i="5"/>
  <c r="L107" i="6"/>
  <c r="D85" i="5"/>
  <c r="M8" i="3"/>
  <c r="L108" i="2"/>
  <c r="H97" i="2"/>
  <c r="L52" i="5"/>
  <c r="D109" i="4"/>
  <c r="M74" i="5"/>
  <c r="M41" i="2"/>
  <c r="H8" i="6"/>
  <c r="D63" i="5"/>
  <c r="L96" i="6"/>
  <c r="M63" i="2"/>
  <c r="L53" i="4"/>
  <c r="M75" i="2"/>
  <c r="H108" i="2"/>
  <c r="D96" i="3"/>
  <c r="M53" i="2"/>
  <c r="H19" i="2"/>
  <c r="H96" i="6"/>
  <c r="L8" i="6"/>
  <c r="L109" i="5"/>
  <c r="D65" i="4"/>
  <c r="L41" i="6"/>
  <c r="L8" i="3"/>
  <c r="D52" i="6"/>
  <c r="D85" i="2"/>
  <c r="H19" i="6"/>
  <c r="M9" i="2"/>
  <c r="L21" i="4"/>
  <c r="H75" i="2"/>
  <c r="H53" i="2"/>
  <c r="H96" i="3"/>
  <c r="H85" i="3"/>
  <c r="M75" i="4"/>
  <c r="L20" i="3"/>
  <c r="M52" i="6"/>
  <c r="M85" i="3"/>
  <c r="M86" i="4"/>
  <c r="D43" i="4"/>
  <c r="L75" i="4"/>
  <c r="D63" i="2"/>
  <c r="D85" i="3"/>
  <c r="L52" i="3"/>
  <c r="M8" i="4"/>
  <c r="M30" i="4"/>
  <c r="H74" i="5"/>
  <c r="D97" i="2"/>
  <c r="L31" i="2"/>
  <c r="D53" i="4"/>
  <c r="H8" i="5"/>
  <c r="H85" i="2"/>
  <c r="H107" i="6"/>
  <c r="H8" i="3"/>
  <c r="L43" i="4"/>
  <c r="L43" i="5"/>
  <c r="M107" i="3"/>
  <c r="D41" i="6"/>
  <c r="M108" i="2"/>
  <c r="D107" i="6"/>
  <c r="L30" i="5"/>
  <c r="H30" i="5"/>
  <c r="H41" i="6"/>
  <c r="M43" i="4"/>
  <c r="L63" i="5"/>
  <c r="L63" i="6"/>
  <c r="M109" i="4"/>
  <c r="H20" i="3"/>
  <c r="D74" i="6"/>
  <c r="H30" i="3"/>
  <c r="L96" i="5"/>
  <c r="H97" i="4"/>
  <c r="M31" i="2"/>
  <c r="H74" i="3"/>
  <c r="H75" i="4"/>
  <c r="M19" i="2"/>
  <c r="D31" i="2"/>
  <c r="D64" i="3"/>
  <c r="D21" i="4"/>
  <c r="H63" i="5"/>
  <c r="M74" i="3"/>
  <c r="L52" i="6"/>
  <c r="H64" i="3"/>
  <c r="M42" i="3"/>
  <c r="M85" i="5"/>
  <c r="H65" i="4"/>
  <c r="L64" i="3"/>
  <c r="L63" i="2"/>
  <c r="M8" i="5"/>
  <c r="M30" i="5"/>
  <c r="D109" i="5"/>
  <c r="D19" i="5"/>
  <c r="L107" i="3"/>
  <c r="D107" i="3"/>
  <c r="M52" i="3"/>
  <c r="H63" i="2"/>
  <c r="D8" i="3"/>
  <c r="H41" i="2"/>
  <c r="M41" i="6"/>
  <c r="H21" i="4"/>
  <c r="D74" i="5"/>
  <c r="L109" i="4"/>
  <c r="D30" i="5"/>
  <c r="L85" i="5"/>
  <c r="D85" i="6"/>
  <c r="H30" i="4"/>
  <c r="L97" i="4"/>
  <c r="M19" i="5"/>
  <c r="M85" i="6"/>
  <c r="L30" i="3"/>
  <c r="M97" i="4"/>
  <c r="L75" i="2"/>
  <c r="D108" i="2"/>
  <c r="H85" i="6"/>
  <c r="M63" i="6"/>
  <c r="H109" i="4"/>
  <c r="L74" i="5"/>
  <c r="M21" i="4"/>
  <c r="H52" i="5"/>
  <c r="D30" i="3"/>
  <c r="L19" i="6"/>
  <c r="L42" i="3"/>
  <c r="M107" i="6"/>
  <c r="L74" i="6"/>
  <c r="L86" i="4"/>
  <c r="L30" i="6"/>
  <c r="L74" i="3"/>
  <c r="H31" i="2"/>
  <c r="L85" i="3"/>
  <c r="H107" i="3"/>
  <c r="D97" i="4"/>
  <c r="L19" i="2"/>
  <c r="H96" i="5"/>
  <c r="M97" i="2"/>
  <c r="L96" i="3"/>
  <c r="D42" i="3"/>
  <c r="D19" i="2"/>
  <c r="M52" i="5"/>
  <c r="D9" i="2"/>
  <c r="D8" i="6"/>
  <c r="M65" i="4"/>
  <c r="D41" i="2"/>
  <c r="D52" i="3"/>
  <c r="D30" i="4"/>
  <c r="L85" i="6"/>
  <c r="M43" i="5"/>
  <c r="D53" i="2"/>
  <c r="D74" i="3"/>
  <c r="H52" i="3"/>
  <c r="H30" i="6"/>
  <c r="H74" i="6"/>
  <c r="D96" i="5"/>
  <c r="H86" i="4"/>
  <c r="L53" i="2"/>
  <c r="H8" i="4"/>
  <c r="H53" i="4"/>
  <c r="H85" i="5"/>
  <c r="D96" i="6"/>
  <c r="L9" i="2"/>
  <c r="H52" i="6"/>
  <c r="L19" i="5"/>
  <c r="M96" i="3"/>
  <c r="H43" i="4"/>
  <c r="D19" i="6"/>
  <c r="D43" i="5"/>
  <c r="D30" i="6"/>
  <c r="M74" i="6"/>
  <c r="D20" i="3"/>
  <c r="L30" i="4"/>
  <c r="H109" i="5"/>
  <c r="L65" i="4"/>
  <c r="L8" i="4"/>
  <c r="H42" i="3"/>
  <c r="M85" i="2"/>
  <c r="D63" i="6"/>
  <c r="H9" i="2"/>
  <c r="M8" i="6"/>
  <c r="D75" i="2"/>
  <c r="D75" i="4"/>
  <c r="H19" i="5"/>
  <c r="M30" i="6"/>
  <c r="M96" i="6"/>
  <c r="D8" i="4"/>
  <c r="D52" i="5"/>
  <c r="L8" i="5"/>
  <c r="M19" i="6"/>
  <c r="M30" i="3"/>
  <c r="L85" i="2"/>
  <c r="M53" i="4"/>
  <c r="M20" i="3"/>
  <c r="M64" i="3"/>
  <c r="M96" i="5"/>
  <c r="L97" i="2"/>
  <c r="M109" i="5"/>
  <c r="D86" i="4"/>
  <c r="M63" i="5"/>
  <c r="P18" i="4"/>
  <c r="P21" i="4"/>
  <c r="P40" i="4"/>
  <c r="P43" i="4"/>
  <c r="P43" i="5"/>
  <c r="P40" i="5"/>
  <c r="J96" i="6" l="1"/>
  <c r="N41" i="6"/>
  <c r="N30" i="5"/>
  <c r="J97" i="2"/>
  <c r="N8" i="3"/>
  <c r="N53" i="4"/>
  <c r="N96" i="6"/>
  <c r="N31" i="2"/>
  <c r="N74" i="6"/>
  <c r="N85" i="2"/>
  <c r="J74" i="6"/>
  <c r="N64" i="3"/>
  <c r="N97" i="2"/>
  <c r="J30" i="4"/>
  <c r="N52" i="3"/>
  <c r="J85" i="2"/>
  <c r="N30" i="4"/>
  <c r="J65" i="4"/>
  <c r="J45" i="4"/>
  <c r="J46" i="4"/>
  <c r="N30" i="6"/>
  <c r="N65" i="4"/>
  <c r="J109" i="4"/>
  <c r="J30" i="3"/>
  <c r="J43" i="4"/>
  <c r="J85" i="5"/>
  <c r="J30" i="6"/>
  <c r="N109" i="4"/>
  <c r="N19" i="5"/>
  <c r="N43" i="4"/>
  <c r="N53" i="2"/>
  <c r="J108" i="2"/>
  <c r="J107" i="6"/>
  <c r="N41" i="2"/>
  <c r="N85" i="5"/>
  <c r="N30" i="3"/>
  <c r="J19" i="5"/>
  <c r="J85" i="3"/>
  <c r="J53" i="2"/>
  <c r="N96" i="5"/>
  <c r="N96" i="3"/>
  <c r="J53" i="4"/>
  <c r="J52" i="3"/>
  <c r="J23" i="4"/>
  <c r="J24" i="4"/>
  <c r="J107" i="3"/>
  <c r="J21" i="4"/>
  <c r="N107" i="3"/>
  <c r="J8" i="5"/>
  <c r="J52" i="5"/>
  <c r="N8" i="5"/>
  <c r="N42" i="3"/>
  <c r="J74" i="3"/>
  <c r="N86" i="4"/>
  <c r="J43" i="5"/>
  <c r="N19" i="6"/>
  <c r="N63" i="5"/>
  <c r="J97" i="4"/>
  <c r="N109" i="5"/>
  <c r="J46" i="5"/>
  <c r="J45" i="5"/>
  <c r="J75" i="2"/>
  <c r="J109" i="5"/>
  <c r="J8" i="4"/>
  <c r="J20" i="3"/>
  <c r="J63" i="5"/>
  <c r="J41" i="6"/>
  <c r="J31" i="2"/>
  <c r="N108" i="2"/>
  <c r="J41" i="2"/>
  <c r="J63" i="2"/>
  <c r="N63" i="2"/>
  <c r="J74" i="5"/>
  <c r="N74" i="5"/>
  <c r="J64" i="3"/>
  <c r="N85" i="3"/>
  <c r="N75" i="4"/>
  <c r="J96" i="3"/>
  <c r="N63" i="6"/>
  <c r="N52" i="5"/>
  <c r="N97" i="4"/>
  <c r="N85" i="6"/>
  <c r="J30" i="5"/>
  <c r="J19" i="2"/>
  <c r="N107" i="6"/>
  <c r="N19" i="2"/>
  <c r="J8" i="6"/>
  <c r="N52" i="6"/>
  <c r="N8" i="6"/>
  <c r="N21" i="4"/>
  <c r="J42" i="3"/>
  <c r="J52" i="6"/>
  <c r="J86" i="4"/>
  <c r="N43" i="5"/>
  <c r="J19" i="6"/>
  <c r="N75" i="2"/>
  <c r="J75" i="4"/>
  <c r="N8" i="4"/>
  <c r="N74" i="3"/>
  <c r="J63" i="6"/>
  <c r="J9" i="2"/>
  <c r="J85" i="6"/>
  <c r="N9" i="2"/>
  <c r="N20" i="3"/>
  <c r="J96" i="5"/>
  <c r="J8" i="3"/>
  <c r="B32" i="5"/>
  <c r="B43" i="6"/>
  <c r="B54" i="3"/>
  <c r="B32" i="3"/>
  <c r="B76" i="6"/>
  <c r="B87" i="2"/>
  <c r="B32" i="4"/>
  <c r="B32" i="6"/>
  <c r="B87" i="5"/>
  <c r="B87" i="3"/>
  <c r="B10" i="6"/>
  <c r="B54" i="5"/>
  <c r="B65" i="2"/>
  <c r="B54" i="6"/>
  <c r="B76" i="3"/>
  <c r="B21" i="2"/>
  <c r="B87" i="6"/>
  <c r="B10" i="3"/>
  <c r="B98" i="6"/>
  <c r="B21" i="5"/>
  <c r="B43" i="2"/>
  <c r="B109" i="6"/>
  <c r="B10" i="5"/>
  <c r="B109" i="3"/>
  <c r="B21" i="6"/>
  <c r="B65" i="5"/>
  <c r="B98" i="5"/>
  <c r="B98" i="3"/>
  <c r="B10" i="4"/>
  <c r="B76" i="5"/>
  <c r="B65" i="6"/>
  <c r="L21" i="3"/>
  <c r="L86" i="5"/>
  <c r="M64" i="5"/>
  <c r="H86" i="3"/>
  <c r="H108" i="3"/>
  <c r="H97" i="3"/>
  <c r="L20" i="2"/>
  <c r="H21" i="3"/>
  <c r="M20" i="6"/>
  <c r="M64" i="2"/>
  <c r="H76" i="2"/>
  <c r="H86" i="6"/>
  <c r="M53" i="3"/>
  <c r="M98" i="4"/>
  <c r="H75" i="5"/>
  <c r="D86" i="5"/>
  <c r="L76" i="4"/>
  <c r="H54" i="4"/>
  <c r="H98" i="2"/>
  <c r="H75" i="3"/>
  <c r="H87" i="4"/>
  <c r="H98" i="4"/>
  <c r="H97" i="6"/>
  <c r="D64" i="5"/>
  <c r="D20" i="6"/>
  <c r="M31" i="4"/>
  <c r="D76" i="2"/>
  <c r="L53" i="6"/>
  <c r="L64" i="5"/>
  <c r="H43" i="3"/>
  <c r="D54" i="4"/>
  <c r="L43" i="3"/>
  <c r="L54" i="2"/>
  <c r="M53" i="5"/>
  <c r="L31" i="3"/>
  <c r="D9" i="4"/>
  <c r="D31" i="3"/>
  <c r="D43" i="3"/>
  <c r="M75" i="5"/>
  <c r="H53" i="6"/>
  <c r="H64" i="6"/>
  <c r="M75" i="3"/>
  <c r="H32" i="2"/>
  <c r="L53" i="3"/>
  <c r="L20" i="6"/>
  <c r="M87" i="4"/>
  <c r="L54" i="4"/>
  <c r="L9" i="3"/>
  <c r="D32" i="2"/>
  <c r="L86" i="3"/>
  <c r="D20" i="2"/>
  <c r="M86" i="5"/>
  <c r="L75" i="3"/>
  <c r="D9" i="3"/>
  <c r="M42" i="2"/>
  <c r="D54" i="2"/>
  <c r="H64" i="5"/>
  <c r="M31" i="6"/>
  <c r="D75" i="5"/>
  <c r="H42" i="6"/>
  <c r="M86" i="2"/>
  <c r="M9" i="6"/>
  <c r="L42" i="2"/>
  <c r="L76" i="2"/>
  <c r="D97" i="5"/>
  <c r="H86" i="5"/>
  <c r="L65" i="3"/>
  <c r="M42" i="6"/>
  <c r="D31" i="6"/>
  <c r="H108" i="6"/>
  <c r="M97" i="5"/>
  <c r="L42" i="6"/>
  <c r="H75" i="6"/>
  <c r="M54" i="2"/>
  <c r="D109" i="2"/>
  <c r="M20" i="2"/>
  <c r="H31" i="5"/>
  <c r="D87" i="4"/>
  <c r="D42" i="6"/>
  <c r="L32" i="2"/>
  <c r="H53" i="5"/>
  <c r="H20" i="5"/>
  <c r="D53" i="5"/>
  <c r="D97" i="3"/>
  <c r="D108" i="6"/>
  <c r="H97" i="5"/>
  <c r="M10" i="2"/>
  <c r="D53" i="6"/>
  <c r="L31" i="4"/>
  <c r="H20" i="2"/>
  <c r="M9" i="4"/>
  <c r="L109" i="2"/>
  <c r="M9" i="5"/>
  <c r="M31" i="3"/>
  <c r="M43" i="3"/>
  <c r="M53" i="6"/>
  <c r="D65" i="3"/>
  <c r="D75" i="3"/>
  <c r="L20" i="5"/>
  <c r="H42" i="2"/>
  <c r="D75" i="6"/>
  <c r="L97" i="5"/>
  <c r="H54" i="2"/>
  <c r="M76" i="4"/>
  <c r="L75" i="5"/>
  <c r="L98" i="4"/>
  <c r="H109" i="2"/>
  <c r="M98" i="2"/>
  <c r="L64" i="6"/>
  <c r="M108" i="3"/>
  <c r="D21" i="3"/>
  <c r="H64" i="2"/>
  <c r="L64" i="2"/>
  <c r="L9" i="5"/>
  <c r="D31" i="5"/>
  <c r="H65" i="3"/>
  <c r="D86" i="3"/>
  <c r="L75" i="6"/>
  <c r="H20" i="6"/>
  <c r="H9" i="3"/>
  <c r="H53" i="3"/>
  <c r="L31" i="5"/>
  <c r="H31" i="6"/>
  <c r="L31" i="6"/>
  <c r="L53" i="5"/>
  <c r="H10" i="2"/>
  <c r="H76" i="4"/>
  <c r="M54" i="4"/>
  <c r="D98" i="2"/>
  <c r="M109" i="2"/>
  <c r="D98" i="4"/>
  <c r="L87" i="4"/>
  <c r="L86" i="6"/>
  <c r="D108" i="3"/>
  <c r="L10" i="2"/>
  <c r="H9" i="4"/>
  <c r="D31" i="4"/>
  <c r="D53" i="3"/>
  <c r="D10" i="2"/>
  <c r="D86" i="6"/>
  <c r="H86" i="2"/>
  <c r="H31" i="3"/>
  <c r="M86" i="6"/>
  <c r="L97" i="3"/>
  <c r="D42" i="2"/>
  <c r="D76" i="4"/>
  <c r="M32" i="2"/>
  <c r="L9" i="4"/>
  <c r="D97" i="6"/>
  <c r="D64" i="6"/>
  <c r="M97" i="6"/>
  <c r="L86" i="2"/>
  <c r="M76" i="2"/>
  <c r="L97" i="6"/>
  <c r="L108" i="6"/>
  <c r="M21" i="3"/>
  <c r="M75" i="6"/>
  <c r="M86" i="3"/>
  <c r="D9" i="6"/>
  <c r="H31" i="4"/>
  <c r="L108" i="3"/>
  <c r="H9" i="6"/>
  <c r="D9" i="5"/>
  <c r="M64" i="6"/>
  <c r="M65" i="3"/>
  <c r="D86" i="2"/>
  <c r="M97" i="3"/>
  <c r="M9" i="3"/>
  <c r="L9" i="6"/>
  <c r="D20" i="5"/>
  <c r="M20" i="5"/>
  <c r="M31" i="5"/>
  <c r="M108" i="6"/>
  <c r="H9" i="5"/>
  <c r="L98" i="2"/>
  <c r="D64" i="2"/>
  <c r="P18" i="3"/>
  <c r="P21" i="3"/>
  <c r="P40" i="3"/>
  <c r="P43" i="3"/>
  <c r="P29" i="2"/>
  <c r="P32" i="2"/>
  <c r="P7" i="2"/>
  <c r="P10" i="2"/>
  <c r="J35" i="2" l="1"/>
  <c r="J34" i="2"/>
  <c r="N20" i="5"/>
  <c r="N20" i="2"/>
  <c r="N54" i="2"/>
  <c r="J9" i="4"/>
  <c r="N32" i="2"/>
  <c r="J76" i="4"/>
  <c r="J31" i="6"/>
  <c r="J53" i="3"/>
  <c r="N9" i="4"/>
  <c r="J98" i="2"/>
  <c r="N31" i="6"/>
  <c r="N53" i="3"/>
  <c r="N108" i="3"/>
  <c r="N98" i="2"/>
  <c r="N76" i="4"/>
  <c r="J53" i="5"/>
  <c r="J97" i="3"/>
  <c r="J45" i="3"/>
  <c r="J46" i="3"/>
  <c r="N97" i="3"/>
  <c r="J43" i="3"/>
  <c r="J9" i="6"/>
  <c r="J31" i="4"/>
  <c r="N43" i="3"/>
  <c r="J97" i="6"/>
  <c r="J87" i="4"/>
  <c r="N9" i="6"/>
  <c r="J65" i="3"/>
  <c r="J75" i="5"/>
  <c r="J64" i="2"/>
  <c r="J20" i="5"/>
  <c r="N64" i="2"/>
  <c r="J54" i="2"/>
  <c r="N20" i="6"/>
  <c r="J32" i="2"/>
  <c r="J108" i="3"/>
  <c r="N53" i="5"/>
  <c r="N97" i="6"/>
  <c r="N65" i="3"/>
  <c r="N97" i="5"/>
  <c r="N31" i="4"/>
  <c r="N9" i="5"/>
  <c r="J9" i="3"/>
  <c r="J75" i="3"/>
  <c r="J42" i="6"/>
  <c r="J97" i="5"/>
  <c r="N75" i="3"/>
  <c r="J86" i="3"/>
  <c r="J86" i="2"/>
  <c r="J13" i="2"/>
  <c r="J12" i="2"/>
  <c r="J9" i="5"/>
  <c r="N9" i="3"/>
  <c r="J108" i="6"/>
  <c r="N86" i="3"/>
  <c r="N42" i="6"/>
  <c r="J10" i="2"/>
  <c r="J54" i="4"/>
  <c r="N10" i="2"/>
  <c r="J64" i="5"/>
  <c r="J86" i="6"/>
  <c r="J76" i="2"/>
  <c r="J109" i="2"/>
  <c r="J64" i="6"/>
  <c r="N64" i="5"/>
  <c r="N76" i="2"/>
  <c r="J75" i="6"/>
  <c r="N108" i="6"/>
  <c r="N109" i="2"/>
  <c r="N75" i="6"/>
  <c r="N54" i="4"/>
  <c r="J98" i="4"/>
  <c r="N86" i="6"/>
  <c r="J42" i="2"/>
  <c r="J21" i="3"/>
  <c r="J53" i="6"/>
  <c r="N31" i="5"/>
  <c r="N64" i="6"/>
  <c r="N21" i="3"/>
  <c r="N53" i="6"/>
  <c r="J86" i="5"/>
  <c r="N31" i="3"/>
  <c r="J20" i="6"/>
  <c r="J20" i="2"/>
  <c r="N86" i="2"/>
  <c r="N98" i="4"/>
  <c r="N42" i="2"/>
  <c r="J24" i="3"/>
  <c r="J23" i="3"/>
  <c r="N86" i="5"/>
  <c r="J31" i="3"/>
  <c r="N87" i="4"/>
  <c r="N75" i="5"/>
  <c r="J31" i="5"/>
  <c r="L98" i="5"/>
  <c r="L87" i="3"/>
  <c r="H65" i="2"/>
  <c r="D54" i="5"/>
  <c r="L76" i="6"/>
  <c r="L21" i="5"/>
  <c r="L21" i="2"/>
  <c r="D98" i="5"/>
  <c r="L87" i="2"/>
  <c r="H10" i="4"/>
  <c r="H10" i="6"/>
  <c r="H54" i="3"/>
  <c r="L109" i="6"/>
  <c r="H43" i="6"/>
  <c r="M32" i="5"/>
  <c r="H32" i="3"/>
  <c r="D54" i="3"/>
  <c r="H109" i="6"/>
  <c r="H32" i="5"/>
  <c r="L32" i="5"/>
  <c r="M32" i="3"/>
  <c r="D65" i="2"/>
  <c r="L65" i="2"/>
  <c r="H43" i="2"/>
  <c r="H87" i="3"/>
  <c r="L87" i="6"/>
  <c r="H98" i="6"/>
  <c r="M32" i="6"/>
  <c r="L87" i="5"/>
  <c r="D32" i="6"/>
  <c r="H32" i="6"/>
  <c r="H65" i="6"/>
  <c r="L43" i="2"/>
  <c r="M109" i="3"/>
  <c r="H32" i="4"/>
  <c r="M76" i="5"/>
  <c r="L98" i="6"/>
  <c r="D98" i="3"/>
  <c r="M10" i="4"/>
  <c r="D87" i="2"/>
  <c r="M65" i="5"/>
  <c r="L54" i="6"/>
  <c r="M87" i="3"/>
  <c r="D87" i="3"/>
  <c r="D43" i="2"/>
  <c r="D65" i="6"/>
  <c r="D87" i="6"/>
  <c r="M87" i="6"/>
  <c r="M21" i="5"/>
  <c r="L109" i="3"/>
  <c r="H76" i="6"/>
  <c r="M98" i="5"/>
  <c r="H21" i="5"/>
  <c r="D109" i="3"/>
  <c r="L43" i="6"/>
  <c r="M10" i="5"/>
  <c r="L10" i="5"/>
  <c r="H98" i="3"/>
  <c r="L54" i="3"/>
  <c r="L65" i="6"/>
  <c r="H10" i="3"/>
  <c r="D98" i="6"/>
  <c r="H87" i="5"/>
  <c r="L65" i="5"/>
  <c r="M98" i="3"/>
  <c r="M76" i="6"/>
  <c r="M54" i="3"/>
  <c r="H87" i="6"/>
  <c r="M10" i="6"/>
  <c r="D76" i="5"/>
  <c r="H54" i="6"/>
  <c r="D32" i="3"/>
  <c r="M65" i="6"/>
  <c r="D109" i="6"/>
  <c r="M65" i="2"/>
  <c r="D65" i="5"/>
  <c r="L76" i="3"/>
  <c r="M76" i="3"/>
  <c r="H65" i="5"/>
  <c r="M32" i="4"/>
  <c r="D87" i="5"/>
  <c r="D10" i="4"/>
  <c r="H76" i="3"/>
  <c r="H54" i="5"/>
  <c r="L10" i="4"/>
  <c r="L98" i="3"/>
  <c r="D21" i="6"/>
  <c r="M21" i="2"/>
  <c r="D10" i="6"/>
  <c r="D32" i="4"/>
  <c r="H98" i="5"/>
  <c r="M87" i="2"/>
  <c r="M87" i="5"/>
  <c r="D43" i="6"/>
  <c r="H87" i="2"/>
  <c r="M98" i="6"/>
  <c r="M54" i="6"/>
  <c r="L21" i="6"/>
  <c r="L10" i="6"/>
  <c r="D10" i="5"/>
  <c r="M21" i="6"/>
  <c r="D21" i="5"/>
  <c r="M10" i="3"/>
  <c r="H76" i="5"/>
  <c r="D10" i="3"/>
  <c r="H21" i="6"/>
  <c r="D32" i="5"/>
  <c r="H109" i="3"/>
  <c r="M43" i="2"/>
  <c r="D54" i="6"/>
  <c r="L32" i="6"/>
  <c r="L10" i="3"/>
  <c r="M43" i="6"/>
  <c r="L76" i="5"/>
  <c r="H10" i="5"/>
  <c r="D76" i="3"/>
  <c r="D76" i="6"/>
  <c r="H21" i="2"/>
  <c r="L32" i="4"/>
  <c r="M54" i="5"/>
  <c r="L54" i="5"/>
  <c r="M109" i="6"/>
  <c r="L32" i="3"/>
  <c r="D21" i="2"/>
  <c r="P21" i="5"/>
  <c r="P18" i="5"/>
  <c r="P18" i="2"/>
  <c r="P21" i="2"/>
  <c r="P32" i="5"/>
  <c r="P29" i="5"/>
  <c r="P40" i="2"/>
  <c r="P43" i="2"/>
  <c r="P43" i="6"/>
  <c r="P40" i="6"/>
  <c r="P7" i="5"/>
  <c r="P10" i="5"/>
  <c r="P10" i="4"/>
  <c r="P7" i="4"/>
  <c r="P21" i="6"/>
  <c r="P18" i="6"/>
  <c r="P7" i="6"/>
  <c r="P10" i="6"/>
  <c r="P32" i="6"/>
  <c r="P29" i="6"/>
  <c r="P10" i="3"/>
  <c r="P7" i="3"/>
  <c r="P29" i="4"/>
  <c r="P32" i="4"/>
  <c r="P32" i="3"/>
  <c r="P29" i="3"/>
  <c r="J109" i="3" l="1"/>
  <c r="J13" i="3"/>
  <c r="J12" i="3"/>
  <c r="N10" i="3"/>
  <c r="N87" i="3"/>
  <c r="N65" i="5"/>
  <c r="N10" i="4"/>
  <c r="N98" i="6"/>
  <c r="N54" i="5"/>
  <c r="J10" i="4"/>
  <c r="J21" i="2"/>
  <c r="J65" i="6"/>
  <c r="N32" i="6"/>
  <c r="J13" i="4"/>
  <c r="J12" i="4"/>
  <c r="J21" i="5"/>
  <c r="J98" i="6"/>
  <c r="J45" i="2"/>
  <c r="J46" i="2"/>
  <c r="N65" i="6"/>
  <c r="J23" i="5"/>
  <c r="J24" i="5"/>
  <c r="J13" i="5"/>
  <c r="J12" i="5"/>
  <c r="J32" i="3"/>
  <c r="J87" i="6"/>
  <c r="J45" i="6"/>
  <c r="J46" i="6"/>
  <c r="N76" i="5"/>
  <c r="J32" i="4"/>
  <c r="J34" i="4"/>
  <c r="J35" i="4"/>
  <c r="J98" i="3"/>
  <c r="J76" i="3"/>
  <c r="N98" i="5"/>
  <c r="J65" i="2"/>
  <c r="N32" i="3"/>
  <c r="J34" i="5"/>
  <c r="J35" i="5"/>
  <c r="J32" i="5"/>
  <c r="J54" i="6"/>
  <c r="N10" i="6"/>
  <c r="N76" i="6"/>
  <c r="N98" i="3"/>
  <c r="N87" i="5"/>
  <c r="J87" i="5"/>
  <c r="N109" i="3"/>
  <c r="J98" i="5"/>
  <c r="N21" i="2"/>
  <c r="J23" i="6"/>
  <c r="J24" i="6"/>
  <c r="N10" i="5"/>
  <c r="N32" i="4"/>
  <c r="J76" i="6"/>
  <c r="J87" i="3"/>
  <c r="N76" i="3"/>
  <c r="J23" i="2"/>
  <c r="J24" i="2"/>
  <c r="N43" i="2"/>
  <c r="J21" i="6"/>
  <c r="J10" i="5"/>
  <c r="J34" i="3"/>
  <c r="J35" i="3"/>
  <c r="N21" i="6"/>
  <c r="N43" i="6"/>
  <c r="N32" i="5"/>
  <c r="J43" i="6"/>
  <c r="J87" i="2"/>
  <c r="J54" i="3"/>
  <c r="N87" i="2"/>
  <c r="J10" i="3"/>
  <c r="J13" i="6"/>
  <c r="J12" i="6"/>
  <c r="J32" i="6"/>
  <c r="J35" i="6"/>
  <c r="J34" i="6"/>
  <c r="J54" i="5"/>
  <c r="J65" i="5"/>
  <c r="J43" i="2"/>
  <c r="N21" i="5"/>
  <c r="N87" i="6"/>
  <c r="N65" i="2"/>
  <c r="J76" i="5"/>
  <c r="J109" i="6"/>
  <c r="N109" i="6"/>
  <c r="N54" i="6"/>
  <c r="N54" i="3"/>
  <c r="J10" i="6"/>
</calcChain>
</file>

<file path=xl/sharedStrings.xml><?xml version="1.0" encoding="utf-8"?>
<sst xmlns="http://schemas.openxmlformats.org/spreadsheetml/2006/main" count="7317" uniqueCount="190">
  <si>
    <t/>
  </si>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</sst>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3" fillId="0" borderId="0" xfId="0" applyFont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2" fontId="5" fillId="3" borderId="1" xfId="0" applyNumberFormat="1" applyFont="1" applyFill="1" applyBorder="1" applyAlignment="1">
      <alignment horizontal="center" vertical="center"/>
    </xf>
    <xf numFmtId="182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1" fontId="25" fillId="5" borderId="1" xfId="0" applyNumberFormat="1" applyFont="1" applyFill="1" applyBorder="1" applyAlignment="1">
      <alignment horizontal="center" vertical="center"/>
    </xf>
    <xf numFmtId="181" fontId="25" fillId="5" borderId="0" xfId="0" applyNumberFormat="1" applyFont="1" applyFill="1" applyAlignment="1">
      <alignment horizontal="center" vertical="center"/>
    </xf>
    <xf numFmtId="181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14" fontId="13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D3-4EA7-B37C-2A16DCEE07F2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D3-4EA7-B37C-2A16DCEE07F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D3-4EA7-B37C-2A16DCEE07F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D3-4EA7-B37C-2A16DCEE0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D9-4B9A-9707-DB04D11E9B36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D9-4B9A-9707-DB04D11E9B3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D9-4B9A-9707-DB04D11E9B3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D9-4B9A-9707-DB04D11E9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23-4B01-9CF9-C4C1AC4B1AFA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23-4B01-9CF9-C4C1AC4B1A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23-4B01-9CF9-C4C1AC4B1A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23-4B01-9CF9-C4C1AC4B1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F9-47B8-B413-117AC54CE485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F9-47B8-B413-117AC54CE48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F9-47B8-B413-117AC54CE48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F9-47B8-B413-117AC54CE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ED-4DCA-8030-4CE292A457B4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ED-4DCA-8030-4CE292A457B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ED-4DCA-8030-4CE292A457B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0ED-4DCA-8030-4CE292A45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7E-4BA4-A76C-3E208A1F56E6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7E-4BA4-A76C-3E208A1F56E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7E-4BA4-A76C-3E208A1F56E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7E-4BA4-A76C-3E208A1F5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C9-498A-93A7-3CD5596089D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C9-498A-93A7-3CD5596089D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C9-498A-93A7-3CD559608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0C-4BB7-8AB5-83AA648C902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0C-4BB7-8AB5-83AA648C902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0C-4BB7-8AB5-83AA648C9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D-4A59-8CA9-AF0CAD8A9CC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6D-4A59-8CA9-AF0CAD8A9CC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6D-4A59-8CA9-AF0CAD8A9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4D-4B48-8AA8-3A3BE4DE7EAD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4D-4B48-8AA8-3A3BE4DE7EA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4D-4B48-8AA8-3A3BE4DE7EA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4D-4B48-8AA8-3A3BE4DE7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8-44D9-97BF-BD6CDA177D63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8-44D9-97BF-BD6CDA177D6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8-44D9-97BF-BD6CDA177D6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28-44D9-97BF-BD6CDA177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21-4936-B648-BC6CF56188CC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21-4936-B648-BC6CF56188C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21-4936-B648-BC6CF56188C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21-4936-B648-BC6CF5618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5A-4255-8909-A3BD91F3190F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5A-4255-8909-A3BD91F3190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5A-4255-8909-A3BD91F3190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5A-4255-8909-A3BD91F31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58-4244-8750-99CC0A9C6903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58-4244-8750-99CC0A9C690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58-4244-8750-99CC0A9C690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58-4244-8750-99CC0A9C6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DD-43DF-8D4A-A8B5CAF5DA61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DD-43DF-8D4A-A8B5CAF5DA6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DD-43DF-8D4A-A8B5CAF5DA6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DD-43DF-8D4A-A8B5CAF5D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B-4FB4-842A-F1C0E599014D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BB-4FB4-842A-F1C0E599014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BB-4FB4-842A-F1C0E599014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BB-4FB4-842A-F1C0E5990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3D-4AF5-8AD4-EF30E11630DD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3D-4AF5-8AD4-EF30E11630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3D-4AF5-8AD4-EF30E11630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43D-4AF5-8AD4-EF30E1163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77-4B08-8E7F-0B6DE4231B8E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77-4B08-8E7F-0B6DE4231B8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77-4B08-8E7F-0B6DE4231B8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77-4B08-8E7F-0B6DE4231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DA-422C-A083-28BD9472B12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DA-422C-A083-28BD9472B12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DA-422C-A083-28BD9472B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EA-45EF-A45F-62D01C1B868C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EA-45EF-A45F-62D01C1B868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EA-45EF-A45F-62D01C1B868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EA-45EF-A45F-62D01C1B8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19-42F8-8962-E107FC38D600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19-42F8-8962-E107FC38D60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19-42F8-8962-E107FC38D60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19-42F8-8962-E107FC38D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39-4461-B303-8D4A90D1DF9A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39-4461-B303-8D4A90D1DF9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39-4461-B303-8D4A90D1DF9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39-4461-B303-8D4A90D1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F-4BD1-A227-9F48D28036BA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8F-4BD1-A227-9F48D28036B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8F-4BD1-A227-9F48D28036B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8F-4BD1-A227-9F48D2803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55-4824-BA9E-79EE44B6C6B7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55-4824-BA9E-79EE44B6C6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55-4824-BA9E-79EE44B6C6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55-4824-BA9E-79EE44B6C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E8-4FC8-8F8D-D3B2F6A8AB54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E8-4FC8-8F8D-D3B2F6A8AB5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E8-4FC8-8F8D-D3B2F6A8AB5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E8-4FC8-8F8D-D3B2F6A8A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F8-4860-AD01-9E99CB2AF7F1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F8-4860-AD01-9E99CB2AF7F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F8-4860-AD01-9E99CB2AF7F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F8-4860-AD01-9E99CB2AF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3D-4FA4-846D-08E2483FF34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3D-4FA4-846D-08E2483FF34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3D-4FA4-846D-08E2483FF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17-406E-B2AA-27F399DD8CD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17-406E-B2AA-27F399DD8CD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17-406E-B2AA-27F399DD8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DF-4EF9-A65A-62ED7BB8EB4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DF-4EF9-A65A-62ED7BB8EB4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DF-4EF9-A65A-62ED7BB8E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2B-438D-9FEA-0C92BFABA53B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2B-438D-9FEA-0C92BFABA53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2B-438D-9FEA-0C92BFABA53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2B-438D-9FEA-0C92BFABA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F1-447F-99D7-077FEA1282A9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F1-447F-99D7-077FEA1282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F1-447F-99D7-077FEA1282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F1-447F-99D7-077FEA128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D5-4134-ABA7-FEB9B50B5E90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D5-4134-ABA7-FEB9B50B5E9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D5-4134-ABA7-FEB9B50B5E9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D5-4134-ABA7-FEB9B50B5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03-4C4D-AC17-67382CFB132A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03-4C4D-AC17-67382CFB132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03-4C4D-AC17-67382CFB132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03-4C4D-AC17-67382CFB1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E-432E-B003-66AE4A2A693E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3E-432E-B003-66AE4A2A693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3E-432E-B003-66AE4A2A693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3E-432E-B003-66AE4A2A6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BC-43B0-BA3F-5BAE01835BDA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BC-43B0-BA3F-5BAE01835BD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BC-43B0-BA3F-5BAE01835BD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BC-43B0-BA3F-5BAE0183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D5-4117-9FE0-0665B452F1B3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D5-4117-9FE0-0665B452F1B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D5-4117-9FE0-0665B452F1B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D5-4117-9FE0-0665B452F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2E-4D29-A3C5-A86AE07B86A0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2E-4D29-A3C5-A86AE07B86A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2E-4D29-A3C5-A86AE07B86A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2E-4D29-A3C5-A86AE07B8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AF-4CF2-936D-8C3BA537C0D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AF-4CF2-936D-8C3BA537C0D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AF-4CF2-936D-8C3BA537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25-46D8-966F-88E5A3B337B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25-46D8-966F-88E5A3B337B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25-46D8-966F-88E5A3B33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F2-4C9F-B76F-92873A2FA89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F2-4C9F-B76F-92873A2FA89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F2-4C9F-B76F-92873A2FA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BB-47BF-8649-2C0C525771AD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BB-47BF-8649-2C0C525771A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BB-47BF-8649-2C0C525771A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BB-47BF-8649-2C0C52577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36-4EC7-ADB3-CFB0BC9B2827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36-4EC7-ADB3-CFB0BC9B282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36-4EC7-ADB3-CFB0BC9B282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36-4EC7-ADB3-CFB0BC9B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2D-4B0B-88C5-F5A0E2A168AA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2D-4B0B-88C5-F5A0E2A168A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2D-4B0B-88C5-F5A0E2A168A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2D-4B0B-88C5-F5A0E2A16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A4-4262-91FE-A3EB92A95934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A4-4262-91FE-A3EB92A9593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A4-4262-91FE-A3EB92A9593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A4-4262-91FE-A3EB92A95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41-40F5-8C8F-C13D6290E215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41-40F5-8C8F-C13D6290E21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41-40F5-8C8F-C13D6290E21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41-40F5-8C8F-C13D6290E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14-438A-8404-D7A72C2436CC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14-438A-8404-D7A72C2436C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14-438A-8404-D7A72C2436C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14-438A-8404-D7A72C243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B9-480B-AE0E-E3B5ED555D01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B9-480B-AE0E-E3B5ED555D0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B9-480B-AE0E-E3B5ED555D0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B9-480B-AE0E-E3B5ED555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30-42C1-AE76-8174F05A3AF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30-42C1-AE76-8174F05A3AF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30-42C1-AE76-8174F05A3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62-45DD-BB41-97760D7A47D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62-45DD-BB41-97760D7A47D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62-45DD-BB41-97760D7A4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8-43D0-8163-98B3509DC20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88-43D0-8163-98B3509DC20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88-43D0-8163-98B3509DC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D1-44B2-9ACC-C7E5D9BB4937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D1-44B2-9ACC-C7E5D9BB493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D1-44B2-9ACC-C7E5D9BB493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D1-44B2-9ACC-C7E5D9BB4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C3" sqref="C3:H3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0" width="8.59765625" style="15" customWidth="1"/>
    <col min="11" max="16384" width="8.59765625" style="15"/>
  </cols>
  <sheetData>
    <row r="1" spans="1:9" x14ac:dyDescent="0.25">
      <c r="A1" s="173" t="s">
        <v>0</v>
      </c>
      <c r="B1" s="168"/>
      <c r="C1" s="168"/>
      <c r="D1" s="173" t="s">
        <v>0</v>
      </c>
      <c r="E1" s="173" t="s">
        <v>0</v>
      </c>
      <c r="F1" s="173"/>
      <c r="G1" s="173"/>
      <c r="H1" s="173"/>
      <c r="I1" s="173" t="s">
        <v>0</v>
      </c>
    </row>
    <row r="2" spans="1:9" x14ac:dyDescent="0.25">
      <c r="A2" s="168"/>
      <c r="B2" s="5"/>
      <c r="C2" s="150"/>
      <c r="D2" s="168"/>
      <c r="E2" s="168"/>
      <c r="F2" s="168"/>
      <c r="G2" s="168"/>
      <c r="H2" s="168"/>
      <c r="I2" s="168"/>
    </row>
    <row r="3" spans="1:9" x14ac:dyDescent="0.25">
      <c r="A3" s="168"/>
      <c r="B3" s="5" t="s">
        <v>1</v>
      </c>
      <c r="C3" s="274" t="s">
        <v>2</v>
      </c>
      <c r="D3" s="275"/>
      <c r="E3" s="275"/>
      <c r="F3" s="275"/>
      <c r="G3" s="275"/>
      <c r="H3" s="275"/>
      <c r="I3" s="168"/>
    </row>
    <row r="4" spans="1:9" x14ac:dyDescent="0.25">
      <c r="A4" s="168"/>
      <c r="B4" s="5" t="s">
        <v>3</v>
      </c>
      <c r="C4" s="274" t="s">
        <v>4</v>
      </c>
      <c r="D4" s="275"/>
      <c r="E4" s="275"/>
      <c r="F4" s="275"/>
      <c r="G4" s="275"/>
      <c r="H4" s="275"/>
      <c r="I4" s="168"/>
    </row>
    <row r="5" spans="1:9" x14ac:dyDescent="0.25">
      <c r="A5" s="168"/>
      <c r="B5" s="5"/>
      <c r="C5" s="150"/>
      <c r="D5" s="168"/>
      <c r="E5" s="168"/>
      <c r="F5" s="168"/>
      <c r="G5" s="168"/>
      <c r="H5" s="168"/>
      <c r="I5" s="168"/>
    </row>
    <row r="6" spans="1:9" x14ac:dyDescent="0.25">
      <c r="A6" s="168"/>
      <c r="B6" s="2"/>
      <c r="C6" s="2"/>
      <c r="D6" s="168"/>
      <c r="E6" s="168"/>
      <c r="F6" s="168"/>
      <c r="G6" s="168"/>
      <c r="H6" s="168"/>
      <c r="I6" s="168"/>
    </row>
    <row r="7" spans="1:9" s="16" customFormat="1" ht="16.5" customHeight="1" thickBot="1" x14ac:dyDescent="0.3">
      <c r="A7" s="174"/>
      <c r="B7" s="276"/>
      <c r="C7" s="277"/>
      <c r="D7" s="277"/>
      <c r="E7" s="277"/>
      <c r="F7" s="277"/>
      <c r="G7" s="277"/>
      <c r="H7" s="277"/>
      <c r="I7" s="174"/>
    </row>
    <row r="8" spans="1:9" ht="30" customHeight="1" thickBot="1" x14ac:dyDescent="0.3">
      <c r="A8" s="168"/>
      <c r="B8" s="203" t="s">
        <v>5</v>
      </c>
      <c r="C8" s="18"/>
      <c r="D8" s="19" t="s">
        <v>6</v>
      </c>
      <c r="E8" s="19" t="s">
        <v>7</v>
      </c>
      <c r="F8" s="19" t="s">
        <v>8</v>
      </c>
      <c r="G8" s="19" t="s">
        <v>9</v>
      </c>
      <c r="H8" s="198" t="s">
        <v>10</v>
      </c>
      <c r="I8" s="14"/>
    </row>
    <row r="9" spans="1:9" ht="15.75" customHeight="1" x14ac:dyDescent="0.25">
      <c r="A9" s="168"/>
      <c r="B9" s="175" t="str">
        <f t="shared" ref="B9:B18" ca="1" si="0">INDIRECT(C9&amp;"!B2")</f>
        <v>breakfast_track</v>
      </c>
      <c r="C9" s="196" t="s">
        <v>11</v>
      </c>
      <c r="D9" s="218" t="e">
        <f t="shared" ref="D9:D18" ca="1" si="1">INDIRECT($C9&amp;"!AM$5")</f>
        <v>#VALUE!</v>
      </c>
      <c r="E9" s="218" t="e">
        <f t="shared" ref="E9:E18" ca="1" si="2">INDIRECT($C9&amp;"!AN$5")</f>
        <v>#VALUE!</v>
      </c>
      <c r="F9" s="218" t="e">
        <f t="shared" ref="F9:F18" ca="1" si="3">INDIRECT($C9&amp;"!AO$5")</f>
        <v>#VALUE!</v>
      </c>
      <c r="G9" s="218" t="e">
        <f t="shared" ref="G9:G18" ca="1" si="4">INDIRECT($C9&amp;"!AP$5")</f>
        <v>#VALUE!</v>
      </c>
      <c r="H9" s="219" t="e">
        <f t="shared" ref="H9:H18" ca="1" si="5">INDIRECT($C9&amp;"!AQ$5")</f>
        <v>#VALUE!</v>
      </c>
      <c r="I9" s="220"/>
    </row>
    <row r="10" spans="1:9" ht="15.75" customHeight="1" x14ac:dyDescent="0.25">
      <c r="A10" s="168"/>
      <c r="B10" s="175" t="str">
        <f t="shared" ca="1" si="0"/>
        <v>breakfast_semitrack</v>
      </c>
      <c r="C10" s="196" t="s">
        <v>12</v>
      </c>
      <c r="D10" s="218" t="e">
        <f t="shared" ca="1" si="1"/>
        <v>#VALUE!</v>
      </c>
      <c r="E10" s="218" t="e">
        <f t="shared" ca="1" si="2"/>
        <v>#VALUE!</v>
      </c>
      <c r="F10" s="218" t="e">
        <f t="shared" ca="1" si="3"/>
        <v>#VALUE!</v>
      </c>
      <c r="G10" s="218" t="e">
        <f t="shared" ca="1" si="4"/>
        <v>#VALUE!</v>
      </c>
      <c r="H10" s="221" t="e">
        <f t="shared" ca="1" si="5"/>
        <v>#VALUE!</v>
      </c>
      <c r="I10" s="220"/>
    </row>
    <row r="11" spans="1:9" ht="15.75" customHeight="1" x14ac:dyDescent="0.25">
      <c r="A11" s="168"/>
      <c r="B11" s="175" t="str">
        <f t="shared" ca="1" si="0"/>
        <v>cinema_track</v>
      </c>
      <c r="C11" s="196" t="s">
        <v>13</v>
      </c>
      <c r="D11" s="218" t="e">
        <f t="shared" ca="1" si="1"/>
        <v>#VALUE!</v>
      </c>
      <c r="E11" s="218" t="e">
        <f t="shared" ca="1" si="2"/>
        <v>#VALUE!</v>
      </c>
      <c r="F11" s="218" t="e">
        <f t="shared" ca="1" si="3"/>
        <v>#VALUE!</v>
      </c>
      <c r="G11" s="218" t="e">
        <f t="shared" ca="1" si="4"/>
        <v>#VALUE!</v>
      </c>
      <c r="H11" s="221" t="e">
        <f t="shared" ca="1" si="5"/>
        <v>#VALUE!</v>
      </c>
      <c r="I11" s="220"/>
    </row>
    <row r="12" spans="1:9" ht="15.75" customHeight="1" x14ac:dyDescent="0.25">
      <c r="A12" s="168"/>
      <c r="B12" s="175" t="str">
        <f t="shared" ca="1" si="0"/>
        <v>cinema_semitrack</v>
      </c>
      <c r="C12" s="197" t="s">
        <v>14</v>
      </c>
      <c r="D12" s="218" t="e">
        <f t="shared" ca="1" si="1"/>
        <v>#VALUE!</v>
      </c>
      <c r="E12" s="218" t="e">
        <f t="shared" ca="1" si="2"/>
        <v>#VALUE!</v>
      </c>
      <c r="F12" s="218" t="e">
        <f t="shared" ca="1" si="3"/>
        <v>#VALUE!</v>
      </c>
      <c r="G12" s="218" t="e">
        <f t="shared" ca="1" si="4"/>
        <v>#VALUE!</v>
      </c>
      <c r="H12" s="221" t="e">
        <f t="shared" ca="1" si="5"/>
        <v>#VALUE!</v>
      </c>
      <c r="I12" s="220"/>
    </row>
    <row r="13" spans="1:9" ht="15.75" customHeight="1" x14ac:dyDescent="0.25">
      <c r="A13" s="168"/>
      <c r="B13" s="175" t="e">
        <f t="shared" ca="1" si="0"/>
        <v>#REF!</v>
      </c>
      <c r="C13" s="197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8"/>
      <c r="B14" s="175" t="e">
        <f t="shared" ca="1" si="0"/>
        <v>#REF!</v>
      </c>
      <c r="C14" s="196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8"/>
      <c r="B15" s="175" t="e">
        <f t="shared" ca="1" si="0"/>
        <v>#REF!</v>
      </c>
      <c r="C15" s="196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8"/>
      <c r="B16" s="175" t="e">
        <f t="shared" ca="1" si="0"/>
        <v>#REF!</v>
      </c>
      <c r="C16" s="196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8"/>
      <c r="B17" s="175" t="e">
        <f t="shared" ca="1" si="0"/>
        <v>#REF!</v>
      </c>
      <c r="C17" s="196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8"/>
      <c r="B18" s="175" t="e">
        <f t="shared" ca="1" si="0"/>
        <v>#REF!</v>
      </c>
      <c r="C18" s="196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8"/>
      <c r="B19" s="272" t="s">
        <v>15</v>
      </c>
      <c r="C19" s="273"/>
      <c r="D19" s="222" t="e">
        <f ca="1">IF(COUNTIF(D10:D15,"=0")&gt;0,0,AVERAGE(D10:D15))</f>
        <v>#VALUE!</v>
      </c>
      <c r="E19" s="222" t="e">
        <f ca="1">IF(COUNTIF(E10:E15,"=0")&gt;0,0,AVERAGE(E10:E15))</f>
        <v>#VALUE!</v>
      </c>
      <c r="F19" s="222" t="e">
        <f ca="1">IF(COUNTIF(F10:F15,"=0")&gt;0,0,AVERAGE(F10:F15))</f>
        <v>#VALUE!</v>
      </c>
      <c r="G19" s="222" t="e">
        <f ca="1">IF(COUNTIF(G10:G15,"=0")&gt;0,0,AVERAGE(G10:G15))</f>
        <v>#VALUE!</v>
      </c>
      <c r="H19" s="223" t="e">
        <f ca="1">IF(COUNTIF(H10:H15,"=0")&gt;0,0,AVERAGE(H10:H15))</f>
        <v>#VALUE!</v>
      </c>
      <c r="I19" s="220"/>
    </row>
    <row r="20" spans="1:9" ht="15.75" customHeight="1" x14ac:dyDescent="0.25">
      <c r="B20" s="176"/>
      <c r="C20" s="177"/>
      <c r="D20" s="220"/>
      <c r="E20" s="220"/>
      <c r="F20" s="220"/>
      <c r="G20" s="220"/>
      <c r="H20" s="220"/>
      <c r="I20" s="220"/>
    </row>
    <row r="21" spans="1:9" ht="15.75" customHeight="1" x14ac:dyDescent="0.25">
      <c r="B21" s="176"/>
      <c r="C21" s="177"/>
      <c r="D21" s="220"/>
      <c r="E21" s="220"/>
      <c r="F21" s="220"/>
      <c r="G21" s="220"/>
      <c r="H21" s="220"/>
      <c r="I21" s="220"/>
    </row>
    <row r="22" spans="1:9" ht="15.75" customHeight="1" x14ac:dyDescent="0.25">
      <c r="B22" s="88"/>
      <c r="D22" s="224"/>
      <c r="E22" s="224"/>
      <c r="F22" s="224"/>
      <c r="G22" s="224"/>
      <c r="H22" s="224"/>
      <c r="I22" s="174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5" bestFit="1" customWidth="1"/>
    <col min="2" max="2" width="19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18.5" style="205" bestFit="1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21.5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9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16</v>
      </c>
      <c r="K2" s="204"/>
      <c r="L2" s="285" t="s">
        <v>17</v>
      </c>
      <c r="M2" s="279"/>
      <c r="N2" s="279"/>
      <c r="O2" s="204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19</v>
      </c>
      <c r="M3" s="87" t="s">
        <v>20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11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21</v>
      </c>
      <c r="C5" s="279"/>
      <c r="D5" s="71" t="s">
        <v>22</v>
      </c>
      <c r="E5" s="226"/>
      <c r="F5" s="278" t="s">
        <v>21</v>
      </c>
      <c r="G5" s="279"/>
      <c r="H5" s="71" t="s">
        <v>22</v>
      </c>
      <c r="I5" s="10"/>
      <c r="J5" s="207" t="s">
        <v>23</v>
      </c>
      <c r="L5" s="287" t="s">
        <v>24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37.033472000000003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27.262733600000001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53.243408000000002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30.5955504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76.773336000000015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35.178384000000008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108.862088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37.847506266666663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108.862088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>
      <c r="B14" s="206"/>
      <c r="C14" s="206"/>
      <c r="D14" s="235"/>
      <c r="E14" s="226"/>
      <c r="F14" s="206"/>
      <c r="G14" s="206"/>
      <c r="H14" s="235"/>
      <c r="I14" s="10"/>
      <c r="J14" s="200"/>
      <c r="L14" s="201"/>
      <c r="M14" s="201"/>
      <c r="N14" s="202"/>
      <c r="O14" s="226"/>
      <c r="P14" s="204"/>
      <c r="Q14" s="226"/>
      <c r="R14" s="10"/>
      <c r="S14" s="10"/>
      <c r="T14" s="10"/>
      <c r="U14" s="10"/>
      <c r="V14" s="67"/>
      <c r="X14" s="68"/>
      <c r="Y14" s="68"/>
      <c r="Z14" s="66"/>
    </row>
    <row r="15" spans="1:32" x14ac:dyDescent="0.25">
      <c r="B15" s="282" t="s">
        <v>12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21</v>
      </c>
      <c r="C16" s="279"/>
      <c r="D16" s="71" t="s">
        <v>22</v>
      </c>
      <c r="E16" s="226"/>
      <c r="F16" s="278" t="s">
        <v>21</v>
      </c>
      <c r="G16" s="279"/>
      <c r="H16" s="71" t="s">
        <v>22</v>
      </c>
      <c r="I16" s="10"/>
      <c r="J16" s="207" t="s">
        <v>23</v>
      </c>
      <c r="L16" s="287" t="s">
        <v>24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37.945208000000001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27.225800466666666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54.681568000000006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30.717614933333337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79.040791999999996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35.108155866666671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112.14424799999999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37.605895933333336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112.14424799999999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13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21</v>
      </c>
      <c r="C27" s="279"/>
      <c r="D27" s="71" t="s">
        <v>22</v>
      </c>
      <c r="E27" s="226"/>
      <c r="F27" s="278" t="s">
        <v>21</v>
      </c>
      <c r="G27" s="279"/>
      <c r="H27" s="71" t="s">
        <v>22</v>
      </c>
      <c r="I27" s="10"/>
      <c r="J27" s="207" t="s">
        <v>23</v>
      </c>
      <c r="L27" s="287" t="s">
        <v>24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27.457296000000003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30.246270333333335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39.731791999999999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33.072678761904761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59.551984000000004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36.281602476190471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86.991584000000003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39.436459095238085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86.991584000000003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14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21</v>
      </c>
      <c r="C38" s="279"/>
      <c r="D38" s="71" t="s">
        <v>22</v>
      </c>
      <c r="E38" s="226"/>
      <c r="F38" s="278" t="s">
        <v>21</v>
      </c>
      <c r="G38" s="279"/>
      <c r="H38" s="71" t="s">
        <v>22</v>
      </c>
      <c r="I38" s="10"/>
      <c r="J38" s="207" t="s">
        <v>23</v>
      </c>
      <c r="L38" s="287" t="s">
        <v>24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30.214093190476195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32.999578714285725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36.248342999999991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39.028174857142858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21</v>
      </c>
      <c r="C49" s="279"/>
      <c r="D49" s="71" t="s">
        <v>22</v>
      </c>
      <c r="E49" s="226"/>
      <c r="F49" s="278" t="s">
        <v>21</v>
      </c>
      <c r="G49" s="279"/>
      <c r="H49" s="71" t="s">
        <v>22</v>
      </c>
      <c r="I49" s="10"/>
      <c r="J49" s="207" t="s">
        <v>23</v>
      </c>
      <c r="L49" s="287" t="s">
        <v>24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21</v>
      </c>
      <c r="C60" s="279"/>
      <c r="D60" s="71" t="s">
        <v>22</v>
      </c>
      <c r="E60" s="226"/>
      <c r="F60" s="278" t="s">
        <v>21</v>
      </c>
      <c r="G60" s="279"/>
      <c r="H60" s="71" t="s">
        <v>22</v>
      </c>
      <c r="I60" s="10"/>
      <c r="J60" s="207" t="s">
        <v>23</v>
      </c>
      <c r="L60" s="287" t="s">
        <v>24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21</v>
      </c>
      <c r="C71" s="279"/>
      <c r="D71" s="71" t="s">
        <v>22</v>
      </c>
      <c r="E71" s="226"/>
      <c r="F71" s="278" t="s">
        <v>21</v>
      </c>
      <c r="G71" s="279"/>
      <c r="H71" s="71" t="s">
        <v>22</v>
      </c>
      <c r="I71" s="10"/>
      <c r="J71" s="207" t="s">
        <v>23</v>
      </c>
      <c r="L71" s="287" t="s">
        <v>24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2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21</v>
      </c>
      <c r="C82" s="279"/>
      <c r="D82" s="71" t="s">
        <v>22</v>
      </c>
      <c r="E82" s="226"/>
      <c r="F82" s="278" t="s">
        <v>21</v>
      </c>
      <c r="G82" s="279"/>
      <c r="H82" s="71" t="s">
        <v>22</v>
      </c>
      <c r="I82" s="10"/>
      <c r="J82" s="207" t="s">
        <v>23</v>
      </c>
      <c r="L82" s="287" t="s">
        <v>24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21</v>
      </c>
      <c r="C93" s="279"/>
      <c r="D93" s="71" t="s">
        <v>22</v>
      </c>
      <c r="E93" s="226"/>
      <c r="F93" s="278" t="s">
        <v>21</v>
      </c>
      <c r="G93" s="279"/>
      <c r="H93" s="71" t="s">
        <v>22</v>
      </c>
      <c r="I93" s="10"/>
      <c r="J93" s="207" t="s">
        <v>23</v>
      </c>
      <c r="L93" s="287" t="s">
        <v>24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21</v>
      </c>
      <c r="C104" s="279"/>
      <c r="D104" s="71" t="s">
        <v>22</v>
      </c>
      <c r="E104" s="226"/>
      <c r="F104" s="278" t="s">
        <v>21</v>
      </c>
      <c r="G104" s="279"/>
      <c r="H104" s="71" t="s">
        <v>22</v>
      </c>
      <c r="I104" s="10"/>
      <c r="J104" s="207" t="s">
        <v>23</v>
      </c>
      <c r="L104" s="287" t="s">
        <v>24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3"/>
      <c r="C182" s="183"/>
      <c r="D182" s="3"/>
      <c r="E182" s="3"/>
      <c r="F182" s="3"/>
      <c r="G182" s="3"/>
      <c r="H182" s="3"/>
      <c r="I182" s="3"/>
      <c r="J182" s="3"/>
      <c r="L182" s="183"/>
      <c r="M182" s="183"/>
      <c r="N182" s="3"/>
      <c r="O182" s="3"/>
      <c r="P182" s="3"/>
      <c r="Q182" s="3"/>
      <c r="R182" s="3"/>
      <c r="S182" s="3"/>
      <c r="T182" s="3"/>
      <c r="U182" s="3"/>
      <c r="V182" s="3"/>
      <c r="X182" s="183"/>
      <c r="Y182" s="183"/>
      <c r="Z182" s="183"/>
    </row>
    <row r="183" spans="2:28" x14ac:dyDescent="0.25">
      <c r="B183" s="40"/>
      <c r="C183" s="183"/>
      <c r="D183" s="226"/>
      <c r="E183" s="226"/>
      <c r="F183" s="226"/>
      <c r="G183" s="226"/>
      <c r="H183" s="10"/>
      <c r="I183" s="10"/>
      <c r="J183" s="10"/>
      <c r="L183" s="40"/>
      <c r="M183" s="183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6"/>
      <c r="AB183" s="230"/>
    </row>
    <row r="184" spans="2:28" x14ac:dyDescent="0.25">
      <c r="B184" s="40"/>
      <c r="C184" s="183"/>
      <c r="D184" s="226"/>
      <c r="E184" s="226"/>
      <c r="F184" s="226"/>
      <c r="G184" s="226"/>
      <c r="H184" s="10"/>
      <c r="I184" s="10"/>
      <c r="J184" s="10"/>
      <c r="L184" s="40"/>
      <c r="M184" s="183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6"/>
    </row>
    <row r="185" spans="2:28" x14ac:dyDescent="0.25">
      <c r="B185" s="40"/>
      <c r="C185" s="183"/>
      <c r="D185" s="226"/>
      <c r="E185" s="226"/>
      <c r="F185" s="226"/>
      <c r="G185" s="226"/>
      <c r="H185" s="10"/>
      <c r="I185" s="10"/>
      <c r="J185" s="10"/>
      <c r="L185" s="40"/>
      <c r="M185" s="183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6"/>
    </row>
    <row r="186" spans="2:28" ht="16.5" customHeight="1" x14ac:dyDescent="0.25">
      <c r="B186" s="40"/>
      <c r="C186" s="183"/>
      <c r="D186" s="226"/>
      <c r="E186" s="226"/>
      <c r="F186" s="226"/>
      <c r="G186" s="226"/>
      <c r="H186" s="10"/>
      <c r="I186" s="10"/>
      <c r="J186" s="10"/>
      <c r="L186" s="40"/>
      <c r="M186" s="183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6"/>
      <c r="AB186" s="230"/>
    </row>
    <row r="187" spans="2:28" x14ac:dyDescent="0.25">
      <c r="B187" s="40"/>
      <c r="C187" s="183"/>
      <c r="D187" s="226"/>
      <c r="E187" s="226"/>
      <c r="F187" s="226"/>
      <c r="G187" s="226"/>
      <c r="H187" s="10"/>
      <c r="I187" s="10"/>
      <c r="J187" s="10"/>
      <c r="L187" s="40"/>
      <c r="M187" s="183"/>
      <c r="N187" s="226"/>
      <c r="O187" s="226"/>
      <c r="P187" s="226"/>
      <c r="Q187" s="226"/>
      <c r="R187" s="10"/>
      <c r="S187" s="10"/>
      <c r="T187" s="10"/>
      <c r="U187" s="10"/>
      <c r="V187" s="67"/>
      <c r="X187" s="7"/>
      <c r="Y187" s="7"/>
      <c r="Z187" s="66"/>
    </row>
    <row r="188" spans="2:28" ht="16.5" customHeight="1" x14ac:dyDescent="0.25">
      <c r="B188" s="40"/>
      <c r="D188" s="226"/>
      <c r="E188" s="226"/>
      <c r="F188" s="226"/>
      <c r="G188" s="226"/>
      <c r="H188" s="10"/>
      <c r="I188" s="10"/>
      <c r="J188" s="10"/>
      <c r="L188" s="40"/>
      <c r="M188" s="183"/>
      <c r="N188" s="226"/>
      <c r="O188" s="226"/>
      <c r="P188" s="226"/>
      <c r="Q188" s="226"/>
      <c r="R188" s="10"/>
      <c r="S188" s="10"/>
      <c r="T188" s="10"/>
      <c r="U188" s="10"/>
      <c r="V188" s="67"/>
      <c r="X188" s="68"/>
      <c r="Y188" s="68"/>
      <c r="Z188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05" bestFit="1" customWidth="1"/>
    <col min="2" max="2" width="6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6.59765625" style="205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16.0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16</v>
      </c>
      <c r="K2" s="204"/>
      <c r="L2" s="285" t="s">
        <v>17</v>
      </c>
      <c r="M2" s="279"/>
      <c r="N2" s="279"/>
      <c r="O2" s="204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33</v>
      </c>
      <c r="M3" s="87" t="s">
        <v>34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11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21</v>
      </c>
      <c r="C5" s="279"/>
      <c r="D5" s="71" t="s">
        <v>22</v>
      </c>
      <c r="E5" s="226"/>
      <c r="F5" s="278" t="s">
        <v>21</v>
      </c>
      <c r="G5" s="279"/>
      <c r="H5" s="71" t="s">
        <v>22</v>
      </c>
      <c r="I5" s="10"/>
      <c r="J5" s="207" t="s">
        <v>23</v>
      </c>
      <c r="L5" s="287" t="s">
        <v>35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37.033472000000003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32.469316800000001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53.243408000000002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35.243102133333331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76.773336000000015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39.28737146666667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108.862088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41.929521733333331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108.862088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12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21</v>
      </c>
      <c r="C16" s="279"/>
      <c r="D16" s="71" t="s">
        <v>22</v>
      </c>
      <c r="E16" s="226"/>
      <c r="F16" s="278" t="s">
        <v>21</v>
      </c>
      <c r="G16" s="279"/>
      <c r="H16" s="71" t="s">
        <v>22</v>
      </c>
      <c r="I16" s="10"/>
      <c r="J16" s="207" t="s">
        <v>23</v>
      </c>
      <c r="L16" s="287" t="s">
        <v>35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37.945208000000001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32.321196866666668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54.681568000000006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35.232715600000006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79.040791999999996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39.210842266666667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112.14424799999999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41.687570999999998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112.14424799999999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13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21</v>
      </c>
      <c r="C27" s="279"/>
      <c r="D27" s="71" t="s">
        <v>22</v>
      </c>
      <c r="E27" s="226"/>
      <c r="F27" s="278" t="s">
        <v>21</v>
      </c>
      <c r="G27" s="279"/>
      <c r="H27" s="71" t="s">
        <v>22</v>
      </c>
      <c r="I27" s="10"/>
      <c r="J27" s="207" t="s">
        <v>23</v>
      </c>
      <c r="L27" s="287" t="s">
        <v>35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27.457296000000003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33.862599857142854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39.731791999999999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36.632195285714296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59.551984000000004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40.251414476190476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86.991584000000003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43.588469761904761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86.991584000000003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14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21</v>
      </c>
      <c r="C38" s="279"/>
      <c r="D38" s="71" t="s">
        <v>22</v>
      </c>
      <c r="E38" s="226"/>
      <c r="F38" s="278" t="s">
        <v>21</v>
      </c>
      <c r="G38" s="279"/>
      <c r="H38" s="71" t="s">
        <v>22</v>
      </c>
      <c r="I38" s="10"/>
      <c r="J38" s="207" t="s">
        <v>23</v>
      </c>
      <c r="L38" s="287" t="s">
        <v>35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33.832055285714283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36.531831238095236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40.276491190476186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43.229996952380951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21</v>
      </c>
      <c r="C49" s="279"/>
      <c r="D49" s="71" t="s">
        <v>22</v>
      </c>
      <c r="E49" s="226"/>
      <c r="F49" s="278" t="s">
        <v>21</v>
      </c>
      <c r="G49" s="279"/>
      <c r="H49" s="71" t="s">
        <v>22</v>
      </c>
      <c r="I49" s="10"/>
      <c r="J49" s="207" t="s">
        <v>23</v>
      </c>
      <c r="L49" s="287" t="s">
        <v>35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21</v>
      </c>
      <c r="C60" s="279"/>
      <c r="D60" s="71" t="s">
        <v>22</v>
      </c>
      <c r="E60" s="226"/>
      <c r="F60" s="278" t="s">
        <v>21</v>
      </c>
      <c r="G60" s="279"/>
      <c r="H60" s="71" t="s">
        <v>22</v>
      </c>
      <c r="I60" s="10"/>
      <c r="J60" s="207" t="s">
        <v>23</v>
      </c>
      <c r="L60" s="287" t="s">
        <v>35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21</v>
      </c>
      <c r="C71" s="279"/>
      <c r="D71" s="71" t="s">
        <v>22</v>
      </c>
      <c r="E71" s="226"/>
      <c r="F71" s="278" t="s">
        <v>21</v>
      </c>
      <c r="G71" s="279"/>
      <c r="H71" s="71" t="s">
        <v>22</v>
      </c>
      <c r="I71" s="10"/>
      <c r="J71" s="207" t="s">
        <v>23</v>
      </c>
      <c r="L71" s="287" t="s">
        <v>35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21</v>
      </c>
      <c r="C82" s="279"/>
      <c r="D82" s="71" t="s">
        <v>22</v>
      </c>
      <c r="E82" s="226"/>
      <c r="F82" s="278" t="s">
        <v>21</v>
      </c>
      <c r="G82" s="279"/>
      <c r="H82" s="71" t="s">
        <v>22</v>
      </c>
      <c r="I82" s="10"/>
      <c r="J82" s="207" t="s">
        <v>23</v>
      </c>
      <c r="L82" s="287" t="s">
        <v>35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5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21</v>
      </c>
      <c r="C93" s="279"/>
      <c r="D93" s="71" t="s">
        <v>22</v>
      </c>
      <c r="E93" s="226"/>
      <c r="F93" s="278" t="s">
        <v>21</v>
      </c>
      <c r="G93" s="279"/>
      <c r="H93" s="71" t="s">
        <v>22</v>
      </c>
      <c r="I93" s="10"/>
      <c r="J93" s="207" t="s">
        <v>23</v>
      </c>
      <c r="L93" s="287" t="s">
        <v>35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5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21</v>
      </c>
      <c r="C104" s="279"/>
      <c r="D104" s="71" t="s">
        <v>22</v>
      </c>
      <c r="E104" s="226"/>
      <c r="F104" s="278" t="s">
        <v>21</v>
      </c>
      <c r="G104" s="279"/>
      <c r="H104" s="71" t="s">
        <v>22</v>
      </c>
      <c r="I104" s="10"/>
      <c r="J104" s="207" t="s">
        <v>23</v>
      </c>
      <c r="L104" s="287" t="s">
        <v>35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5" bestFit="1" customWidth="1"/>
    <col min="2" max="2" width="6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6.59765625" style="205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16.09765625" style="205" bestFit="1" customWidth="1"/>
    <col min="14" max="14" width="8" style="205" bestFit="1" customWidth="1"/>
    <col min="15" max="15" width="4.59765625" style="205" customWidth="1"/>
    <col min="16" max="16" width="9.6992187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16</v>
      </c>
      <c r="K2" s="204"/>
      <c r="L2" s="285" t="s">
        <v>17</v>
      </c>
      <c r="M2" s="279"/>
      <c r="N2" s="279"/>
      <c r="O2" s="204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36</v>
      </c>
      <c r="M3" s="87" t="s">
        <v>37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11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21</v>
      </c>
      <c r="C5" s="279"/>
      <c r="D5" s="71" t="s">
        <v>22</v>
      </c>
      <c r="E5" s="226"/>
      <c r="F5" s="278" t="s">
        <v>21</v>
      </c>
      <c r="G5" s="279"/>
      <c r="H5" s="71" t="s">
        <v>22</v>
      </c>
      <c r="I5" s="10"/>
      <c r="J5" s="207" t="s">
        <v>23</v>
      </c>
      <c r="L5" s="287" t="s">
        <v>38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37.033472000000003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0.95834516733333319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53.243408000000002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0.97572819666666666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76.773336000000015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0.98810945533333316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108.862088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0.99241337466666668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108.862088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12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21</v>
      </c>
      <c r="C16" s="279"/>
      <c r="D16" s="71" t="s">
        <v>22</v>
      </c>
      <c r="E16" s="226"/>
      <c r="F16" s="278" t="s">
        <v>21</v>
      </c>
      <c r="G16" s="279"/>
      <c r="H16" s="71" t="s">
        <v>22</v>
      </c>
      <c r="I16" s="10"/>
      <c r="J16" s="207" t="s">
        <v>23</v>
      </c>
      <c r="L16" s="287" t="s">
        <v>38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37.945208000000001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0.95700066866666644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54.681568000000006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0.97492547266666674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79.040791999999996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0.98757465333333327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112.14424799999999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0.99193363933333345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112.14424799999999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13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21</v>
      </c>
      <c r="C27" s="279"/>
      <c r="D27" s="71" t="s">
        <v>22</v>
      </c>
      <c r="E27" s="226"/>
      <c r="F27" s="278" t="s">
        <v>21</v>
      </c>
      <c r="G27" s="279"/>
      <c r="H27" s="71" t="s">
        <v>22</v>
      </c>
      <c r="I27" s="10"/>
      <c r="J27" s="207" t="s">
        <v>23</v>
      </c>
      <c r="L27" s="287" t="s">
        <v>38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27.457296000000003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0.96684382285714265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39.731791999999999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0.98000114238095259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59.551984000000004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0.98903340333333323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86.991584000000003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0.99375173238095238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86.991584000000003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14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21</v>
      </c>
      <c r="C38" s="279"/>
      <c r="D38" s="71" t="s">
        <v>22</v>
      </c>
      <c r="E38" s="226"/>
      <c r="F38" s="278" t="s">
        <v>21</v>
      </c>
      <c r="G38" s="279"/>
      <c r="H38" s="71" t="s">
        <v>22</v>
      </c>
      <c r="I38" s="10"/>
      <c r="J38" s="207" t="s">
        <v>23</v>
      </c>
      <c r="L38" s="287" t="s">
        <v>38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0.96582942476190481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0.97901262523809529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0.98868709857142867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0.99344393809523812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21</v>
      </c>
      <c r="C49" s="279"/>
      <c r="D49" s="71" t="s">
        <v>22</v>
      </c>
      <c r="E49" s="226"/>
      <c r="F49" s="278" t="s">
        <v>21</v>
      </c>
      <c r="G49" s="279"/>
      <c r="H49" s="71" t="s">
        <v>22</v>
      </c>
      <c r="I49" s="10"/>
      <c r="J49" s="207" t="s">
        <v>23</v>
      </c>
      <c r="L49" s="287" t="s">
        <v>38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21</v>
      </c>
      <c r="C60" s="279"/>
      <c r="D60" s="71" t="s">
        <v>22</v>
      </c>
      <c r="E60" s="226"/>
      <c r="F60" s="278" t="s">
        <v>21</v>
      </c>
      <c r="G60" s="279"/>
      <c r="H60" s="71" t="s">
        <v>22</v>
      </c>
      <c r="I60" s="10"/>
      <c r="J60" s="207" t="s">
        <v>23</v>
      </c>
      <c r="L60" s="287" t="s">
        <v>38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21</v>
      </c>
      <c r="C71" s="279"/>
      <c r="D71" s="71" t="s">
        <v>22</v>
      </c>
      <c r="E71" s="226"/>
      <c r="F71" s="278" t="s">
        <v>21</v>
      </c>
      <c r="G71" s="279"/>
      <c r="H71" s="71" t="s">
        <v>22</v>
      </c>
      <c r="I71" s="10"/>
      <c r="J71" s="207" t="s">
        <v>23</v>
      </c>
      <c r="L71" s="287" t="s">
        <v>38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21</v>
      </c>
      <c r="C82" s="279"/>
      <c r="D82" s="71" t="s">
        <v>22</v>
      </c>
      <c r="E82" s="226"/>
      <c r="F82" s="278" t="s">
        <v>21</v>
      </c>
      <c r="G82" s="279"/>
      <c r="H82" s="71" t="s">
        <v>22</v>
      </c>
      <c r="I82" s="10"/>
      <c r="J82" s="207" t="s">
        <v>23</v>
      </c>
      <c r="L82" s="287" t="s">
        <v>38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21</v>
      </c>
      <c r="C93" s="279"/>
      <c r="D93" s="71" t="s">
        <v>22</v>
      </c>
      <c r="E93" s="226"/>
      <c r="F93" s="278" t="s">
        <v>21</v>
      </c>
      <c r="G93" s="279"/>
      <c r="H93" s="71" t="s">
        <v>22</v>
      </c>
      <c r="I93" s="10"/>
      <c r="J93" s="207" t="s">
        <v>23</v>
      </c>
      <c r="L93" s="287" t="s">
        <v>38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21</v>
      </c>
      <c r="C104" s="279"/>
      <c r="D104" s="71" t="s">
        <v>22</v>
      </c>
      <c r="E104" s="226"/>
      <c r="F104" s="278" t="s">
        <v>21</v>
      </c>
      <c r="G104" s="279"/>
      <c r="H104" s="71" t="s">
        <v>22</v>
      </c>
      <c r="I104" s="10"/>
      <c r="J104" s="207" t="s">
        <v>23</v>
      </c>
      <c r="L104" s="287" t="s">
        <v>38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5" bestFit="1" customWidth="1"/>
    <col min="2" max="2" width="6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6.59765625" style="205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16.0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16</v>
      </c>
      <c r="K2" s="204"/>
      <c r="L2" s="285" t="s">
        <v>17</v>
      </c>
      <c r="M2" s="279"/>
      <c r="N2" s="279"/>
      <c r="O2" s="204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39</v>
      </c>
      <c r="M3" s="87" t="s">
        <v>40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11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21</v>
      </c>
      <c r="C5" s="279"/>
      <c r="D5" s="71" t="s">
        <v>22</v>
      </c>
      <c r="E5" s="226"/>
      <c r="F5" s="278" t="s">
        <v>21</v>
      </c>
      <c r="G5" s="279"/>
      <c r="H5" s="71" t="s">
        <v>22</v>
      </c>
      <c r="I5" s="10"/>
      <c r="J5" s="207" t="s">
        <v>23</v>
      </c>
      <c r="L5" s="287" t="s">
        <v>41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37.033472000000003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0.95456353799999993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53.243408000000002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0.97258593333333343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76.773336000000015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0.99038261466666655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108.862088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0.99521364000000001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108.862088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12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21</v>
      </c>
      <c r="C16" s="279"/>
      <c r="D16" s="71" t="s">
        <v>22</v>
      </c>
      <c r="E16" s="226"/>
      <c r="F16" s="278" t="s">
        <v>21</v>
      </c>
      <c r="G16" s="279"/>
      <c r="H16" s="71" t="s">
        <v>22</v>
      </c>
      <c r="I16" s="10"/>
      <c r="J16" s="207" t="s">
        <v>23</v>
      </c>
      <c r="L16" s="287" t="s">
        <v>41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37.945208000000001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0.95395936733333342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54.681568000000006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0.97223756466666666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79.040791999999996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0.99005189866666643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112.14424799999999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0.99515773399999985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112.14424799999999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13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21</v>
      </c>
      <c r="C27" s="279"/>
      <c r="D27" s="71" t="s">
        <v>22</v>
      </c>
      <c r="E27" s="226"/>
      <c r="F27" s="278" t="s">
        <v>21</v>
      </c>
      <c r="G27" s="279"/>
      <c r="H27" s="71" t="s">
        <v>22</v>
      </c>
      <c r="I27" s="10"/>
      <c r="J27" s="207" t="s">
        <v>23</v>
      </c>
      <c r="L27" s="287" t="s">
        <v>41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27.457296000000003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0.97327361047619032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39.731791999999999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0.98426155285714267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59.551984000000004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0.99228081523809508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86.991584000000003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0.99594449714285727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86.991584000000003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14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21</v>
      </c>
      <c r="C38" s="279"/>
      <c r="D38" s="71" t="s">
        <v>22</v>
      </c>
      <c r="E38" s="226"/>
      <c r="F38" s="278" t="s">
        <v>21</v>
      </c>
      <c r="G38" s="279"/>
      <c r="H38" s="71" t="s">
        <v>22</v>
      </c>
      <c r="I38" s="10"/>
      <c r="J38" s="207" t="s">
        <v>23</v>
      </c>
      <c r="L38" s="287" t="s">
        <v>41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0.9725471133333331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0.98376468238095238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0.99210457047619049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0.99578089857142849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21</v>
      </c>
      <c r="C49" s="279"/>
      <c r="D49" s="71" t="s">
        <v>22</v>
      </c>
      <c r="E49" s="226"/>
      <c r="F49" s="278" t="s">
        <v>21</v>
      </c>
      <c r="G49" s="279"/>
      <c r="H49" s="71" t="s">
        <v>22</v>
      </c>
      <c r="I49" s="10"/>
      <c r="J49" s="207" t="s">
        <v>23</v>
      </c>
      <c r="L49" s="287" t="s">
        <v>41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21</v>
      </c>
      <c r="C60" s="279"/>
      <c r="D60" s="71" t="s">
        <v>22</v>
      </c>
      <c r="E60" s="226"/>
      <c r="F60" s="278" t="s">
        <v>21</v>
      </c>
      <c r="G60" s="279"/>
      <c r="H60" s="71" t="s">
        <v>22</v>
      </c>
      <c r="I60" s="10"/>
      <c r="J60" s="207" t="s">
        <v>23</v>
      </c>
      <c r="L60" s="287" t="s">
        <v>41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21</v>
      </c>
      <c r="C71" s="279"/>
      <c r="D71" s="71" t="s">
        <v>22</v>
      </c>
      <c r="E71" s="226"/>
      <c r="F71" s="278" t="s">
        <v>21</v>
      </c>
      <c r="G71" s="279"/>
      <c r="H71" s="71" t="s">
        <v>22</v>
      </c>
      <c r="I71" s="10"/>
      <c r="J71" s="207" t="s">
        <v>23</v>
      </c>
      <c r="L71" s="287" t="s">
        <v>41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21</v>
      </c>
      <c r="C82" s="279"/>
      <c r="D82" s="71" t="s">
        <v>22</v>
      </c>
      <c r="E82" s="226"/>
      <c r="F82" s="278" t="s">
        <v>21</v>
      </c>
      <c r="G82" s="279"/>
      <c r="H82" s="71" t="s">
        <v>22</v>
      </c>
      <c r="I82" s="10"/>
      <c r="J82" s="207" t="s">
        <v>23</v>
      </c>
      <c r="L82" s="287" t="s">
        <v>41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21</v>
      </c>
      <c r="C93" s="279"/>
      <c r="D93" s="71" t="s">
        <v>22</v>
      </c>
      <c r="E93" s="226"/>
      <c r="F93" s="278" t="s">
        <v>21</v>
      </c>
      <c r="G93" s="279"/>
      <c r="H93" s="71" t="s">
        <v>22</v>
      </c>
      <c r="I93" s="10"/>
      <c r="J93" s="207" t="s">
        <v>23</v>
      </c>
      <c r="L93" s="287" t="s">
        <v>41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21</v>
      </c>
      <c r="C104" s="279"/>
      <c r="D104" s="71" t="s">
        <v>22</v>
      </c>
      <c r="E104" s="226"/>
      <c r="F104" s="278" t="s">
        <v>21</v>
      </c>
      <c r="G104" s="279"/>
      <c r="H104" s="71" t="s">
        <v>22</v>
      </c>
      <c r="I104" s="10"/>
      <c r="J104" s="207" t="s">
        <v>23</v>
      </c>
      <c r="L104" s="287" t="s">
        <v>41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5" bestFit="1" customWidth="1"/>
    <col min="2" max="2" width="6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6.59765625" style="205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16.0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9" width="9" style="205" customWidth="1"/>
    <col min="40" max="16384" width="9" style="205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16</v>
      </c>
      <c r="K2" s="204"/>
      <c r="L2" s="285" t="s">
        <v>17</v>
      </c>
      <c r="M2" s="279"/>
      <c r="N2" s="279"/>
      <c r="O2" s="204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42</v>
      </c>
      <c r="M3" s="87" t="s">
        <v>43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11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21</v>
      </c>
      <c r="C5" s="279"/>
      <c r="D5" s="71" t="s">
        <v>22</v>
      </c>
      <c r="E5" s="226"/>
      <c r="F5" s="278" t="s">
        <v>21</v>
      </c>
      <c r="G5" s="279"/>
      <c r="H5" s="71" t="s">
        <v>22</v>
      </c>
      <c r="I5" s="10"/>
      <c r="J5" s="207" t="s">
        <v>23</v>
      </c>
      <c r="L5" s="287" t="s">
        <v>41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37.033472000000003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6.6124997733333329E-2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53.243408000000002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4.1026583800000009E-2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76.773336000000015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2.4438632800000002E-2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108.862088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1.7444335733333333E-2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108.862088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12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21</v>
      </c>
      <c r="C16" s="279"/>
      <c r="D16" s="71" t="s">
        <v>22</v>
      </c>
      <c r="E16" s="226"/>
      <c r="F16" s="278" t="s">
        <v>21</v>
      </c>
      <c r="G16" s="279"/>
      <c r="H16" s="71" t="s">
        <v>22</v>
      </c>
      <c r="I16" s="10"/>
      <c r="J16" s="207" t="s">
        <v>23</v>
      </c>
      <c r="L16" s="287" t="s">
        <v>41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37.945208000000001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6.8758821599999992E-2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54.681568000000006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4.2517676533333333E-2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79.040791999999996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2.4925761000000001E-2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112.14424799999999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1.8274979066666665E-2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112.14424799999999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13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21</v>
      </c>
      <c r="C27" s="279"/>
      <c r="D27" s="71" t="s">
        <v>22</v>
      </c>
      <c r="E27" s="226"/>
      <c r="F27" s="278" t="s">
        <v>21</v>
      </c>
      <c r="G27" s="279"/>
      <c r="H27" s="71" t="s">
        <v>22</v>
      </c>
      <c r="I27" s="10"/>
      <c r="J27" s="207" t="s">
        <v>23</v>
      </c>
      <c r="L27" s="287" t="s">
        <v>41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27.457296000000003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6.4074182428571436E-2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39.731791999999999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4.3200263047619043E-2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59.551984000000004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2.7228831333333335E-2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86.991584000000003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1.4458101000000004E-2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86.991584000000003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14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21</v>
      </c>
      <c r="C38" s="279"/>
      <c r="D38" s="71" t="s">
        <v>22</v>
      </c>
      <c r="E38" s="226"/>
      <c r="F38" s="278" t="s">
        <v>21</v>
      </c>
      <c r="G38" s="279"/>
      <c r="H38" s="71" t="s">
        <v>22</v>
      </c>
      <c r="I38" s="10"/>
      <c r="J38" s="207" t="s">
        <v>23</v>
      </c>
      <c r="L38" s="287" t="s">
        <v>41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6.5973396238095255E-2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4.448833447619048E-2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2.7850360190476191E-2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1.5608584595238097E-2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21</v>
      </c>
      <c r="C49" s="279"/>
      <c r="D49" s="71" t="s">
        <v>22</v>
      </c>
      <c r="E49" s="226"/>
      <c r="F49" s="278" t="s">
        <v>21</v>
      </c>
      <c r="G49" s="279"/>
      <c r="H49" s="71" t="s">
        <v>22</v>
      </c>
      <c r="I49" s="10"/>
      <c r="J49" s="207" t="s">
        <v>23</v>
      </c>
      <c r="L49" s="287" t="s">
        <v>41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21</v>
      </c>
      <c r="C60" s="279"/>
      <c r="D60" s="71" t="s">
        <v>22</v>
      </c>
      <c r="E60" s="226"/>
      <c r="F60" s="278" t="s">
        <v>21</v>
      </c>
      <c r="G60" s="279"/>
      <c r="H60" s="71" t="s">
        <v>22</v>
      </c>
      <c r="I60" s="10"/>
      <c r="J60" s="207" t="s">
        <v>23</v>
      </c>
      <c r="L60" s="287" t="s">
        <v>41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21</v>
      </c>
      <c r="C71" s="279"/>
      <c r="D71" s="71" t="s">
        <v>22</v>
      </c>
      <c r="E71" s="226"/>
      <c r="F71" s="278" t="s">
        <v>21</v>
      </c>
      <c r="G71" s="279"/>
      <c r="H71" s="71" t="s">
        <v>22</v>
      </c>
      <c r="I71" s="10"/>
      <c r="J71" s="207" t="s">
        <v>23</v>
      </c>
      <c r="L71" s="287" t="s">
        <v>41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21</v>
      </c>
      <c r="C82" s="279"/>
      <c r="D82" s="71" t="s">
        <v>22</v>
      </c>
      <c r="E82" s="226"/>
      <c r="F82" s="278" t="s">
        <v>21</v>
      </c>
      <c r="G82" s="279"/>
      <c r="H82" s="71" t="s">
        <v>22</v>
      </c>
      <c r="I82" s="10"/>
      <c r="J82" s="207" t="s">
        <v>23</v>
      </c>
      <c r="L82" s="287" t="s">
        <v>41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21</v>
      </c>
      <c r="C93" s="279"/>
      <c r="D93" s="71" t="s">
        <v>22</v>
      </c>
      <c r="E93" s="226"/>
      <c r="F93" s="278" t="s">
        <v>21</v>
      </c>
      <c r="G93" s="279"/>
      <c r="H93" s="71" t="s">
        <v>22</v>
      </c>
      <c r="I93" s="10"/>
      <c r="J93" s="207" t="s">
        <v>23</v>
      </c>
      <c r="L93" s="287" t="s">
        <v>41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21</v>
      </c>
      <c r="C104" s="279"/>
      <c r="D104" s="71" t="s">
        <v>22</v>
      </c>
      <c r="E104" s="226"/>
      <c r="F104" s="278" t="s">
        <v>21</v>
      </c>
      <c r="G104" s="279"/>
      <c r="H104" s="71" t="s">
        <v>22</v>
      </c>
      <c r="I104" s="10"/>
      <c r="J104" s="207" t="s">
        <v>23</v>
      </c>
      <c r="L104" s="287" t="s">
        <v>41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11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breakfast_track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breakfast_track</v>
      </c>
      <c r="AM2" s="302" t="s">
        <v>44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26</v>
      </c>
      <c r="F3" s="32" t="s">
        <v>45</v>
      </c>
      <c r="G3" s="216" t="s">
        <v>45</v>
      </c>
      <c r="H3" s="216" t="s">
        <v>45</v>
      </c>
      <c r="I3" s="216" t="s">
        <v>45</v>
      </c>
      <c r="J3" s="216" t="s">
        <v>45</v>
      </c>
      <c r="K3" s="216"/>
      <c r="L3" s="216"/>
      <c r="M3" s="216"/>
      <c r="N3" s="216"/>
      <c r="O3" s="240"/>
      <c r="P3" s="304" t="s">
        <v>46</v>
      </c>
      <c r="Q3" s="304" t="s">
        <v>47</v>
      </c>
      <c r="R3" s="310" t="s">
        <v>48</v>
      </c>
      <c r="S3" s="210"/>
      <c r="T3" s="142"/>
      <c r="U3" s="215"/>
      <c r="V3" s="96"/>
      <c r="W3" s="239" t="s">
        <v>26</v>
      </c>
      <c r="X3" s="32" t="s">
        <v>45</v>
      </c>
      <c r="Y3" s="216" t="s">
        <v>45</v>
      </c>
      <c r="Z3" s="216" t="s">
        <v>45</v>
      </c>
      <c r="AA3" s="216" t="s">
        <v>45</v>
      </c>
      <c r="AB3" s="216" t="s">
        <v>45</v>
      </c>
      <c r="AC3" s="216"/>
      <c r="AD3" s="216"/>
      <c r="AE3" s="216"/>
      <c r="AF3" s="216"/>
      <c r="AG3" s="240"/>
      <c r="AH3" s="304" t="s">
        <v>46</v>
      </c>
      <c r="AI3" s="304" t="s">
        <v>47</v>
      </c>
      <c r="AJ3" s="310" t="s">
        <v>48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28</v>
      </c>
      <c r="D5" s="28"/>
      <c r="E5" s="128">
        <f>E23</f>
        <v>37033.472000000002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2">
        <f t="shared" si="0"/>
        <v>32.469316800000001</v>
      </c>
      <c r="H5" s="32">
        <f t="shared" si="0"/>
        <v>0.95834516733333319</v>
      </c>
      <c r="I5" s="93">
        <f t="shared" si="0"/>
        <v>0.95456353799999993</v>
      </c>
      <c r="J5" s="93">
        <f t="shared" si="0"/>
        <v>6.6124997733333329E-2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29</v>
      </c>
      <c r="D6" s="30"/>
      <c r="E6" s="159">
        <f>E24</f>
        <v>53243.408000000003</v>
      </c>
      <c r="F6" s="93">
        <f t="shared" si="0"/>
        <v>30.5955504</v>
      </c>
      <c r="G6" s="93">
        <f t="shared" si="0"/>
        <v>35.243102133333331</v>
      </c>
      <c r="H6" s="93">
        <f t="shared" si="0"/>
        <v>0.97572819666666666</v>
      </c>
      <c r="I6" s="93">
        <f t="shared" si="0"/>
        <v>0.97258593333333343</v>
      </c>
      <c r="J6" s="93">
        <f t="shared" si="0"/>
        <v>4.1026583800000009E-2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30</v>
      </c>
      <c r="D7" s="30"/>
      <c r="E7" s="159">
        <f>E25</f>
        <v>76773.33600000001</v>
      </c>
      <c r="F7" s="93">
        <f t="shared" si="0"/>
        <v>35.178384000000008</v>
      </c>
      <c r="G7" s="93">
        <f t="shared" si="0"/>
        <v>39.28737146666667</v>
      </c>
      <c r="H7" s="93">
        <f t="shared" si="0"/>
        <v>0.98810945533333316</v>
      </c>
      <c r="I7" s="93">
        <f t="shared" si="0"/>
        <v>0.99038261466666655</v>
      </c>
      <c r="J7" s="93">
        <f t="shared" si="0"/>
        <v>2.4438632800000002E-2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32</v>
      </c>
      <c r="D8" s="30"/>
      <c r="E8" s="159">
        <f>E26</f>
        <v>108862.088</v>
      </c>
      <c r="F8" s="93">
        <f t="shared" si="0"/>
        <v>37.847506266666663</v>
      </c>
      <c r="G8" s="93">
        <f t="shared" si="0"/>
        <v>41.929521733333331</v>
      </c>
      <c r="H8" s="93">
        <f t="shared" si="0"/>
        <v>0.99241337466666668</v>
      </c>
      <c r="I8" s="93">
        <f t="shared" si="0"/>
        <v>0.99521364000000001</v>
      </c>
      <c r="J8" s="93">
        <f t="shared" si="0"/>
        <v>1.7444335733333333E-2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7" t="s">
        <v>46</v>
      </c>
      <c r="Q15" s="217" t="s">
        <v>47</v>
      </c>
      <c r="R15" s="36"/>
      <c r="S15" s="210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7" t="s">
        <v>46</v>
      </c>
      <c r="AI15" s="217" t="s">
        <v>47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28</v>
      </c>
      <c r="D16" s="28"/>
      <c r="E16" s="131">
        <v>5941.2240000000002</v>
      </c>
      <c r="F16" s="169">
        <v>6950.84</v>
      </c>
      <c r="G16" s="169">
        <v>2479.192</v>
      </c>
      <c r="H16" s="169">
        <v>925.62400000000002</v>
      </c>
      <c r="I16" s="169">
        <v>107.456</v>
      </c>
      <c r="J16" s="169">
        <v>11102.456</v>
      </c>
      <c r="K16" s="62">
        <v>7159.68</v>
      </c>
      <c r="L16" s="62">
        <v>2367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29</v>
      </c>
      <c r="D17" s="30"/>
      <c r="E17" s="146">
        <v>5941.2240000000002</v>
      </c>
      <c r="F17" s="170">
        <v>9208.8799999999992</v>
      </c>
      <c r="G17" s="170">
        <v>6678.36</v>
      </c>
      <c r="H17" s="170">
        <v>3445.2959999999998</v>
      </c>
      <c r="I17" s="170">
        <v>1066.664</v>
      </c>
      <c r="J17" s="170">
        <v>14290.28</v>
      </c>
      <c r="K17" s="64">
        <v>9490.9040000000005</v>
      </c>
      <c r="L17" s="64">
        <v>3121.8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30</v>
      </c>
      <c r="D18" s="30"/>
      <c r="E18" s="146">
        <v>5941.2240000000002</v>
      </c>
      <c r="F18" s="170">
        <v>11523.68</v>
      </c>
      <c r="G18" s="170">
        <v>12327.76</v>
      </c>
      <c r="H18" s="170">
        <v>8552.0319999999992</v>
      </c>
      <c r="I18" s="170">
        <v>5014.3599999999997</v>
      </c>
      <c r="J18" s="170">
        <v>17597.624</v>
      </c>
      <c r="K18" s="64">
        <v>11921.12</v>
      </c>
      <c r="L18" s="64">
        <v>3895.5360000000001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32</v>
      </c>
      <c r="D19" s="30"/>
      <c r="E19" s="146">
        <v>5941.2240000000002</v>
      </c>
      <c r="F19" s="170">
        <v>13726.208000000001</v>
      </c>
      <c r="G19" s="170">
        <v>18542.392</v>
      </c>
      <c r="H19" s="170">
        <v>16488.648000000001</v>
      </c>
      <c r="I19" s="170">
        <v>13983.656000000001</v>
      </c>
      <c r="J19" s="170">
        <v>21009.472000000002</v>
      </c>
      <c r="K19" s="64">
        <v>14466.144</v>
      </c>
      <c r="L19" s="64">
        <v>4704.3440000000001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28</v>
      </c>
      <c r="D23" s="28"/>
      <c r="E23" s="130">
        <f>SUM(E16:L16)</f>
        <v>37033.472000000002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29</v>
      </c>
      <c r="D24" s="30"/>
      <c r="E24" s="130">
        <f>SUM(E17:L17)</f>
        <v>53243.408000000003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30</v>
      </c>
      <c r="D25" s="30"/>
      <c r="E25" s="130">
        <f>SUM(E18:L18)</f>
        <v>76773.33600000001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32</v>
      </c>
      <c r="D26" s="30"/>
      <c r="E26" s="130">
        <f>SUM(E19:L19)</f>
        <v>108862.088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64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65</v>
      </c>
      <c r="C32" s="97"/>
      <c r="D32" s="97"/>
      <c r="E32" s="210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0"/>
      <c r="T32" s="26" t="s">
        <v>65</v>
      </c>
      <c r="U32" s="97"/>
      <c r="V32" s="97"/>
      <c r="W32" s="210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0"/>
      <c r="AE32" s="210"/>
      <c r="AF32" s="24"/>
      <c r="AG32" s="261"/>
      <c r="AH32" s="24"/>
      <c r="AI32" s="24"/>
      <c r="AJ32" s="25" t="s">
        <v>48</v>
      </c>
      <c r="AK32" s="212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6" t="s">
        <v>66</v>
      </c>
      <c r="C33" s="27" t="s">
        <v>28</v>
      </c>
      <c r="D33" s="41"/>
      <c r="E33" s="57"/>
      <c r="F33" s="99">
        <v>26.798352000000001</v>
      </c>
      <c r="G33" s="99">
        <v>32.055731000000002</v>
      </c>
      <c r="H33" s="99">
        <v>0.95811588999999997</v>
      </c>
      <c r="I33" s="62">
        <v>0.95013263999999997</v>
      </c>
      <c r="J33" s="62">
        <v>7.0629709999999998E-2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29</v>
      </c>
      <c r="D34" s="191"/>
      <c r="E34" s="58"/>
      <c r="F34" s="192">
        <v>30.683052</v>
      </c>
      <c r="G34" s="192">
        <v>35.189309000000002</v>
      </c>
      <c r="H34" s="192">
        <v>0.97566372999999995</v>
      </c>
      <c r="I34" s="64">
        <v>0.97241995999999997</v>
      </c>
      <c r="J34" s="64">
        <v>4.3773934E-2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30</v>
      </c>
      <c r="D35" s="191"/>
      <c r="E35" s="58"/>
      <c r="F35" s="192">
        <v>35.245213</v>
      </c>
      <c r="G35" s="192">
        <v>39.325405000000003</v>
      </c>
      <c r="H35" s="192">
        <v>0.98802478000000005</v>
      </c>
      <c r="I35" s="64">
        <v>0.99024721999999998</v>
      </c>
      <c r="J35" s="64">
        <v>2.5878713000000001E-2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32</v>
      </c>
      <c r="D36" s="191"/>
      <c r="E36" s="58"/>
      <c r="F36" s="192">
        <v>37.978982000000002</v>
      </c>
      <c r="G36" s="192">
        <v>42.071568999999997</v>
      </c>
      <c r="H36" s="192">
        <v>0.99232673999999998</v>
      </c>
      <c r="I36" s="64">
        <v>0.99516832</v>
      </c>
      <c r="J36" s="64">
        <v>1.8133216000000001E-2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67</v>
      </c>
      <c r="C38" s="27" t="s">
        <v>28</v>
      </c>
      <c r="D38" s="41"/>
      <c r="E38" s="57"/>
      <c r="F38" s="99">
        <v>27.159337000000001</v>
      </c>
      <c r="G38" s="99">
        <v>32.313654</v>
      </c>
      <c r="H38" s="99">
        <v>0.95913261000000005</v>
      </c>
      <c r="I38" s="62">
        <v>0.95348164999999996</v>
      </c>
      <c r="J38" s="62">
        <v>6.7650589999999997E-2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29</v>
      </c>
      <c r="D39" s="191"/>
      <c r="E39" s="58"/>
      <c r="F39" s="192">
        <v>30.61149</v>
      </c>
      <c r="G39" s="192">
        <v>35.125819999999997</v>
      </c>
      <c r="H39" s="192">
        <v>0.97554803000000001</v>
      </c>
      <c r="I39" s="64">
        <v>0.97318223999999998</v>
      </c>
      <c r="J39" s="64">
        <v>4.2904842999999998E-2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30</v>
      </c>
      <c r="D40" s="191"/>
      <c r="E40" s="58"/>
      <c r="F40" s="192">
        <v>35.104630999999998</v>
      </c>
      <c r="G40" s="192">
        <v>39.205773999999998</v>
      </c>
      <c r="H40" s="192">
        <v>0.98771967999999999</v>
      </c>
      <c r="I40" s="64">
        <v>0.99035198999999996</v>
      </c>
      <c r="J40" s="64">
        <v>2.6291702E-2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32</v>
      </c>
      <c r="D41" s="191"/>
      <c r="E41" s="58"/>
      <c r="F41" s="192">
        <v>37.772447</v>
      </c>
      <c r="G41" s="192">
        <v>41.887455000000003</v>
      </c>
      <c r="H41" s="192">
        <v>0.99197133000000004</v>
      </c>
      <c r="I41" s="64">
        <v>0.99512036000000004</v>
      </c>
      <c r="J41" s="64">
        <v>1.8893559000000001E-2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68</v>
      </c>
      <c r="C43" s="27" t="s">
        <v>28</v>
      </c>
      <c r="D43" s="41"/>
      <c r="E43" s="57"/>
      <c r="F43" s="99">
        <v>27.477209999999999</v>
      </c>
      <c r="G43" s="99">
        <v>32.542786</v>
      </c>
      <c r="H43" s="99">
        <v>0.95888883000000003</v>
      </c>
      <c r="I43" s="62">
        <v>0.95585540999999996</v>
      </c>
      <c r="J43" s="62">
        <v>6.4157270000000002E-2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29</v>
      </c>
      <c r="D44" s="191"/>
      <c r="E44" s="58"/>
      <c r="F44" s="192">
        <v>30.589345999999999</v>
      </c>
      <c r="G44" s="192">
        <v>35.108955000000002</v>
      </c>
      <c r="H44" s="192">
        <v>0.97530395000000003</v>
      </c>
      <c r="I44" s="64">
        <v>0.97331946999999996</v>
      </c>
      <c r="J44" s="64">
        <v>4.0674977000000001E-2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30</v>
      </c>
      <c r="D45" s="191"/>
      <c r="E45" s="58"/>
      <c r="F45" s="192">
        <v>35.185032</v>
      </c>
      <c r="G45" s="192">
        <v>39.267468999999998</v>
      </c>
      <c r="H45" s="192">
        <v>0.98778604999999997</v>
      </c>
      <c r="I45" s="64">
        <v>0.99048533999999999</v>
      </c>
      <c r="J45" s="64">
        <v>2.4693282E-2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32</v>
      </c>
      <c r="D46" s="191"/>
      <c r="E46" s="58"/>
      <c r="F46" s="192">
        <v>37.841410000000003</v>
      </c>
      <c r="G46" s="192">
        <v>41.947217999999999</v>
      </c>
      <c r="H46" s="192">
        <v>0.99210927000000004</v>
      </c>
      <c r="I46" s="64">
        <v>0.99513594999999999</v>
      </c>
      <c r="J46" s="64">
        <v>1.7724297999999999E-2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69</v>
      </c>
      <c r="C48" s="27" t="s">
        <v>28</v>
      </c>
      <c r="D48" s="41"/>
      <c r="E48" s="57"/>
      <c r="F48" s="99">
        <v>27.528514999999999</v>
      </c>
      <c r="G48" s="99">
        <v>32.573352999999997</v>
      </c>
      <c r="H48" s="99">
        <v>0.95889004</v>
      </c>
      <c r="I48" s="62">
        <v>0.95552258000000001</v>
      </c>
      <c r="J48" s="62">
        <v>6.5119479999999993E-2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29</v>
      </c>
      <c r="D49" s="191"/>
      <c r="E49" s="58"/>
      <c r="F49" s="192">
        <v>30.364004000000001</v>
      </c>
      <c r="G49" s="192">
        <v>34.911343000000002</v>
      </c>
      <c r="H49" s="192">
        <v>0.97482051000000003</v>
      </c>
      <c r="I49" s="64">
        <v>0.97217198999999999</v>
      </c>
      <c r="J49" s="64">
        <v>4.2943962000000002E-2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30</v>
      </c>
      <c r="D50" s="191"/>
      <c r="E50" s="58"/>
      <c r="F50" s="192">
        <v>35.178787999999997</v>
      </c>
      <c r="G50" s="192">
        <v>39.253574999999998</v>
      </c>
      <c r="H50" s="192">
        <v>0.98766487000000003</v>
      </c>
      <c r="I50" s="64">
        <v>0.99047030999999996</v>
      </c>
      <c r="J50" s="64">
        <v>2.5777917000000001E-2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32</v>
      </c>
      <c r="D51" s="191"/>
      <c r="E51" s="58"/>
      <c r="F51" s="192">
        <v>37.787498999999997</v>
      </c>
      <c r="G51" s="192">
        <v>41.886262000000002</v>
      </c>
      <c r="H51" s="192">
        <v>0.99195458999999997</v>
      </c>
      <c r="I51" s="64">
        <v>0.99506357999999995</v>
      </c>
      <c r="J51" s="64">
        <v>1.8612420000000001E-2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70</v>
      </c>
      <c r="C53" s="27" t="s">
        <v>28</v>
      </c>
      <c r="D53" s="41"/>
      <c r="E53" s="57"/>
      <c r="F53" s="99">
        <v>27.637274999999999</v>
      </c>
      <c r="G53" s="99">
        <v>32.603611000000001</v>
      </c>
      <c r="H53" s="99">
        <v>0.95685091</v>
      </c>
      <c r="I53" s="62">
        <v>0.95639452000000003</v>
      </c>
      <c r="J53" s="62">
        <v>6.8590330000000005E-2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29</v>
      </c>
      <c r="D54" s="191"/>
      <c r="E54" s="58"/>
      <c r="F54" s="192">
        <v>30.342054999999998</v>
      </c>
      <c r="G54" s="192">
        <v>34.873162999999998</v>
      </c>
      <c r="H54" s="192">
        <v>0.97403954999999998</v>
      </c>
      <c r="I54" s="64">
        <v>0.97253383000000004</v>
      </c>
      <c r="J54" s="64">
        <v>4.5010433000000002E-2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30</v>
      </c>
      <c r="D55" s="191"/>
      <c r="E55" s="58"/>
      <c r="F55" s="192">
        <v>34.994120000000002</v>
      </c>
      <c r="G55" s="192">
        <v>39.061014999999998</v>
      </c>
      <c r="H55" s="192">
        <v>0.98708828999999998</v>
      </c>
      <c r="I55" s="64">
        <v>0.99036941000000001</v>
      </c>
      <c r="J55" s="64">
        <v>2.7586917999999998E-2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32</v>
      </c>
      <c r="D56" s="191"/>
      <c r="E56" s="58"/>
      <c r="F56" s="192">
        <v>37.432068999999998</v>
      </c>
      <c r="G56" s="192">
        <v>41.503722000000003</v>
      </c>
      <c r="H56" s="192">
        <v>0.99142965999999999</v>
      </c>
      <c r="I56" s="64">
        <v>0.99482473000000005</v>
      </c>
      <c r="J56" s="64">
        <v>1.9992592E-2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71</v>
      </c>
      <c r="C58" s="27" t="s">
        <v>28</v>
      </c>
      <c r="D58" s="41"/>
      <c r="E58" s="57"/>
      <c r="F58" s="99">
        <v>26.894822000000001</v>
      </c>
      <c r="G58" s="99">
        <v>32.264718000000002</v>
      </c>
      <c r="H58" s="99">
        <v>0.95867438000000005</v>
      </c>
      <c r="I58" s="62">
        <v>0.95391572999999996</v>
      </c>
      <c r="J58" s="62">
        <v>6.9243559999999996E-2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29</v>
      </c>
      <c r="D59" s="191"/>
      <c r="E59" s="58"/>
      <c r="F59" s="192">
        <v>30.816381</v>
      </c>
      <c r="G59" s="192">
        <v>35.493073000000003</v>
      </c>
      <c r="H59" s="192">
        <v>0.97644447999999995</v>
      </c>
      <c r="I59" s="64">
        <v>0.97494440999999998</v>
      </c>
      <c r="J59" s="64">
        <v>4.1013528E-2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30</v>
      </c>
      <c r="D60" s="191"/>
      <c r="E60" s="58"/>
      <c r="F60" s="192">
        <v>35.293846000000002</v>
      </c>
      <c r="G60" s="192">
        <v>39.390680000000003</v>
      </c>
      <c r="H60" s="192">
        <v>0.98864724999999998</v>
      </c>
      <c r="I60" s="64">
        <v>0.99094232000000004</v>
      </c>
      <c r="J60" s="64">
        <v>2.3807272000000001E-2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32</v>
      </c>
      <c r="D61" s="191"/>
      <c r="E61" s="58"/>
      <c r="F61" s="192">
        <v>37.956538999999999</v>
      </c>
      <c r="G61" s="192">
        <v>42.040222</v>
      </c>
      <c r="H61" s="192">
        <v>0.99285303000000003</v>
      </c>
      <c r="I61" s="64">
        <v>0.99569479000000005</v>
      </c>
      <c r="J61" s="64">
        <v>1.6822651000000001E-2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72</v>
      </c>
      <c r="C63" s="27" t="s">
        <v>28</v>
      </c>
      <c r="D63" s="41"/>
      <c r="E63" s="57"/>
      <c r="F63" s="99">
        <v>27.080069000000002</v>
      </c>
      <c r="G63" s="99">
        <v>32.41377</v>
      </c>
      <c r="H63" s="99">
        <v>0.95950606000000005</v>
      </c>
      <c r="I63" s="62">
        <v>0.95407178000000004</v>
      </c>
      <c r="J63" s="62">
        <v>6.5351699999999999E-2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29</v>
      </c>
      <c r="D64" s="191"/>
      <c r="E64" s="58"/>
      <c r="F64" s="192">
        <v>30.646644999999999</v>
      </c>
      <c r="G64" s="192">
        <v>35.377361000000001</v>
      </c>
      <c r="H64" s="192">
        <v>0.97647065</v>
      </c>
      <c r="I64" s="64">
        <v>0.97207644000000004</v>
      </c>
      <c r="J64" s="64">
        <v>3.9864033E-2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30</v>
      </c>
      <c r="D65" s="191"/>
      <c r="E65" s="58"/>
      <c r="F65" s="192">
        <v>35.304288999999997</v>
      </c>
      <c r="G65" s="192">
        <v>39.427394</v>
      </c>
      <c r="H65" s="192">
        <v>0.98858228000000004</v>
      </c>
      <c r="I65" s="64">
        <v>0.99053734999999998</v>
      </c>
      <c r="J65" s="64">
        <v>2.3588745000000001E-2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32</v>
      </c>
      <c r="D66" s="191"/>
      <c r="E66" s="58"/>
      <c r="F66" s="192">
        <v>37.940697999999998</v>
      </c>
      <c r="G66" s="192">
        <v>42.042659999999998</v>
      </c>
      <c r="H66" s="192">
        <v>0.99273867999999998</v>
      </c>
      <c r="I66" s="64">
        <v>0.99535589000000002</v>
      </c>
      <c r="J66" s="64">
        <v>1.67075E-2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73</v>
      </c>
      <c r="C68" s="27" t="s">
        <v>28</v>
      </c>
      <c r="D68" s="41"/>
      <c r="E68" s="57"/>
      <c r="F68" s="99">
        <v>27.339936999999999</v>
      </c>
      <c r="G68" s="99">
        <v>32.598719000000003</v>
      </c>
      <c r="H68" s="99">
        <v>0.95952139999999997</v>
      </c>
      <c r="I68" s="62">
        <v>0.95485657000000002</v>
      </c>
      <c r="J68" s="62">
        <v>6.2930345999999998E-2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29</v>
      </c>
      <c r="D69" s="191"/>
      <c r="E69" s="58"/>
      <c r="F69" s="192">
        <v>30.699698999999999</v>
      </c>
      <c r="G69" s="192">
        <v>35.41825</v>
      </c>
      <c r="H69" s="192">
        <v>0.97609678</v>
      </c>
      <c r="I69" s="64">
        <v>0.97140773999999996</v>
      </c>
      <c r="J69" s="64">
        <v>3.9092842000000003E-2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30</v>
      </c>
      <c r="D70" s="191"/>
      <c r="E70" s="58"/>
      <c r="F70" s="192">
        <v>35.325892000000003</v>
      </c>
      <c r="G70" s="192">
        <v>39.444445999999999</v>
      </c>
      <c r="H70" s="192">
        <v>0.98833272999999999</v>
      </c>
      <c r="I70" s="64">
        <v>0.99000381999999998</v>
      </c>
      <c r="J70" s="64">
        <v>2.3051122E-2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32</v>
      </c>
      <c r="D71" s="191"/>
      <c r="E71" s="58"/>
      <c r="F71" s="192">
        <v>37.918970000000002</v>
      </c>
      <c r="G71" s="192">
        <v>42.010599999999997</v>
      </c>
      <c r="H71" s="192">
        <v>0.99260009999999999</v>
      </c>
      <c r="I71" s="64">
        <v>0.99502447999999999</v>
      </c>
      <c r="J71" s="64">
        <v>1.6604715999999999E-2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74</v>
      </c>
      <c r="C73" s="27" t="s">
        <v>28</v>
      </c>
      <c r="D73" s="41"/>
      <c r="E73" s="57"/>
      <c r="F73" s="99">
        <v>27.454829</v>
      </c>
      <c r="G73" s="99">
        <v>32.661768000000002</v>
      </c>
      <c r="H73" s="99">
        <v>0.95952678999999996</v>
      </c>
      <c r="I73" s="62">
        <v>0.95506356000000003</v>
      </c>
      <c r="J73" s="62">
        <v>6.2677319999999995E-2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29</v>
      </c>
      <c r="D74" s="191"/>
      <c r="E74" s="58"/>
      <c r="F74" s="192">
        <v>30.660633000000001</v>
      </c>
      <c r="G74" s="192">
        <v>35.361564999999999</v>
      </c>
      <c r="H74" s="192">
        <v>0.97577809999999998</v>
      </c>
      <c r="I74" s="64">
        <v>0.97108329999999998</v>
      </c>
      <c r="J74" s="64">
        <v>3.9405763000000003E-2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30</v>
      </c>
      <c r="D75" s="191"/>
      <c r="E75" s="58"/>
      <c r="F75" s="192">
        <v>35.314210000000003</v>
      </c>
      <c r="G75" s="192">
        <v>39.431275999999997</v>
      </c>
      <c r="H75" s="192">
        <v>0.98818454</v>
      </c>
      <c r="I75" s="64">
        <v>0.99008035000000005</v>
      </c>
      <c r="J75" s="64">
        <v>2.3250916999999999E-2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32</v>
      </c>
      <c r="D76" s="191"/>
      <c r="E76" s="58"/>
      <c r="F76" s="192">
        <v>37.881673999999997</v>
      </c>
      <c r="G76" s="192">
        <v>41.968682999999999</v>
      </c>
      <c r="H76" s="192">
        <v>0.99242516999999997</v>
      </c>
      <c r="I76" s="64">
        <v>0.99507888</v>
      </c>
      <c r="J76" s="64">
        <v>1.6820214999999999E-2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75</v>
      </c>
      <c r="C78" s="27" t="s">
        <v>28</v>
      </c>
      <c r="D78" s="41"/>
      <c r="E78" s="57"/>
      <c r="F78" s="99">
        <v>27.508752999999999</v>
      </c>
      <c r="G78" s="99">
        <v>32.618156999999997</v>
      </c>
      <c r="H78" s="99">
        <v>0.95760783999999999</v>
      </c>
      <c r="I78" s="62">
        <v>0.95567822000000002</v>
      </c>
      <c r="J78" s="62">
        <v>6.6164829999999994E-2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29</v>
      </c>
      <c r="D79" s="191"/>
      <c r="E79" s="58"/>
      <c r="F79" s="192">
        <v>30.58878</v>
      </c>
      <c r="G79" s="192">
        <v>35.228861999999999</v>
      </c>
      <c r="H79" s="192">
        <v>0.97467068999999995</v>
      </c>
      <c r="I79" s="64">
        <v>0.97195218000000005</v>
      </c>
      <c r="J79" s="64">
        <v>4.2794770000000003E-2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30</v>
      </c>
      <c r="D80" s="191"/>
      <c r="E80" s="58"/>
      <c r="F80" s="192">
        <v>35.130313999999998</v>
      </c>
      <c r="G80" s="192">
        <v>39.225898000000001</v>
      </c>
      <c r="H80" s="192">
        <v>0.98737633000000002</v>
      </c>
      <c r="I80" s="64">
        <v>0.99017668999999997</v>
      </c>
      <c r="J80" s="64">
        <v>2.5149195999999999E-2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32</v>
      </c>
      <c r="D81" s="191"/>
      <c r="E81" s="58"/>
      <c r="F81" s="192">
        <v>37.597346999999999</v>
      </c>
      <c r="G81" s="192">
        <v>41.652251999999997</v>
      </c>
      <c r="H81" s="192">
        <v>0.99169160999999995</v>
      </c>
      <c r="I81" s="64">
        <v>0.99492577000000004</v>
      </c>
      <c r="J81" s="64">
        <v>1.8485120000000001E-2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76</v>
      </c>
      <c r="C83" s="27" t="s">
        <v>28</v>
      </c>
      <c r="D83" s="41"/>
      <c r="E83" s="57"/>
      <c r="F83" s="99">
        <v>26.979896</v>
      </c>
      <c r="G83" s="99">
        <v>32.325276000000002</v>
      </c>
      <c r="H83" s="99">
        <v>0.95656841999999997</v>
      </c>
      <c r="I83" s="62">
        <v>0.95544583999999999</v>
      </c>
      <c r="J83" s="62">
        <v>7.0422929999999995E-2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29</v>
      </c>
      <c r="D84" s="191"/>
      <c r="E84" s="58"/>
      <c r="F84" s="192">
        <v>30.509104000000001</v>
      </c>
      <c r="G84" s="192">
        <v>35.275841999999997</v>
      </c>
      <c r="H84" s="192">
        <v>0.97609805000000005</v>
      </c>
      <c r="I84" s="64">
        <v>0.97458858000000004</v>
      </c>
      <c r="J84" s="64">
        <v>4.1022700000000002E-2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30</v>
      </c>
      <c r="D85" s="191"/>
      <c r="E85" s="58"/>
      <c r="F85" s="192">
        <v>34.995499000000002</v>
      </c>
      <c r="G85" s="192">
        <v>39.131517000000002</v>
      </c>
      <c r="H85" s="192">
        <v>0.98857499999999998</v>
      </c>
      <c r="I85" s="64">
        <v>0.99112529000000005</v>
      </c>
      <c r="J85" s="64">
        <v>2.3768081999999999E-2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32</v>
      </c>
      <c r="D86" s="191"/>
      <c r="E86" s="58"/>
      <c r="F86" s="192">
        <v>37.818874999999998</v>
      </c>
      <c r="G86" s="192">
        <v>41.873576999999997</v>
      </c>
      <c r="H86" s="192">
        <v>0.99298096999999996</v>
      </c>
      <c r="I86" s="64">
        <v>0.99568495999999995</v>
      </c>
      <c r="J86" s="64">
        <v>1.6779754000000001E-2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77</v>
      </c>
      <c r="C88" s="27" t="s">
        <v>28</v>
      </c>
      <c r="D88" s="41"/>
      <c r="E88" s="57"/>
      <c r="F88" s="99">
        <v>27.070197</v>
      </c>
      <c r="G88" s="99">
        <v>32.407620000000001</v>
      </c>
      <c r="H88" s="99">
        <v>0.95771629000000003</v>
      </c>
      <c r="I88" s="62">
        <v>0.95467356000000003</v>
      </c>
      <c r="J88" s="62">
        <v>6.6683199999999998E-2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29</v>
      </c>
      <c r="D89" s="191"/>
      <c r="E89" s="58"/>
      <c r="F89" s="192">
        <v>30.588432000000001</v>
      </c>
      <c r="G89" s="192">
        <v>35.345520999999998</v>
      </c>
      <c r="H89" s="192">
        <v>0.97624431</v>
      </c>
      <c r="I89" s="64">
        <v>0.97311336999999998</v>
      </c>
      <c r="J89" s="64">
        <v>3.9928037999999999E-2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30</v>
      </c>
      <c r="D90" s="191"/>
      <c r="E90" s="58"/>
      <c r="F90" s="192">
        <v>35.127245000000002</v>
      </c>
      <c r="G90" s="192">
        <v>39.274521999999997</v>
      </c>
      <c r="H90" s="192">
        <v>0.98853159999999995</v>
      </c>
      <c r="I90" s="64">
        <v>0.99071746999999999</v>
      </c>
      <c r="J90" s="64">
        <v>2.3596168000000001E-2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32</v>
      </c>
      <c r="D91" s="191"/>
      <c r="E91" s="58"/>
      <c r="F91" s="192">
        <v>37.913257999999999</v>
      </c>
      <c r="G91" s="192">
        <v>41.991973000000002</v>
      </c>
      <c r="H91" s="192">
        <v>0.99289779</v>
      </c>
      <c r="I91" s="64">
        <v>0.99545550999999999</v>
      </c>
      <c r="J91" s="64">
        <v>1.6695475000000001E-2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78</v>
      </c>
      <c r="C93" s="27" t="s">
        <v>28</v>
      </c>
      <c r="D93" s="41"/>
      <c r="E93" s="57"/>
      <c r="F93" s="99">
        <v>27.229775</v>
      </c>
      <c r="G93" s="99">
        <v>32.531092999999998</v>
      </c>
      <c r="H93" s="99">
        <v>0.95857614000000002</v>
      </c>
      <c r="I93" s="62">
        <v>0.95339068000000005</v>
      </c>
      <c r="J93" s="62">
        <v>6.3512570000000004E-2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29</v>
      </c>
      <c r="D94" s="191"/>
      <c r="E94" s="58"/>
      <c r="F94" s="192">
        <v>30.689409000000001</v>
      </c>
      <c r="G94" s="192">
        <v>35.411991</v>
      </c>
      <c r="H94" s="192">
        <v>0.97657391999999998</v>
      </c>
      <c r="I94" s="64">
        <v>0.97131582999999999</v>
      </c>
      <c r="J94" s="64">
        <v>3.8080454E-2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30</v>
      </c>
      <c r="D95" s="191"/>
      <c r="E95" s="58"/>
      <c r="F95" s="192">
        <v>35.329490999999997</v>
      </c>
      <c r="G95" s="192">
        <v>39.454034</v>
      </c>
      <c r="H95" s="192">
        <v>0.98865216</v>
      </c>
      <c r="I95" s="64">
        <v>0.99013810999999996</v>
      </c>
      <c r="J95" s="64">
        <v>2.2565854999999999E-2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32</v>
      </c>
      <c r="D96" s="191"/>
      <c r="E96" s="58"/>
      <c r="F96" s="192">
        <v>38.081161000000002</v>
      </c>
      <c r="G96" s="192">
        <v>42.150010000000002</v>
      </c>
      <c r="H96" s="192">
        <v>0.99293012999999997</v>
      </c>
      <c r="I96" s="64">
        <v>0.99516192999999997</v>
      </c>
      <c r="J96" s="64">
        <v>1.6004402000000001E-2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79</v>
      </c>
      <c r="C98" s="27" t="s">
        <v>28</v>
      </c>
      <c r="D98" s="41"/>
      <c r="E98" s="57"/>
      <c r="F98" s="99">
        <v>27.399815</v>
      </c>
      <c r="G98" s="99">
        <v>32.661893999999997</v>
      </c>
      <c r="H98" s="99">
        <v>0.95872363000000005</v>
      </c>
      <c r="I98" s="62">
        <v>0.95469424000000003</v>
      </c>
      <c r="J98" s="62">
        <v>6.3374124000000004E-2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29</v>
      </c>
      <c r="D99" s="191"/>
      <c r="E99" s="58"/>
      <c r="F99" s="192">
        <v>30.650919999999999</v>
      </c>
      <c r="G99" s="192">
        <v>35.392978999999997</v>
      </c>
      <c r="H99" s="192">
        <v>0.97648904000000003</v>
      </c>
      <c r="I99" s="64">
        <v>0.97186671000000002</v>
      </c>
      <c r="J99" s="64">
        <v>3.8674027E-2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30</v>
      </c>
      <c r="D100" s="191"/>
      <c r="E100" s="58"/>
      <c r="F100" s="192">
        <v>35.226109000000001</v>
      </c>
      <c r="G100" s="192">
        <v>39.377243999999997</v>
      </c>
      <c r="H100" s="192">
        <v>0.98856973000000004</v>
      </c>
      <c r="I100" s="64">
        <v>0.99010825999999996</v>
      </c>
      <c r="J100" s="64">
        <v>2.3301473E-2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32</v>
      </c>
      <c r="D101" s="191"/>
      <c r="E101" s="58"/>
      <c r="F101" s="192">
        <v>38.028995000000002</v>
      </c>
      <c r="G101" s="192">
        <v>42.107762000000001</v>
      </c>
      <c r="H101" s="192">
        <v>0.99285833000000001</v>
      </c>
      <c r="I101" s="64">
        <v>0.99530067</v>
      </c>
      <c r="J101" s="64">
        <v>1.6391024000000001E-2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80</v>
      </c>
      <c r="C103" s="27" t="s">
        <v>28</v>
      </c>
      <c r="D103" s="41"/>
      <c r="E103" s="57"/>
      <c r="F103" s="99">
        <v>27.382221999999999</v>
      </c>
      <c r="G103" s="99">
        <v>32.467601999999999</v>
      </c>
      <c r="H103" s="99">
        <v>0.95687827999999997</v>
      </c>
      <c r="I103" s="62">
        <v>0.95527609000000002</v>
      </c>
      <c r="J103" s="62">
        <v>6.5367006000000005E-2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29</v>
      </c>
      <c r="D104" s="191"/>
      <c r="E104" s="58"/>
      <c r="F104" s="192">
        <v>30.493306</v>
      </c>
      <c r="G104" s="192">
        <v>35.132497999999998</v>
      </c>
      <c r="H104" s="192">
        <v>0.97568116000000005</v>
      </c>
      <c r="I104" s="64">
        <v>0.97281295000000001</v>
      </c>
      <c r="J104" s="64">
        <v>4.0214452999999997E-2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30</v>
      </c>
      <c r="D105" s="191"/>
      <c r="E105" s="58"/>
      <c r="F105" s="192">
        <v>34.921081000000001</v>
      </c>
      <c r="G105" s="192">
        <v>39.040323000000001</v>
      </c>
      <c r="H105" s="192">
        <v>0.98790654</v>
      </c>
      <c r="I105" s="64">
        <v>0.98998529000000002</v>
      </c>
      <c r="J105" s="64">
        <v>2.4272129999999999E-2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32</v>
      </c>
      <c r="D106" s="191"/>
      <c r="E106" s="58"/>
      <c r="F106" s="192">
        <v>37.76267</v>
      </c>
      <c r="G106" s="192">
        <v>41.808861</v>
      </c>
      <c r="H106" s="192">
        <v>0.99243322</v>
      </c>
      <c r="I106" s="64">
        <v>0.99520878000000002</v>
      </c>
      <c r="J106" s="64">
        <v>1.6998093999999998E-2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81</v>
      </c>
      <c r="C108" s="27" t="s">
        <v>28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29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30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32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82</v>
      </c>
      <c r="C113" s="27" t="s">
        <v>28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29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30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32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83</v>
      </c>
      <c r="C118" s="27" t="s">
        <v>28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29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30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32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84</v>
      </c>
      <c r="C123" s="27" t="s">
        <v>28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29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30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32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85</v>
      </c>
      <c r="C128" s="27" t="s">
        <v>28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29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30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32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86</v>
      </c>
      <c r="C133" s="27" t="s">
        <v>28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29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30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32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45</v>
      </c>
      <c r="G639" s="216" t="s">
        <v>45</v>
      </c>
      <c r="H639" s="216" t="s">
        <v>45</v>
      </c>
      <c r="I639" s="216" t="s">
        <v>45</v>
      </c>
      <c r="J639" s="216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45</v>
      </c>
      <c r="Y639" s="216" t="s">
        <v>45</v>
      </c>
      <c r="Z639" s="216" t="s">
        <v>45</v>
      </c>
      <c r="AA639" s="216" t="s">
        <v>45</v>
      </c>
      <c r="AB639" s="216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2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8">
        <f t="shared" si="59"/>
        <v>32.055731000000002</v>
      </c>
      <c r="H641" s="138">
        <f t="shared" si="59"/>
        <v>0.95656841999999997</v>
      </c>
      <c r="I641" s="138">
        <f t="shared" si="59"/>
        <v>0.95013263999999997</v>
      </c>
      <c r="J641" s="138">
        <f t="shared" si="59"/>
        <v>6.2677319999999995E-2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29</v>
      </c>
      <c r="D642" s="110"/>
      <c r="E642" s="268"/>
      <c r="F642" s="20">
        <f t="shared" si="59"/>
        <v>30.342054999999998</v>
      </c>
      <c r="G642" s="20">
        <f t="shared" si="59"/>
        <v>34.873162999999998</v>
      </c>
      <c r="H642" s="20">
        <f t="shared" si="59"/>
        <v>0.97403954999999998</v>
      </c>
      <c r="I642" s="20">
        <f t="shared" si="59"/>
        <v>0.97108329999999998</v>
      </c>
      <c r="J642" s="20">
        <f t="shared" si="59"/>
        <v>3.8080454E-2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30</v>
      </c>
      <c r="D643" s="110"/>
      <c r="E643" s="268"/>
      <c r="F643" s="20">
        <f t="shared" si="59"/>
        <v>34.921081000000001</v>
      </c>
      <c r="G643" s="20">
        <f t="shared" si="59"/>
        <v>39.040323000000001</v>
      </c>
      <c r="H643" s="20">
        <f t="shared" si="59"/>
        <v>0.98708828999999998</v>
      </c>
      <c r="I643" s="20">
        <f t="shared" si="59"/>
        <v>0.98998529000000002</v>
      </c>
      <c r="J643" s="20">
        <f t="shared" si="59"/>
        <v>2.2565854999999999E-2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32</v>
      </c>
      <c r="D644" s="110"/>
      <c r="E644" s="268"/>
      <c r="F644" s="20">
        <f t="shared" si="59"/>
        <v>37.432068999999998</v>
      </c>
      <c r="G644" s="20">
        <f t="shared" si="59"/>
        <v>41.503722000000003</v>
      </c>
      <c r="H644" s="20">
        <f t="shared" si="59"/>
        <v>0.99142965999999999</v>
      </c>
      <c r="I644" s="20">
        <f t="shared" si="59"/>
        <v>0.99482473000000005</v>
      </c>
      <c r="J644" s="20">
        <f t="shared" si="59"/>
        <v>1.6004402000000001E-2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8">
        <f t="shared" si="61"/>
        <v>32.661893999999997</v>
      </c>
      <c r="H646" s="138">
        <f t="shared" si="61"/>
        <v>0.95952678999999996</v>
      </c>
      <c r="I646" s="138">
        <f t="shared" si="61"/>
        <v>0.95639452000000003</v>
      </c>
      <c r="J646" s="138">
        <f t="shared" si="61"/>
        <v>7.0629709999999998E-2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29</v>
      </c>
      <c r="D647" s="110"/>
      <c r="E647" s="268"/>
      <c r="F647" s="20">
        <f t="shared" si="61"/>
        <v>30.816381</v>
      </c>
      <c r="G647" s="20">
        <f t="shared" si="61"/>
        <v>35.493073000000003</v>
      </c>
      <c r="H647" s="20">
        <f t="shared" si="61"/>
        <v>0.97657391999999998</v>
      </c>
      <c r="I647" s="20">
        <f t="shared" si="61"/>
        <v>0.97494440999999998</v>
      </c>
      <c r="J647" s="20">
        <f t="shared" si="61"/>
        <v>4.5010433000000002E-2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30</v>
      </c>
      <c r="D648" s="110"/>
      <c r="E648" s="268"/>
      <c r="F648" s="20">
        <f t="shared" si="61"/>
        <v>35.329490999999997</v>
      </c>
      <c r="G648" s="20">
        <f t="shared" si="61"/>
        <v>39.454034</v>
      </c>
      <c r="H648" s="20">
        <f t="shared" si="61"/>
        <v>0.98865216</v>
      </c>
      <c r="I648" s="20">
        <f t="shared" si="61"/>
        <v>0.99112529000000005</v>
      </c>
      <c r="J648" s="20">
        <f t="shared" si="61"/>
        <v>2.7586917999999998E-2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32</v>
      </c>
      <c r="D649" s="110"/>
      <c r="E649" s="268"/>
      <c r="F649" s="20">
        <f t="shared" si="61"/>
        <v>38.081161000000002</v>
      </c>
      <c r="G649" s="20">
        <f t="shared" si="61"/>
        <v>42.150010000000002</v>
      </c>
      <c r="H649" s="20">
        <f t="shared" si="61"/>
        <v>0.99298096999999996</v>
      </c>
      <c r="I649" s="20">
        <f t="shared" si="61"/>
        <v>0.99569479000000005</v>
      </c>
      <c r="J649" s="20">
        <f t="shared" si="61"/>
        <v>1.9992592E-2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189</v>
      </c>
      <c r="C651" s="27" t="s">
        <v>28</v>
      </c>
      <c r="D651" s="109"/>
      <c r="E651" s="266"/>
      <c r="F651" s="138">
        <f t="shared" ref="F651:J654" si="63">F646-F641</f>
        <v>0.83892299999999764</v>
      </c>
      <c r="G651" s="138">
        <f t="shared" si="63"/>
        <v>0.60616299999999512</v>
      </c>
      <c r="H651" s="138">
        <f t="shared" si="63"/>
        <v>2.958369999999988E-3</v>
      </c>
      <c r="I651" s="138">
        <f t="shared" si="63"/>
        <v>6.261880000000053E-3</v>
      </c>
      <c r="J651" s="138">
        <f t="shared" si="63"/>
        <v>7.9523900000000036E-3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29</v>
      </c>
      <c r="D652" s="110"/>
      <c r="E652" s="268"/>
      <c r="F652" s="20">
        <f t="shared" si="63"/>
        <v>0.47432600000000136</v>
      </c>
      <c r="G652" s="20">
        <f t="shared" si="63"/>
        <v>0.6199100000000044</v>
      </c>
      <c r="H652" s="20">
        <f t="shared" si="63"/>
        <v>2.534370000000008E-3</v>
      </c>
      <c r="I652" s="20">
        <f t="shared" si="63"/>
        <v>3.8611100000000009E-3</v>
      </c>
      <c r="J652" s="20">
        <f t="shared" si="63"/>
        <v>6.9299790000000028E-3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30</v>
      </c>
      <c r="D653" s="110"/>
      <c r="E653" s="268"/>
      <c r="F653" s="20">
        <f t="shared" si="63"/>
        <v>0.40840999999999639</v>
      </c>
      <c r="G653" s="20">
        <f t="shared" si="63"/>
        <v>0.41371099999999927</v>
      </c>
      <c r="H653" s="20">
        <f t="shared" si="63"/>
        <v>1.5638700000000227E-3</v>
      </c>
      <c r="I653" s="20">
        <f t="shared" si="63"/>
        <v>1.1400000000000299E-3</v>
      </c>
      <c r="J653" s="20">
        <f t="shared" si="63"/>
        <v>5.0210629999999992E-3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32</v>
      </c>
      <c r="D654" s="110"/>
      <c r="E654" s="268"/>
      <c r="F654" s="20">
        <f t="shared" si="63"/>
        <v>0.64909200000000311</v>
      </c>
      <c r="G654" s="20">
        <f t="shared" si="63"/>
        <v>0.64628799999999842</v>
      </c>
      <c r="H654" s="20">
        <f t="shared" si="63"/>
        <v>1.5513099999999724E-3</v>
      </c>
      <c r="I654" s="20">
        <f t="shared" si="63"/>
        <v>8.7006000000000583E-4</v>
      </c>
      <c r="J654" s="20">
        <f t="shared" si="63"/>
        <v>3.9881899999999991E-3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12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breakfast_semitrack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breakfast_semitrack</v>
      </c>
      <c r="AM2" s="302" t="s">
        <v>44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26</v>
      </c>
      <c r="F3" s="32" t="s">
        <v>45</v>
      </c>
      <c r="G3" s="216" t="s">
        <v>45</v>
      </c>
      <c r="H3" s="216" t="s">
        <v>45</v>
      </c>
      <c r="I3" s="216" t="s">
        <v>45</v>
      </c>
      <c r="J3" s="216" t="s">
        <v>45</v>
      </c>
      <c r="K3" s="216"/>
      <c r="L3" s="216"/>
      <c r="M3" s="216"/>
      <c r="N3" s="216"/>
      <c r="O3" s="240"/>
      <c r="P3" s="304" t="s">
        <v>46</v>
      </c>
      <c r="Q3" s="304" t="s">
        <v>47</v>
      </c>
      <c r="R3" s="310" t="s">
        <v>48</v>
      </c>
      <c r="S3" s="210"/>
      <c r="T3" s="142"/>
      <c r="U3" s="215"/>
      <c r="V3" s="96"/>
      <c r="W3" s="239" t="s">
        <v>26</v>
      </c>
      <c r="X3" s="32" t="s">
        <v>45</v>
      </c>
      <c r="Y3" s="216" t="s">
        <v>45</v>
      </c>
      <c r="Z3" s="216" t="s">
        <v>45</v>
      </c>
      <c r="AA3" s="216" t="s">
        <v>45</v>
      </c>
      <c r="AB3" s="216" t="s">
        <v>45</v>
      </c>
      <c r="AC3" s="216"/>
      <c r="AD3" s="216"/>
      <c r="AE3" s="216"/>
      <c r="AF3" s="216"/>
      <c r="AG3" s="240"/>
      <c r="AH3" s="304" t="s">
        <v>46</v>
      </c>
      <c r="AI3" s="304" t="s">
        <v>47</v>
      </c>
      <c r="AJ3" s="310" t="s">
        <v>48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28</v>
      </c>
      <c r="D5" s="28"/>
      <c r="E5" s="128">
        <f>E23</f>
        <v>37945.207999999999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2">
        <f t="shared" si="0"/>
        <v>32.321196866666668</v>
      </c>
      <c r="H5" s="32">
        <f t="shared" si="0"/>
        <v>0.95700066866666644</v>
      </c>
      <c r="I5" s="93">
        <f t="shared" si="0"/>
        <v>0.95395936733333342</v>
      </c>
      <c r="J5" s="93">
        <f t="shared" si="0"/>
        <v>6.8758821599999992E-2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29</v>
      </c>
      <c r="D6" s="30"/>
      <c r="E6" s="159">
        <f>E24</f>
        <v>54681.568000000007</v>
      </c>
      <c r="F6" s="93">
        <f t="shared" si="0"/>
        <v>30.717614933333337</v>
      </c>
      <c r="G6" s="93">
        <f t="shared" si="0"/>
        <v>35.232715600000006</v>
      </c>
      <c r="H6" s="93">
        <f t="shared" si="0"/>
        <v>0.97492547266666674</v>
      </c>
      <c r="I6" s="93">
        <f t="shared" si="0"/>
        <v>0.97223756466666666</v>
      </c>
      <c r="J6" s="93">
        <f t="shared" si="0"/>
        <v>4.2517676533333333E-2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30</v>
      </c>
      <c r="D7" s="30"/>
      <c r="E7" s="159">
        <f>E25</f>
        <v>79040.792000000001</v>
      </c>
      <c r="F7" s="93">
        <f t="shared" si="0"/>
        <v>35.108155866666671</v>
      </c>
      <c r="G7" s="93">
        <f t="shared" si="0"/>
        <v>39.210842266666667</v>
      </c>
      <c r="H7" s="93">
        <f t="shared" si="0"/>
        <v>0.98757465333333327</v>
      </c>
      <c r="I7" s="93">
        <f t="shared" si="0"/>
        <v>0.99005189866666643</v>
      </c>
      <c r="J7" s="93">
        <f t="shared" si="0"/>
        <v>2.4925761000000001E-2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32</v>
      </c>
      <c r="D8" s="30"/>
      <c r="E8" s="159">
        <f>E26</f>
        <v>112144.24799999999</v>
      </c>
      <c r="F8" s="93">
        <f t="shared" si="0"/>
        <v>37.605895933333336</v>
      </c>
      <c r="G8" s="93">
        <f t="shared" si="0"/>
        <v>41.687570999999998</v>
      </c>
      <c r="H8" s="93">
        <f t="shared" si="0"/>
        <v>0.99193363933333345</v>
      </c>
      <c r="I8" s="93">
        <f t="shared" si="0"/>
        <v>0.99515773399999985</v>
      </c>
      <c r="J8" s="93">
        <f t="shared" si="0"/>
        <v>1.8274979066666665E-2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7" t="s">
        <v>46</v>
      </c>
      <c r="Q15" s="217" t="s">
        <v>47</v>
      </c>
      <c r="R15" s="36"/>
      <c r="S15" s="210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7" t="s">
        <v>46</v>
      </c>
      <c r="AI15" s="217" t="s">
        <v>47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28</v>
      </c>
      <c r="D16" s="28"/>
      <c r="E16" s="131">
        <v>6005.9040000000005</v>
      </c>
      <c r="F16" s="169">
        <v>7153.4160000000002</v>
      </c>
      <c r="G16" s="169">
        <v>2634.0320000000002</v>
      </c>
      <c r="H16" s="169">
        <v>989.23199999999997</v>
      </c>
      <c r="I16" s="169">
        <v>123.896</v>
      </c>
      <c r="J16" s="169">
        <v>11311.216</v>
      </c>
      <c r="K16" s="62">
        <v>7332.1279999999997</v>
      </c>
      <c r="L16" s="62">
        <v>2395.384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29</v>
      </c>
      <c r="D17" s="30"/>
      <c r="E17" s="146">
        <v>6005.9040000000005</v>
      </c>
      <c r="F17" s="170">
        <v>9431.2160000000003</v>
      </c>
      <c r="G17" s="170">
        <v>7009.32</v>
      </c>
      <c r="H17" s="170">
        <v>3661.576</v>
      </c>
      <c r="I17" s="170">
        <v>1207.752</v>
      </c>
      <c r="J17" s="170">
        <v>14528.6</v>
      </c>
      <c r="K17" s="64">
        <v>9682.3680000000004</v>
      </c>
      <c r="L17" s="64">
        <v>3154.8319999999999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30</v>
      </c>
      <c r="D18" s="30"/>
      <c r="E18" s="146">
        <v>6005.9040000000005</v>
      </c>
      <c r="F18" s="170">
        <v>11769.8</v>
      </c>
      <c r="G18" s="170">
        <v>12782.183999999999</v>
      </c>
      <c r="H18" s="170">
        <v>9017.9439999999995</v>
      </c>
      <c r="I18" s="170">
        <v>5526.9520000000002</v>
      </c>
      <c r="J18" s="170">
        <v>17869.975999999999</v>
      </c>
      <c r="K18" s="64">
        <v>12136.968000000001</v>
      </c>
      <c r="L18" s="64">
        <v>3931.0639999999999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32</v>
      </c>
      <c r="D19" s="30"/>
      <c r="E19" s="146">
        <v>6005.9040000000005</v>
      </c>
      <c r="F19" s="170">
        <v>13995.472</v>
      </c>
      <c r="G19" s="170">
        <v>19073.768</v>
      </c>
      <c r="H19" s="170">
        <v>17235.536</v>
      </c>
      <c r="I19" s="170">
        <v>15068.224</v>
      </c>
      <c r="J19" s="170">
        <v>21317.200000000001</v>
      </c>
      <c r="K19" s="64">
        <v>14705.208000000001</v>
      </c>
      <c r="L19" s="64">
        <v>4742.9359999999997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28</v>
      </c>
      <c r="D23" s="28"/>
      <c r="E23" s="130">
        <f>SUM(E16:L16)</f>
        <v>37945.207999999999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29</v>
      </c>
      <c r="D24" s="30"/>
      <c r="E24" s="130">
        <f>SUM(E17:L17)</f>
        <v>54681.568000000007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30</v>
      </c>
      <c r="D25" s="30"/>
      <c r="E25" s="130">
        <f>SUM(E18:L18)</f>
        <v>79040.792000000001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32</v>
      </c>
      <c r="D26" s="30"/>
      <c r="E26" s="130">
        <f>SUM(E19:L19)</f>
        <v>112144.24799999999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64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65</v>
      </c>
      <c r="C32" s="97"/>
      <c r="D32" s="97"/>
      <c r="E32" s="210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0"/>
      <c r="T32" s="26" t="s">
        <v>65</v>
      </c>
      <c r="U32" s="97"/>
      <c r="V32" s="97"/>
      <c r="W32" s="210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0"/>
      <c r="AE32" s="210"/>
      <c r="AF32" s="24"/>
      <c r="AG32" s="261"/>
      <c r="AH32" s="24"/>
      <c r="AI32" s="24"/>
      <c r="AJ32" s="25" t="s">
        <v>48</v>
      </c>
      <c r="AK32" s="212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6" t="s">
        <v>66</v>
      </c>
      <c r="C33" s="27" t="s">
        <v>28</v>
      </c>
      <c r="D33" s="41"/>
      <c r="E33" s="57"/>
      <c r="F33" s="99">
        <v>26.822709</v>
      </c>
      <c r="G33" s="99">
        <v>31.894273999999999</v>
      </c>
      <c r="H33" s="99">
        <v>0.95634443000000002</v>
      </c>
      <c r="I33" s="62">
        <v>0.94974391000000002</v>
      </c>
      <c r="J33" s="62">
        <v>7.3161770000000001E-2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29</v>
      </c>
      <c r="D34" s="191"/>
      <c r="E34" s="58"/>
      <c r="F34" s="192">
        <v>30.718677</v>
      </c>
      <c r="G34" s="192">
        <v>35.105764999999998</v>
      </c>
      <c r="H34" s="192">
        <v>0.97493397999999998</v>
      </c>
      <c r="I34" s="64">
        <v>0.97260873999999997</v>
      </c>
      <c r="J34" s="64">
        <v>4.5003712000000001E-2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30</v>
      </c>
      <c r="D35" s="191"/>
      <c r="E35" s="58"/>
      <c r="F35" s="192">
        <v>35.208333000000003</v>
      </c>
      <c r="G35" s="192">
        <v>39.272649000000001</v>
      </c>
      <c r="H35" s="192">
        <v>0.98740145999999995</v>
      </c>
      <c r="I35" s="64">
        <v>0.99000586999999995</v>
      </c>
      <c r="J35" s="64">
        <v>2.6539271999999999E-2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32</v>
      </c>
      <c r="D36" s="191"/>
      <c r="E36" s="58"/>
      <c r="F36" s="192">
        <v>37.821803000000003</v>
      </c>
      <c r="G36" s="192">
        <v>41.911560999999999</v>
      </c>
      <c r="H36" s="192">
        <v>0.99184024999999998</v>
      </c>
      <c r="I36" s="64">
        <v>0.99521393000000002</v>
      </c>
      <c r="J36" s="64">
        <v>1.8475004E-2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67</v>
      </c>
      <c r="C38" s="27" t="s">
        <v>28</v>
      </c>
      <c r="D38" s="41"/>
      <c r="E38" s="57"/>
      <c r="F38" s="99">
        <v>27.15503</v>
      </c>
      <c r="G38" s="99">
        <v>32.206569000000002</v>
      </c>
      <c r="H38" s="99">
        <v>0.95730325999999999</v>
      </c>
      <c r="I38" s="62">
        <v>0.95267179000000002</v>
      </c>
      <c r="J38" s="62">
        <v>7.0389090000000001E-2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29</v>
      </c>
      <c r="D39" s="191"/>
      <c r="E39" s="58"/>
      <c r="F39" s="192">
        <v>30.670563000000001</v>
      </c>
      <c r="G39" s="192">
        <v>35.084049</v>
      </c>
      <c r="H39" s="192">
        <v>0.97492584000000004</v>
      </c>
      <c r="I39" s="64">
        <v>0.97300891</v>
      </c>
      <c r="J39" s="64">
        <v>4.4366464000000001E-2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30</v>
      </c>
      <c r="D40" s="191"/>
      <c r="E40" s="58"/>
      <c r="F40" s="192">
        <v>35.082214999999998</v>
      </c>
      <c r="G40" s="192">
        <v>39.175049000000001</v>
      </c>
      <c r="H40" s="192">
        <v>0.98721407000000005</v>
      </c>
      <c r="I40" s="64">
        <v>0.99041206999999998</v>
      </c>
      <c r="J40" s="64">
        <v>2.6983492000000001E-2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32</v>
      </c>
      <c r="D41" s="191"/>
      <c r="E41" s="58"/>
      <c r="F41" s="192">
        <v>37.564022999999999</v>
      </c>
      <c r="G41" s="192">
        <v>41.673532999999999</v>
      </c>
      <c r="H41" s="192">
        <v>0.99154982999999997</v>
      </c>
      <c r="I41" s="64">
        <v>0.99517491999999996</v>
      </c>
      <c r="J41" s="64">
        <v>1.9391849999999999E-2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68</v>
      </c>
      <c r="C43" s="27" t="s">
        <v>28</v>
      </c>
      <c r="D43" s="41"/>
      <c r="E43" s="57"/>
      <c r="F43" s="99">
        <v>27.395927</v>
      </c>
      <c r="G43" s="99">
        <v>32.426301000000002</v>
      </c>
      <c r="H43" s="99">
        <v>0.95755312000000004</v>
      </c>
      <c r="I43" s="62">
        <v>0.95498380999999999</v>
      </c>
      <c r="J43" s="62">
        <v>6.5477439999999998E-2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29</v>
      </c>
      <c r="D44" s="191"/>
      <c r="E44" s="58"/>
      <c r="F44" s="192">
        <v>30.697759000000001</v>
      </c>
      <c r="G44" s="192">
        <v>35.114454000000002</v>
      </c>
      <c r="H44" s="192">
        <v>0.97455362999999995</v>
      </c>
      <c r="I44" s="64">
        <v>0.97301749000000004</v>
      </c>
      <c r="J44" s="64">
        <v>4.1261587000000002E-2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30</v>
      </c>
      <c r="D45" s="191"/>
      <c r="E45" s="58"/>
      <c r="F45" s="192">
        <v>35.193804999999998</v>
      </c>
      <c r="G45" s="192">
        <v>39.255200000000002</v>
      </c>
      <c r="H45" s="192">
        <v>0.98722105000000004</v>
      </c>
      <c r="I45" s="64">
        <v>0.99038409999999999</v>
      </c>
      <c r="J45" s="64">
        <v>2.4934814999999999E-2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32</v>
      </c>
      <c r="D46" s="191"/>
      <c r="E46" s="58"/>
      <c r="F46" s="192">
        <v>37.602215000000001</v>
      </c>
      <c r="G46" s="192">
        <v>41.690871000000001</v>
      </c>
      <c r="H46" s="192">
        <v>0.99160048999999995</v>
      </c>
      <c r="I46" s="64">
        <v>0.99513750999999995</v>
      </c>
      <c r="J46" s="64">
        <v>1.8027644999999998E-2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69</v>
      </c>
      <c r="C48" s="27" t="s">
        <v>28</v>
      </c>
      <c r="D48" s="41"/>
      <c r="E48" s="57"/>
      <c r="F48" s="99">
        <v>27.406086999999999</v>
      </c>
      <c r="G48" s="99">
        <v>32.42689</v>
      </c>
      <c r="H48" s="99">
        <v>0.95777323000000003</v>
      </c>
      <c r="I48" s="62">
        <v>0.95496380999999997</v>
      </c>
      <c r="J48" s="62">
        <v>6.7140969999999994E-2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29</v>
      </c>
      <c r="D49" s="191"/>
      <c r="E49" s="58"/>
      <c r="F49" s="192">
        <v>30.551265000000001</v>
      </c>
      <c r="G49" s="192">
        <v>34.978853999999998</v>
      </c>
      <c r="H49" s="192">
        <v>0.97408086000000005</v>
      </c>
      <c r="I49" s="64">
        <v>0.97217920000000002</v>
      </c>
      <c r="J49" s="64">
        <v>4.3624606000000003E-2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30</v>
      </c>
      <c r="D50" s="191"/>
      <c r="E50" s="58"/>
      <c r="F50" s="192">
        <v>35.215649999999997</v>
      </c>
      <c r="G50" s="192">
        <v>39.264226000000001</v>
      </c>
      <c r="H50" s="192">
        <v>0.98699548000000004</v>
      </c>
      <c r="I50" s="64">
        <v>0.99021384999999995</v>
      </c>
      <c r="J50" s="64">
        <v>2.6084713999999998E-2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32</v>
      </c>
      <c r="D51" s="191"/>
      <c r="E51" s="58"/>
      <c r="F51" s="192">
        <v>37.544877</v>
      </c>
      <c r="G51" s="192">
        <v>41.619892999999998</v>
      </c>
      <c r="H51" s="192">
        <v>0.99138831000000005</v>
      </c>
      <c r="I51" s="64">
        <v>0.99507394000000005</v>
      </c>
      <c r="J51" s="64">
        <v>1.9179547000000002E-2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70</v>
      </c>
      <c r="C53" s="27" t="s">
        <v>28</v>
      </c>
      <c r="D53" s="41"/>
      <c r="E53" s="57"/>
      <c r="F53" s="99">
        <v>27.461846000000001</v>
      </c>
      <c r="G53" s="99">
        <v>32.418275000000001</v>
      </c>
      <c r="H53" s="99">
        <v>0.95585049</v>
      </c>
      <c r="I53" s="62">
        <v>0.95539302999999998</v>
      </c>
      <c r="J53" s="62">
        <v>7.0979009999999995E-2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29</v>
      </c>
      <c r="D54" s="191"/>
      <c r="E54" s="58"/>
      <c r="F54" s="192">
        <v>30.535499999999999</v>
      </c>
      <c r="G54" s="192">
        <v>34.941802000000003</v>
      </c>
      <c r="H54" s="192">
        <v>0.97325649000000003</v>
      </c>
      <c r="I54" s="64">
        <v>0.97258571999999999</v>
      </c>
      <c r="J54" s="64">
        <v>4.5896985000000001E-2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30</v>
      </c>
      <c r="D55" s="191"/>
      <c r="E55" s="58"/>
      <c r="F55" s="192">
        <v>34.999614000000001</v>
      </c>
      <c r="G55" s="192">
        <v>39.030625000000001</v>
      </c>
      <c r="H55" s="192">
        <v>0.98639427000000002</v>
      </c>
      <c r="I55" s="64">
        <v>0.98987499000000001</v>
      </c>
      <c r="J55" s="64">
        <v>2.7892190000000001E-2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32</v>
      </c>
      <c r="D56" s="191"/>
      <c r="E56" s="58"/>
      <c r="F56" s="192">
        <v>37.247562000000002</v>
      </c>
      <c r="G56" s="192">
        <v>41.294356000000001</v>
      </c>
      <c r="H56" s="192">
        <v>0.99092533999999999</v>
      </c>
      <c r="I56" s="64">
        <v>0.99484271999999996</v>
      </c>
      <c r="J56" s="64">
        <v>2.0623737999999999E-2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71</v>
      </c>
      <c r="C58" s="27" t="s">
        <v>28</v>
      </c>
      <c r="D58" s="41"/>
      <c r="E58" s="57"/>
      <c r="F58" s="99">
        <v>27.015913000000001</v>
      </c>
      <c r="G58" s="99">
        <v>32.128841000000001</v>
      </c>
      <c r="H58" s="99">
        <v>0.95702016000000001</v>
      </c>
      <c r="I58" s="62">
        <v>0.95447514</v>
      </c>
      <c r="J58" s="62">
        <v>7.3451680000000005E-2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29</v>
      </c>
      <c r="D59" s="191"/>
      <c r="E59" s="58"/>
      <c r="F59" s="192">
        <v>30.87134</v>
      </c>
      <c r="G59" s="192">
        <v>35.404367000000001</v>
      </c>
      <c r="H59" s="192">
        <v>0.97574711000000003</v>
      </c>
      <c r="I59" s="64">
        <v>0.97445409000000005</v>
      </c>
      <c r="J59" s="64">
        <v>4.3537956000000003E-2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30</v>
      </c>
      <c r="D60" s="191"/>
      <c r="E60" s="58"/>
      <c r="F60" s="192">
        <v>35.184916000000001</v>
      </c>
      <c r="G60" s="192">
        <v>39.299033000000001</v>
      </c>
      <c r="H60" s="192">
        <v>0.98817891999999996</v>
      </c>
      <c r="I60" s="64">
        <v>0.99054430999999998</v>
      </c>
      <c r="J60" s="64">
        <v>2.4527107999999999E-2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32</v>
      </c>
      <c r="D61" s="191"/>
      <c r="E61" s="58"/>
      <c r="F61" s="192">
        <v>37.748719000000001</v>
      </c>
      <c r="G61" s="192">
        <v>41.856163000000002</v>
      </c>
      <c r="H61" s="192">
        <v>0.99245578999999995</v>
      </c>
      <c r="I61" s="64">
        <v>0.99554823000000003</v>
      </c>
      <c r="J61" s="64">
        <v>1.7698684999999999E-2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72</v>
      </c>
      <c r="C63" s="27" t="s">
        <v>28</v>
      </c>
      <c r="D63" s="41"/>
      <c r="E63" s="57"/>
      <c r="F63" s="99">
        <v>27.141102</v>
      </c>
      <c r="G63" s="99">
        <v>32.32602</v>
      </c>
      <c r="H63" s="99">
        <v>0.95799069000000003</v>
      </c>
      <c r="I63" s="62">
        <v>0.95360668000000004</v>
      </c>
      <c r="J63" s="62">
        <v>6.721154E-2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29</v>
      </c>
      <c r="D64" s="191"/>
      <c r="E64" s="58"/>
      <c r="F64" s="192">
        <v>30.764541000000001</v>
      </c>
      <c r="G64" s="192">
        <v>35.355891</v>
      </c>
      <c r="H64" s="192">
        <v>0.97554759999999996</v>
      </c>
      <c r="I64" s="64">
        <v>0.97143144000000003</v>
      </c>
      <c r="J64" s="64">
        <v>4.1654070000000001E-2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30</v>
      </c>
      <c r="D65" s="191"/>
      <c r="E65" s="58"/>
      <c r="F65" s="192">
        <v>35.208038000000002</v>
      </c>
      <c r="G65" s="192">
        <v>39.335859999999997</v>
      </c>
      <c r="H65" s="192">
        <v>0.9880755</v>
      </c>
      <c r="I65" s="64">
        <v>0.99014009000000003</v>
      </c>
      <c r="J65" s="64">
        <v>2.3809284E-2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32</v>
      </c>
      <c r="D66" s="191"/>
      <c r="E66" s="58"/>
      <c r="F66" s="192">
        <v>37.707915999999997</v>
      </c>
      <c r="G66" s="192">
        <v>41.820720999999999</v>
      </c>
      <c r="H66" s="192">
        <v>0.99227363000000002</v>
      </c>
      <c r="I66" s="64">
        <v>0.99525814999999995</v>
      </c>
      <c r="J66" s="64">
        <v>1.7411407E-2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73</v>
      </c>
      <c r="C68" s="27" t="s">
        <v>28</v>
      </c>
      <c r="D68" s="41"/>
      <c r="E68" s="57"/>
      <c r="F68" s="99">
        <v>27.331707999999999</v>
      </c>
      <c r="G68" s="99">
        <v>32.507140999999997</v>
      </c>
      <c r="H68" s="99">
        <v>0.95828665000000002</v>
      </c>
      <c r="I68" s="62">
        <v>0.95433583</v>
      </c>
      <c r="J68" s="62">
        <v>6.4277420000000002E-2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29</v>
      </c>
      <c r="D69" s="191"/>
      <c r="E69" s="58"/>
      <c r="F69" s="192">
        <v>30.849554000000001</v>
      </c>
      <c r="G69" s="192">
        <v>35.446496000000003</v>
      </c>
      <c r="H69" s="192">
        <v>0.97521000000000002</v>
      </c>
      <c r="I69" s="64">
        <v>0.97091852999999995</v>
      </c>
      <c r="J69" s="64">
        <v>4.0489222999999998E-2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30</v>
      </c>
      <c r="D70" s="191"/>
      <c r="E70" s="58"/>
      <c r="F70" s="192">
        <v>35.232550000000003</v>
      </c>
      <c r="G70" s="192">
        <v>39.349832999999997</v>
      </c>
      <c r="H70" s="192">
        <v>0.98786896000000002</v>
      </c>
      <c r="I70" s="64">
        <v>0.98967539999999998</v>
      </c>
      <c r="J70" s="64">
        <v>2.3408874999999999E-2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32</v>
      </c>
      <c r="D71" s="191"/>
      <c r="E71" s="58"/>
      <c r="F71" s="192">
        <v>37.644455000000001</v>
      </c>
      <c r="G71" s="192">
        <v>41.736614000000003</v>
      </c>
      <c r="H71" s="192">
        <v>0.99211748</v>
      </c>
      <c r="I71" s="64">
        <v>0.99504283999999998</v>
      </c>
      <c r="J71" s="64">
        <v>1.7363079999999999E-2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74</v>
      </c>
      <c r="C73" s="27" t="s">
        <v>28</v>
      </c>
      <c r="D73" s="41"/>
      <c r="E73" s="57"/>
      <c r="F73" s="99">
        <v>27.364538</v>
      </c>
      <c r="G73" s="99">
        <v>32.512600999999997</v>
      </c>
      <c r="H73" s="99">
        <v>0.95837852999999995</v>
      </c>
      <c r="I73" s="62">
        <v>0.95343144999999996</v>
      </c>
      <c r="J73" s="62">
        <v>6.4443570000000006E-2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29</v>
      </c>
      <c r="D74" s="191"/>
      <c r="E74" s="58"/>
      <c r="F74" s="192">
        <v>30.842153</v>
      </c>
      <c r="G74" s="192">
        <v>35.410561000000001</v>
      </c>
      <c r="H74" s="192">
        <v>0.97501534000000001</v>
      </c>
      <c r="I74" s="64">
        <v>0.97086282999999995</v>
      </c>
      <c r="J74" s="64">
        <v>4.0640425000000001E-2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30</v>
      </c>
      <c r="D75" s="191"/>
      <c r="E75" s="58"/>
      <c r="F75" s="192">
        <v>35.254483</v>
      </c>
      <c r="G75" s="192">
        <v>39.365321999999999</v>
      </c>
      <c r="H75" s="192">
        <v>0.98775367999999997</v>
      </c>
      <c r="I75" s="64">
        <v>0.98964447</v>
      </c>
      <c r="J75" s="64">
        <v>2.3678798000000001E-2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32</v>
      </c>
      <c r="D76" s="191"/>
      <c r="E76" s="58"/>
      <c r="F76" s="192">
        <v>37.627288</v>
      </c>
      <c r="G76" s="192">
        <v>41.707580999999998</v>
      </c>
      <c r="H76" s="192">
        <v>0.99200524999999995</v>
      </c>
      <c r="I76" s="64">
        <v>0.99508116999999996</v>
      </c>
      <c r="J76" s="64">
        <v>1.7650628000000002E-2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75</v>
      </c>
      <c r="C78" s="27" t="s">
        <v>28</v>
      </c>
      <c r="D78" s="41"/>
      <c r="E78" s="57"/>
      <c r="F78" s="99">
        <v>27.405705000000001</v>
      </c>
      <c r="G78" s="99">
        <v>32.457841999999999</v>
      </c>
      <c r="H78" s="99">
        <v>0.95638084000000001</v>
      </c>
      <c r="I78" s="62">
        <v>0.95399014000000004</v>
      </c>
      <c r="J78" s="62">
        <v>6.8317509999999998E-2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29</v>
      </c>
      <c r="D79" s="191"/>
      <c r="E79" s="58"/>
      <c r="F79" s="192">
        <v>30.773243999999998</v>
      </c>
      <c r="G79" s="192">
        <v>35.277866000000003</v>
      </c>
      <c r="H79" s="192">
        <v>0.97366498000000001</v>
      </c>
      <c r="I79" s="64">
        <v>0.97176437999999998</v>
      </c>
      <c r="J79" s="64">
        <v>4.4094090000000002E-2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30</v>
      </c>
      <c r="D80" s="191"/>
      <c r="E80" s="58"/>
      <c r="F80" s="192">
        <v>35.080210999999998</v>
      </c>
      <c r="G80" s="192">
        <v>39.169288000000002</v>
      </c>
      <c r="H80" s="192">
        <v>0.98669481999999997</v>
      </c>
      <c r="I80" s="64">
        <v>0.98969298000000006</v>
      </c>
      <c r="J80" s="64">
        <v>2.6203364E-2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32</v>
      </c>
      <c r="D81" s="191"/>
      <c r="E81" s="58"/>
      <c r="F81" s="192">
        <v>37.360393999999999</v>
      </c>
      <c r="G81" s="192">
        <v>41.401468999999999</v>
      </c>
      <c r="H81" s="192">
        <v>0.99109287000000001</v>
      </c>
      <c r="I81" s="64">
        <v>0.99487776999999999</v>
      </c>
      <c r="J81" s="64">
        <v>1.9950002000000001E-2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76</v>
      </c>
      <c r="C83" s="27" t="s">
        <v>28</v>
      </c>
      <c r="D83" s="41"/>
      <c r="E83" s="57"/>
      <c r="F83" s="99">
        <v>26.963075</v>
      </c>
      <c r="G83" s="99">
        <v>32.120189000000003</v>
      </c>
      <c r="H83" s="99">
        <v>0.95462179999999996</v>
      </c>
      <c r="I83" s="62">
        <v>0.95483320000000005</v>
      </c>
      <c r="J83" s="62">
        <v>7.4974540000000006E-2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29</v>
      </c>
      <c r="D84" s="191"/>
      <c r="E84" s="58"/>
      <c r="F84" s="192">
        <v>30.591602999999999</v>
      </c>
      <c r="G84" s="192">
        <v>35.207272000000003</v>
      </c>
      <c r="H84" s="192">
        <v>0.97541928</v>
      </c>
      <c r="I84" s="64">
        <v>0.97389921999999995</v>
      </c>
      <c r="J84" s="64">
        <v>4.3672200000000001E-2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30</v>
      </c>
      <c r="D85" s="191"/>
      <c r="E85" s="58"/>
      <c r="F85" s="192">
        <v>34.832658000000002</v>
      </c>
      <c r="G85" s="192">
        <v>38.982447999999998</v>
      </c>
      <c r="H85" s="192">
        <v>0.98804689000000001</v>
      </c>
      <c r="I85" s="64">
        <v>0.99057287000000005</v>
      </c>
      <c r="J85" s="64">
        <v>2.4423534E-2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32</v>
      </c>
      <c r="D86" s="191"/>
      <c r="E86" s="58"/>
      <c r="F86" s="192">
        <v>37.568697999999998</v>
      </c>
      <c r="G86" s="192">
        <v>41.660629999999998</v>
      </c>
      <c r="H86" s="192">
        <v>0.99250609000000001</v>
      </c>
      <c r="I86" s="64">
        <v>0.99544147000000005</v>
      </c>
      <c r="J86" s="64">
        <v>1.7680545999999998E-2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77</v>
      </c>
      <c r="C88" s="27" t="s">
        <v>28</v>
      </c>
      <c r="D88" s="41"/>
      <c r="E88" s="57"/>
      <c r="F88" s="99">
        <v>27.114550000000001</v>
      </c>
      <c r="G88" s="99">
        <v>32.271419999999999</v>
      </c>
      <c r="H88" s="99">
        <v>0.95618983000000002</v>
      </c>
      <c r="I88" s="62">
        <v>0.95408546999999999</v>
      </c>
      <c r="J88" s="62">
        <v>7.0601225000000004E-2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29</v>
      </c>
      <c r="D89" s="191"/>
      <c r="E89" s="58"/>
      <c r="F89" s="192">
        <v>30.671133999999999</v>
      </c>
      <c r="G89" s="192">
        <v>35.282074000000001</v>
      </c>
      <c r="H89" s="192">
        <v>0.97538983000000001</v>
      </c>
      <c r="I89" s="64">
        <v>0.97235013000000003</v>
      </c>
      <c r="J89" s="64">
        <v>4.2192522000000003E-2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30</v>
      </c>
      <c r="D90" s="191"/>
      <c r="E90" s="58"/>
      <c r="F90" s="192">
        <v>34.997312999999998</v>
      </c>
      <c r="G90" s="192">
        <v>39.150410000000001</v>
      </c>
      <c r="H90" s="192">
        <v>0.98810282000000005</v>
      </c>
      <c r="I90" s="64">
        <v>0.99037629000000005</v>
      </c>
      <c r="J90" s="64">
        <v>2.4090877E-2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32</v>
      </c>
      <c r="D91" s="191"/>
      <c r="E91" s="58"/>
      <c r="F91" s="192">
        <v>37.661011000000002</v>
      </c>
      <c r="G91" s="192">
        <v>41.763508999999999</v>
      </c>
      <c r="H91" s="192">
        <v>0.99246385999999998</v>
      </c>
      <c r="I91" s="64">
        <v>0.99532761999999997</v>
      </c>
      <c r="J91" s="64">
        <v>1.7785002000000001E-2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78</v>
      </c>
      <c r="C93" s="27" t="s">
        <v>28</v>
      </c>
      <c r="D93" s="41"/>
      <c r="E93" s="57"/>
      <c r="F93" s="99">
        <v>27.202297999999999</v>
      </c>
      <c r="G93" s="99">
        <v>32.386859000000001</v>
      </c>
      <c r="H93" s="99">
        <v>0.95735431999999998</v>
      </c>
      <c r="I93" s="62">
        <v>0.95384888999999995</v>
      </c>
      <c r="J93" s="62">
        <v>6.6542840000000006E-2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29</v>
      </c>
      <c r="D94" s="191"/>
      <c r="E94" s="58"/>
      <c r="F94" s="192">
        <v>30.801442999999999</v>
      </c>
      <c r="G94" s="192">
        <v>35.390521</v>
      </c>
      <c r="H94" s="192">
        <v>0.97566615999999995</v>
      </c>
      <c r="I94" s="64">
        <v>0.97055415</v>
      </c>
      <c r="J94" s="64">
        <v>3.9504091999999998E-2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30</v>
      </c>
      <c r="D95" s="191"/>
      <c r="E95" s="58"/>
      <c r="F95" s="192">
        <v>35.196044999999998</v>
      </c>
      <c r="G95" s="192">
        <v>39.323577999999998</v>
      </c>
      <c r="H95" s="192">
        <v>0.98820056999999994</v>
      </c>
      <c r="I95" s="64">
        <v>0.98988584000000002</v>
      </c>
      <c r="J95" s="64">
        <v>2.2761915000000001E-2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32</v>
      </c>
      <c r="D96" s="191"/>
      <c r="E96" s="58"/>
      <c r="F96" s="192">
        <v>37.755116000000001</v>
      </c>
      <c r="G96" s="192">
        <v>41.835341</v>
      </c>
      <c r="H96" s="192">
        <v>0.99243813999999997</v>
      </c>
      <c r="I96" s="64">
        <v>0.99515463000000004</v>
      </c>
      <c r="J96" s="64">
        <v>1.6902469999999999E-2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79</v>
      </c>
      <c r="C98" s="27" t="s">
        <v>28</v>
      </c>
      <c r="D98" s="41"/>
      <c r="E98" s="57"/>
      <c r="F98" s="99">
        <v>27.328194</v>
      </c>
      <c r="G98" s="99">
        <v>32.482353000000003</v>
      </c>
      <c r="H98" s="99">
        <v>0.95786501999999996</v>
      </c>
      <c r="I98" s="62">
        <v>0.95428961999999995</v>
      </c>
      <c r="J98" s="62">
        <v>6.6073634000000006E-2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29</v>
      </c>
      <c r="D99" s="191"/>
      <c r="E99" s="58"/>
      <c r="F99" s="192">
        <v>30.811927000000001</v>
      </c>
      <c r="G99" s="192">
        <v>35.395769999999999</v>
      </c>
      <c r="H99" s="192">
        <v>0.9757072</v>
      </c>
      <c r="I99" s="64">
        <v>0.97141584999999997</v>
      </c>
      <c r="J99" s="64">
        <v>4.015581E-2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30</v>
      </c>
      <c r="D100" s="191"/>
      <c r="E100" s="58"/>
      <c r="F100" s="192">
        <v>35.137132000000001</v>
      </c>
      <c r="G100" s="192">
        <v>39.275651000000003</v>
      </c>
      <c r="H100" s="192">
        <v>0.98814093000000003</v>
      </c>
      <c r="I100" s="64">
        <v>0.98978166999999995</v>
      </c>
      <c r="J100" s="64">
        <v>2.3735850999999999E-2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32</v>
      </c>
      <c r="D101" s="191"/>
      <c r="E101" s="58"/>
      <c r="F101" s="192">
        <v>37.754162000000001</v>
      </c>
      <c r="G101" s="192">
        <v>41.827857999999999</v>
      </c>
      <c r="H101" s="192">
        <v>0.99244491999999995</v>
      </c>
      <c r="I101" s="64">
        <v>0.99522845999999998</v>
      </c>
      <c r="J101" s="64">
        <v>1.7600418999999999E-2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80</v>
      </c>
      <c r="C103" s="27" t="s">
        <v>28</v>
      </c>
      <c r="D103" s="41"/>
      <c r="E103" s="57"/>
      <c r="F103" s="99">
        <v>27.278324999999999</v>
      </c>
      <c r="G103" s="99">
        <v>32.252378</v>
      </c>
      <c r="H103" s="99">
        <v>0.95609765999999996</v>
      </c>
      <c r="I103" s="62">
        <v>0.95473774</v>
      </c>
      <c r="J103" s="62">
        <v>6.8340084999999995E-2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29</v>
      </c>
      <c r="D104" s="191"/>
      <c r="E104" s="58"/>
      <c r="F104" s="192">
        <v>30.613520999999999</v>
      </c>
      <c r="G104" s="192">
        <v>35.094991999999998</v>
      </c>
      <c r="H104" s="192">
        <v>0.97476379000000002</v>
      </c>
      <c r="I104" s="64">
        <v>0.97251279000000002</v>
      </c>
      <c r="J104" s="64">
        <v>4.1671406000000001E-2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30</v>
      </c>
      <c r="D105" s="191"/>
      <c r="E105" s="58"/>
      <c r="F105" s="192">
        <v>34.799374999999998</v>
      </c>
      <c r="G105" s="192">
        <v>38.913462000000003</v>
      </c>
      <c r="H105" s="192">
        <v>0.98733037999999995</v>
      </c>
      <c r="I105" s="64">
        <v>0.98957368000000001</v>
      </c>
      <c r="J105" s="64">
        <v>2.4812325999999999E-2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32</v>
      </c>
      <c r="D106" s="191"/>
      <c r="E106" s="58"/>
      <c r="F106" s="192">
        <v>37.480200000000004</v>
      </c>
      <c r="G106" s="192">
        <v>41.513464999999997</v>
      </c>
      <c r="H106" s="192">
        <v>0.99190233999999999</v>
      </c>
      <c r="I106" s="64">
        <v>0.99496264999999995</v>
      </c>
      <c r="J106" s="64">
        <v>1.8384662999999999E-2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81</v>
      </c>
      <c r="C108" s="27" t="s">
        <v>28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29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30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32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82</v>
      </c>
      <c r="C113" s="27" t="s">
        <v>28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29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30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32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83</v>
      </c>
      <c r="C118" s="27" t="s">
        <v>28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29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30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32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84</v>
      </c>
      <c r="C123" s="27" t="s">
        <v>28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29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30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32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85</v>
      </c>
      <c r="C128" s="27" t="s">
        <v>28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29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30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32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86</v>
      </c>
      <c r="C133" s="27" t="s">
        <v>28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29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30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32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45</v>
      </c>
      <c r="G639" s="216" t="s">
        <v>45</v>
      </c>
      <c r="H639" s="216" t="s">
        <v>45</v>
      </c>
      <c r="I639" s="216" t="s">
        <v>45</v>
      </c>
      <c r="J639" s="216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45</v>
      </c>
      <c r="Y639" s="216" t="s">
        <v>45</v>
      </c>
      <c r="Z639" s="216" t="s">
        <v>45</v>
      </c>
      <c r="AA639" s="216" t="s">
        <v>45</v>
      </c>
      <c r="AB639" s="216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2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8">
        <f t="shared" si="59"/>
        <v>31.894273999999999</v>
      </c>
      <c r="H641" s="138">
        <f t="shared" si="59"/>
        <v>0.95462179999999996</v>
      </c>
      <c r="I641" s="138">
        <f t="shared" si="59"/>
        <v>0.94974391000000002</v>
      </c>
      <c r="J641" s="138">
        <f t="shared" si="59"/>
        <v>6.4277420000000002E-2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29</v>
      </c>
      <c r="D642" s="110"/>
      <c r="E642" s="268"/>
      <c r="F642" s="20">
        <f t="shared" si="59"/>
        <v>30.535499999999999</v>
      </c>
      <c r="G642" s="20">
        <f t="shared" si="59"/>
        <v>34.941802000000003</v>
      </c>
      <c r="H642" s="20">
        <f t="shared" si="59"/>
        <v>0.97325649000000003</v>
      </c>
      <c r="I642" s="20">
        <f t="shared" si="59"/>
        <v>0.97055415</v>
      </c>
      <c r="J642" s="20">
        <f t="shared" si="59"/>
        <v>3.9504091999999998E-2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30</v>
      </c>
      <c r="D643" s="110"/>
      <c r="E643" s="268"/>
      <c r="F643" s="20">
        <f t="shared" si="59"/>
        <v>34.799374999999998</v>
      </c>
      <c r="G643" s="20">
        <f t="shared" si="59"/>
        <v>38.913462000000003</v>
      </c>
      <c r="H643" s="20">
        <f t="shared" si="59"/>
        <v>0.98639427000000002</v>
      </c>
      <c r="I643" s="20">
        <f t="shared" si="59"/>
        <v>0.98957368000000001</v>
      </c>
      <c r="J643" s="20">
        <f t="shared" si="59"/>
        <v>2.2761915000000001E-2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32</v>
      </c>
      <c r="D644" s="110"/>
      <c r="E644" s="268"/>
      <c r="F644" s="20">
        <f t="shared" si="59"/>
        <v>37.247562000000002</v>
      </c>
      <c r="G644" s="20">
        <f t="shared" si="59"/>
        <v>41.294356000000001</v>
      </c>
      <c r="H644" s="20">
        <f t="shared" si="59"/>
        <v>0.99092533999999999</v>
      </c>
      <c r="I644" s="20">
        <f t="shared" si="59"/>
        <v>0.99484271999999996</v>
      </c>
      <c r="J644" s="20">
        <f t="shared" si="59"/>
        <v>1.6902469999999999E-2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8">
        <f t="shared" si="61"/>
        <v>32.512600999999997</v>
      </c>
      <c r="H646" s="138">
        <f t="shared" si="61"/>
        <v>0.95837852999999995</v>
      </c>
      <c r="I646" s="138">
        <f t="shared" si="61"/>
        <v>0.95539302999999998</v>
      </c>
      <c r="J646" s="138">
        <f t="shared" si="61"/>
        <v>7.4974540000000006E-2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29</v>
      </c>
      <c r="D647" s="110"/>
      <c r="E647" s="268"/>
      <c r="F647" s="20">
        <f t="shared" si="61"/>
        <v>30.87134</v>
      </c>
      <c r="G647" s="20">
        <f t="shared" si="61"/>
        <v>35.446496000000003</v>
      </c>
      <c r="H647" s="20">
        <f t="shared" si="61"/>
        <v>0.97574711000000003</v>
      </c>
      <c r="I647" s="20">
        <f t="shared" si="61"/>
        <v>0.97445409000000005</v>
      </c>
      <c r="J647" s="20">
        <f t="shared" si="61"/>
        <v>4.5896985000000001E-2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30</v>
      </c>
      <c r="D648" s="110"/>
      <c r="E648" s="268"/>
      <c r="F648" s="20">
        <f t="shared" si="61"/>
        <v>35.254483</v>
      </c>
      <c r="G648" s="20">
        <f t="shared" si="61"/>
        <v>39.365321999999999</v>
      </c>
      <c r="H648" s="20">
        <f t="shared" si="61"/>
        <v>0.98820056999999994</v>
      </c>
      <c r="I648" s="20">
        <f t="shared" si="61"/>
        <v>0.99057287000000005</v>
      </c>
      <c r="J648" s="20">
        <f t="shared" si="61"/>
        <v>2.7892190000000001E-2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32</v>
      </c>
      <c r="D649" s="110"/>
      <c r="E649" s="268"/>
      <c r="F649" s="20">
        <f t="shared" si="61"/>
        <v>37.821803000000003</v>
      </c>
      <c r="G649" s="20">
        <f t="shared" si="61"/>
        <v>41.911560999999999</v>
      </c>
      <c r="H649" s="20">
        <f t="shared" si="61"/>
        <v>0.99250609000000001</v>
      </c>
      <c r="I649" s="20">
        <f t="shared" si="61"/>
        <v>0.99554823000000003</v>
      </c>
      <c r="J649" s="20">
        <f t="shared" si="61"/>
        <v>2.0623737999999999E-2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189</v>
      </c>
      <c r="C651" s="27" t="s">
        <v>28</v>
      </c>
      <c r="D651" s="109"/>
      <c r="E651" s="266"/>
      <c r="F651" s="138">
        <f t="shared" ref="F651:J654" si="63">F646-F641</f>
        <v>0.63913700000000162</v>
      </c>
      <c r="G651" s="138">
        <f t="shared" si="63"/>
        <v>0.61832699999999718</v>
      </c>
      <c r="H651" s="138">
        <f t="shared" si="63"/>
        <v>3.7567299999999859E-3</v>
      </c>
      <c r="I651" s="138">
        <f t="shared" si="63"/>
        <v>5.649119999999952E-3</v>
      </c>
      <c r="J651" s="138">
        <f t="shared" si="63"/>
        <v>1.0697120000000004E-2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29</v>
      </c>
      <c r="D652" s="110"/>
      <c r="E652" s="268"/>
      <c r="F652" s="20">
        <f t="shared" si="63"/>
        <v>0.33584000000000103</v>
      </c>
      <c r="G652" s="20">
        <f t="shared" si="63"/>
        <v>0.50469400000000064</v>
      </c>
      <c r="H652" s="20">
        <f t="shared" si="63"/>
        <v>2.4906199999999989E-3</v>
      </c>
      <c r="I652" s="20">
        <f t="shared" si="63"/>
        <v>3.8999400000000461E-3</v>
      </c>
      <c r="J652" s="20">
        <f t="shared" si="63"/>
        <v>6.3928930000000037E-3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30</v>
      </c>
      <c r="D653" s="110"/>
      <c r="E653" s="268"/>
      <c r="F653" s="20">
        <f t="shared" si="63"/>
        <v>0.45510800000000273</v>
      </c>
      <c r="G653" s="20">
        <f t="shared" si="63"/>
        <v>0.45185999999999638</v>
      </c>
      <c r="H653" s="20">
        <f t="shared" si="63"/>
        <v>1.8062999999999274E-3</v>
      </c>
      <c r="I653" s="20">
        <f t="shared" si="63"/>
        <v>9.9919000000003866E-4</v>
      </c>
      <c r="J653" s="20">
        <f t="shared" si="63"/>
        <v>5.1302750000000001E-3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32</v>
      </c>
      <c r="D654" s="110"/>
      <c r="E654" s="268"/>
      <c r="F654" s="20">
        <f t="shared" si="63"/>
        <v>0.57424100000000067</v>
      </c>
      <c r="G654" s="20">
        <f t="shared" si="63"/>
        <v>0.61720499999999845</v>
      </c>
      <c r="H654" s="20">
        <f t="shared" si="63"/>
        <v>1.5807500000000196E-3</v>
      </c>
      <c r="I654" s="20">
        <f t="shared" si="63"/>
        <v>7.055100000000758E-4</v>
      </c>
      <c r="J654" s="20">
        <f t="shared" si="63"/>
        <v>3.7212679999999998E-3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tabSelected="1" workbookViewId="0">
      <selection activeCell="U33" sqref="U33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13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cinema_track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cinema_track</v>
      </c>
      <c r="AM2" s="302" t="s">
        <v>44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26</v>
      </c>
      <c r="F3" s="32" t="s">
        <v>45</v>
      </c>
      <c r="G3" s="216" t="s">
        <v>45</v>
      </c>
      <c r="H3" s="216" t="s">
        <v>45</v>
      </c>
      <c r="I3" s="216" t="s">
        <v>45</v>
      </c>
      <c r="J3" s="216" t="s">
        <v>45</v>
      </c>
      <c r="K3" s="216"/>
      <c r="L3" s="216"/>
      <c r="M3" s="216"/>
      <c r="N3" s="216"/>
      <c r="O3" s="240"/>
      <c r="P3" s="304" t="s">
        <v>46</v>
      </c>
      <c r="Q3" s="304" t="s">
        <v>47</v>
      </c>
      <c r="R3" s="310" t="s">
        <v>48</v>
      </c>
      <c r="S3" s="210"/>
      <c r="T3" s="142"/>
      <c r="U3" s="215"/>
      <c r="V3" s="96"/>
      <c r="W3" s="239" t="s">
        <v>26</v>
      </c>
      <c r="X3" s="32" t="s">
        <v>45</v>
      </c>
      <c r="Y3" s="216" t="s">
        <v>45</v>
      </c>
      <c r="Z3" s="216" t="s">
        <v>45</v>
      </c>
      <c r="AA3" s="216" t="s">
        <v>45</v>
      </c>
      <c r="AB3" s="216" t="s">
        <v>45</v>
      </c>
      <c r="AC3" s="216"/>
      <c r="AD3" s="216"/>
      <c r="AE3" s="216"/>
      <c r="AF3" s="216"/>
      <c r="AG3" s="240"/>
      <c r="AH3" s="304" t="s">
        <v>46</v>
      </c>
      <c r="AI3" s="304" t="s">
        <v>47</v>
      </c>
      <c r="AJ3" s="310" t="s">
        <v>48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28</v>
      </c>
      <c r="D5" s="28"/>
      <c r="E5" s="128">
        <f>E23</f>
        <v>27457.296000000002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2">
        <f t="shared" si="0"/>
        <v>33.862599857142854</v>
      </c>
      <c r="H5" s="32">
        <f t="shared" si="0"/>
        <v>0.96684382285714265</v>
      </c>
      <c r="I5" s="93">
        <f t="shared" si="0"/>
        <v>0.97327361047619032</v>
      </c>
      <c r="J5" s="93">
        <f t="shared" si="0"/>
        <v>6.4074182428571436E-2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29</v>
      </c>
      <c r="D6" s="30"/>
      <c r="E6" s="159">
        <f>E24</f>
        <v>39731.792000000001</v>
      </c>
      <c r="F6" s="93">
        <f t="shared" si="0"/>
        <v>33.072678761904761</v>
      </c>
      <c r="G6" s="93">
        <f t="shared" si="0"/>
        <v>36.632195285714296</v>
      </c>
      <c r="H6" s="93">
        <f t="shared" si="0"/>
        <v>0.98000114238095259</v>
      </c>
      <c r="I6" s="93">
        <f t="shared" si="0"/>
        <v>0.98426155285714267</v>
      </c>
      <c r="J6" s="93">
        <f t="shared" si="0"/>
        <v>4.3200263047619043E-2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30</v>
      </c>
      <c r="D7" s="30"/>
      <c r="E7" s="159">
        <f>E25</f>
        <v>59551.984000000004</v>
      </c>
      <c r="F7" s="93">
        <f t="shared" si="0"/>
        <v>36.281602476190471</v>
      </c>
      <c r="G7" s="93">
        <f t="shared" si="0"/>
        <v>40.251414476190476</v>
      </c>
      <c r="H7" s="93">
        <f t="shared" si="0"/>
        <v>0.98903340333333323</v>
      </c>
      <c r="I7" s="93">
        <f t="shared" si="0"/>
        <v>0.99228081523809508</v>
      </c>
      <c r="J7" s="93">
        <f t="shared" si="0"/>
        <v>2.7228831333333335E-2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32</v>
      </c>
      <c r="D8" s="30"/>
      <c r="E8" s="159">
        <f>E26</f>
        <v>86991.584000000003</v>
      </c>
      <c r="F8" s="93">
        <f t="shared" si="0"/>
        <v>39.436459095238085</v>
      </c>
      <c r="G8" s="93">
        <f t="shared" si="0"/>
        <v>43.588469761904761</v>
      </c>
      <c r="H8" s="93">
        <f t="shared" si="0"/>
        <v>0.99375173238095238</v>
      </c>
      <c r="I8" s="93">
        <f t="shared" si="0"/>
        <v>0.99594449714285727</v>
      </c>
      <c r="J8" s="93">
        <f t="shared" si="0"/>
        <v>1.4458101000000004E-2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7" t="s">
        <v>46</v>
      </c>
      <c r="Q15" s="217" t="s">
        <v>47</v>
      </c>
      <c r="R15" s="36"/>
      <c r="S15" s="210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7" t="s">
        <v>46</v>
      </c>
      <c r="AI15" s="217" t="s">
        <v>47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28</v>
      </c>
      <c r="D16" s="28"/>
      <c r="E16" s="131">
        <v>4622.4719999999998</v>
      </c>
      <c r="F16" s="169">
        <v>5835.96</v>
      </c>
      <c r="G16" s="169">
        <v>1040.24</v>
      </c>
      <c r="H16" s="169">
        <v>357.512</v>
      </c>
      <c r="I16" s="169">
        <v>150.14400000000001</v>
      </c>
      <c r="J16" s="169">
        <v>8571.3119999999999</v>
      </c>
      <c r="K16" s="62">
        <v>5024.0240000000003</v>
      </c>
      <c r="L16" s="62">
        <v>1855.6320000000001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29</v>
      </c>
      <c r="D17" s="30"/>
      <c r="E17" s="146">
        <v>4622.4719999999998</v>
      </c>
      <c r="F17" s="170">
        <v>7698.6719999999996</v>
      </c>
      <c r="G17" s="170">
        <v>3755.4879999999998</v>
      </c>
      <c r="H17" s="170">
        <v>1880.1759999999999</v>
      </c>
      <c r="I17" s="170">
        <v>1357.768</v>
      </c>
      <c r="J17" s="170">
        <v>11094.191999999999</v>
      </c>
      <c r="K17" s="64">
        <v>6863.848</v>
      </c>
      <c r="L17" s="64">
        <v>2459.1759999999999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30</v>
      </c>
      <c r="D18" s="30"/>
      <c r="E18" s="146">
        <v>4622.4719999999998</v>
      </c>
      <c r="F18" s="170">
        <v>9632.4240000000009</v>
      </c>
      <c r="G18" s="170">
        <v>8173.3760000000002</v>
      </c>
      <c r="H18" s="170">
        <v>5921.192</v>
      </c>
      <c r="I18" s="170">
        <v>5643.4080000000004</v>
      </c>
      <c r="J18" s="170">
        <v>13694.736000000001</v>
      </c>
      <c r="K18" s="64">
        <v>8782.8880000000008</v>
      </c>
      <c r="L18" s="64">
        <v>3081.4879999999998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32</v>
      </c>
      <c r="D19" s="30"/>
      <c r="E19" s="146">
        <v>4622.4719999999998</v>
      </c>
      <c r="F19" s="170">
        <v>11479.904</v>
      </c>
      <c r="G19" s="170">
        <v>13301.456</v>
      </c>
      <c r="H19" s="170">
        <v>12617.896000000001</v>
      </c>
      <c r="I19" s="170">
        <v>14033.632</v>
      </c>
      <c r="J19" s="170">
        <v>16403.704000000002</v>
      </c>
      <c r="K19" s="64">
        <v>10804.575999999999</v>
      </c>
      <c r="L19" s="64">
        <v>3727.944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28</v>
      </c>
      <c r="D23" s="28"/>
      <c r="E23" s="130">
        <f>SUM(E16:L16)</f>
        <v>27457.296000000002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29</v>
      </c>
      <c r="D24" s="30"/>
      <c r="E24" s="130">
        <f>SUM(E17:L17)</f>
        <v>39731.792000000001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30</v>
      </c>
      <c r="D25" s="30"/>
      <c r="E25" s="130">
        <f>SUM(E18:L18)</f>
        <v>59551.984000000004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32</v>
      </c>
      <c r="D26" s="30"/>
      <c r="E26" s="130">
        <f>SUM(E19:L19)</f>
        <v>86991.584000000003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64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65</v>
      </c>
      <c r="C32" s="97"/>
      <c r="D32" s="97"/>
      <c r="E32" s="210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0"/>
      <c r="T32" s="26" t="s">
        <v>65</v>
      </c>
      <c r="U32" s="97"/>
      <c r="V32" s="97"/>
      <c r="W32" s="210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0"/>
      <c r="AE32" s="210"/>
      <c r="AF32" s="24"/>
      <c r="AG32" s="261"/>
      <c r="AH32" s="24"/>
      <c r="AI32" s="24"/>
      <c r="AJ32" s="25" t="s">
        <v>48</v>
      </c>
      <c r="AK32" s="212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6" t="s">
        <v>66</v>
      </c>
      <c r="C33" s="27" t="s">
        <v>28</v>
      </c>
      <c r="D33" s="41"/>
      <c r="E33" s="57"/>
      <c r="F33" s="99">
        <v>26.906856000000001</v>
      </c>
      <c r="G33" s="99">
        <v>30.367884</v>
      </c>
      <c r="H33" s="99">
        <v>0.95871066000000005</v>
      </c>
      <c r="I33" s="62">
        <v>0.96455597999999998</v>
      </c>
      <c r="J33" s="62">
        <v>8.2726759999999996E-2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29</v>
      </c>
      <c r="D34" s="191"/>
      <c r="E34" s="58"/>
      <c r="F34" s="192">
        <v>30.790431000000002</v>
      </c>
      <c r="G34" s="192">
        <v>34.198450999999999</v>
      </c>
      <c r="H34" s="192">
        <v>0.97776145000000003</v>
      </c>
      <c r="I34" s="64">
        <v>0.98092376000000003</v>
      </c>
      <c r="J34" s="64">
        <v>5.6608659999999998E-2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30</v>
      </c>
      <c r="D35" s="191"/>
      <c r="E35" s="58"/>
      <c r="F35" s="192">
        <v>33.798454999999997</v>
      </c>
      <c r="G35" s="192">
        <v>37.850261000000003</v>
      </c>
      <c r="H35" s="192">
        <v>0.98821081</v>
      </c>
      <c r="I35" s="64">
        <v>0.99115816999999995</v>
      </c>
      <c r="J35" s="64">
        <v>3.3108838000000002E-2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32</v>
      </c>
      <c r="D36" s="191"/>
      <c r="E36" s="58"/>
      <c r="F36" s="192">
        <v>37.759284000000001</v>
      </c>
      <c r="G36" s="192">
        <v>42.061574999999998</v>
      </c>
      <c r="H36" s="192">
        <v>0.99373683999999995</v>
      </c>
      <c r="I36" s="64">
        <v>0.99582391999999997</v>
      </c>
      <c r="J36" s="64">
        <v>1.6167026000000001E-2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67</v>
      </c>
      <c r="C38" s="27" t="s">
        <v>28</v>
      </c>
      <c r="D38" s="41"/>
      <c r="E38" s="57"/>
      <c r="F38" s="99">
        <v>27.200422</v>
      </c>
      <c r="G38" s="99">
        <v>31.087743</v>
      </c>
      <c r="H38" s="99">
        <v>0.96085849999999995</v>
      </c>
      <c r="I38" s="62">
        <v>0.96518318000000003</v>
      </c>
      <c r="J38" s="62">
        <v>7.4697630000000001E-2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29</v>
      </c>
      <c r="D39" s="191"/>
      <c r="E39" s="58"/>
      <c r="F39" s="192">
        <v>31.362172000000001</v>
      </c>
      <c r="G39" s="192">
        <v>34.855811000000003</v>
      </c>
      <c r="H39" s="192">
        <v>0.97830549</v>
      </c>
      <c r="I39" s="64">
        <v>0.98107862000000001</v>
      </c>
      <c r="J39" s="64">
        <v>5.2833669999999999E-2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30</v>
      </c>
      <c r="D40" s="191"/>
      <c r="E40" s="58"/>
      <c r="F40" s="192">
        <v>34.821733000000002</v>
      </c>
      <c r="G40" s="192">
        <v>38.854044000000002</v>
      </c>
      <c r="H40" s="192">
        <v>0.98842865999999996</v>
      </c>
      <c r="I40" s="64">
        <v>0.99141953999999999</v>
      </c>
      <c r="J40" s="64">
        <v>3.1363530000000001E-2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32</v>
      </c>
      <c r="D41" s="191"/>
      <c r="E41" s="58"/>
      <c r="F41" s="192">
        <v>37.943613999999997</v>
      </c>
      <c r="G41" s="192">
        <v>42.295147999999998</v>
      </c>
      <c r="H41" s="192">
        <v>0.99364967999999998</v>
      </c>
      <c r="I41" s="64">
        <v>0.99573507999999999</v>
      </c>
      <c r="J41" s="64">
        <v>1.7374005000000001E-2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68</v>
      </c>
      <c r="C43" s="27" t="s">
        <v>28</v>
      </c>
      <c r="D43" s="41"/>
      <c r="E43" s="57"/>
      <c r="F43" s="99">
        <v>28.65916</v>
      </c>
      <c r="G43" s="99">
        <v>32.372030000000002</v>
      </c>
      <c r="H43" s="99">
        <v>0.96303813000000005</v>
      </c>
      <c r="I43" s="62">
        <v>0.96806577000000005</v>
      </c>
      <c r="J43" s="62">
        <v>7.2121119999999997E-2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29</v>
      </c>
      <c r="D44" s="191"/>
      <c r="E44" s="58"/>
      <c r="F44" s="192">
        <v>31.796644000000001</v>
      </c>
      <c r="G44" s="192">
        <v>35.372275999999999</v>
      </c>
      <c r="H44" s="192">
        <v>0.97867174000000001</v>
      </c>
      <c r="I44" s="64">
        <v>0.98156958000000005</v>
      </c>
      <c r="J44" s="64">
        <v>4.9679883000000001E-2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30</v>
      </c>
      <c r="D45" s="191"/>
      <c r="E45" s="58"/>
      <c r="F45" s="192">
        <v>35.22092</v>
      </c>
      <c r="G45" s="192">
        <v>39.357385000000001</v>
      </c>
      <c r="H45" s="192">
        <v>0.98861547999999999</v>
      </c>
      <c r="I45" s="64">
        <v>0.99154975000000001</v>
      </c>
      <c r="J45" s="64">
        <v>3.1610447999999999E-2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32</v>
      </c>
      <c r="D46" s="191"/>
      <c r="E46" s="58"/>
      <c r="F46" s="192">
        <v>38.417346000000002</v>
      </c>
      <c r="G46" s="192">
        <v>42.767448000000002</v>
      </c>
      <c r="H46" s="192">
        <v>0.99367030999999995</v>
      </c>
      <c r="I46" s="64">
        <v>0.99572028000000001</v>
      </c>
      <c r="J46" s="64">
        <v>1.6581476000000001E-2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69</v>
      </c>
      <c r="C48" s="27" t="s">
        <v>28</v>
      </c>
      <c r="D48" s="41"/>
      <c r="E48" s="57"/>
      <c r="F48" s="99">
        <v>29.745839</v>
      </c>
      <c r="G48" s="99">
        <v>33.225439999999999</v>
      </c>
      <c r="H48" s="99">
        <v>0.96386821</v>
      </c>
      <c r="I48" s="62">
        <v>0.96959516999999995</v>
      </c>
      <c r="J48" s="62">
        <v>6.3522994999999999E-2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29</v>
      </c>
      <c r="D49" s="191"/>
      <c r="E49" s="58"/>
      <c r="F49" s="192">
        <v>32.735086000000003</v>
      </c>
      <c r="G49" s="192">
        <v>36.205340999999997</v>
      </c>
      <c r="H49" s="192">
        <v>0.97830682000000002</v>
      </c>
      <c r="I49" s="64">
        <v>0.98237512999999999</v>
      </c>
      <c r="J49" s="64">
        <v>4.2703564999999999E-2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30</v>
      </c>
      <c r="D50" s="191"/>
      <c r="E50" s="58"/>
      <c r="F50" s="192">
        <v>35.967500999999999</v>
      </c>
      <c r="G50" s="192">
        <v>40.04759</v>
      </c>
      <c r="H50" s="192">
        <v>0.98835806999999998</v>
      </c>
      <c r="I50" s="64">
        <v>0.99156557000000001</v>
      </c>
      <c r="J50" s="64">
        <v>2.797852E-2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32</v>
      </c>
      <c r="D51" s="191"/>
      <c r="E51" s="58"/>
      <c r="F51" s="192">
        <v>38.887250000000002</v>
      </c>
      <c r="G51" s="192">
        <v>43.177607999999999</v>
      </c>
      <c r="H51" s="192">
        <v>0.99349167000000005</v>
      </c>
      <c r="I51" s="64">
        <v>0.99565446999999996</v>
      </c>
      <c r="J51" s="64">
        <v>1.4722479E-2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70</v>
      </c>
      <c r="C53" s="27" t="s">
        <v>28</v>
      </c>
      <c r="D53" s="41"/>
      <c r="E53" s="57"/>
      <c r="F53" s="99">
        <v>29.693740999999999</v>
      </c>
      <c r="G53" s="99">
        <v>33.267111</v>
      </c>
      <c r="H53" s="99">
        <v>0.96388675000000001</v>
      </c>
      <c r="I53" s="62">
        <v>0.97028398999999999</v>
      </c>
      <c r="J53" s="62">
        <v>6.3975333999999995E-2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29</v>
      </c>
      <c r="D54" s="191"/>
      <c r="E54" s="58"/>
      <c r="F54" s="192">
        <v>32.605066000000001</v>
      </c>
      <c r="G54" s="192">
        <v>36.147630999999997</v>
      </c>
      <c r="H54" s="192">
        <v>0.97824115</v>
      </c>
      <c r="I54" s="64">
        <v>0.98248981999999996</v>
      </c>
      <c r="J54" s="64">
        <v>4.2394076000000003E-2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30</v>
      </c>
      <c r="D55" s="191"/>
      <c r="E55" s="58"/>
      <c r="F55" s="192">
        <v>35.849721000000002</v>
      </c>
      <c r="G55" s="192">
        <v>39.937669</v>
      </c>
      <c r="H55" s="192">
        <v>0.98815037999999999</v>
      </c>
      <c r="I55" s="64">
        <v>0.99146029000000002</v>
      </c>
      <c r="J55" s="64">
        <v>2.8317743999999999E-2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32</v>
      </c>
      <c r="D56" s="191"/>
      <c r="E56" s="58"/>
      <c r="F56" s="192">
        <v>39.036290000000001</v>
      </c>
      <c r="G56" s="192">
        <v>43.205052999999999</v>
      </c>
      <c r="H56" s="192">
        <v>0.99343181000000003</v>
      </c>
      <c r="I56" s="64">
        <v>0.99556213000000005</v>
      </c>
      <c r="J56" s="64">
        <v>1.35627E-2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71</v>
      </c>
      <c r="C58" s="27" t="s">
        <v>28</v>
      </c>
      <c r="D58" s="41"/>
      <c r="E58" s="57"/>
      <c r="F58" s="99">
        <v>29.889361999999998</v>
      </c>
      <c r="G58" s="99">
        <v>33.443480000000001</v>
      </c>
      <c r="H58" s="99">
        <v>0.96353847000000004</v>
      </c>
      <c r="I58" s="62">
        <v>0.97093255000000001</v>
      </c>
      <c r="J58" s="62">
        <v>6.4833710000000003E-2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29</v>
      </c>
      <c r="D59" s="191"/>
      <c r="E59" s="58"/>
      <c r="F59" s="192">
        <v>32.757964000000001</v>
      </c>
      <c r="G59" s="192">
        <v>36.271399000000002</v>
      </c>
      <c r="H59" s="192">
        <v>0.97812847999999997</v>
      </c>
      <c r="I59" s="64">
        <v>0.98300646999999997</v>
      </c>
      <c r="J59" s="64">
        <v>4.2763035999999997E-2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30</v>
      </c>
      <c r="D60" s="191"/>
      <c r="E60" s="58"/>
      <c r="F60" s="192">
        <v>35.903069000000002</v>
      </c>
      <c r="G60" s="192">
        <v>39.942720999999999</v>
      </c>
      <c r="H60" s="192">
        <v>0.98819625</v>
      </c>
      <c r="I60" s="64">
        <v>0.99141855000000001</v>
      </c>
      <c r="J60" s="64">
        <v>2.8687609999999999E-2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32</v>
      </c>
      <c r="D61" s="191"/>
      <c r="E61" s="58"/>
      <c r="F61" s="192">
        <v>39.331583999999999</v>
      </c>
      <c r="G61" s="192">
        <v>43.395305</v>
      </c>
      <c r="H61" s="192">
        <v>0.99347154999999998</v>
      </c>
      <c r="I61" s="64">
        <v>0.99553382999999995</v>
      </c>
      <c r="J61" s="64">
        <v>1.3033723000000001E-2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72</v>
      </c>
      <c r="C63" s="27" t="s">
        <v>28</v>
      </c>
      <c r="D63" s="41"/>
      <c r="E63" s="57"/>
      <c r="F63" s="99">
        <v>30.192778000000001</v>
      </c>
      <c r="G63" s="99">
        <v>33.849732000000003</v>
      </c>
      <c r="H63" s="99">
        <v>0.96250073000000003</v>
      </c>
      <c r="I63" s="62">
        <v>0.97161414999999995</v>
      </c>
      <c r="J63" s="62">
        <v>6.3317520000000002E-2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29</v>
      </c>
      <c r="D64" s="191"/>
      <c r="E64" s="58"/>
      <c r="F64" s="192">
        <v>33.275219999999997</v>
      </c>
      <c r="G64" s="192">
        <v>36.688637</v>
      </c>
      <c r="H64" s="192">
        <v>0.97791008000000001</v>
      </c>
      <c r="I64" s="64">
        <v>0.98319962999999999</v>
      </c>
      <c r="J64" s="64">
        <v>4.0474116999999997E-2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30</v>
      </c>
      <c r="D65" s="191"/>
      <c r="E65" s="58"/>
      <c r="F65" s="192">
        <v>36.537548999999999</v>
      </c>
      <c r="G65" s="192">
        <v>40.389308</v>
      </c>
      <c r="H65" s="192">
        <v>0.98837861000000005</v>
      </c>
      <c r="I65" s="64">
        <v>0.99179441999999995</v>
      </c>
      <c r="J65" s="64">
        <v>2.6841093E-2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32</v>
      </c>
      <c r="D66" s="191"/>
      <c r="E66" s="58"/>
      <c r="F66" s="192">
        <v>40.025813999999997</v>
      </c>
      <c r="G66" s="192">
        <v>43.876637000000002</v>
      </c>
      <c r="H66" s="192">
        <v>0.99360501999999995</v>
      </c>
      <c r="I66" s="64">
        <v>0.99574750000000001</v>
      </c>
      <c r="J66" s="64">
        <v>1.2267765999999999E-2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73</v>
      </c>
      <c r="C68" s="27" t="s">
        <v>28</v>
      </c>
      <c r="D68" s="41"/>
      <c r="E68" s="57"/>
      <c r="F68" s="99">
        <v>28.758030000000002</v>
      </c>
      <c r="G68" s="99">
        <v>32.175871000000001</v>
      </c>
      <c r="H68" s="99">
        <v>0.96246520000000002</v>
      </c>
      <c r="I68" s="62">
        <v>0.96850700999999995</v>
      </c>
      <c r="J68" s="62">
        <v>7.027593E-2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29</v>
      </c>
      <c r="D69" s="191"/>
      <c r="E69" s="58"/>
      <c r="F69" s="192">
        <v>31.994530000000001</v>
      </c>
      <c r="G69" s="192">
        <v>35.559193</v>
      </c>
      <c r="H69" s="192">
        <v>0.97834412999999998</v>
      </c>
      <c r="I69" s="64">
        <v>0.98252963000000004</v>
      </c>
      <c r="J69" s="64">
        <v>4.7107913000000001E-2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30</v>
      </c>
      <c r="D70" s="191"/>
      <c r="E70" s="58"/>
      <c r="F70" s="192">
        <v>34.840690000000002</v>
      </c>
      <c r="G70" s="192">
        <v>39.056075999999997</v>
      </c>
      <c r="H70" s="192">
        <v>0.98872780999999998</v>
      </c>
      <c r="I70" s="64">
        <v>0.99181105999999997</v>
      </c>
      <c r="J70" s="64">
        <v>2.9465063E-2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32</v>
      </c>
      <c r="D71" s="191"/>
      <c r="E71" s="58"/>
      <c r="F71" s="192">
        <v>38.082653000000001</v>
      </c>
      <c r="G71" s="192">
        <v>42.416034000000003</v>
      </c>
      <c r="H71" s="192">
        <v>0.99370533999999999</v>
      </c>
      <c r="I71" s="64">
        <v>0.99579413000000006</v>
      </c>
      <c r="J71" s="64">
        <v>1.4960887000000001E-2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74</v>
      </c>
      <c r="C73" s="27" t="s">
        <v>28</v>
      </c>
      <c r="D73" s="41"/>
      <c r="E73" s="57"/>
      <c r="F73" s="99">
        <v>29.721824999999999</v>
      </c>
      <c r="G73" s="99">
        <v>33.441149000000003</v>
      </c>
      <c r="H73" s="99">
        <v>0.96528581999999996</v>
      </c>
      <c r="I73" s="62">
        <v>0.96971233999999995</v>
      </c>
      <c r="J73" s="62">
        <v>6.1627384E-2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29</v>
      </c>
      <c r="D74" s="191"/>
      <c r="E74" s="58"/>
      <c r="F74" s="192">
        <v>32.559113000000004</v>
      </c>
      <c r="G74" s="192">
        <v>36.275317999999999</v>
      </c>
      <c r="H74" s="192">
        <v>0.97913749999999999</v>
      </c>
      <c r="I74" s="64">
        <v>0.98275504999999996</v>
      </c>
      <c r="J74" s="64">
        <v>4.1051560000000001E-2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30</v>
      </c>
      <c r="D75" s="191"/>
      <c r="E75" s="58"/>
      <c r="F75" s="192">
        <v>36.264294</v>
      </c>
      <c r="G75" s="192">
        <v>40.258662000000001</v>
      </c>
      <c r="H75" s="192">
        <v>0.98887616</v>
      </c>
      <c r="I75" s="64">
        <v>0.99184554999999996</v>
      </c>
      <c r="J75" s="64">
        <v>2.3844425999999998E-2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32</v>
      </c>
      <c r="D76" s="191"/>
      <c r="E76" s="58"/>
      <c r="F76" s="192">
        <v>38.274569</v>
      </c>
      <c r="G76" s="192">
        <v>42.696556999999999</v>
      </c>
      <c r="H76" s="192">
        <v>0.99367722000000003</v>
      </c>
      <c r="I76" s="64">
        <v>0.99576049</v>
      </c>
      <c r="J76" s="64">
        <v>1.6243509999999999E-2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75</v>
      </c>
      <c r="C78" s="27" t="s">
        <v>28</v>
      </c>
      <c r="D78" s="41"/>
      <c r="E78" s="57"/>
      <c r="F78" s="99">
        <v>29.816041999999999</v>
      </c>
      <c r="G78" s="99">
        <v>33.506577999999998</v>
      </c>
      <c r="H78" s="99">
        <v>0.96681386999999996</v>
      </c>
      <c r="I78" s="62">
        <v>0.97138119999999994</v>
      </c>
      <c r="J78" s="62">
        <v>6.4323430000000001E-2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29</v>
      </c>
      <c r="D79" s="191"/>
      <c r="E79" s="58"/>
      <c r="F79" s="192">
        <v>32.388849</v>
      </c>
      <c r="G79" s="192">
        <v>36.199632000000001</v>
      </c>
      <c r="H79" s="192">
        <v>0.97959214999999999</v>
      </c>
      <c r="I79" s="64">
        <v>0.98290674</v>
      </c>
      <c r="J79" s="64">
        <v>4.2779789999999998E-2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30</v>
      </c>
      <c r="D80" s="191"/>
      <c r="E80" s="58"/>
      <c r="F80" s="192">
        <v>35.932589999999998</v>
      </c>
      <c r="G80" s="192">
        <v>40.137836999999998</v>
      </c>
      <c r="H80" s="192">
        <v>0.98902133999999997</v>
      </c>
      <c r="I80" s="64">
        <v>0.99188843999999998</v>
      </c>
      <c r="J80" s="64">
        <v>2.7310178000000001E-2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32</v>
      </c>
      <c r="D81" s="191"/>
      <c r="E81" s="58"/>
      <c r="F81" s="192">
        <v>38.685720000000003</v>
      </c>
      <c r="G81" s="192">
        <v>43.108693000000002</v>
      </c>
      <c r="H81" s="192">
        <v>0.99371940000000003</v>
      </c>
      <c r="I81" s="64">
        <v>0.99581129999999995</v>
      </c>
      <c r="J81" s="64">
        <v>1.559665E-2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76</v>
      </c>
      <c r="C83" s="27" t="s">
        <v>28</v>
      </c>
      <c r="D83" s="41"/>
      <c r="E83" s="57"/>
      <c r="F83" s="99">
        <v>30.504632000000001</v>
      </c>
      <c r="G83" s="99">
        <v>33.855038999999998</v>
      </c>
      <c r="H83" s="99">
        <v>0.96774022000000004</v>
      </c>
      <c r="I83" s="62">
        <v>0.97337149000000001</v>
      </c>
      <c r="J83" s="62">
        <v>5.9574283999999998E-2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29</v>
      </c>
      <c r="D84" s="191"/>
      <c r="E84" s="58"/>
      <c r="F84" s="192">
        <v>33.225603</v>
      </c>
      <c r="G84" s="192">
        <v>36.723312999999997</v>
      </c>
      <c r="H84" s="192">
        <v>0.98014716999999996</v>
      </c>
      <c r="I84" s="64">
        <v>0.98407553000000003</v>
      </c>
      <c r="J84" s="64">
        <v>3.9376434000000002E-2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30</v>
      </c>
      <c r="D85" s="191"/>
      <c r="E85" s="58"/>
      <c r="F85" s="192">
        <v>36.298963999999998</v>
      </c>
      <c r="G85" s="192">
        <v>40.418304999999997</v>
      </c>
      <c r="H85" s="192">
        <v>0.9888728</v>
      </c>
      <c r="I85" s="64">
        <v>0.99219478000000005</v>
      </c>
      <c r="J85" s="64">
        <v>2.5791584999999999E-2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32</v>
      </c>
      <c r="D86" s="191"/>
      <c r="E86" s="58"/>
      <c r="F86" s="192">
        <v>39.179333999999997</v>
      </c>
      <c r="G86" s="192">
        <v>43.472152999999999</v>
      </c>
      <c r="H86" s="192">
        <v>0.99356557999999995</v>
      </c>
      <c r="I86" s="64">
        <v>0.99577068999999996</v>
      </c>
      <c r="J86" s="64">
        <v>1.3926925999999999E-2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77</v>
      </c>
      <c r="C88" s="27" t="s">
        <v>28</v>
      </c>
      <c r="D88" s="41"/>
      <c r="E88" s="57"/>
      <c r="F88" s="99">
        <v>30.506453</v>
      </c>
      <c r="G88" s="99">
        <v>34.065699000000002</v>
      </c>
      <c r="H88" s="99">
        <v>0.96813229000000001</v>
      </c>
      <c r="I88" s="62">
        <v>0.97347740000000005</v>
      </c>
      <c r="J88" s="62">
        <v>5.7891036999999999E-2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29</v>
      </c>
      <c r="D89" s="191"/>
      <c r="E89" s="58"/>
      <c r="F89" s="192">
        <v>33.477825000000003</v>
      </c>
      <c r="G89" s="192">
        <v>36.947403999999999</v>
      </c>
      <c r="H89" s="192">
        <v>0.98062110000000002</v>
      </c>
      <c r="I89" s="64">
        <v>0.98461038000000001</v>
      </c>
      <c r="J89" s="64">
        <v>3.7740704E-2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30</v>
      </c>
      <c r="D90" s="191"/>
      <c r="E90" s="58"/>
      <c r="F90" s="192">
        <v>36.749054000000001</v>
      </c>
      <c r="G90" s="192">
        <v>40.726500999999999</v>
      </c>
      <c r="H90" s="192">
        <v>0.98907822000000001</v>
      </c>
      <c r="I90" s="64">
        <v>0.99218974999999998</v>
      </c>
      <c r="J90" s="64">
        <v>2.3785336000000001E-2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32</v>
      </c>
      <c r="D91" s="191"/>
      <c r="E91" s="58"/>
      <c r="F91" s="192">
        <v>39.673329000000003</v>
      </c>
      <c r="G91" s="192">
        <v>43.851545000000002</v>
      </c>
      <c r="H91" s="192">
        <v>0.99377333999999995</v>
      </c>
      <c r="I91" s="64">
        <v>0.99585747999999996</v>
      </c>
      <c r="J91" s="64">
        <v>1.2670857000000001E-2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78</v>
      </c>
      <c r="C93" s="27" t="s">
        <v>28</v>
      </c>
      <c r="D93" s="41"/>
      <c r="E93" s="57"/>
      <c r="F93" s="99">
        <v>30.692250999999999</v>
      </c>
      <c r="G93" s="99">
        <v>34.376691000000001</v>
      </c>
      <c r="H93" s="99">
        <v>0.96842532999999997</v>
      </c>
      <c r="I93" s="62">
        <v>0.97444523000000005</v>
      </c>
      <c r="J93" s="62">
        <v>5.9075086999999998E-2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29</v>
      </c>
      <c r="D94" s="191"/>
      <c r="E94" s="58"/>
      <c r="F94" s="192">
        <v>33.522762999999998</v>
      </c>
      <c r="G94" s="192">
        <v>37.168640000000003</v>
      </c>
      <c r="H94" s="192">
        <v>0.98070608999999997</v>
      </c>
      <c r="I94" s="64">
        <v>0.98510531000000001</v>
      </c>
      <c r="J94" s="64">
        <v>3.8282968000000001E-2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30</v>
      </c>
      <c r="D95" s="191"/>
      <c r="E95" s="58"/>
      <c r="F95" s="192">
        <v>36.743402000000003</v>
      </c>
      <c r="G95" s="192">
        <v>40.670453000000002</v>
      </c>
      <c r="H95" s="192">
        <v>0.98922787000000001</v>
      </c>
      <c r="I95" s="64">
        <v>0.99235998999999997</v>
      </c>
      <c r="J95" s="64">
        <v>2.4386208999999999E-2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32</v>
      </c>
      <c r="D96" s="191"/>
      <c r="E96" s="58"/>
      <c r="F96" s="192">
        <v>39.985708000000002</v>
      </c>
      <c r="G96" s="192">
        <v>44.116194999999998</v>
      </c>
      <c r="H96" s="192">
        <v>0.99387769999999998</v>
      </c>
      <c r="I96" s="64">
        <v>0.99593662000000005</v>
      </c>
      <c r="J96" s="64">
        <v>1.2287433E-2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79</v>
      </c>
      <c r="C98" s="27" t="s">
        <v>28</v>
      </c>
      <c r="D98" s="41"/>
      <c r="E98" s="57"/>
      <c r="F98" s="99">
        <v>31.200097</v>
      </c>
      <c r="G98" s="99">
        <v>35.032724999999999</v>
      </c>
      <c r="H98" s="99">
        <v>0.96768799999999999</v>
      </c>
      <c r="I98" s="62">
        <v>0.97495796999999995</v>
      </c>
      <c r="J98" s="62">
        <v>5.6385610000000003E-2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29</v>
      </c>
      <c r="D99" s="191"/>
      <c r="E99" s="58"/>
      <c r="F99" s="192">
        <v>34.226730000000003</v>
      </c>
      <c r="G99" s="192">
        <v>37.816426</v>
      </c>
      <c r="H99" s="192">
        <v>0.98047395000000004</v>
      </c>
      <c r="I99" s="64">
        <v>0.98535510999999998</v>
      </c>
      <c r="J99" s="64">
        <v>3.5571985E-2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30</v>
      </c>
      <c r="D100" s="191"/>
      <c r="E100" s="58"/>
      <c r="F100" s="192">
        <v>37.317253999999998</v>
      </c>
      <c r="G100" s="192">
        <v>41.042479999999998</v>
      </c>
      <c r="H100" s="192">
        <v>0.98930030000000002</v>
      </c>
      <c r="I100" s="64">
        <v>0.99247538999999996</v>
      </c>
      <c r="J100" s="64">
        <v>2.2819249999999999E-2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32</v>
      </c>
      <c r="D101" s="191"/>
      <c r="E101" s="58"/>
      <c r="F101" s="192">
        <v>40.763637000000003</v>
      </c>
      <c r="G101" s="192">
        <v>44.629862000000003</v>
      </c>
      <c r="H101" s="192">
        <v>0.99400851000000001</v>
      </c>
      <c r="I101" s="64">
        <v>0.99606444999999999</v>
      </c>
      <c r="J101" s="64">
        <v>1.1500524E-2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80</v>
      </c>
      <c r="C103" s="27" t="s">
        <v>28</v>
      </c>
      <c r="D103" s="41"/>
      <c r="E103" s="57"/>
      <c r="F103" s="99">
        <v>30.891673999999998</v>
      </c>
      <c r="G103" s="99">
        <v>34.286845999999997</v>
      </c>
      <c r="H103" s="99">
        <v>0.96876554000000004</v>
      </c>
      <c r="I103" s="62">
        <v>0.97717799000000005</v>
      </c>
      <c r="J103" s="62">
        <v>7.1601090000000006E-2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29</v>
      </c>
      <c r="D104" s="191"/>
      <c r="E104" s="58"/>
      <c r="F104" s="192">
        <v>33.513888000000001</v>
      </c>
      <c r="G104" s="192">
        <v>36.932178999999998</v>
      </c>
      <c r="H104" s="192">
        <v>0.98103441000000002</v>
      </c>
      <c r="I104" s="64">
        <v>0.98645523999999996</v>
      </c>
      <c r="J104" s="64">
        <v>4.8445635000000001E-2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30</v>
      </c>
      <c r="D105" s="191"/>
      <c r="E105" s="58"/>
      <c r="F105" s="192">
        <v>36.028989000000003</v>
      </c>
      <c r="G105" s="192">
        <v>40.189062</v>
      </c>
      <c r="H105" s="192">
        <v>0.98975290999999999</v>
      </c>
      <c r="I105" s="64">
        <v>0.99311974000000003</v>
      </c>
      <c r="J105" s="64">
        <v>3.1016476000000001E-2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32</v>
      </c>
      <c r="D106" s="191"/>
      <c r="E106" s="58"/>
      <c r="F106" s="192">
        <v>39.088518000000001</v>
      </c>
      <c r="G106" s="192">
        <v>43.431870000000004</v>
      </c>
      <c r="H106" s="192">
        <v>0.99384706</v>
      </c>
      <c r="I106" s="64">
        <v>0.99622750999999998</v>
      </c>
      <c r="J106" s="64">
        <v>1.6748056000000001E-2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81</v>
      </c>
      <c r="C108" s="27" t="s">
        <v>28</v>
      </c>
      <c r="D108" s="41"/>
      <c r="E108" s="57"/>
      <c r="F108" s="99">
        <v>31.290185999999999</v>
      </c>
      <c r="G108" s="99">
        <v>34.809119000000003</v>
      </c>
      <c r="H108" s="99">
        <v>0.97069452000000001</v>
      </c>
      <c r="I108" s="62">
        <v>0.97828090000000001</v>
      </c>
      <c r="J108" s="62">
        <v>6.2942780000000004E-2</v>
      </c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29</v>
      </c>
      <c r="D109" s="191"/>
      <c r="E109" s="58"/>
      <c r="F109" s="192">
        <v>33.972735</v>
      </c>
      <c r="G109" s="192">
        <v>37.300522999999998</v>
      </c>
      <c r="H109" s="192">
        <v>0.98153665999999995</v>
      </c>
      <c r="I109" s="64">
        <v>0.98666723999999995</v>
      </c>
      <c r="J109" s="64">
        <v>4.3309010000000002E-2</v>
      </c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30</v>
      </c>
      <c r="D110" s="191"/>
      <c r="E110" s="58"/>
      <c r="F110" s="192">
        <v>37.349426000000001</v>
      </c>
      <c r="G110" s="192">
        <v>41.120111000000001</v>
      </c>
      <c r="H110" s="192">
        <v>0.98968685999999995</v>
      </c>
      <c r="I110" s="64">
        <v>0.99314919000000002</v>
      </c>
      <c r="J110" s="64">
        <v>2.641162E-2</v>
      </c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32</v>
      </c>
      <c r="D111" s="191"/>
      <c r="E111" s="58"/>
      <c r="F111" s="192">
        <v>39.203989999999997</v>
      </c>
      <c r="G111" s="192">
        <v>43.63984</v>
      </c>
      <c r="H111" s="192">
        <v>0.99384304999999995</v>
      </c>
      <c r="I111" s="64">
        <v>0.99611203000000004</v>
      </c>
      <c r="J111" s="64">
        <v>1.8621081000000001E-2</v>
      </c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82</v>
      </c>
      <c r="C113" s="27" t="s">
        <v>28</v>
      </c>
      <c r="D113" s="41"/>
      <c r="E113" s="57"/>
      <c r="F113" s="99">
        <v>31.307379000000001</v>
      </c>
      <c r="G113" s="99">
        <v>34.876389000000003</v>
      </c>
      <c r="H113" s="99">
        <v>0.97152119000000003</v>
      </c>
      <c r="I113" s="62">
        <v>0.97890670999999996</v>
      </c>
      <c r="J113" s="62">
        <v>6.5662070000000003E-2</v>
      </c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29</v>
      </c>
      <c r="D114" s="191"/>
      <c r="E114" s="58"/>
      <c r="F114" s="192">
        <v>33.510789000000003</v>
      </c>
      <c r="G114" s="192">
        <v>37.230671999999998</v>
      </c>
      <c r="H114" s="192">
        <v>0.98188275999999997</v>
      </c>
      <c r="I114" s="64">
        <v>0.98655720999999996</v>
      </c>
      <c r="J114" s="64">
        <v>4.6633880000000003E-2</v>
      </c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30</v>
      </c>
      <c r="D115" s="191"/>
      <c r="E115" s="58"/>
      <c r="F115" s="192">
        <v>36.542417</v>
      </c>
      <c r="G115" s="192">
        <v>40.676073000000002</v>
      </c>
      <c r="H115" s="192">
        <v>0.98963670000000004</v>
      </c>
      <c r="I115" s="64">
        <v>0.99317381999999998</v>
      </c>
      <c r="J115" s="64">
        <v>3.080979E-2</v>
      </c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32</v>
      </c>
      <c r="D116" s="191"/>
      <c r="E116" s="58"/>
      <c r="F116" s="192">
        <v>39.554364999999997</v>
      </c>
      <c r="G116" s="192">
        <v>43.849491999999998</v>
      </c>
      <c r="H116" s="192">
        <v>0.99387789000000004</v>
      </c>
      <c r="I116" s="64">
        <v>0.99627235999999997</v>
      </c>
      <c r="J116" s="64">
        <v>1.6568935999999999E-2</v>
      </c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83</v>
      </c>
      <c r="C118" s="27" t="s">
        <v>28</v>
      </c>
      <c r="D118" s="41"/>
      <c r="E118" s="57"/>
      <c r="F118" s="99">
        <v>31.977093</v>
      </c>
      <c r="G118" s="99">
        <v>35.379707000000003</v>
      </c>
      <c r="H118" s="99">
        <v>0.97230981000000005</v>
      </c>
      <c r="I118" s="62">
        <v>0.97998803000000001</v>
      </c>
      <c r="J118" s="62">
        <v>5.8553763000000002E-2</v>
      </c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29</v>
      </c>
      <c r="D119" s="191"/>
      <c r="E119" s="58"/>
      <c r="F119" s="192">
        <v>34.003112999999999</v>
      </c>
      <c r="G119" s="192">
        <v>37.584052999999997</v>
      </c>
      <c r="H119" s="192">
        <v>0.98210790999999997</v>
      </c>
      <c r="I119" s="64">
        <v>0.98699572000000002</v>
      </c>
      <c r="J119" s="64">
        <v>4.1352739999999999E-2</v>
      </c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30</v>
      </c>
      <c r="D120" s="191"/>
      <c r="E120" s="58"/>
      <c r="F120" s="192">
        <v>36.893611</v>
      </c>
      <c r="G120" s="192">
        <v>40.868147</v>
      </c>
      <c r="H120" s="192">
        <v>0.98948150000000001</v>
      </c>
      <c r="I120" s="64">
        <v>0.99334911999999997</v>
      </c>
      <c r="J120" s="64">
        <v>2.718684E-2</v>
      </c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32</v>
      </c>
      <c r="D121" s="191"/>
      <c r="E121" s="58"/>
      <c r="F121" s="192">
        <v>40.228369000000001</v>
      </c>
      <c r="G121" s="192">
        <v>44.318052999999999</v>
      </c>
      <c r="H121" s="192">
        <v>0.99376142999999995</v>
      </c>
      <c r="I121" s="64">
        <v>0.99625306000000002</v>
      </c>
      <c r="J121" s="64">
        <v>1.4041791E-2</v>
      </c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84</v>
      </c>
      <c r="C123" s="27" t="s">
        <v>28</v>
      </c>
      <c r="D123" s="41"/>
      <c r="E123" s="57"/>
      <c r="F123" s="99">
        <v>32.061478999999999</v>
      </c>
      <c r="G123" s="99">
        <v>35.686695999999998</v>
      </c>
      <c r="H123" s="99">
        <v>0.97253480999999997</v>
      </c>
      <c r="I123" s="62">
        <v>0.9796861</v>
      </c>
      <c r="J123" s="62">
        <v>5.7089634E-2</v>
      </c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29</v>
      </c>
      <c r="D124" s="191"/>
      <c r="E124" s="58"/>
      <c r="F124" s="192">
        <v>34.271987000000003</v>
      </c>
      <c r="G124" s="192">
        <v>37.723033000000001</v>
      </c>
      <c r="H124" s="192">
        <v>0.98226100000000005</v>
      </c>
      <c r="I124" s="64">
        <v>0.98712575000000002</v>
      </c>
      <c r="J124" s="64">
        <v>4.0143422999999998E-2</v>
      </c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30</v>
      </c>
      <c r="D125" s="191"/>
      <c r="E125" s="58"/>
      <c r="F125" s="192">
        <v>37.606946999999998</v>
      </c>
      <c r="G125" s="192">
        <v>41.306640000000002</v>
      </c>
      <c r="H125" s="192">
        <v>0.98966821000000005</v>
      </c>
      <c r="I125" s="64">
        <v>0.99336617999999999</v>
      </c>
      <c r="J125" s="64">
        <v>2.4599116000000001E-2</v>
      </c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32</v>
      </c>
      <c r="D126" s="191"/>
      <c r="E126" s="58"/>
      <c r="F126" s="192">
        <v>41.030496999999997</v>
      </c>
      <c r="G126" s="192">
        <v>44.857125000000003</v>
      </c>
      <c r="H126" s="192">
        <v>0.99390120999999998</v>
      </c>
      <c r="I126" s="64">
        <v>0.99640275</v>
      </c>
      <c r="J126" s="64">
        <v>1.287598E-2</v>
      </c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85</v>
      </c>
      <c r="C128" s="27" t="s">
        <v>28</v>
      </c>
      <c r="D128" s="41"/>
      <c r="E128" s="57"/>
      <c r="F128" s="99">
        <v>32.031561000000004</v>
      </c>
      <c r="G128" s="99">
        <v>35.852595000000001</v>
      </c>
      <c r="H128" s="99">
        <v>0.97304522000000004</v>
      </c>
      <c r="I128" s="62">
        <v>0.97958460999999997</v>
      </c>
      <c r="J128" s="62">
        <v>5.7230093000000003E-2</v>
      </c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29</v>
      </c>
      <c r="D129" s="191"/>
      <c r="E129" s="58"/>
      <c r="F129" s="192">
        <v>34.099704000000003</v>
      </c>
      <c r="G129" s="192">
        <v>37.834556999999997</v>
      </c>
      <c r="H129" s="192">
        <v>0.98252967000000002</v>
      </c>
      <c r="I129" s="64">
        <v>0.98692391999999995</v>
      </c>
      <c r="J129" s="64">
        <v>3.9563358E-2</v>
      </c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30</v>
      </c>
      <c r="D130" s="191"/>
      <c r="E130" s="58"/>
      <c r="F130" s="192">
        <v>37.463017999999998</v>
      </c>
      <c r="G130" s="192">
        <v>41.130343000000003</v>
      </c>
      <c r="H130" s="192">
        <v>0.98992318999999995</v>
      </c>
      <c r="I130" s="64">
        <v>0.99325134000000004</v>
      </c>
      <c r="J130" s="64">
        <v>2.3462706999999999E-2</v>
      </c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32</v>
      </c>
      <c r="D131" s="191"/>
      <c r="E131" s="58"/>
      <c r="F131" s="192">
        <v>41.309367999999999</v>
      </c>
      <c r="G131" s="192">
        <v>44.999827000000003</v>
      </c>
      <c r="H131" s="192">
        <v>0.99404751999999996</v>
      </c>
      <c r="I131" s="64">
        <v>0.99638674999999999</v>
      </c>
      <c r="J131" s="64">
        <v>1.1929257E-2</v>
      </c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86</v>
      </c>
      <c r="C133" s="27" t="s">
        <v>28</v>
      </c>
      <c r="D133" s="41"/>
      <c r="E133" s="57"/>
      <c r="F133" s="99">
        <v>32.124817</v>
      </c>
      <c r="G133" s="99">
        <v>36.156072999999999</v>
      </c>
      <c r="H133" s="99">
        <v>0.97189700999999995</v>
      </c>
      <c r="I133" s="62">
        <v>0.97903804999999999</v>
      </c>
      <c r="J133" s="62">
        <v>5.8130569999999999E-2</v>
      </c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29</v>
      </c>
      <c r="D134" s="191"/>
      <c r="E134" s="58"/>
      <c r="F134" s="192">
        <v>34.436042</v>
      </c>
      <c r="G134" s="192">
        <v>38.241612000000003</v>
      </c>
      <c r="H134" s="192">
        <v>0.98232428000000005</v>
      </c>
      <c r="I134" s="64">
        <v>0.98678677000000004</v>
      </c>
      <c r="J134" s="64">
        <v>3.8389117E-2</v>
      </c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30</v>
      </c>
      <c r="D135" s="191"/>
      <c r="E135" s="58"/>
      <c r="F135" s="192">
        <v>37.784047999999999</v>
      </c>
      <c r="G135" s="192">
        <v>41.300035999999999</v>
      </c>
      <c r="H135" s="192">
        <v>0.99010933999999995</v>
      </c>
      <c r="I135" s="64">
        <v>0.99335647999999999</v>
      </c>
      <c r="J135" s="64">
        <v>2.3009079000000002E-2</v>
      </c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32</v>
      </c>
      <c r="D136" s="191"/>
      <c r="E136" s="58"/>
      <c r="F136" s="192">
        <v>41.704402000000002</v>
      </c>
      <c r="G136" s="192">
        <v>45.191845000000001</v>
      </c>
      <c r="H136" s="192">
        <v>0.99412425000000004</v>
      </c>
      <c r="I136" s="64">
        <v>0.99640761</v>
      </c>
      <c r="J136" s="64">
        <v>1.1939058000000001E-2</v>
      </c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45</v>
      </c>
      <c r="G639" s="216" t="s">
        <v>45</v>
      </c>
      <c r="H639" s="216" t="s">
        <v>45</v>
      </c>
      <c r="I639" s="216" t="s">
        <v>45</v>
      </c>
      <c r="J639" s="216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45</v>
      </c>
      <c r="Y639" s="216" t="s">
        <v>45</v>
      </c>
      <c r="Z639" s="216" t="s">
        <v>45</v>
      </c>
      <c r="AA639" s="216" t="s">
        <v>45</v>
      </c>
      <c r="AB639" s="216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2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8">
        <f t="shared" si="59"/>
        <v>30.367884</v>
      </c>
      <c r="H641" s="138">
        <f t="shared" si="59"/>
        <v>0.95871066000000005</v>
      </c>
      <c r="I641" s="138">
        <f t="shared" si="59"/>
        <v>0.96455597999999998</v>
      </c>
      <c r="J641" s="138">
        <f t="shared" si="59"/>
        <v>5.6385610000000003E-2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29</v>
      </c>
      <c r="D642" s="110"/>
      <c r="E642" s="268"/>
      <c r="F642" s="20">
        <f t="shared" si="59"/>
        <v>30.790431000000002</v>
      </c>
      <c r="G642" s="20">
        <f t="shared" si="59"/>
        <v>34.198450999999999</v>
      </c>
      <c r="H642" s="20">
        <f t="shared" si="59"/>
        <v>0.97776145000000003</v>
      </c>
      <c r="I642" s="20">
        <f t="shared" si="59"/>
        <v>0.98092376000000003</v>
      </c>
      <c r="J642" s="20">
        <f t="shared" si="59"/>
        <v>3.5571985E-2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30</v>
      </c>
      <c r="D643" s="110"/>
      <c r="E643" s="268"/>
      <c r="F643" s="20">
        <f t="shared" si="59"/>
        <v>33.798454999999997</v>
      </c>
      <c r="G643" s="20">
        <f t="shared" si="59"/>
        <v>37.850261000000003</v>
      </c>
      <c r="H643" s="20">
        <f t="shared" si="59"/>
        <v>0.98815037999999999</v>
      </c>
      <c r="I643" s="20">
        <f t="shared" si="59"/>
        <v>0.99115816999999995</v>
      </c>
      <c r="J643" s="20">
        <f t="shared" si="59"/>
        <v>2.2819249999999999E-2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32</v>
      </c>
      <c r="D644" s="110"/>
      <c r="E644" s="268"/>
      <c r="F644" s="20">
        <f t="shared" si="59"/>
        <v>37.759284000000001</v>
      </c>
      <c r="G644" s="20">
        <f t="shared" si="59"/>
        <v>42.061574999999998</v>
      </c>
      <c r="H644" s="20">
        <f t="shared" si="59"/>
        <v>0.99343181000000003</v>
      </c>
      <c r="I644" s="20">
        <f t="shared" si="59"/>
        <v>0.99553382999999995</v>
      </c>
      <c r="J644" s="20">
        <f t="shared" si="59"/>
        <v>1.1500524E-2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8">
        <f t="shared" si="61"/>
        <v>36.156072999999999</v>
      </c>
      <c r="H646" s="138">
        <f t="shared" si="61"/>
        <v>0.97304522000000004</v>
      </c>
      <c r="I646" s="138">
        <f t="shared" si="61"/>
        <v>0.97998803000000001</v>
      </c>
      <c r="J646" s="138">
        <f t="shared" si="61"/>
        <v>8.2726759999999996E-2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29</v>
      </c>
      <c r="D647" s="110"/>
      <c r="E647" s="268"/>
      <c r="F647" s="20">
        <f t="shared" si="61"/>
        <v>34.436042</v>
      </c>
      <c r="G647" s="20">
        <f t="shared" si="61"/>
        <v>38.241612000000003</v>
      </c>
      <c r="H647" s="20">
        <f t="shared" si="61"/>
        <v>0.98252967000000002</v>
      </c>
      <c r="I647" s="20">
        <f t="shared" si="61"/>
        <v>0.98712575000000002</v>
      </c>
      <c r="J647" s="20">
        <f t="shared" si="61"/>
        <v>5.6608659999999998E-2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30</v>
      </c>
      <c r="D648" s="110"/>
      <c r="E648" s="268"/>
      <c r="F648" s="20">
        <f t="shared" si="61"/>
        <v>37.784047999999999</v>
      </c>
      <c r="G648" s="20">
        <f t="shared" si="61"/>
        <v>41.306640000000002</v>
      </c>
      <c r="H648" s="20">
        <f t="shared" si="61"/>
        <v>0.99010933999999995</v>
      </c>
      <c r="I648" s="20">
        <f t="shared" si="61"/>
        <v>0.99336617999999999</v>
      </c>
      <c r="J648" s="20">
        <f t="shared" si="61"/>
        <v>3.3108838000000002E-2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32</v>
      </c>
      <c r="D649" s="110"/>
      <c r="E649" s="268"/>
      <c r="F649" s="20">
        <f t="shared" si="61"/>
        <v>41.704402000000002</v>
      </c>
      <c r="G649" s="20">
        <f t="shared" si="61"/>
        <v>45.191845000000001</v>
      </c>
      <c r="H649" s="20">
        <f t="shared" si="61"/>
        <v>0.99412425000000004</v>
      </c>
      <c r="I649" s="20">
        <f t="shared" si="61"/>
        <v>0.99640761</v>
      </c>
      <c r="J649" s="20">
        <f t="shared" si="61"/>
        <v>1.8621081000000001E-2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189</v>
      </c>
      <c r="C651" s="27" t="s">
        <v>28</v>
      </c>
      <c r="D651" s="109"/>
      <c r="E651" s="266"/>
      <c r="F651" s="138">
        <f t="shared" ref="F651:J654" si="63">F646-F641</f>
        <v>5.217960999999999</v>
      </c>
      <c r="G651" s="138">
        <f t="shared" si="63"/>
        <v>5.7881889999999991</v>
      </c>
      <c r="H651" s="138">
        <f t="shared" si="63"/>
        <v>1.4334559999999996E-2</v>
      </c>
      <c r="I651" s="138">
        <f t="shared" si="63"/>
        <v>1.543205000000003E-2</v>
      </c>
      <c r="J651" s="138">
        <f t="shared" si="63"/>
        <v>2.6341149999999994E-2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29</v>
      </c>
      <c r="D652" s="110"/>
      <c r="E652" s="268"/>
      <c r="F652" s="20">
        <f t="shared" si="63"/>
        <v>3.6456109999999988</v>
      </c>
      <c r="G652" s="20">
        <f t="shared" si="63"/>
        <v>4.0431610000000049</v>
      </c>
      <c r="H652" s="20">
        <f t="shared" si="63"/>
        <v>4.7682199999999897E-3</v>
      </c>
      <c r="I652" s="20">
        <f t="shared" si="63"/>
        <v>6.2019899999999906E-3</v>
      </c>
      <c r="J652" s="20">
        <f t="shared" si="63"/>
        <v>2.1036674999999998E-2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30</v>
      </c>
      <c r="D653" s="110"/>
      <c r="E653" s="268"/>
      <c r="F653" s="20">
        <f t="shared" si="63"/>
        <v>3.9855930000000015</v>
      </c>
      <c r="G653" s="20">
        <f t="shared" si="63"/>
        <v>3.4563789999999983</v>
      </c>
      <c r="H653" s="20">
        <f t="shared" si="63"/>
        <v>1.9589599999999541E-3</v>
      </c>
      <c r="I653" s="20">
        <f t="shared" si="63"/>
        <v>2.208010000000038E-3</v>
      </c>
      <c r="J653" s="20">
        <f t="shared" si="63"/>
        <v>1.0289588000000002E-2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32</v>
      </c>
      <c r="D654" s="110"/>
      <c r="E654" s="268"/>
      <c r="F654" s="20">
        <f t="shared" si="63"/>
        <v>3.9451180000000008</v>
      </c>
      <c r="G654" s="20">
        <f t="shared" si="63"/>
        <v>3.130270000000003</v>
      </c>
      <c r="H654" s="20">
        <f t="shared" si="63"/>
        <v>6.9244000000001638E-4</v>
      </c>
      <c r="I654" s="20">
        <f t="shared" si="63"/>
        <v>8.7378000000004619E-4</v>
      </c>
      <c r="J654" s="20">
        <f t="shared" si="63"/>
        <v>7.1205570000000013E-3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14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cinema_semitrack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cinema_semitrack</v>
      </c>
      <c r="AM2" s="302" t="s">
        <v>44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26</v>
      </c>
      <c r="F3" s="32" t="s">
        <v>45</v>
      </c>
      <c r="G3" s="216" t="s">
        <v>45</v>
      </c>
      <c r="H3" s="216" t="s">
        <v>45</v>
      </c>
      <c r="I3" s="216" t="s">
        <v>45</v>
      </c>
      <c r="J3" s="216" t="s">
        <v>45</v>
      </c>
      <c r="K3" s="216"/>
      <c r="L3" s="216"/>
      <c r="M3" s="216"/>
      <c r="N3" s="216"/>
      <c r="O3" s="240"/>
      <c r="P3" s="304" t="s">
        <v>46</v>
      </c>
      <c r="Q3" s="304" t="s">
        <v>47</v>
      </c>
      <c r="R3" s="310" t="s">
        <v>48</v>
      </c>
      <c r="S3" s="210"/>
      <c r="T3" s="142"/>
      <c r="U3" s="215"/>
      <c r="V3" s="96"/>
      <c r="W3" s="239" t="s">
        <v>26</v>
      </c>
      <c r="X3" s="32" t="s">
        <v>45</v>
      </c>
      <c r="Y3" s="216" t="s">
        <v>45</v>
      </c>
      <c r="Z3" s="216" t="s">
        <v>45</v>
      </c>
      <c r="AA3" s="216" t="s">
        <v>45</v>
      </c>
      <c r="AB3" s="216" t="s">
        <v>45</v>
      </c>
      <c r="AC3" s="216"/>
      <c r="AD3" s="216"/>
      <c r="AE3" s="216"/>
      <c r="AF3" s="216"/>
      <c r="AG3" s="240"/>
      <c r="AH3" s="304" t="s">
        <v>46</v>
      </c>
      <c r="AI3" s="304" t="s">
        <v>47</v>
      </c>
      <c r="AJ3" s="310" t="s">
        <v>48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28</v>
      </c>
      <c r="D5" s="28"/>
      <c r="E5" s="128">
        <f>E23</f>
        <v>28316.847999999998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2">
        <f t="shared" si="0"/>
        <v>33.832055285714283</v>
      </c>
      <c r="H5" s="32">
        <f t="shared" si="0"/>
        <v>0.96582942476190481</v>
      </c>
      <c r="I5" s="93">
        <f t="shared" si="0"/>
        <v>0.9725471133333331</v>
      </c>
      <c r="J5" s="93">
        <f t="shared" si="0"/>
        <v>6.5973396238095255E-2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29</v>
      </c>
      <c r="D6" s="30"/>
      <c r="E6" s="159">
        <f>E24</f>
        <v>41126.480000000003</v>
      </c>
      <c r="F6" s="93">
        <f t="shared" si="0"/>
        <v>32.999578714285725</v>
      </c>
      <c r="G6" s="93">
        <f t="shared" si="0"/>
        <v>36.531831238095236</v>
      </c>
      <c r="H6" s="93">
        <f t="shared" si="0"/>
        <v>0.97901262523809529</v>
      </c>
      <c r="I6" s="93">
        <f t="shared" si="0"/>
        <v>0.98376468238095238</v>
      </c>
      <c r="J6" s="93">
        <f t="shared" si="0"/>
        <v>4.448833447619048E-2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30</v>
      </c>
      <c r="D7" s="30"/>
      <c r="E7" s="159">
        <f>E25</f>
        <v>61865.04</v>
      </c>
      <c r="F7" s="93">
        <f t="shared" si="0"/>
        <v>36.248342999999991</v>
      </c>
      <c r="G7" s="93">
        <f t="shared" si="0"/>
        <v>40.276491190476186</v>
      </c>
      <c r="H7" s="93">
        <f t="shared" si="0"/>
        <v>0.98868709857142867</v>
      </c>
      <c r="I7" s="93">
        <f t="shared" si="0"/>
        <v>0.99210457047619049</v>
      </c>
      <c r="J7" s="93">
        <f t="shared" si="0"/>
        <v>2.7850360190476191E-2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32</v>
      </c>
      <c r="D8" s="30"/>
      <c r="E8" s="159">
        <f>E26</f>
        <v>90416.760000000009</v>
      </c>
      <c r="F8" s="93">
        <f t="shared" si="0"/>
        <v>39.028174857142858</v>
      </c>
      <c r="G8" s="93">
        <f t="shared" si="0"/>
        <v>43.229996952380951</v>
      </c>
      <c r="H8" s="93">
        <f t="shared" si="0"/>
        <v>0.99344393809523812</v>
      </c>
      <c r="I8" s="93">
        <f t="shared" si="0"/>
        <v>0.99578089857142849</v>
      </c>
      <c r="J8" s="93">
        <f t="shared" si="0"/>
        <v>1.5608584595238097E-2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7" t="s">
        <v>46</v>
      </c>
      <c r="Q15" s="217" t="s">
        <v>47</v>
      </c>
      <c r="R15" s="36"/>
      <c r="S15" s="210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7" t="s">
        <v>46</v>
      </c>
      <c r="AI15" s="217" t="s">
        <v>47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28</v>
      </c>
      <c r="D16" s="28"/>
      <c r="E16" s="131">
        <v>4688.8959999999997</v>
      </c>
      <c r="F16" s="169">
        <v>6056.2079999999996</v>
      </c>
      <c r="G16" s="169">
        <v>1130.7760000000001</v>
      </c>
      <c r="H16" s="169">
        <v>388.36</v>
      </c>
      <c r="I16" s="169">
        <v>167.80799999999999</v>
      </c>
      <c r="J16" s="169">
        <v>8771.848</v>
      </c>
      <c r="K16" s="62">
        <v>5224.8</v>
      </c>
      <c r="L16" s="62">
        <v>1888.152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29</v>
      </c>
      <c r="D17" s="30"/>
      <c r="E17" s="146">
        <v>4688.8959999999997</v>
      </c>
      <c r="F17" s="170">
        <v>7941.5919999999996</v>
      </c>
      <c r="G17" s="170">
        <v>4043.28</v>
      </c>
      <c r="H17" s="170">
        <v>2044.9680000000001</v>
      </c>
      <c r="I17" s="170">
        <v>1498.336</v>
      </c>
      <c r="J17" s="170">
        <v>11323.12</v>
      </c>
      <c r="K17" s="64">
        <v>7088.4719999999998</v>
      </c>
      <c r="L17" s="64">
        <v>2497.8159999999998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30</v>
      </c>
      <c r="D18" s="30"/>
      <c r="E18" s="146">
        <v>4688.8959999999997</v>
      </c>
      <c r="F18" s="170">
        <v>9902.32</v>
      </c>
      <c r="G18" s="170">
        <v>8648.4</v>
      </c>
      <c r="H18" s="170">
        <v>6395.5360000000001</v>
      </c>
      <c r="I18" s="170">
        <v>6107.9359999999997</v>
      </c>
      <c r="J18" s="170">
        <v>13961.536</v>
      </c>
      <c r="K18" s="64">
        <v>9035.2880000000005</v>
      </c>
      <c r="L18" s="64">
        <v>3125.1280000000002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32</v>
      </c>
      <c r="D19" s="30"/>
      <c r="E19" s="146">
        <v>4688.8959999999997</v>
      </c>
      <c r="F19" s="170">
        <v>11776.415999999999</v>
      </c>
      <c r="G19" s="170">
        <v>13866.175999999999</v>
      </c>
      <c r="H19" s="170">
        <v>13459.6</v>
      </c>
      <c r="I19" s="170">
        <v>15053.32</v>
      </c>
      <c r="J19" s="170">
        <v>16708.376</v>
      </c>
      <c r="K19" s="64">
        <v>11084.592000000001</v>
      </c>
      <c r="L19" s="64">
        <v>3779.384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28</v>
      </c>
      <c r="D23" s="28"/>
      <c r="E23" s="130">
        <f>SUM(E16:L16)</f>
        <v>28316.847999999998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29</v>
      </c>
      <c r="D24" s="30"/>
      <c r="E24" s="130">
        <f>SUM(E17:L17)</f>
        <v>41126.480000000003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30</v>
      </c>
      <c r="D25" s="30"/>
      <c r="E25" s="130">
        <f>SUM(E18:L18)</f>
        <v>61865.04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32</v>
      </c>
      <c r="D26" s="30"/>
      <c r="E26" s="130">
        <f>SUM(E19:L19)</f>
        <v>90416.760000000009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64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65</v>
      </c>
      <c r="C32" s="97"/>
      <c r="D32" s="97"/>
      <c r="E32" s="210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0"/>
      <c r="T32" s="26" t="s">
        <v>65</v>
      </c>
      <c r="U32" s="97"/>
      <c r="V32" s="97"/>
      <c r="W32" s="210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0"/>
      <c r="AE32" s="210"/>
      <c r="AF32" s="24"/>
      <c r="AG32" s="261"/>
      <c r="AH32" s="24"/>
      <c r="AI32" s="24"/>
      <c r="AJ32" s="25" t="s">
        <v>48</v>
      </c>
      <c r="AK32" s="212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6" t="s">
        <v>66</v>
      </c>
      <c r="C33" s="27" t="s">
        <v>28</v>
      </c>
      <c r="D33" s="41"/>
      <c r="E33" s="57"/>
      <c r="F33" s="99">
        <v>27.577456000000002</v>
      </c>
      <c r="G33" s="99">
        <v>31.134187000000001</v>
      </c>
      <c r="H33" s="99">
        <v>0.95943495000000001</v>
      </c>
      <c r="I33" s="62">
        <v>0.96601981000000003</v>
      </c>
      <c r="J33" s="62">
        <v>8.3524169999999995E-2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29</v>
      </c>
      <c r="D34" s="191"/>
      <c r="E34" s="58"/>
      <c r="F34" s="192">
        <v>30.759060000000002</v>
      </c>
      <c r="G34" s="192">
        <v>34.076340999999999</v>
      </c>
      <c r="H34" s="192">
        <v>0.97693960999999996</v>
      </c>
      <c r="I34" s="64">
        <v>0.98018503000000001</v>
      </c>
      <c r="J34" s="64">
        <v>5.8090188000000001E-2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30</v>
      </c>
      <c r="D35" s="191"/>
      <c r="E35" s="58"/>
      <c r="F35" s="192">
        <v>34.701622</v>
      </c>
      <c r="G35" s="192">
        <v>39.048186000000001</v>
      </c>
      <c r="H35" s="192">
        <v>0.98871198000000005</v>
      </c>
      <c r="I35" s="64">
        <v>0.99178215999999997</v>
      </c>
      <c r="J35" s="64">
        <v>3.3094823000000002E-2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32</v>
      </c>
      <c r="D36" s="191"/>
      <c r="E36" s="58"/>
      <c r="F36" s="192">
        <v>37.285139999999998</v>
      </c>
      <c r="G36" s="192">
        <v>41.695649000000003</v>
      </c>
      <c r="H36" s="192">
        <v>0.99349675000000004</v>
      </c>
      <c r="I36" s="64">
        <v>0.99566268000000002</v>
      </c>
      <c r="J36" s="64">
        <v>1.9023346E-2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67</v>
      </c>
      <c r="C38" s="27" t="s">
        <v>28</v>
      </c>
      <c r="D38" s="41"/>
      <c r="E38" s="57"/>
      <c r="F38" s="99">
        <v>28.193349000000001</v>
      </c>
      <c r="G38" s="99">
        <v>31.808422</v>
      </c>
      <c r="H38" s="99">
        <v>0.96085564000000001</v>
      </c>
      <c r="I38" s="62">
        <v>0.96608455999999998</v>
      </c>
      <c r="J38" s="62">
        <v>7.6065703999999998E-2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29</v>
      </c>
      <c r="D39" s="191"/>
      <c r="E39" s="58"/>
      <c r="F39" s="192">
        <v>31.252689</v>
      </c>
      <c r="G39" s="192">
        <v>34.732500999999999</v>
      </c>
      <c r="H39" s="192">
        <v>0.97719151000000004</v>
      </c>
      <c r="I39" s="64">
        <v>0.98035265999999999</v>
      </c>
      <c r="J39" s="64">
        <v>5.4013060000000002E-2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30</v>
      </c>
      <c r="D40" s="191"/>
      <c r="E40" s="58"/>
      <c r="F40" s="192">
        <v>35.001336999999999</v>
      </c>
      <c r="G40" s="192">
        <v>39.219678999999999</v>
      </c>
      <c r="H40" s="192">
        <v>0.98841422000000001</v>
      </c>
      <c r="I40" s="64">
        <v>0.9914191</v>
      </c>
      <c r="J40" s="64">
        <v>3.1824815999999999E-2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32</v>
      </c>
      <c r="D41" s="191"/>
      <c r="E41" s="58"/>
      <c r="F41" s="192">
        <v>37.389982000000003</v>
      </c>
      <c r="G41" s="192">
        <v>41.763351</v>
      </c>
      <c r="H41" s="192">
        <v>0.99333020999999999</v>
      </c>
      <c r="I41" s="64">
        <v>0.99550910000000004</v>
      </c>
      <c r="J41" s="64">
        <v>1.8921693999999999E-2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68</v>
      </c>
      <c r="C43" s="27" t="s">
        <v>28</v>
      </c>
      <c r="D43" s="41"/>
      <c r="E43" s="57"/>
      <c r="F43" s="99">
        <v>28.768204000000001</v>
      </c>
      <c r="G43" s="99">
        <v>32.409649999999999</v>
      </c>
      <c r="H43" s="99">
        <v>0.96211438999999999</v>
      </c>
      <c r="I43" s="62">
        <v>0.96779749999999998</v>
      </c>
      <c r="J43" s="62">
        <v>7.4610220000000005E-2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29</v>
      </c>
      <c r="D44" s="191"/>
      <c r="E44" s="58"/>
      <c r="F44" s="192">
        <v>31.693356999999999</v>
      </c>
      <c r="G44" s="192">
        <v>35.252952999999998</v>
      </c>
      <c r="H44" s="192">
        <v>0.97751454999999998</v>
      </c>
      <c r="I44" s="64">
        <v>0.98098412000000001</v>
      </c>
      <c r="J44" s="64">
        <v>5.0052739999999998E-2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30</v>
      </c>
      <c r="D45" s="191"/>
      <c r="E45" s="58"/>
      <c r="F45" s="192">
        <v>35.019258999999998</v>
      </c>
      <c r="G45" s="192">
        <v>39.286160000000002</v>
      </c>
      <c r="H45" s="192">
        <v>0.98840072000000001</v>
      </c>
      <c r="I45" s="64">
        <v>0.99148994999999995</v>
      </c>
      <c r="J45" s="64">
        <v>3.2509700000000002E-2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32</v>
      </c>
      <c r="D46" s="191"/>
      <c r="E46" s="58"/>
      <c r="F46" s="192">
        <v>37.792676</v>
      </c>
      <c r="G46" s="192">
        <v>42.168708000000002</v>
      </c>
      <c r="H46" s="192">
        <v>0.99332200999999998</v>
      </c>
      <c r="I46" s="64">
        <v>0.99553944999999999</v>
      </c>
      <c r="J46" s="64">
        <v>1.8137565000000001E-2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69</v>
      </c>
      <c r="C48" s="27" t="s">
        <v>28</v>
      </c>
      <c r="D48" s="41"/>
      <c r="E48" s="57"/>
      <c r="F48" s="99">
        <v>29.646042999999999</v>
      </c>
      <c r="G48" s="99">
        <v>33.106610000000003</v>
      </c>
      <c r="H48" s="99">
        <v>0.96270007999999996</v>
      </c>
      <c r="I48" s="62">
        <v>0.96883207999999998</v>
      </c>
      <c r="J48" s="62">
        <v>6.692476E-2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29</v>
      </c>
      <c r="D49" s="191"/>
      <c r="E49" s="58"/>
      <c r="F49" s="192">
        <v>32.635077000000003</v>
      </c>
      <c r="G49" s="192">
        <v>36.090877999999996</v>
      </c>
      <c r="H49" s="192">
        <v>0.97698622000000002</v>
      </c>
      <c r="I49" s="64">
        <v>0.98179987999999996</v>
      </c>
      <c r="J49" s="64">
        <v>4.4159416E-2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30</v>
      </c>
      <c r="D50" s="191"/>
      <c r="E50" s="58"/>
      <c r="F50" s="192">
        <v>35.634103000000003</v>
      </c>
      <c r="G50" s="192">
        <v>39.809362999999998</v>
      </c>
      <c r="H50" s="192">
        <v>0.98790906999999994</v>
      </c>
      <c r="I50" s="64">
        <v>0.99133842999999999</v>
      </c>
      <c r="J50" s="64">
        <v>2.9285403000000002E-2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32</v>
      </c>
      <c r="D51" s="191"/>
      <c r="E51" s="58"/>
      <c r="F51" s="192">
        <v>38.367744000000002</v>
      </c>
      <c r="G51" s="192">
        <v>42.722358</v>
      </c>
      <c r="H51" s="192">
        <v>0.99321422999999998</v>
      </c>
      <c r="I51" s="64">
        <v>0.99548629</v>
      </c>
      <c r="J51" s="64">
        <v>1.6130444000000001E-2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70</v>
      </c>
      <c r="C53" s="27" t="s">
        <v>28</v>
      </c>
      <c r="D53" s="41"/>
      <c r="E53" s="57"/>
      <c r="F53" s="99">
        <v>29.522048999999999</v>
      </c>
      <c r="G53" s="99">
        <v>33.095426000000003</v>
      </c>
      <c r="H53" s="99">
        <v>0.96237687000000005</v>
      </c>
      <c r="I53" s="62">
        <v>0.96936633999999999</v>
      </c>
      <c r="J53" s="62">
        <v>6.6631360000000001E-2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29</v>
      </c>
      <c r="D54" s="191"/>
      <c r="E54" s="58"/>
      <c r="F54" s="192">
        <v>32.458666999999998</v>
      </c>
      <c r="G54" s="192">
        <v>35.984918</v>
      </c>
      <c r="H54" s="192">
        <v>0.97689793999999996</v>
      </c>
      <c r="I54" s="64">
        <v>0.98175643000000001</v>
      </c>
      <c r="J54" s="64">
        <v>4.4433027999999999E-2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30</v>
      </c>
      <c r="D55" s="191"/>
      <c r="E55" s="58"/>
      <c r="F55" s="192">
        <v>35.679766000000001</v>
      </c>
      <c r="G55" s="192">
        <v>39.763469000000001</v>
      </c>
      <c r="H55" s="192">
        <v>0.98777605999999996</v>
      </c>
      <c r="I55" s="64">
        <v>0.99115679999999995</v>
      </c>
      <c r="J55" s="64">
        <v>2.8534828000000002E-2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32</v>
      </c>
      <c r="D56" s="191"/>
      <c r="E56" s="58"/>
      <c r="F56" s="192">
        <v>38.597504999999998</v>
      </c>
      <c r="G56" s="192">
        <v>42.825226999999998</v>
      </c>
      <c r="H56" s="192">
        <v>0.99314466000000001</v>
      </c>
      <c r="I56" s="64">
        <v>0.99536809000000004</v>
      </c>
      <c r="J56" s="64">
        <v>1.4998801000000001E-2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71</v>
      </c>
      <c r="C58" s="27" t="s">
        <v>28</v>
      </c>
      <c r="D58" s="41"/>
      <c r="E58" s="57"/>
      <c r="F58" s="99">
        <v>29.68233</v>
      </c>
      <c r="G58" s="99">
        <v>33.258108999999997</v>
      </c>
      <c r="H58" s="99">
        <v>0.96183008999999997</v>
      </c>
      <c r="I58" s="62">
        <v>0.96960731</v>
      </c>
      <c r="J58" s="62">
        <v>6.7332400000000001E-2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29</v>
      </c>
      <c r="D59" s="191"/>
      <c r="E59" s="58"/>
      <c r="F59" s="192">
        <v>32.585791999999998</v>
      </c>
      <c r="G59" s="192">
        <v>36.097355999999998</v>
      </c>
      <c r="H59" s="192">
        <v>0.97665292000000004</v>
      </c>
      <c r="I59" s="64">
        <v>0.98189451000000005</v>
      </c>
      <c r="J59" s="64">
        <v>4.5003085999999998E-2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30</v>
      </c>
      <c r="D60" s="191"/>
      <c r="E60" s="58"/>
      <c r="F60" s="192">
        <v>35.839658</v>
      </c>
      <c r="G60" s="192">
        <v>39.831609</v>
      </c>
      <c r="H60" s="192">
        <v>0.98778858000000003</v>
      </c>
      <c r="I60" s="64">
        <v>0.99115125999999998</v>
      </c>
      <c r="J60" s="64">
        <v>2.8406635E-2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32</v>
      </c>
      <c r="D61" s="191"/>
      <c r="E61" s="58"/>
      <c r="F61" s="192">
        <v>39.007764000000002</v>
      </c>
      <c r="G61" s="192">
        <v>43.125194</v>
      </c>
      <c r="H61" s="192">
        <v>0.99317886</v>
      </c>
      <c r="I61" s="64">
        <v>0.99532387</v>
      </c>
      <c r="J61" s="64">
        <v>1.4320851000000001E-2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72</v>
      </c>
      <c r="C63" s="27" t="s">
        <v>28</v>
      </c>
      <c r="D63" s="41"/>
      <c r="E63" s="57"/>
      <c r="F63" s="99">
        <v>29.997012999999999</v>
      </c>
      <c r="G63" s="99">
        <v>33.660482000000002</v>
      </c>
      <c r="H63" s="99">
        <v>0.96114701999999996</v>
      </c>
      <c r="I63" s="62">
        <v>0.97034967999999999</v>
      </c>
      <c r="J63" s="62">
        <v>6.5846375999999998E-2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29</v>
      </c>
      <c r="D64" s="191"/>
      <c r="E64" s="58"/>
      <c r="F64" s="192">
        <v>33.147660000000002</v>
      </c>
      <c r="G64" s="192">
        <v>36.565246999999999</v>
      </c>
      <c r="H64" s="192">
        <v>0.97660387999999998</v>
      </c>
      <c r="I64" s="64">
        <v>0.98222423000000003</v>
      </c>
      <c r="J64" s="64">
        <v>4.1996222E-2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30</v>
      </c>
      <c r="D65" s="191"/>
      <c r="E65" s="58"/>
      <c r="F65" s="192">
        <v>36.391508000000002</v>
      </c>
      <c r="G65" s="192">
        <v>40.252209000000001</v>
      </c>
      <c r="H65" s="192">
        <v>0.98797999000000003</v>
      </c>
      <c r="I65" s="64">
        <v>0.99132962000000002</v>
      </c>
      <c r="J65" s="64">
        <v>2.6921328000000001E-2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32</v>
      </c>
      <c r="D66" s="191"/>
      <c r="E66" s="58"/>
      <c r="F66" s="192">
        <v>39.687700999999997</v>
      </c>
      <c r="G66" s="192">
        <v>43.589041999999999</v>
      </c>
      <c r="H66" s="192">
        <v>0.99332034000000002</v>
      </c>
      <c r="I66" s="64">
        <v>0.9955522</v>
      </c>
      <c r="J66" s="64">
        <v>1.3120456000000001E-2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73</v>
      </c>
      <c r="C68" s="27" t="s">
        <v>28</v>
      </c>
      <c r="D68" s="41"/>
      <c r="E68" s="57"/>
      <c r="F68" s="99">
        <v>28.984580000000001</v>
      </c>
      <c r="G68" s="99">
        <v>32.458784000000001</v>
      </c>
      <c r="H68" s="99">
        <v>0.96228798000000004</v>
      </c>
      <c r="I68" s="62">
        <v>0.96817421999999997</v>
      </c>
      <c r="J68" s="62">
        <v>7.1367040000000007E-2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29</v>
      </c>
      <c r="D69" s="191"/>
      <c r="E69" s="58"/>
      <c r="F69" s="192">
        <v>31.978733999999999</v>
      </c>
      <c r="G69" s="192">
        <v>35.560954000000002</v>
      </c>
      <c r="H69" s="192">
        <v>0.97750647999999996</v>
      </c>
      <c r="I69" s="64">
        <v>0.98177000999999997</v>
      </c>
      <c r="J69" s="64">
        <v>4.6866390000000001E-2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30</v>
      </c>
      <c r="D70" s="191"/>
      <c r="E70" s="58"/>
      <c r="F70" s="192">
        <v>35.082237999999997</v>
      </c>
      <c r="G70" s="192">
        <v>39.436193000000003</v>
      </c>
      <c r="H70" s="192">
        <v>0.98856533000000002</v>
      </c>
      <c r="I70" s="64">
        <v>0.99181430999999998</v>
      </c>
      <c r="J70" s="64">
        <v>3.004592E-2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32</v>
      </c>
      <c r="D71" s="191"/>
      <c r="E71" s="58"/>
      <c r="F71" s="192">
        <v>37.543035000000003</v>
      </c>
      <c r="G71" s="192">
        <v>41.983271999999999</v>
      </c>
      <c r="H71" s="192">
        <v>0.99337465000000003</v>
      </c>
      <c r="I71" s="64">
        <v>0.99564514999999998</v>
      </c>
      <c r="J71" s="64">
        <v>1.7582047999999999E-2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74</v>
      </c>
      <c r="C73" s="27" t="s">
        <v>28</v>
      </c>
      <c r="D73" s="41"/>
      <c r="E73" s="57"/>
      <c r="F73" s="99">
        <v>29.526973000000002</v>
      </c>
      <c r="G73" s="99">
        <v>33.266182000000001</v>
      </c>
      <c r="H73" s="99">
        <v>0.96416942000000005</v>
      </c>
      <c r="I73" s="62">
        <v>0.96878752999999995</v>
      </c>
      <c r="J73" s="62">
        <v>6.4007090000000003E-2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29</v>
      </c>
      <c r="D74" s="191"/>
      <c r="E74" s="58"/>
      <c r="F74" s="192">
        <v>32.283003000000001</v>
      </c>
      <c r="G74" s="192">
        <v>36.011023999999999</v>
      </c>
      <c r="H74" s="192">
        <v>0.97811376000000005</v>
      </c>
      <c r="I74" s="64">
        <v>0.98162729999999998</v>
      </c>
      <c r="J74" s="64">
        <v>4.2279504000000002E-2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30</v>
      </c>
      <c r="D75" s="191"/>
      <c r="E75" s="58"/>
      <c r="F75" s="192">
        <v>35.978337000000003</v>
      </c>
      <c r="G75" s="192">
        <v>40.064262999999997</v>
      </c>
      <c r="H75" s="192">
        <v>0.98843513999999999</v>
      </c>
      <c r="I75" s="64">
        <v>0.99156294</v>
      </c>
      <c r="J75" s="64">
        <v>2.5514245000000001E-2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32</v>
      </c>
      <c r="D76" s="191"/>
      <c r="E76" s="58"/>
      <c r="F76" s="192">
        <v>37.902993000000002</v>
      </c>
      <c r="G76" s="192">
        <v>42.288583000000003</v>
      </c>
      <c r="H76" s="192">
        <v>0.99335713999999997</v>
      </c>
      <c r="I76" s="64">
        <v>0.99562839000000003</v>
      </c>
      <c r="J76" s="64">
        <v>1.6562795000000002E-2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75</v>
      </c>
      <c r="C78" s="27" t="s">
        <v>28</v>
      </c>
      <c r="D78" s="41"/>
      <c r="E78" s="57"/>
      <c r="F78" s="99">
        <v>29.636751</v>
      </c>
      <c r="G78" s="99">
        <v>33.338917000000002</v>
      </c>
      <c r="H78" s="99">
        <v>0.96574822999999999</v>
      </c>
      <c r="I78" s="62">
        <v>0.97007438000000001</v>
      </c>
      <c r="J78" s="62">
        <v>6.6473134000000003E-2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29</v>
      </c>
      <c r="D79" s="191"/>
      <c r="E79" s="58"/>
      <c r="F79" s="192">
        <v>32.240988999999999</v>
      </c>
      <c r="G79" s="192">
        <v>36.054644000000003</v>
      </c>
      <c r="H79" s="192">
        <v>0.97868995000000003</v>
      </c>
      <c r="I79" s="64">
        <v>0.98222352000000002</v>
      </c>
      <c r="J79" s="64">
        <v>4.4221000000000003E-2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30</v>
      </c>
      <c r="D80" s="191"/>
      <c r="E80" s="58"/>
      <c r="F80" s="192">
        <v>35.561171999999999</v>
      </c>
      <c r="G80" s="192">
        <v>39.869092999999999</v>
      </c>
      <c r="H80" s="192">
        <v>0.98851942000000004</v>
      </c>
      <c r="I80" s="64">
        <v>0.99173741000000004</v>
      </c>
      <c r="J80" s="64">
        <v>2.9034961000000001E-2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32</v>
      </c>
      <c r="D81" s="191"/>
      <c r="E81" s="58"/>
      <c r="F81" s="192">
        <v>38.317521999999997</v>
      </c>
      <c r="G81" s="192">
        <v>42.705719999999999</v>
      </c>
      <c r="H81" s="192">
        <v>0.99340107</v>
      </c>
      <c r="I81" s="64">
        <v>0.99566867999999997</v>
      </c>
      <c r="J81" s="64">
        <v>1.6119537999999999E-2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76</v>
      </c>
      <c r="C83" s="27" t="s">
        <v>28</v>
      </c>
      <c r="D83" s="41"/>
      <c r="E83" s="57"/>
      <c r="F83" s="99">
        <v>30.346667</v>
      </c>
      <c r="G83" s="99">
        <v>33.698810000000002</v>
      </c>
      <c r="H83" s="99">
        <v>0.96659404000000004</v>
      </c>
      <c r="I83" s="62">
        <v>0.97200211999999997</v>
      </c>
      <c r="J83" s="62">
        <v>6.1710282999999998E-2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29</v>
      </c>
      <c r="D84" s="191"/>
      <c r="E84" s="58"/>
      <c r="F84" s="192">
        <v>33.197960999999999</v>
      </c>
      <c r="G84" s="192">
        <v>36.642747</v>
      </c>
      <c r="H84" s="192">
        <v>0.97917063999999998</v>
      </c>
      <c r="I84" s="64">
        <v>0.98362461999999995</v>
      </c>
      <c r="J84" s="64">
        <v>4.063746E-2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30</v>
      </c>
      <c r="D85" s="191"/>
      <c r="E85" s="58"/>
      <c r="F85" s="192">
        <v>36.323225000000001</v>
      </c>
      <c r="G85" s="192">
        <v>40.461047000000001</v>
      </c>
      <c r="H85" s="192">
        <v>0.98836796999999998</v>
      </c>
      <c r="I85" s="64">
        <v>0.99187791999999997</v>
      </c>
      <c r="J85" s="64">
        <v>2.5983978000000001E-2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32</v>
      </c>
      <c r="D86" s="191"/>
      <c r="E86" s="58"/>
      <c r="F86" s="192">
        <v>38.604658000000001</v>
      </c>
      <c r="G86" s="192">
        <v>42.987068999999998</v>
      </c>
      <c r="H86" s="192">
        <v>0.99325755999999998</v>
      </c>
      <c r="I86" s="64">
        <v>0.99559222999999997</v>
      </c>
      <c r="J86" s="64">
        <v>1.5268248999999999E-2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77</v>
      </c>
      <c r="C88" s="27" t="s">
        <v>28</v>
      </c>
      <c r="D88" s="41"/>
      <c r="E88" s="57"/>
      <c r="F88" s="99">
        <v>30.330774999999999</v>
      </c>
      <c r="G88" s="99">
        <v>33.888913000000002</v>
      </c>
      <c r="H88" s="99">
        <v>0.96718583999999996</v>
      </c>
      <c r="I88" s="62">
        <v>0.97233603999999996</v>
      </c>
      <c r="J88" s="62">
        <v>6.0269896000000003E-2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29</v>
      </c>
      <c r="D89" s="191"/>
      <c r="E89" s="58"/>
      <c r="F89" s="192">
        <v>33.457307999999998</v>
      </c>
      <c r="G89" s="192">
        <v>36.880572999999998</v>
      </c>
      <c r="H89" s="192">
        <v>0.97968538999999999</v>
      </c>
      <c r="I89" s="64">
        <v>0.98436557999999996</v>
      </c>
      <c r="J89" s="64">
        <v>3.9441094000000003E-2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30</v>
      </c>
      <c r="D90" s="191"/>
      <c r="E90" s="58"/>
      <c r="F90" s="192">
        <v>36.753244000000002</v>
      </c>
      <c r="G90" s="192">
        <v>40.748925999999997</v>
      </c>
      <c r="H90" s="192">
        <v>0.98862737000000001</v>
      </c>
      <c r="I90" s="64">
        <v>0.99193087000000002</v>
      </c>
      <c r="J90" s="64">
        <v>2.4453229999999999E-2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32</v>
      </c>
      <c r="D91" s="191"/>
      <c r="E91" s="58"/>
      <c r="F91" s="192">
        <v>39.221527999999999</v>
      </c>
      <c r="G91" s="192">
        <v>43.491194999999998</v>
      </c>
      <c r="H91" s="192">
        <v>0.99348431000000004</v>
      </c>
      <c r="I91" s="64">
        <v>0.99572461000000001</v>
      </c>
      <c r="J91" s="64">
        <v>1.3737254000000001E-2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78</v>
      </c>
      <c r="C93" s="27" t="s">
        <v>28</v>
      </c>
      <c r="D93" s="41"/>
      <c r="E93" s="57"/>
      <c r="F93" s="99">
        <v>30.403388</v>
      </c>
      <c r="G93" s="99">
        <v>34.113942000000002</v>
      </c>
      <c r="H93" s="99">
        <v>0.96725786000000002</v>
      </c>
      <c r="I93" s="62">
        <v>0.97287062000000002</v>
      </c>
      <c r="J93" s="62">
        <v>6.1141807999999999E-2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29</v>
      </c>
      <c r="D94" s="191"/>
      <c r="E94" s="58"/>
      <c r="F94" s="192">
        <v>33.436641000000002</v>
      </c>
      <c r="G94" s="192">
        <v>37.069685999999997</v>
      </c>
      <c r="H94" s="192">
        <v>0.97984364000000002</v>
      </c>
      <c r="I94" s="64">
        <v>0.98470243000000002</v>
      </c>
      <c r="J94" s="64">
        <v>4.0614147000000003E-2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30</v>
      </c>
      <c r="D95" s="191"/>
      <c r="E95" s="58"/>
      <c r="F95" s="192">
        <v>36.790162000000002</v>
      </c>
      <c r="G95" s="192">
        <v>40.713656999999998</v>
      </c>
      <c r="H95" s="192">
        <v>0.98878248000000002</v>
      </c>
      <c r="I95" s="64">
        <v>0.99217164999999996</v>
      </c>
      <c r="J95" s="64">
        <v>2.4706522000000002E-2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32</v>
      </c>
      <c r="D96" s="191"/>
      <c r="E96" s="58"/>
      <c r="F96" s="192">
        <v>39.709640999999998</v>
      </c>
      <c r="G96" s="192">
        <v>43.892923000000003</v>
      </c>
      <c r="H96" s="192">
        <v>0.99356986999999997</v>
      </c>
      <c r="I96" s="64">
        <v>0.99571025000000002</v>
      </c>
      <c r="J96" s="64">
        <v>1.3260409000000001E-2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79</v>
      </c>
      <c r="C98" s="27" t="s">
        <v>28</v>
      </c>
      <c r="D98" s="41"/>
      <c r="E98" s="57"/>
      <c r="F98" s="99">
        <v>30.862511999999999</v>
      </c>
      <c r="G98" s="99">
        <v>34.720914999999998</v>
      </c>
      <c r="H98" s="99">
        <v>0.96609047999999997</v>
      </c>
      <c r="I98" s="62">
        <v>0.97317480999999995</v>
      </c>
      <c r="J98" s="62">
        <v>5.9064909999999998E-2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29</v>
      </c>
      <c r="D99" s="191"/>
      <c r="E99" s="58"/>
      <c r="F99" s="192">
        <v>34.109063999999996</v>
      </c>
      <c r="G99" s="192">
        <v>37.640196000000003</v>
      </c>
      <c r="H99" s="192">
        <v>0.97953049000000003</v>
      </c>
      <c r="I99" s="64">
        <v>0.98471628</v>
      </c>
      <c r="J99" s="64">
        <v>3.7864416999999997E-2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30</v>
      </c>
      <c r="D100" s="191"/>
      <c r="E100" s="58"/>
      <c r="F100" s="192">
        <v>37.278939999999999</v>
      </c>
      <c r="G100" s="192">
        <v>40.99606</v>
      </c>
      <c r="H100" s="192">
        <v>0.98883938000000005</v>
      </c>
      <c r="I100" s="64">
        <v>0.99227198000000005</v>
      </c>
      <c r="J100" s="64">
        <v>2.3715215000000001E-2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32</v>
      </c>
      <c r="D101" s="191"/>
      <c r="E101" s="58"/>
      <c r="F101" s="192">
        <v>40.434356999999999</v>
      </c>
      <c r="G101" s="192">
        <v>44.347915999999998</v>
      </c>
      <c r="H101" s="192">
        <v>0.99364368999999997</v>
      </c>
      <c r="I101" s="64">
        <v>0.99585778999999996</v>
      </c>
      <c r="J101" s="64">
        <v>1.2499240999999999E-2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80</v>
      </c>
      <c r="C103" s="27" t="s">
        <v>28</v>
      </c>
      <c r="D103" s="41"/>
      <c r="E103" s="57"/>
      <c r="F103" s="99">
        <v>30.720379000000001</v>
      </c>
      <c r="G103" s="99">
        <v>34.296075000000002</v>
      </c>
      <c r="H103" s="99">
        <v>0.96751726000000005</v>
      </c>
      <c r="I103" s="62">
        <v>0.97575869999999998</v>
      </c>
      <c r="J103" s="62">
        <v>7.2852150000000004E-2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29</v>
      </c>
      <c r="D104" s="191"/>
      <c r="E104" s="58"/>
      <c r="F104" s="192">
        <v>33.470007000000003</v>
      </c>
      <c r="G104" s="192">
        <v>36.901752000000002</v>
      </c>
      <c r="H104" s="192">
        <v>0.98006360000000003</v>
      </c>
      <c r="I104" s="64">
        <v>0.98599756000000005</v>
      </c>
      <c r="J104" s="64">
        <v>4.7936079999999999E-2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30</v>
      </c>
      <c r="D105" s="191"/>
      <c r="E105" s="58"/>
      <c r="F105" s="192">
        <v>35.999310999999999</v>
      </c>
      <c r="G105" s="192">
        <v>40.200256000000003</v>
      </c>
      <c r="H105" s="192">
        <v>0.98932509000000002</v>
      </c>
      <c r="I105" s="64">
        <v>0.99290555999999996</v>
      </c>
      <c r="J105" s="64">
        <v>3.1772059999999998E-2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32</v>
      </c>
      <c r="D106" s="191"/>
      <c r="E106" s="58"/>
      <c r="F106" s="192">
        <v>38.535500999999996</v>
      </c>
      <c r="G106" s="192">
        <v>42.921599999999998</v>
      </c>
      <c r="H106" s="192">
        <v>0.99352770999999995</v>
      </c>
      <c r="I106" s="64">
        <v>0.99604459999999995</v>
      </c>
      <c r="J106" s="64">
        <v>1.9031455999999999E-2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81</v>
      </c>
      <c r="C108" s="27" t="s">
        <v>28</v>
      </c>
      <c r="D108" s="41"/>
      <c r="E108" s="57"/>
      <c r="F108" s="99">
        <v>31.097268</v>
      </c>
      <c r="G108" s="99">
        <v>34.729168999999999</v>
      </c>
      <c r="H108" s="99">
        <v>0.96944311000000005</v>
      </c>
      <c r="I108" s="62">
        <v>0.97736369999999995</v>
      </c>
      <c r="J108" s="62">
        <v>6.4543030000000001E-2</v>
      </c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29</v>
      </c>
      <c r="D109" s="191"/>
      <c r="E109" s="58"/>
      <c r="F109" s="192">
        <v>33.926485999999997</v>
      </c>
      <c r="G109" s="192">
        <v>37.319012999999998</v>
      </c>
      <c r="H109" s="192">
        <v>0.98074671999999996</v>
      </c>
      <c r="I109" s="64">
        <v>0.98647187000000003</v>
      </c>
      <c r="J109" s="64">
        <v>4.3211847999999997E-2</v>
      </c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30</v>
      </c>
      <c r="D110" s="191"/>
      <c r="E110" s="58"/>
      <c r="F110" s="192">
        <v>37.230013999999997</v>
      </c>
      <c r="G110" s="192">
        <v>41.028703999999998</v>
      </c>
      <c r="H110" s="192">
        <v>0.98925010999999996</v>
      </c>
      <c r="I110" s="64">
        <v>0.99290849999999997</v>
      </c>
      <c r="J110" s="64">
        <v>2.6501916E-2</v>
      </c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32</v>
      </c>
      <c r="D111" s="191"/>
      <c r="E111" s="58"/>
      <c r="F111" s="192">
        <v>39.028179999999999</v>
      </c>
      <c r="G111" s="192">
        <v>43.349167000000001</v>
      </c>
      <c r="H111" s="192">
        <v>0.99353923</v>
      </c>
      <c r="I111" s="64">
        <v>0.99602281999999998</v>
      </c>
      <c r="J111" s="64">
        <v>1.8346011999999998E-2</v>
      </c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82</v>
      </c>
      <c r="C113" s="27" t="s">
        <v>28</v>
      </c>
      <c r="D113" s="41"/>
      <c r="E113" s="57"/>
      <c r="F113" s="99">
        <v>31.078412</v>
      </c>
      <c r="G113" s="99">
        <v>34.701805999999998</v>
      </c>
      <c r="H113" s="99">
        <v>0.97023300000000001</v>
      </c>
      <c r="I113" s="62">
        <v>0.97796879000000003</v>
      </c>
      <c r="J113" s="62">
        <v>6.6789139999999997E-2</v>
      </c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29</v>
      </c>
      <c r="D114" s="191"/>
      <c r="E114" s="58"/>
      <c r="F114" s="192">
        <v>33.427937</v>
      </c>
      <c r="G114" s="192">
        <v>37.158971000000001</v>
      </c>
      <c r="H114" s="192">
        <v>0.98110244000000002</v>
      </c>
      <c r="I114" s="64">
        <v>0.98644668000000002</v>
      </c>
      <c r="J114" s="64">
        <v>4.7697416999999999E-2</v>
      </c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30</v>
      </c>
      <c r="D115" s="191"/>
      <c r="E115" s="58"/>
      <c r="F115" s="192">
        <v>36.358764999999998</v>
      </c>
      <c r="G115" s="192">
        <v>40.509982000000001</v>
      </c>
      <c r="H115" s="192">
        <v>0.98918983999999999</v>
      </c>
      <c r="I115" s="64">
        <v>0.99282771000000003</v>
      </c>
      <c r="J115" s="64">
        <v>3.0637681E-2</v>
      </c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32</v>
      </c>
      <c r="D116" s="191"/>
      <c r="E116" s="58"/>
      <c r="F116" s="192">
        <v>39.288930999999998</v>
      </c>
      <c r="G116" s="192">
        <v>43.522325000000002</v>
      </c>
      <c r="H116" s="192">
        <v>0.99352236999999999</v>
      </c>
      <c r="I116" s="64">
        <v>0.99612221999999995</v>
      </c>
      <c r="J116" s="64">
        <v>1.6717692999999999E-2</v>
      </c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83</v>
      </c>
      <c r="C118" s="27" t="s">
        <v>28</v>
      </c>
      <c r="D118" s="41"/>
      <c r="E118" s="57"/>
      <c r="F118" s="99">
        <v>31.888351</v>
      </c>
      <c r="G118" s="99">
        <v>35.295918999999998</v>
      </c>
      <c r="H118" s="99">
        <v>0.97137426000000004</v>
      </c>
      <c r="I118" s="62">
        <v>0.97964784999999999</v>
      </c>
      <c r="J118" s="62">
        <v>6.0324759999999998E-2</v>
      </c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29</v>
      </c>
      <c r="D119" s="191"/>
      <c r="E119" s="58"/>
      <c r="F119" s="192">
        <v>33.973292000000001</v>
      </c>
      <c r="G119" s="192">
        <v>37.526770999999997</v>
      </c>
      <c r="H119" s="192">
        <v>0.9812689</v>
      </c>
      <c r="I119" s="64">
        <v>0.98713642999999995</v>
      </c>
      <c r="J119" s="64">
        <v>4.277359E-2</v>
      </c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30</v>
      </c>
      <c r="D120" s="191"/>
      <c r="E120" s="58"/>
      <c r="F120" s="192">
        <v>36.898999000000003</v>
      </c>
      <c r="G120" s="192">
        <v>40.855061999999997</v>
      </c>
      <c r="H120" s="192">
        <v>0.98905573999999996</v>
      </c>
      <c r="I120" s="64">
        <v>0.99305235000000003</v>
      </c>
      <c r="J120" s="64">
        <v>2.7011137000000001E-2</v>
      </c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32</v>
      </c>
      <c r="D121" s="191"/>
      <c r="E121" s="58"/>
      <c r="F121" s="192">
        <v>39.838743000000001</v>
      </c>
      <c r="G121" s="192">
        <v>43.977676000000002</v>
      </c>
      <c r="H121" s="192">
        <v>0.99347032999999996</v>
      </c>
      <c r="I121" s="64">
        <v>0.99613098</v>
      </c>
      <c r="J121" s="64">
        <v>1.4743185000000001E-2</v>
      </c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84</v>
      </c>
      <c r="C123" s="27" t="s">
        <v>28</v>
      </c>
      <c r="D123" s="41"/>
      <c r="E123" s="57"/>
      <c r="F123" s="99">
        <v>32.029989</v>
      </c>
      <c r="G123" s="99">
        <v>35.615054000000001</v>
      </c>
      <c r="H123" s="99">
        <v>0.97161218000000005</v>
      </c>
      <c r="I123" s="62">
        <v>0.97933577000000005</v>
      </c>
      <c r="J123" s="62">
        <v>5.8582664E-2</v>
      </c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29</v>
      </c>
      <c r="D124" s="191"/>
      <c r="E124" s="58"/>
      <c r="F124" s="192">
        <v>34.309565999999997</v>
      </c>
      <c r="G124" s="192">
        <v>37.661875999999999</v>
      </c>
      <c r="H124" s="192">
        <v>0.98152150999999999</v>
      </c>
      <c r="I124" s="64">
        <v>0.98719683999999996</v>
      </c>
      <c r="J124" s="64">
        <v>4.1439182999999997E-2</v>
      </c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30</v>
      </c>
      <c r="D125" s="191"/>
      <c r="E125" s="58"/>
      <c r="F125" s="192">
        <v>37.433019000000002</v>
      </c>
      <c r="G125" s="192">
        <v>41.191780999999999</v>
      </c>
      <c r="H125" s="192">
        <v>0.98922860999999995</v>
      </c>
      <c r="I125" s="64">
        <v>0.99310282999999999</v>
      </c>
      <c r="J125" s="64">
        <v>2.5739505999999999E-2</v>
      </c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32</v>
      </c>
      <c r="D126" s="191"/>
      <c r="E126" s="58"/>
      <c r="F126" s="192">
        <v>40.440899000000002</v>
      </c>
      <c r="G126" s="192">
        <v>44.429394000000002</v>
      </c>
      <c r="H126" s="192">
        <v>0.99358753</v>
      </c>
      <c r="I126" s="64">
        <v>0.99614643999999997</v>
      </c>
      <c r="J126" s="64">
        <v>1.3829309499999999E-2</v>
      </c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85</v>
      </c>
      <c r="C128" s="27" t="s">
        <v>28</v>
      </c>
      <c r="D128" s="41"/>
      <c r="E128" s="57"/>
      <c r="F128" s="99">
        <v>32.028416</v>
      </c>
      <c r="G128" s="99">
        <v>35.785454999999999</v>
      </c>
      <c r="H128" s="99">
        <v>0.97201868000000002</v>
      </c>
      <c r="I128" s="62">
        <v>0.97935952999999998</v>
      </c>
      <c r="J128" s="62">
        <v>5.8290526000000002E-2</v>
      </c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29</v>
      </c>
      <c r="D129" s="191"/>
      <c r="E129" s="58"/>
      <c r="F129" s="192">
        <v>34.149138999999998</v>
      </c>
      <c r="G129" s="192">
        <v>37.801473000000001</v>
      </c>
      <c r="H129" s="192">
        <v>0.98175420000000002</v>
      </c>
      <c r="I129" s="64">
        <v>0.98691412000000001</v>
      </c>
      <c r="J129" s="64">
        <v>4.1434041999999997E-2</v>
      </c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30</v>
      </c>
      <c r="D130" s="191"/>
      <c r="E130" s="58"/>
      <c r="F130" s="192">
        <v>37.425134999999997</v>
      </c>
      <c r="G130" s="192">
        <v>41.143859999999997</v>
      </c>
      <c r="H130" s="192">
        <v>0.98950945000000001</v>
      </c>
      <c r="I130" s="64">
        <v>0.99313185999999998</v>
      </c>
      <c r="J130" s="64">
        <v>2.4756685E-2</v>
      </c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32</v>
      </c>
      <c r="D131" s="191"/>
      <c r="E131" s="58"/>
      <c r="F131" s="192">
        <v>41.002122999999997</v>
      </c>
      <c r="G131" s="192">
        <v>44.861865999999999</v>
      </c>
      <c r="H131" s="192">
        <v>0.99376087000000002</v>
      </c>
      <c r="I131" s="64">
        <v>0.99632465999999997</v>
      </c>
      <c r="J131" s="64">
        <v>1.2812884E-2</v>
      </c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86</v>
      </c>
      <c r="C133" s="27" t="s">
        <v>28</v>
      </c>
      <c r="D133" s="41"/>
      <c r="E133" s="57"/>
      <c r="F133" s="99">
        <v>32.175052000000001</v>
      </c>
      <c r="G133" s="99">
        <v>36.090333999999999</v>
      </c>
      <c r="H133" s="99">
        <v>0.97042653999999995</v>
      </c>
      <c r="I133" s="62">
        <v>0.97857804000000004</v>
      </c>
      <c r="J133" s="62">
        <v>5.9089900000000001E-2</v>
      </c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29</v>
      </c>
      <c r="D134" s="191"/>
      <c r="E134" s="58"/>
      <c r="F134" s="192">
        <v>34.498724000000003</v>
      </c>
      <c r="G134" s="192">
        <v>38.138582</v>
      </c>
      <c r="H134" s="192">
        <v>0.98148078000000005</v>
      </c>
      <c r="I134" s="64">
        <v>0.98666823000000003</v>
      </c>
      <c r="J134" s="64">
        <v>4.0091111999999998E-2</v>
      </c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30</v>
      </c>
      <c r="D135" s="191"/>
      <c r="E135" s="58"/>
      <c r="F135" s="192">
        <v>37.835388999999999</v>
      </c>
      <c r="G135" s="192">
        <v>41.376756</v>
      </c>
      <c r="H135" s="192">
        <v>0.98975252000000002</v>
      </c>
      <c r="I135" s="64">
        <v>0.99323276999999999</v>
      </c>
      <c r="J135" s="64">
        <v>2.4406975000000001E-2</v>
      </c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32</v>
      </c>
      <c r="D136" s="191"/>
      <c r="E136" s="58"/>
      <c r="F136" s="192">
        <v>41.595049000000003</v>
      </c>
      <c r="G136" s="192">
        <v>45.181700999999997</v>
      </c>
      <c r="H136" s="192">
        <v>0.99381931000000001</v>
      </c>
      <c r="I136" s="64">
        <v>0.99633837000000003</v>
      </c>
      <c r="J136" s="64">
        <v>1.2617046E-2</v>
      </c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45</v>
      </c>
      <c r="G639" s="216" t="s">
        <v>45</v>
      </c>
      <c r="H639" s="216" t="s">
        <v>45</v>
      </c>
      <c r="I639" s="216" t="s">
        <v>45</v>
      </c>
      <c r="J639" s="216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45</v>
      </c>
      <c r="Y639" s="216" t="s">
        <v>45</v>
      </c>
      <c r="Z639" s="216" t="s">
        <v>45</v>
      </c>
      <c r="AA639" s="216" t="s">
        <v>45</v>
      </c>
      <c r="AB639" s="216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2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8">
        <f t="shared" si="59"/>
        <v>31.134187000000001</v>
      </c>
      <c r="H641" s="138">
        <f t="shared" si="59"/>
        <v>0.95943495000000001</v>
      </c>
      <c r="I641" s="138">
        <f t="shared" si="59"/>
        <v>0.96601981000000003</v>
      </c>
      <c r="J641" s="138">
        <f t="shared" si="59"/>
        <v>5.8290526000000002E-2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29</v>
      </c>
      <c r="D642" s="110"/>
      <c r="E642" s="268"/>
      <c r="F642" s="20">
        <f t="shared" si="59"/>
        <v>30.759060000000002</v>
      </c>
      <c r="G642" s="20">
        <f t="shared" si="59"/>
        <v>34.076340999999999</v>
      </c>
      <c r="H642" s="20">
        <f t="shared" si="59"/>
        <v>0.97660387999999998</v>
      </c>
      <c r="I642" s="20">
        <f t="shared" si="59"/>
        <v>0.98018503000000001</v>
      </c>
      <c r="J642" s="20">
        <f t="shared" si="59"/>
        <v>3.7864416999999997E-2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30</v>
      </c>
      <c r="D643" s="110"/>
      <c r="E643" s="268"/>
      <c r="F643" s="20">
        <f t="shared" si="59"/>
        <v>34.701622</v>
      </c>
      <c r="G643" s="20">
        <f t="shared" si="59"/>
        <v>39.048186000000001</v>
      </c>
      <c r="H643" s="20">
        <f t="shared" si="59"/>
        <v>0.98777605999999996</v>
      </c>
      <c r="I643" s="20">
        <f t="shared" si="59"/>
        <v>0.99115125999999998</v>
      </c>
      <c r="J643" s="20">
        <f t="shared" si="59"/>
        <v>2.3715215000000001E-2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32</v>
      </c>
      <c r="D644" s="110"/>
      <c r="E644" s="268"/>
      <c r="F644" s="20">
        <f t="shared" si="59"/>
        <v>37.285139999999998</v>
      </c>
      <c r="G644" s="20">
        <f t="shared" si="59"/>
        <v>41.695649000000003</v>
      </c>
      <c r="H644" s="20">
        <f t="shared" si="59"/>
        <v>0.99314466000000001</v>
      </c>
      <c r="I644" s="20">
        <f t="shared" si="59"/>
        <v>0.99532387</v>
      </c>
      <c r="J644" s="20">
        <f t="shared" si="59"/>
        <v>1.2499240999999999E-2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8">
        <f t="shared" si="61"/>
        <v>36.090333999999999</v>
      </c>
      <c r="H646" s="138">
        <f t="shared" si="61"/>
        <v>0.97201868000000002</v>
      </c>
      <c r="I646" s="138">
        <f t="shared" si="61"/>
        <v>0.97964784999999999</v>
      </c>
      <c r="J646" s="138">
        <f t="shared" si="61"/>
        <v>8.3524169999999995E-2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29</v>
      </c>
      <c r="D647" s="110"/>
      <c r="E647" s="268"/>
      <c r="F647" s="20">
        <f t="shared" si="61"/>
        <v>34.498724000000003</v>
      </c>
      <c r="G647" s="20">
        <f t="shared" si="61"/>
        <v>38.138582</v>
      </c>
      <c r="H647" s="20">
        <f t="shared" si="61"/>
        <v>0.98175420000000002</v>
      </c>
      <c r="I647" s="20">
        <f t="shared" si="61"/>
        <v>0.98719683999999996</v>
      </c>
      <c r="J647" s="20">
        <f t="shared" si="61"/>
        <v>5.8090188000000001E-2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30</v>
      </c>
      <c r="D648" s="110"/>
      <c r="E648" s="268"/>
      <c r="F648" s="20">
        <f t="shared" si="61"/>
        <v>37.835388999999999</v>
      </c>
      <c r="G648" s="20">
        <f t="shared" si="61"/>
        <v>41.376756</v>
      </c>
      <c r="H648" s="20">
        <f t="shared" si="61"/>
        <v>0.98975252000000002</v>
      </c>
      <c r="I648" s="20">
        <f t="shared" si="61"/>
        <v>0.99323276999999999</v>
      </c>
      <c r="J648" s="20">
        <f t="shared" si="61"/>
        <v>3.3094823000000002E-2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32</v>
      </c>
      <c r="D649" s="110"/>
      <c r="E649" s="268"/>
      <c r="F649" s="20">
        <f t="shared" si="61"/>
        <v>41.595049000000003</v>
      </c>
      <c r="G649" s="20">
        <f t="shared" si="61"/>
        <v>45.181700999999997</v>
      </c>
      <c r="H649" s="20">
        <f t="shared" si="61"/>
        <v>0.99381931000000001</v>
      </c>
      <c r="I649" s="20">
        <f t="shared" si="61"/>
        <v>0.99633837000000003</v>
      </c>
      <c r="J649" s="20">
        <f t="shared" si="61"/>
        <v>1.9031455999999999E-2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189</v>
      </c>
      <c r="C651" s="27" t="s">
        <v>28</v>
      </c>
      <c r="D651" s="109"/>
      <c r="E651" s="266"/>
      <c r="F651" s="138">
        <f t="shared" ref="F651:J654" si="63">F646-F641</f>
        <v>4.5975959999999993</v>
      </c>
      <c r="G651" s="138">
        <f t="shared" si="63"/>
        <v>4.9561469999999979</v>
      </c>
      <c r="H651" s="138">
        <f t="shared" si="63"/>
        <v>1.2583730000000015E-2</v>
      </c>
      <c r="I651" s="138">
        <f t="shared" si="63"/>
        <v>1.3628039999999952E-2</v>
      </c>
      <c r="J651" s="138">
        <f t="shared" si="63"/>
        <v>2.5233643999999993E-2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29</v>
      </c>
      <c r="D652" s="110"/>
      <c r="E652" s="268"/>
      <c r="F652" s="20">
        <f t="shared" si="63"/>
        <v>3.7396640000000012</v>
      </c>
      <c r="G652" s="20">
        <f t="shared" si="63"/>
        <v>4.0622410000000002</v>
      </c>
      <c r="H652" s="20">
        <f t="shared" si="63"/>
        <v>5.1503200000000415E-3</v>
      </c>
      <c r="I652" s="20">
        <f t="shared" si="63"/>
        <v>7.0118099999999517E-3</v>
      </c>
      <c r="J652" s="20">
        <f t="shared" si="63"/>
        <v>2.0225771000000003E-2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30</v>
      </c>
      <c r="D653" s="110"/>
      <c r="E653" s="268"/>
      <c r="F653" s="20">
        <f t="shared" si="63"/>
        <v>3.1337669999999989</v>
      </c>
      <c r="G653" s="20">
        <f t="shared" si="63"/>
        <v>2.3285699999999991</v>
      </c>
      <c r="H653" s="20">
        <f t="shared" si="63"/>
        <v>1.9764600000000687E-3</v>
      </c>
      <c r="I653" s="20">
        <f t="shared" si="63"/>
        <v>2.0815100000000086E-3</v>
      </c>
      <c r="J653" s="20">
        <f t="shared" si="63"/>
        <v>9.3796080000000011E-3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32</v>
      </c>
      <c r="D654" s="110"/>
      <c r="E654" s="268"/>
      <c r="F654" s="20">
        <f t="shared" si="63"/>
        <v>4.3099090000000047</v>
      </c>
      <c r="G654" s="20">
        <f t="shared" si="63"/>
        <v>3.4860519999999937</v>
      </c>
      <c r="H654" s="20">
        <f t="shared" si="63"/>
        <v>6.7464999999999886E-4</v>
      </c>
      <c r="I654" s="20">
        <f t="shared" si="63"/>
        <v>1.0145000000000293E-3</v>
      </c>
      <c r="J654" s="20">
        <f t="shared" si="63"/>
        <v>6.5322149999999992E-3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2025-05-19T07:17:08Z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